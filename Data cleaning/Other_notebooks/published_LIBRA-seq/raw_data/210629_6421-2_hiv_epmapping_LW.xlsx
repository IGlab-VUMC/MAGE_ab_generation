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nt\Box\IG Lab\LIBRA_Data\"/>
    </mc:Choice>
  </mc:AlternateContent>
  <xr:revisionPtr revIDLastSave="0" documentId="13_ncr:1_{4AF86E05-0372-48AA-BD6F-A5E2C164F56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6421_2_paired_heavy_light_chain" sheetId="1" r:id="rId1"/>
  </sheets>
  <definedNames>
    <definedName name="_xlnm._FilterDatabase" localSheetId="0" hidden="1">'6421_2_paired_heavy_light_chain'!$A$1:$CW$381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2" i="1" l="1"/>
  <c r="BY110" i="1"/>
  <c r="CO110" i="1" s="1"/>
  <c r="BY18" i="1"/>
  <c r="CO18" i="1" s="1"/>
  <c r="BY12" i="1"/>
  <c r="CO12" i="1" s="1"/>
  <c r="BY116" i="1"/>
  <c r="CO116" i="1" s="1"/>
  <c r="BY2" i="1"/>
  <c r="CO2" i="1" s="1"/>
  <c r="BY312" i="1"/>
  <c r="CO312" i="1" s="1"/>
  <c r="BY179" i="1"/>
  <c r="CO179" i="1" s="1"/>
  <c r="BY57" i="1"/>
  <c r="CO57" i="1" s="1"/>
  <c r="BY118" i="1"/>
  <c r="CO118" i="1" s="1"/>
  <c r="BY52" i="1"/>
  <c r="CO52" i="1" s="1"/>
  <c r="BY157" i="1"/>
  <c r="CO157" i="1" s="1"/>
  <c r="BY98" i="1"/>
  <c r="CO98" i="1" s="1"/>
  <c r="BY112" i="1"/>
  <c r="CO112" i="1" s="1"/>
  <c r="BY54" i="1"/>
  <c r="CO54" i="1" s="1"/>
  <c r="BY165" i="1"/>
  <c r="CO165" i="1" s="1"/>
  <c r="BY182" i="1"/>
  <c r="CO182" i="1" s="1"/>
  <c r="BY150" i="1"/>
  <c r="CO150" i="1" s="1"/>
  <c r="BY277" i="1"/>
  <c r="CO277" i="1" s="1"/>
  <c r="BY279" i="1"/>
  <c r="CO279" i="1" s="1"/>
  <c r="BY216" i="1"/>
  <c r="CO216" i="1" s="1"/>
  <c r="BY287" i="1"/>
  <c r="CO287" i="1" s="1"/>
  <c r="BY293" i="1"/>
  <c r="CO293" i="1" s="1"/>
  <c r="BY210" i="1"/>
  <c r="CO210" i="1" s="1"/>
  <c r="BY230" i="1"/>
  <c r="CO230" i="1" s="1"/>
  <c r="BY189" i="1"/>
  <c r="CO189" i="1" s="1"/>
  <c r="BY220" i="1"/>
  <c r="CO220" i="1" s="1"/>
  <c r="BY181" i="1"/>
  <c r="CO181" i="1" s="1"/>
  <c r="BY175" i="1"/>
  <c r="CO175" i="1" s="1"/>
  <c r="BY307" i="1"/>
  <c r="CO307" i="1" s="1"/>
  <c r="BY308" i="1"/>
  <c r="CO308" i="1" s="1"/>
  <c r="BY314" i="1"/>
  <c r="CO314" i="1" s="1"/>
  <c r="BY320" i="1"/>
  <c r="CO320" i="1" s="1"/>
  <c r="BY219" i="1"/>
  <c r="CO219" i="1" s="1"/>
  <c r="BY323" i="1"/>
  <c r="CO323" i="1" s="1"/>
  <c r="BY327" i="1"/>
  <c r="CO327" i="1" s="1"/>
  <c r="BY212" i="1"/>
  <c r="CO212" i="1" s="1"/>
  <c r="BY225" i="1"/>
  <c r="CO225" i="1" s="1"/>
  <c r="BY214" i="1"/>
  <c r="CO214" i="1" s="1"/>
  <c r="BY346" i="1"/>
  <c r="CO346" i="1" s="1"/>
  <c r="BY347" i="1"/>
  <c r="CO347" i="1" s="1"/>
  <c r="BY205" i="1"/>
  <c r="CO205" i="1" s="1"/>
  <c r="BY226" i="1"/>
  <c r="CO226" i="1" s="1"/>
  <c r="BY352" i="1"/>
  <c r="CO352" i="1" s="1"/>
  <c r="BY196" i="1"/>
  <c r="CO196" i="1" s="1"/>
  <c r="BY353" i="1"/>
  <c r="CO353" i="1" s="1"/>
  <c r="BY354" i="1"/>
  <c r="CO354" i="1" s="1"/>
  <c r="BY357" i="1"/>
  <c r="CO357" i="1" s="1"/>
  <c r="BY359" i="1"/>
  <c r="CO359" i="1" s="1"/>
  <c r="BY360" i="1"/>
  <c r="CO360" i="1" s="1"/>
  <c r="BY361" i="1"/>
  <c r="CO361" i="1" s="1"/>
  <c r="BY363" i="1"/>
  <c r="CO363" i="1" s="1"/>
  <c r="BY366" i="1"/>
  <c r="CO366" i="1" s="1"/>
  <c r="BY160" i="1"/>
  <c r="CO160" i="1" s="1"/>
  <c r="BY369" i="1"/>
  <c r="CO369" i="1" s="1"/>
  <c r="BY371" i="1"/>
  <c r="CO371" i="1" s="1"/>
  <c r="BY373" i="1"/>
  <c r="CO373" i="1" s="1"/>
  <c r="BY374" i="1"/>
  <c r="CO374" i="1" s="1"/>
  <c r="BY228" i="1"/>
  <c r="CO228" i="1" s="1"/>
  <c r="BY168" i="1"/>
  <c r="CO168" i="1" s="1"/>
  <c r="BY194" i="1"/>
  <c r="CO194" i="1" s="1"/>
  <c r="BY221" i="1"/>
  <c r="CO221" i="1" s="1"/>
  <c r="BY211" i="1"/>
  <c r="CO211" i="1" s="1"/>
  <c r="BY379" i="1"/>
  <c r="CO379" i="1" s="1"/>
  <c r="BY166" i="1"/>
  <c r="CO166" i="1" s="1"/>
  <c r="BY198" i="1"/>
  <c r="CO198" i="1" s="1"/>
  <c r="BY204" i="1"/>
  <c r="CO204" i="1" s="1"/>
  <c r="BY200" i="1"/>
  <c r="CO200" i="1" s="1"/>
  <c r="BY380" i="1"/>
  <c r="CO380" i="1" s="1"/>
  <c r="BY381" i="1"/>
  <c r="CO381" i="1" s="1"/>
  <c r="BY97" i="1"/>
  <c r="CO97" i="1" s="1"/>
  <c r="BY38" i="1"/>
  <c r="CO38" i="1" s="1"/>
  <c r="BY128" i="1"/>
  <c r="CO128" i="1" s="1"/>
  <c r="BY92" i="1"/>
  <c r="CO92" i="1" s="1"/>
  <c r="BY215" i="1"/>
  <c r="CO215" i="1" s="1"/>
  <c r="BY83" i="1"/>
  <c r="CO83" i="1" s="1"/>
  <c r="BY180" i="1"/>
  <c r="CO180" i="1" s="1"/>
  <c r="BY134" i="1"/>
  <c r="CO134" i="1" s="1"/>
  <c r="BY183" i="1"/>
  <c r="CO183" i="1" s="1"/>
  <c r="BY144" i="1"/>
  <c r="CO144" i="1" s="1"/>
  <c r="BY153" i="1"/>
  <c r="CO153" i="1" s="1"/>
  <c r="BY158" i="1"/>
  <c r="CO158" i="1" s="1"/>
  <c r="BY114" i="1"/>
  <c r="CO114" i="1" s="1"/>
  <c r="BY137" i="1"/>
  <c r="CO137" i="1" s="1"/>
  <c r="BY152" i="1"/>
  <c r="CO152" i="1" s="1"/>
  <c r="BY149" i="1"/>
  <c r="CO149" i="1" s="1"/>
  <c r="BY64" i="1"/>
  <c r="CO64" i="1" s="1"/>
  <c r="BY133" i="1"/>
  <c r="CO133" i="1" s="1"/>
  <c r="BY161" i="1"/>
  <c r="CO161" i="1" s="1"/>
  <c r="BY46" i="1"/>
  <c r="CO46" i="1" s="1"/>
  <c r="BY171" i="1"/>
  <c r="CO171" i="1" s="1"/>
  <c r="BY120" i="1"/>
  <c r="CO120" i="1" s="1"/>
  <c r="BY159" i="1"/>
  <c r="CO159" i="1" s="1"/>
  <c r="BY109" i="1"/>
  <c r="CO109" i="1" s="1"/>
  <c r="BY145" i="1"/>
  <c r="CO145" i="1" s="1"/>
  <c r="BY142" i="1"/>
  <c r="CO142" i="1" s="1"/>
  <c r="BY24" i="1"/>
  <c r="CO24" i="1" s="1"/>
  <c r="BY140" i="1"/>
  <c r="CO140" i="1" s="1"/>
  <c r="BY124" i="1"/>
  <c r="CO124" i="1" s="1"/>
  <c r="BY59" i="1"/>
  <c r="CO59" i="1" s="1"/>
  <c r="BY23" i="1"/>
  <c r="CO23" i="1" s="1"/>
  <c r="BY113" i="1"/>
  <c r="CO113" i="1" s="1"/>
  <c r="BY105" i="1"/>
  <c r="CO105" i="1" s="1"/>
  <c r="BY177" i="1"/>
  <c r="CO177" i="1" s="1"/>
  <c r="BY90" i="1"/>
  <c r="CO90" i="1" s="1"/>
  <c r="BY122" i="1"/>
  <c r="CO122" i="1" s="1"/>
  <c r="BY119" i="1"/>
  <c r="CO119" i="1" s="1"/>
  <c r="BY73" i="1"/>
  <c r="CO73" i="1" s="1"/>
  <c r="BY156" i="1"/>
  <c r="CO156" i="1" s="1"/>
  <c r="BY130" i="1"/>
  <c r="CO130" i="1" s="1"/>
  <c r="BY127" i="1"/>
  <c r="CO127" i="1" s="1"/>
  <c r="BY167" i="1"/>
  <c r="CO167" i="1" s="1"/>
  <c r="BY136" i="1"/>
  <c r="CO136" i="1" s="1"/>
  <c r="BY81" i="1"/>
  <c r="CO81" i="1" s="1"/>
  <c r="BY163" i="1"/>
  <c r="CO163" i="1" s="1"/>
  <c r="BY91" i="1"/>
  <c r="CO91" i="1" s="1"/>
  <c r="BY67" i="1"/>
  <c r="CO67" i="1" s="1"/>
  <c r="BY206" i="1"/>
  <c r="CO206" i="1" s="1"/>
  <c r="BY138" i="1"/>
  <c r="CO138" i="1" s="1"/>
  <c r="BY155" i="1"/>
  <c r="CO155" i="1" s="1"/>
  <c r="BY66" i="1"/>
  <c r="CO66" i="1" s="1"/>
  <c r="BY147" i="1"/>
  <c r="CO147" i="1" s="1"/>
  <c r="BY55" i="1"/>
  <c r="CO55" i="1" s="1"/>
  <c r="BY37" i="1"/>
  <c r="CO37" i="1" s="1"/>
  <c r="BY164" i="1"/>
  <c r="CO164" i="1" s="1"/>
  <c r="BY126" i="1"/>
  <c r="CO126" i="1" s="1"/>
  <c r="BY44" i="1"/>
  <c r="CO44" i="1" s="1"/>
  <c r="BY29" i="1"/>
  <c r="CO29" i="1" s="1"/>
  <c r="BY146" i="1"/>
  <c r="CO146" i="1" s="1"/>
  <c r="BY69" i="1"/>
  <c r="CO69" i="1" s="1"/>
  <c r="BY197" i="1"/>
  <c r="CO197" i="1" s="1"/>
  <c r="BY85" i="1"/>
  <c r="CO85" i="1" s="1"/>
  <c r="BY108" i="1"/>
  <c r="CO108" i="1" s="1"/>
  <c r="BY123" i="1"/>
  <c r="CO123" i="1" s="1"/>
  <c r="BY33" i="1"/>
  <c r="CO33" i="1" s="1"/>
  <c r="BY71" i="1"/>
  <c r="CO71" i="1" s="1"/>
  <c r="BY129" i="1"/>
  <c r="CO129" i="1" s="1"/>
  <c r="BY162" i="1"/>
  <c r="CO162" i="1" s="1"/>
  <c r="BY36" i="1"/>
  <c r="CO36" i="1" s="1"/>
  <c r="BY63" i="1"/>
  <c r="CO63" i="1" s="1"/>
  <c r="BY3" i="1"/>
  <c r="CO3" i="1" s="1"/>
  <c r="BY139" i="1"/>
  <c r="CO139" i="1" s="1"/>
  <c r="BY125" i="1"/>
  <c r="CO125" i="1" s="1"/>
  <c r="BY19" i="1"/>
  <c r="CO19" i="1" s="1"/>
  <c r="BY151" i="1"/>
  <c r="CO151" i="1" s="1"/>
  <c r="BY74" i="1"/>
  <c r="CO74" i="1" s="1"/>
  <c r="BY86" i="1"/>
  <c r="CO86" i="1" s="1"/>
  <c r="BY16" i="1"/>
  <c r="CO16" i="1" s="1"/>
  <c r="BY34" i="1"/>
  <c r="CO34" i="1" s="1"/>
  <c r="BY96" i="1"/>
  <c r="CO96" i="1" s="1"/>
  <c r="BY40" i="1"/>
  <c r="CO40" i="1" s="1"/>
  <c r="BY53" i="1"/>
  <c r="CO53" i="1" s="1"/>
  <c r="BY6" i="1"/>
  <c r="CO6" i="1" s="1"/>
  <c r="BY141" i="1"/>
  <c r="CO141" i="1" s="1"/>
  <c r="BY60" i="1"/>
  <c r="CO60" i="1" s="1"/>
  <c r="BY135" i="1"/>
  <c r="CO135" i="1" s="1"/>
  <c r="BY79" i="1"/>
  <c r="CO79" i="1" s="1"/>
  <c r="BY82" i="1"/>
  <c r="CO82" i="1" s="1"/>
  <c r="BY131" i="1"/>
  <c r="CO131" i="1" s="1"/>
  <c r="BY102" i="1"/>
  <c r="CO102" i="1" s="1"/>
  <c r="BY84" i="1"/>
  <c r="CO84" i="1" s="1"/>
  <c r="BY31" i="1"/>
  <c r="CO31" i="1" s="1"/>
  <c r="BY132" i="1"/>
  <c r="CO132" i="1" s="1"/>
  <c r="BY104" i="1"/>
  <c r="CO104" i="1" s="1"/>
  <c r="BY14" i="1"/>
  <c r="CO14" i="1" s="1"/>
  <c r="BY30" i="1"/>
  <c r="CO30" i="1" s="1"/>
  <c r="BY11" i="1"/>
  <c r="CO11" i="1" s="1"/>
  <c r="BY87" i="1"/>
  <c r="CO87" i="1" s="1"/>
  <c r="BY26" i="1"/>
  <c r="CO26" i="1" s="1"/>
  <c r="BY117" i="1"/>
  <c r="CO117" i="1" s="1"/>
  <c r="BY27" i="1"/>
  <c r="CO27" i="1" s="1"/>
  <c r="BY5" i="1"/>
  <c r="CO5" i="1" s="1"/>
  <c r="BY76" i="1"/>
  <c r="CO76" i="1" s="1"/>
  <c r="BY35" i="1"/>
  <c r="CO35" i="1" s="1"/>
  <c r="BY72" i="1"/>
  <c r="CO72" i="1" s="1"/>
  <c r="BY58" i="1"/>
  <c r="CO58" i="1" s="1"/>
  <c r="BY47" i="1"/>
  <c r="CO47" i="1" s="1"/>
  <c r="BY88" i="1"/>
  <c r="CO88" i="1" s="1"/>
  <c r="BY111" i="1"/>
  <c r="CO111" i="1" s="1"/>
  <c r="BY70" i="1"/>
  <c r="CO70" i="1" s="1"/>
  <c r="BY39" i="1"/>
  <c r="CO39" i="1" s="1"/>
  <c r="BY89" i="1"/>
  <c r="CO89" i="1" s="1"/>
  <c r="BY51" i="1"/>
  <c r="CO51" i="1" s="1"/>
  <c r="BY25" i="1"/>
  <c r="CO25" i="1" s="1"/>
  <c r="BY7" i="1"/>
  <c r="CO7" i="1" s="1"/>
  <c r="BY56" i="1"/>
  <c r="CO56" i="1" s="1"/>
  <c r="BY45" i="1"/>
  <c r="CO45" i="1" s="1"/>
  <c r="BY68" i="1"/>
  <c r="CO68" i="1" s="1"/>
  <c r="BY50" i="1"/>
  <c r="CO50" i="1" s="1"/>
  <c r="BY107" i="1"/>
  <c r="CO107" i="1" s="1"/>
  <c r="BY8" i="1"/>
  <c r="CO8" i="1" s="1"/>
  <c r="BY49" i="1"/>
  <c r="CO49" i="1" s="1"/>
  <c r="BY77" i="1"/>
  <c r="CO77" i="1" s="1"/>
  <c r="BY62" i="1"/>
  <c r="CO62" i="1" s="1"/>
  <c r="BY48" i="1"/>
  <c r="CO48" i="1" s="1"/>
  <c r="BY20" i="1"/>
  <c r="CO20" i="1" s="1"/>
  <c r="BY148" i="1"/>
  <c r="CO148" i="1" s="1"/>
  <c r="BY4" i="1"/>
  <c r="CO4" i="1" s="1"/>
  <c r="BY378" i="1"/>
  <c r="CO378" i="1" s="1"/>
  <c r="BY115" i="1"/>
  <c r="CO115" i="1" s="1"/>
  <c r="BY94" i="1"/>
  <c r="CO94" i="1" s="1"/>
  <c r="BY176" i="1"/>
  <c r="CO176" i="1" s="1"/>
  <c r="BY100" i="1"/>
  <c r="CO100" i="1" s="1"/>
  <c r="BY375" i="1"/>
  <c r="CO375" i="1" s="1"/>
  <c r="BY10" i="1"/>
  <c r="CO10" i="1" s="1"/>
  <c r="BY65" i="1"/>
  <c r="CO65" i="1" s="1"/>
  <c r="BY103" i="1"/>
  <c r="CO103" i="1" s="1"/>
  <c r="BY154" i="1"/>
  <c r="CO154" i="1" s="1"/>
  <c r="BY17" i="1"/>
  <c r="CO17" i="1" s="1"/>
  <c r="BY43" i="1"/>
  <c r="CO43" i="1" s="1"/>
  <c r="BY80" i="1"/>
  <c r="CO80" i="1" s="1"/>
  <c r="BY174" i="1"/>
  <c r="CO174" i="1" s="1"/>
  <c r="BY101" i="1"/>
  <c r="CO101" i="1" s="1"/>
  <c r="BY143" i="1"/>
  <c r="CO143" i="1" s="1"/>
  <c r="BY15" i="1"/>
  <c r="CO15" i="1" s="1"/>
  <c r="BY121" i="1"/>
  <c r="CO121" i="1" s="1"/>
  <c r="BY42" i="1"/>
  <c r="CO42" i="1" s="1"/>
  <c r="BY95" i="1"/>
  <c r="CO95" i="1" s="1"/>
  <c r="BY93" i="1"/>
  <c r="CO93" i="1" s="1"/>
  <c r="BY99" i="1"/>
  <c r="CO99" i="1" s="1"/>
  <c r="BY61" i="1"/>
  <c r="CO61" i="1" s="1"/>
  <c r="BY9" i="1"/>
  <c r="CO9" i="1" s="1"/>
  <c r="BY75" i="1"/>
  <c r="CO75" i="1" s="1"/>
  <c r="BY78" i="1"/>
  <c r="CO78" i="1" s="1"/>
  <c r="BY106" i="1"/>
  <c r="CO106" i="1" s="1"/>
  <c r="BY21" i="1"/>
  <c r="CO21" i="1" s="1"/>
  <c r="BY41" i="1"/>
  <c r="CO41" i="1" s="1"/>
  <c r="BY32" i="1"/>
  <c r="CO32" i="1" s="1"/>
  <c r="BY28" i="1"/>
  <c r="CO28" i="1" s="1"/>
  <c r="BY260" i="1"/>
  <c r="CO260" i="1" s="1"/>
  <c r="BY184" i="1"/>
  <c r="CO184" i="1" s="1"/>
  <c r="BY276" i="1"/>
  <c r="CO276" i="1" s="1"/>
  <c r="BY362" i="1"/>
  <c r="CO362" i="1" s="1"/>
  <c r="BY296" i="1"/>
  <c r="CO296" i="1" s="1"/>
  <c r="BY223" i="1"/>
  <c r="CO223" i="1" s="1"/>
  <c r="BY238" i="1"/>
  <c r="CO238" i="1" s="1"/>
  <c r="BY243" i="1"/>
  <c r="CO243" i="1" s="1"/>
  <c r="BY244" i="1"/>
  <c r="CO244" i="1" s="1"/>
  <c r="BY247" i="1"/>
  <c r="CO247" i="1" s="1"/>
  <c r="BY248" i="1"/>
  <c r="CO248" i="1" s="1"/>
  <c r="BY251" i="1"/>
  <c r="CO251" i="1" s="1"/>
  <c r="BY254" i="1"/>
  <c r="CO254" i="1" s="1"/>
  <c r="BY255" i="1"/>
  <c r="CO255" i="1" s="1"/>
  <c r="BY256" i="1"/>
  <c r="CO256" i="1" s="1"/>
  <c r="BY257" i="1"/>
  <c r="CO257" i="1" s="1"/>
  <c r="BY262" i="1"/>
  <c r="CO262" i="1" s="1"/>
  <c r="BY264" i="1"/>
  <c r="CO264" i="1" s="1"/>
  <c r="BY266" i="1"/>
  <c r="CO266" i="1" s="1"/>
  <c r="BY267" i="1"/>
  <c r="CO267" i="1" s="1"/>
  <c r="BY270" i="1"/>
  <c r="CO270" i="1" s="1"/>
  <c r="BY272" i="1"/>
  <c r="CO272" i="1" s="1"/>
  <c r="BY273" i="1"/>
  <c r="CO273" i="1" s="1"/>
  <c r="BY274" i="1"/>
  <c r="CO274" i="1" s="1"/>
  <c r="BY278" i="1"/>
  <c r="CO278" i="1" s="1"/>
  <c r="BY281" i="1"/>
  <c r="CO281" i="1" s="1"/>
  <c r="BY284" i="1"/>
  <c r="CO284" i="1" s="1"/>
  <c r="BY285" i="1"/>
  <c r="CO285" i="1" s="1"/>
  <c r="BY286" i="1"/>
  <c r="CO286" i="1" s="1"/>
  <c r="BY288" i="1"/>
  <c r="CO288" i="1" s="1"/>
  <c r="BY289" i="1"/>
  <c r="CO289" i="1" s="1"/>
  <c r="BY290" i="1"/>
  <c r="CO290" i="1" s="1"/>
  <c r="BY291" i="1"/>
  <c r="CO291" i="1" s="1"/>
  <c r="BY191" i="1"/>
  <c r="CO191" i="1" s="1"/>
  <c r="BY292" i="1"/>
  <c r="CO292" i="1" s="1"/>
  <c r="BY294" i="1"/>
  <c r="CO294" i="1" s="1"/>
  <c r="BY295" i="1"/>
  <c r="CO295" i="1" s="1"/>
  <c r="BY297" i="1"/>
  <c r="CO297" i="1" s="1"/>
  <c r="BY298" i="1"/>
  <c r="CO298" i="1" s="1"/>
  <c r="BY299" i="1"/>
  <c r="CO299" i="1" s="1"/>
  <c r="BY203" i="1"/>
  <c r="CO203" i="1" s="1"/>
  <c r="BY170" i="1"/>
  <c r="CO170" i="1" s="1"/>
  <c r="BY193" i="1"/>
  <c r="CO193" i="1" s="1"/>
  <c r="BY300" i="1"/>
  <c r="CO300" i="1" s="1"/>
  <c r="BY301" i="1"/>
  <c r="CO301" i="1" s="1"/>
  <c r="BY302" i="1"/>
  <c r="CO302" i="1" s="1"/>
  <c r="BY303" i="1"/>
  <c r="CO303" i="1" s="1"/>
  <c r="BY304" i="1"/>
  <c r="CO304" i="1" s="1"/>
  <c r="BY224" i="1"/>
  <c r="CO224" i="1" s="1"/>
  <c r="BY305" i="1"/>
  <c r="CO305" i="1" s="1"/>
  <c r="BY306" i="1"/>
  <c r="CO306" i="1" s="1"/>
  <c r="BY207" i="1"/>
  <c r="CO207" i="1" s="1"/>
  <c r="BY217" i="1"/>
  <c r="CO217" i="1" s="1"/>
  <c r="BY309" i="1"/>
  <c r="CO309" i="1" s="1"/>
  <c r="BY199" i="1"/>
  <c r="CO199" i="1" s="1"/>
  <c r="BY310" i="1"/>
  <c r="CO310" i="1" s="1"/>
  <c r="BY311" i="1"/>
  <c r="CO311" i="1" s="1"/>
  <c r="BY313" i="1"/>
  <c r="CO313" i="1" s="1"/>
  <c r="BY315" i="1"/>
  <c r="CO315" i="1" s="1"/>
  <c r="BY316" i="1"/>
  <c r="CO316" i="1" s="1"/>
  <c r="BY190" i="1"/>
  <c r="CO190" i="1" s="1"/>
  <c r="BY317" i="1"/>
  <c r="CO317" i="1" s="1"/>
  <c r="BY318" i="1"/>
  <c r="CO318" i="1" s="1"/>
  <c r="BY319" i="1"/>
  <c r="CO319" i="1" s="1"/>
  <c r="BY227" i="1"/>
  <c r="CO227" i="1" s="1"/>
  <c r="BY222" i="1"/>
  <c r="CO222" i="1" s="1"/>
  <c r="BY201" i="1"/>
  <c r="CO201" i="1" s="1"/>
  <c r="BY322" i="1"/>
  <c r="CO322" i="1" s="1"/>
  <c r="BY172" i="1"/>
  <c r="CO172" i="1" s="1"/>
  <c r="BY324" i="1"/>
  <c r="CO324" i="1" s="1"/>
  <c r="BY325" i="1"/>
  <c r="CO325" i="1" s="1"/>
  <c r="BY326" i="1"/>
  <c r="CO326" i="1" s="1"/>
  <c r="BY229" i="1"/>
  <c r="CO229" i="1" s="1"/>
  <c r="BY202" i="1"/>
  <c r="CO202" i="1" s="1"/>
  <c r="BY328" i="1"/>
  <c r="CO328" i="1" s="1"/>
  <c r="BY185" i="1"/>
  <c r="CO185" i="1" s="1"/>
  <c r="BY329" i="1"/>
  <c r="CO329" i="1" s="1"/>
  <c r="BY330" i="1"/>
  <c r="CO330" i="1" s="1"/>
  <c r="BY331" i="1"/>
  <c r="CO331" i="1" s="1"/>
  <c r="BY332" i="1"/>
  <c r="CO332" i="1" s="1"/>
  <c r="BY209" i="1"/>
  <c r="CO209" i="1" s="1"/>
  <c r="BY333" i="1"/>
  <c r="CO333" i="1" s="1"/>
  <c r="BY218" i="1"/>
  <c r="CO218" i="1" s="1"/>
  <c r="BY334" i="1"/>
  <c r="CO334" i="1" s="1"/>
  <c r="BY335" i="1"/>
  <c r="CO335" i="1" s="1"/>
  <c r="BY336" i="1"/>
  <c r="CO336" i="1" s="1"/>
  <c r="BY337" i="1"/>
  <c r="CO337" i="1" s="1"/>
  <c r="BY338" i="1"/>
  <c r="CO338" i="1" s="1"/>
  <c r="BY339" i="1"/>
  <c r="CO339" i="1" s="1"/>
  <c r="BY340" i="1"/>
  <c r="CO340" i="1" s="1"/>
  <c r="BY186" i="1"/>
  <c r="CO186" i="1" s="1"/>
  <c r="BY341" i="1"/>
  <c r="CO341" i="1" s="1"/>
  <c r="BY343" i="1"/>
  <c r="CO343" i="1" s="1"/>
  <c r="BY344" i="1"/>
  <c r="CO344" i="1" s="1"/>
  <c r="BY345" i="1"/>
  <c r="CO345" i="1" s="1"/>
  <c r="BY348" i="1"/>
  <c r="CO348" i="1" s="1"/>
  <c r="BY349" i="1"/>
  <c r="CO349" i="1" s="1"/>
  <c r="BY350" i="1"/>
  <c r="CO350" i="1" s="1"/>
  <c r="BY351" i="1"/>
  <c r="CO351" i="1" s="1"/>
  <c r="BY355" i="1"/>
  <c r="CO355" i="1" s="1"/>
  <c r="BY187" i="1"/>
  <c r="CO187" i="1" s="1"/>
  <c r="BY356" i="1"/>
  <c r="CO356" i="1" s="1"/>
  <c r="BY169" i="1"/>
  <c r="CO169" i="1" s="1"/>
  <c r="BY358" i="1"/>
  <c r="CO358" i="1" s="1"/>
  <c r="BY364" i="1"/>
  <c r="CO364" i="1" s="1"/>
  <c r="BY365" i="1"/>
  <c r="CO365" i="1" s="1"/>
  <c r="BY367" i="1"/>
  <c r="CO367" i="1" s="1"/>
  <c r="BY368" i="1"/>
  <c r="CO368" i="1" s="1"/>
  <c r="BY370" i="1"/>
  <c r="CO370" i="1" s="1"/>
  <c r="BY372" i="1"/>
  <c r="CO372" i="1" s="1"/>
  <c r="BY173" i="1"/>
  <c r="CO173" i="1" s="1"/>
  <c r="BY376" i="1"/>
  <c r="CO376" i="1" s="1"/>
  <c r="BY178" i="1"/>
  <c r="CO178" i="1" s="1"/>
  <c r="BY342" i="1"/>
  <c r="CO342" i="1" s="1"/>
  <c r="BY377" i="1"/>
  <c r="CO377" i="1" s="1"/>
  <c r="BY188" i="1"/>
  <c r="CO188" i="1" s="1"/>
  <c r="BY213" i="1"/>
  <c r="CO213" i="1" s="1"/>
  <c r="BY249" i="1"/>
  <c r="CO249" i="1" s="1"/>
  <c r="BY282" i="1"/>
  <c r="CO282" i="1" s="1"/>
  <c r="BY258" i="1"/>
  <c r="CO258" i="1" s="1"/>
  <c r="BY259" i="1"/>
  <c r="CO259" i="1" s="1"/>
  <c r="BY261" i="1"/>
  <c r="CO261" i="1" s="1"/>
  <c r="BY268" i="1"/>
  <c r="CO268" i="1" s="1"/>
  <c r="BY269" i="1"/>
  <c r="CO269" i="1" s="1"/>
  <c r="BY271" i="1"/>
  <c r="CO271" i="1" s="1"/>
  <c r="BY275" i="1"/>
  <c r="CO275" i="1" s="1"/>
  <c r="BY208" i="1"/>
  <c r="CO208" i="1" s="1"/>
  <c r="BY321" i="1"/>
  <c r="CO321" i="1" s="1"/>
  <c r="BY195" i="1"/>
  <c r="CO195" i="1" s="1"/>
  <c r="BY263" i="1"/>
  <c r="CO263" i="1" s="1"/>
  <c r="BY236" i="1"/>
  <c r="CO236" i="1" s="1"/>
  <c r="BY239" i="1"/>
  <c r="CO239" i="1" s="1"/>
  <c r="BY240" i="1"/>
  <c r="CO240" i="1" s="1"/>
  <c r="BY253" i="1"/>
  <c r="CO253" i="1" s="1"/>
  <c r="BY265" i="1"/>
  <c r="CO265" i="1" s="1"/>
  <c r="BY231" i="1"/>
  <c r="CO231" i="1" s="1"/>
  <c r="BY232" i="1"/>
  <c r="CO232" i="1" s="1"/>
  <c r="BY233" i="1"/>
  <c r="CO233" i="1" s="1"/>
  <c r="BY234" i="1"/>
  <c r="CO234" i="1" s="1"/>
  <c r="BY235" i="1"/>
  <c r="CO235" i="1" s="1"/>
  <c r="BY241" i="1"/>
  <c r="CO241" i="1" s="1"/>
  <c r="BY242" i="1"/>
  <c r="CO242" i="1" s="1"/>
  <c r="BY246" i="1"/>
  <c r="CO246" i="1" s="1"/>
  <c r="BY250" i="1"/>
  <c r="CO250" i="1" s="1"/>
  <c r="BY252" i="1"/>
  <c r="CO252" i="1" s="1"/>
  <c r="BY283" i="1"/>
  <c r="CO283" i="1" s="1"/>
  <c r="BY245" i="1"/>
  <c r="CO245" i="1" s="1"/>
  <c r="BY237" i="1"/>
  <c r="CO237" i="1" s="1"/>
  <c r="BY280" i="1"/>
  <c r="CO280" i="1" s="1"/>
  <c r="BY192" i="1"/>
  <c r="CO192" i="1" s="1"/>
  <c r="BY22" i="1"/>
  <c r="CO22" i="1" s="1"/>
  <c r="BX110" i="1"/>
  <c r="CN110" i="1" s="1"/>
  <c r="BX18" i="1"/>
  <c r="CN18" i="1" s="1"/>
  <c r="BX12" i="1"/>
  <c r="CN12" i="1" s="1"/>
  <c r="BX116" i="1"/>
  <c r="CN116" i="1" s="1"/>
  <c r="BX2" i="1"/>
  <c r="CN2" i="1" s="1"/>
  <c r="BX312" i="1"/>
  <c r="CN312" i="1" s="1"/>
  <c r="BX179" i="1"/>
  <c r="CN179" i="1" s="1"/>
  <c r="BX57" i="1"/>
  <c r="CN57" i="1" s="1"/>
  <c r="BX118" i="1"/>
  <c r="CN118" i="1" s="1"/>
  <c r="BX52" i="1"/>
  <c r="CN52" i="1" s="1"/>
  <c r="BX157" i="1"/>
  <c r="CN157" i="1" s="1"/>
  <c r="BX98" i="1"/>
  <c r="CN98" i="1" s="1"/>
  <c r="BX112" i="1"/>
  <c r="CN112" i="1" s="1"/>
  <c r="BX54" i="1"/>
  <c r="CN54" i="1" s="1"/>
  <c r="BX165" i="1"/>
  <c r="CN165" i="1" s="1"/>
  <c r="BX182" i="1"/>
  <c r="CN182" i="1" s="1"/>
  <c r="BX150" i="1"/>
  <c r="CN150" i="1" s="1"/>
  <c r="BX277" i="1"/>
  <c r="CN277" i="1" s="1"/>
  <c r="BX279" i="1"/>
  <c r="CN279" i="1" s="1"/>
  <c r="BX216" i="1"/>
  <c r="CN216" i="1" s="1"/>
  <c r="BX287" i="1"/>
  <c r="CN287" i="1" s="1"/>
  <c r="BX293" i="1"/>
  <c r="CN293" i="1" s="1"/>
  <c r="BX210" i="1"/>
  <c r="CN210" i="1" s="1"/>
  <c r="BX230" i="1"/>
  <c r="CN230" i="1" s="1"/>
  <c r="BX189" i="1"/>
  <c r="CN189" i="1" s="1"/>
  <c r="BX220" i="1"/>
  <c r="CN220" i="1" s="1"/>
  <c r="BX181" i="1"/>
  <c r="CN181" i="1" s="1"/>
  <c r="BX175" i="1"/>
  <c r="CN175" i="1" s="1"/>
  <c r="BX307" i="1"/>
  <c r="CN307" i="1" s="1"/>
  <c r="BX308" i="1"/>
  <c r="CN308" i="1" s="1"/>
  <c r="BX314" i="1"/>
  <c r="CN314" i="1" s="1"/>
  <c r="BX320" i="1"/>
  <c r="CN320" i="1" s="1"/>
  <c r="BX219" i="1"/>
  <c r="CN219" i="1" s="1"/>
  <c r="BX323" i="1"/>
  <c r="CN323" i="1" s="1"/>
  <c r="BX327" i="1"/>
  <c r="CN327" i="1" s="1"/>
  <c r="BX212" i="1"/>
  <c r="CN212" i="1" s="1"/>
  <c r="BX225" i="1"/>
  <c r="CN225" i="1" s="1"/>
  <c r="BX214" i="1"/>
  <c r="CN214" i="1" s="1"/>
  <c r="BX346" i="1"/>
  <c r="CN346" i="1" s="1"/>
  <c r="BX347" i="1"/>
  <c r="CN347" i="1" s="1"/>
  <c r="BX205" i="1"/>
  <c r="CN205" i="1" s="1"/>
  <c r="BX226" i="1"/>
  <c r="CN226" i="1" s="1"/>
  <c r="BX352" i="1"/>
  <c r="CN352" i="1" s="1"/>
  <c r="BX196" i="1"/>
  <c r="CN196" i="1" s="1"/>
  <c r="BX353" i="1"/>
  <c r="CN353" i="1" s="1"/>
  <c r="BX354" i="1"/>
  <c r="CN354" i="1" s="1"/>
  <c r="BX357" i="1"/>
  <c r="CN357" i="1" s="1"/>
  <c r="BX359" i="1"/>
  <c r="CN359" i="1" s="1"/>
  <c r="BX360" i="1"/>
  <c r="CN360" i="1" s="1"/>
  <c r="BX361" i="1"/>
  <c r="CN361" i="1" s="1"/>
  <c r="BX363" i="1"/>
  <c r="CN363" i="1" s="1"/>
  <c r="BX366" i="1"/>
  <c r="CN366" i="1" s="1"/>
  <c r="BX160" i="1"/>
  <c r="CN160" i="1" s="1"/>
  <c r="BX369" i="1"/>
  <c r="CN369" i="1" s="1"/>
  <c r="BX371" i="1"/>
  <c r="CN371" i="1" s="1"/>
  <c r="BX373" i="1"/>
  <c r="CN373" i="1" s="1"/>
  <c r="BX374" i="1"/>
  <c r="CN374" i="1" s="1"/>
  <c r="BX228" i="1"/>
  <c r="CN228" i="1" s="1"/>
  <c r="BX168" i="1"/>
  <c r="CN168" i="1" s="1"/>
  <c r="BX194" i="1"/>
  <c r="CN194" i="1" s="1"/>
  <c r="BX221" i="1"/>
  <c r="CN221" i="1" s="1"/>
  <c r="BX211" i="1"/>
  <c r="CN211" i="1" s="1"/>
  <c r="BX379" i="1"/>
  <c r="CN379" i="1" s="1"/>
  <c r="BX166" i="1"/>
  <c r="CN166" i="1" s="1"/>
  <c r="BX198" i="1"/>
  <c r="CN198" i="1" s="1"/>
  <c r="BX204" i="1"/>
  <c r="CN204" i="1" s="1"/>
  <c r="BX200" i="1"/>
  <c r="CN200" i="1" s="1"/>
  <c r="BX380" i="1"/>
  <c r="CN380" i="1" s="1"/>
  <c r="BX381" i="1"/>
  <c r="CN381" i="1" s="1"/>
  <c r="BX97" i="1"/>
  <c r="CN97" i="1" s="1"/>
  <c r="BX38" i="1"/>
  <c r="CN38" i="1" s="1"/>
  <c r="BX128" i="1"/>
  <c r="CN128" i="1" s="1"/>
  <c r="BX92" i="1"/>
  <c r="CN92" i="1" s="1"/>
  <c r="BX215" i="1"/>
  <c r="CN215" i="1" s="1"/>
  <c r="BX83" i="1"/>
  <c r="CN83" i="1" s="1"/>
  <c r="BX180" i="1"/>
  <c r="CN180" i="1" s="1"/>
  <c r="BX134" i="1"/>
  <c r="CN134" i="1" s="1"/>
  <c r="BX183" i="1"/>
  <c r="CN183" i="1" s="1"/>
  <c r="BX144" i="1"/>
  <c r="CN144" i="1" s="1"/>
  <c r="BX153" i="1"/>
  <c r="CN153" i="1" s="1"/>
  <c r="BX158" i="1"/>
  <c r="CN158" i="1" s="1"/>
  <c r="BX114" i="1"/>
  <c r="CN114" i="1" s="1"/>
  <c r="BX137" i="1"/>
  <c r="CN137" i="1" s="1"/>
  <c r="BX152" i="1"/>
  <c r="CN152" i="1" s="1"/>
  <c r="BX149" i="1"/>
  <c r="CN149" i="1" s="1"/>
  <c r="BX64" i="1"/>
  <c r="CN64" i="1" s="1"/>
  <c r="BX133" i="1"/>
  <c r="CN133" i="1" s="1"/>
  <c r="BX161" i="1"/>
  <c r="CN161" i="1" s="1"/>
  <c r="BX46" i="1"/>
  <c r="CN46" i="1" s="1"/>
  <c r="BX171" i="1"/>
  <c r="CN171" i="1" s="1"/>
  <c r="BX120" i="1"/>
  <c r="CN120" i="1" s="1"/>
  <c r="BX159" i="1"/>
  <c r="CN159" i="1" s="1"/>
  <c r="BX109" i="1"/>
  <c r="CN109" i="1" s="1"/>
  <c r="BX145" i="1"/>
  <c r="CN145" i="1" s="1"/>
  <c r="BX142" i="1"/>
  <c r="CN142" i="1" s="1"/>
  <c r="BX24" i="1"/>
  <c r="CN24" i="1" s="1"/>
  <c r="BX140" i="1"/>
  <c r="CN140" i="1" s="1"/>
  <c r="BX124" i="1"/>
  <c r="CN124" i="1" s="1"/>
  <c r="BX59" i="1"/>
  <c r="CN59" i="1" s="1"/>
  <c r="BX23" i="1"/>
  <c r="CN23" i="1" s="1"/>
  <c r="BX113" i="1"/>
  <c r="CN113" i="1" s="1"/>
  <c r="BX105" i="1"/>
  <c r="CN105" i="1" s="1"/>
  <c r="BX177" i="1"/>
  <c r="CN177" i="1" s="1"/>
  <c r="BX90" i="1"/>
  <c r="CN90" i="1" s="1"/>
  <c r="BX122" i="1"/>
  <c r="CN122" i="1" s="1"/>
  <c r="BX119" i="1"/>
  <c r="CN119" i="1" s="1"/>
  <c r="BX73" i="1"/>
  <c r="CN73" i="1" s="1"/>
  <c r="BX156" i="1"/>
  <c r="CN156" i="1" s="1"/>
  <c r="BX130" i="1"/>
  <c r="CN130" i="1" s="1"/>
  <c r="BX127" i="1"/>
  <c r="CN127" i="1" s="1"/>
  <c r="BX167" i="1"/>
  <c r="CN167" i="1" s="1"/>
  <c r="BX136" i="1"/>
  <c r="CN136" i="1" s="1"/>
  <c r="BX81" i="1"/>
  <c r="CN81" i="1" s="1"/>
  <c r="BX163" i="1"/>
  <c r="CN163" i="1" s="1"/>
  <c r="BX91" i="1"/>
  <c r="CN91" i="1" s="1"/>
  <c r="BX67" i="1"/>
  <c r="CN67" i="1" s="1"/>
  <c r="BX206" i="1"/>
  <c r="CN206" i="1" s="1"/>
  <c r="BX138" i="1"/>
  <c r="CN138" i="1" s="1"/>
  <c r="BX155" i="1"/>
  <c r="CN155" i="1" s="1"/>
  <c r="BX66" i="1"/>
  <c r="CN66" i="1" s="1"/>
  <c r="BX147" i="1"/>
  <c r="CN147" i="1" s="1"/>
  <c r="BX55" i="1"/>
  <c r="CN55" i="1" s="1"/>
  <c r="BX37" i="1"/>
  <c r="CN37" i="1" s="1"/>
  <c r="BX164" i="1"/>
  <c r="CN164" i="1" s="1"/>
  <c r="BX126" i="1"/>
  <c r="CN126" i="1" s="1"/>
  <c r="BX44" i="1"/>
  <c r="CN44" i="1" s="1"/>
  <c r="BX29" i="1"/>
  <c r="CN29" i="1" s="1"/>
  <c r="BX146" i="1"/>
  <c r="CN146" i="1" s="1"/>
  <c r="BX69" i="1"/>
  <c r="CN69" i="1" s="1"/>
  <c r="BX197" i="1"/>
  <c r="CN197" i="1" s="1"/>
  <c r="BX85" i="1"/>
  <c r="CN85" i="1" s="1"/>
  <c r="BX108" i="1"/>
  <c r="CN108" i="1" s="1"/>
  <c r="BX123" i="1"/>
  <c r="CN123" i="1" s="1"/>
  <c r="BX33" i="1"/>
  <c r="CN33" i="1" s="1"/>
  <c r="BX71" i="1"/>
  <c r="CN71" i="1" s="1"/>
  <c r="BX129" i="1"/>
  <c r="CN129" i="1" s="1"/>
  <c r="BX162" i="1"/>
  <c r="CN162" i="1" s="1"/>
  <c r="BX36" i="1"/>
  <c r="CN36" i="1" s="1"/>
  <c r="BX63" i="1"/>
  <c r="CN63" i="1" s="1"/>
  <c r="BX3" i="1"/>
  <c r="CN3" i="1" s="1"/>
  <c r="BX139" i="1"/>
  <c r="CN139" i="1" s="1"/>
  <c r="BX125" i="1"/>
  <c r="CN125" i="1" s="1"/>
  <c r="BX19" i="1"/>
  <c r="CN19" i="1" s="1"/>
  <c r="BX151" i="1"/>
  <c r="CN151" i="1" s="1"/>
  <c r="BX74" i="1"/>
  <c r="CN74" i="1" s="1"/>
  <c r="BX86" i="1"/>
  <c r="CN86" i="1" s="1"/>
  <c r="BX16" i="1"/>
  <c r="CN16" i="1" s="1"/>
  <c r="BX34" i="1"/>
  <c r="CN34" i="1" s="1"/>
  <c r="BX96" i="1"/>
  <c r="CN96" i="1" s="1"/>
  <c r="BX40" i="1"/>
  <c r="CN40" i="1" s="1"/>
  <c r="BX53" i="1"/>
  <c r="CN53" i="1" s="1"/>
  <c r="BX6" i="1"/>
  <c r="CN6" i="1" s="1"/>
  <c r="BX141" i="1"/>
  <c r="CN141" i="1" s="1"/>
  <c r="BX60" i="1"/>
  <c r="CN60" i="1" s="1"/>
  <c r="BX135" i="1"/>
  <c r="CN135" i="1" s="1"/>
  <c r="BX79" i="1"/>
  <c r="CN79" i="1" s="1"/>
  <c r="BX82" i="1"/>
  <c r="CN82" i="1" s="1"/>
  <c r="BX131" i="1"/>
  <c r="CN131" i="1" s="1"/>
  <c r="BX102" i="1"/>
  <c r="CN102" i="1" s="1"/>
  <c r="BX84" i="1"/>
  <c r="CN84" i="1" s="1"/>
  <c r="BX31" i="1"/>
  <c r="CN31" i="1" s="1"/>
  <c r="BX132" i="1"/>
  <c r="CN132" i="1" s="1"/>
  <c r="BX104" i="1"/>
  <c r="CN104" i="1" s="1"/>
  <c r="BX14" i="1"/>
  <c r="CN14" i="1" s="1"/>
  <c r="BX30" i="1"/>
  <c r="CN30" i="1" s="1"/>
  <c r="BX11" i="1"/>
  <c r="CN11" i="1" s="1"/>
  <c r="BX87" i="1"/>
  <c r="CN87" i="1" s="1"/>
  <c r="BX26" i="1"/>
  <c r="CN26" i="1" s="1"/>
  <c r="BX117" i="1"/>
  <c r="CN117" i="1" s="1"/>
  <c r="BX27" i="1"/>
  <c r="CN27" i="1" s="1"/>
  <c r="BX5" i="1"/>
  <c r="CN5" i="1" s="1"/>
  <c r="BX76" i="1"/>
  <c r="CN76" i="1" s="1"/>
  <c r="BX35" i="1"/>
  <c r="CN35" i="1" s="1"/>
  <c r="BX72" i="1"/>
  <c r="CN72" i="1" s="1"/>
  <c r="BX58" i="1"/>
  <c r="CN58" i="1" s="1"/>
  <c r="BX47" i="1"/>
  <c r="CN47" i="1" s="1"/>
  <c r="BX88" i="1"/>
  <c r="CN88" i="1" s="1"/>
  <c r="BX111" i="1"/>
  <c r="CN111" i="1" s="1"/>
  <c r="BX70" i="1"/>
  <c r="CN70" i="1" s="1"/>
  <c r="BX39" i="1"/>
  <c r="CN39" i="1" s="1"/>
  <c r="BX89" i="1"/>
  <c r="CN89" i="1" s="1"/>
  <c r="BX51" i="1"/>
  <c r="CN51" i="1" s="1"/>
  <c r="BX25" i="1"/>
  <c r="CN25" i="1" s="1"/>
  <c r="BX7" i="1"/>
  <c r="CN7" i="1" s="1"/>
  <c r="BX56" i="1"/>
  <c r="CN56" i="1" s="1"/>
  <c r="BX45" i="1"/>
  <c r="CN45" i="1" s="1"/>
  <c r="BX68" i="1"/>
  <c r="CN68" i="1" s="1"/>
  <c r="BX50" i="1"/>
  <c r="CN50" i="1" s="1"/>
  <c r="BX107" i="1"/>
  <c r="CN107" i="1" s="1"/>
  <c r="BX8" i="1"/>
  <c r="CN8" i="1" s="1"/>
  <c r="BX49" i="1"/>
  <c r="CN49" i="1" s="1"/>
  <c r="BX77" i="1"/>
  <c r="CN77" i="1" s="1"/>
  <c r="BX62" i="1"/>
  <c r="CN62" i="1" s="1"/>
  <c r="BX48" i="1"/>
  <c r="CN48" i="1" s="1"/>
  <c r="BX20" i="1"/>
  <c r="CN20" i="1" s="1"/>
  <c r="BX148" i="1"/>
  <c r="CN148" i="1" s="1"/>
  <c r="BX4" i="1"/>
  <c r="CN4" i="1" s="1"/>
  <c r="BX378" i="1"/>
  <c r="CN378" i="1" s="1"/>
  <c r="BX115" i="1"/>
  <c r="CN115" i="1" s="1"/>
  <c r="BX94" i="1"/>
  <c r="CN94" i="1" s="1"/>
  <c r="BX176" i="1"/>
  <c r="CN176" i="1" s="1"/>
  <c r="BX100" i="1"/>
  <c r="CN100" i="1" s="1"/>
  <c r="BX375" i="1"/>
  <c r="CN375" i="1" s="1"/>
  <c r="BX10" i="1"/>
  <c r="CN10" i="1" s="1"/>
  <c r="BX65" i="1"/>
  <c r="CN65" i="1" s="1"/>
  <c r="BX103" i="1"/>
  <c r="CN103" i="1" s="1"/>
  <c r="BX154" i="1"/>
  <c r="CN154" i="1" s="1"/>
  <c r="BX17" i="1"/>
  <c r="CN17" i="1" s="1"/>
  <c r="BX43" i="1"/>
  <c r="CN43" i="1" s="1"/>
  <c r="BX80" i="1"/>
  <c r="CN80" i="1" s="1"/>
  <c r="BX174" i="1"/>
  <c r="CN174" i="1" s="1"/>
  <c r="BX101" i="1"/>
  <c r="CN101" i="1" s="1"/>
  <c r="BX143" i="1"/>
  <c r="CN143" i="1" s="1"/>
  <c r="BX15" i="1"/>
  <c r="CN15" i="1" s="1"/>
  <c r="BX121" i="1"/>
  <c r="CN121" i="1" s="1"/>
  <c r="BX42" i="1"/>
  <c r="CN42" i="1" s="1"/>
  <c r="BX95" i="1"/>
  <c r="CN95" i="1" s="1"/>
  <c r="BX93" i="1"/>
  <c r="CN93" i="1" s="1"/>
  <c r="BX99" i="1"/>
  <c r="CN99" i="1" s="1"/>
  <c r="BX61" i="1"/>
  <c r="CN61" i="1" s="1"/>
  <c r="BX9" i="1"/>
  <c r="CN9" i="1" s="1"/>
  <c r="BX75" i="1"/>
  <c r="CN75" i="1" s="1"/>
  <c r="BX78" i="1"/>
  <c r="CN78" i="1" s="1"/>
  <c r="BX106" i="1"/>
  <c r="CN106" i="1" s="1"/>
  <c r="BX21" i="1"/>
  <c r="CN21" i="1" s="1"/>
  <c r="BX41" i="1"/>
  <c r="CN41" i="1" s="1"/>
  <c r="BX32" i="1"/>
  <c r="CN32" i="1" s="1"/>
  <c r="BX28" i="1"/>
  <c r="CN28" i="1" s="1"/>
  <c r="BX260" i="1"/>
  <c r="CN260" i="1" s="1"/>
  <c r="BX184" i="1"/>
  <c r="CN184" i="1" s="1"/>
  <c r="BX276" i="1"/>
  <c r="CN276" i="1" s="1"/>
  <c r="BX362" i="1"/>
  <c r="CN362" i="1" s="1"/>
  <c r="BX296" i="1"/>
  <c r="CN296" i="1" s="1"/>
  <c r="BX223" i="1"/>
  <c r="CN223" i="1" s="1"/>
  <c r="BX238" i="1"/>
  <c r="CN238" i="1" s="1"/>
  <c r="BX243" i="1"/>
  <c r="CN243" i="1" s="1"/>
  <c r="BX244" i="1"/>
  <c r="CN244" i="1" s="1"/>
  <c r="BX247" i="1"/>
  <c r="CN247" i="1" s="1"/>
  <c r="BX248" i="1"/>
  <c r="CN248" i="1" s="1"/>
  <c r="BX251" i="1"/>
  <c r="CN251" i="1" s="1"/>
  <c r="BX254" i="1"/>
  <c r="CN254" i="1" s="1"/>
  <c r="BX255" i="1"/>
  <c r="CN255" i="1" s="1"/>
  <c r="BX256" i="1"/>
  <c r="CN256" i="1" s="1"/>
  <c r="BX257" i="1"/>
  <c r="CN257" i="1" s="1"/>
  <c r="BX262" i="1"/>
  <c r="CN262" i="1" s="1"/>
  <c r="BX264" i="1"/>
  <c r="CN264" i="1" s="1"/>
  <c r="BX266" i="1"/>
  <c r="CN266" i="1" s="1"/>
  <c r="BX267" i="1"/>
  <c r="CN267" i="1" s="1"/>
  <c r="BX270" i="1"/>
  <c r="CN270" i="1" s="1"/>
  <c r="BX272" i="1"/>
  <c r="CN272" i="1" s="1"/>
  <c r="BX273" i="1"/>
  <c r="CN273" i="1" s="1"/>
  <c r="BX274" i="1"/>
  <c r="CN274" i="1" s="1"/>
  <c r="BX278" i="1"/>
  <c r="CN278" i="1" s="1"/>
  <c r="BX281" i="1"/>
  <c r="CN281" i="1" s="1"/>
  <c r="BX284" i="1"/>
  <c r="CN284" i="1" s="1"/>
  <c r="BX285" i="1"/>
  <c r="CN285" i="1" s="1"/>
  <c r="BX286" i="1"/>
  <c r="CN286" i="1" s="1"/>
  <c r="BX288" i="1"/>
  <c r="CN288" i="1" s="1"/>
  <c r="BX289" i="1"/>
  <c r="CN289" i="1" s="1"/>
  <c r="BX290" i="1"/>
  <c r="CN290" i="1" s="1"/>
  <c r="BX291" i="1"/>
  <c r="CN291" i="1" s="1"/>
  <c r="BX191" i="1"/>
  <c r="CN191" i="1" s="1"/>
  <c r="BX292" i="1"/>
  <c r="CN292" i="1" s="1"/>
  <c r="BX294" i="1"/>
  <c r="CN294" i="1" s="1"/>
  <c r="BX295" i="1"/>
  <c r="CN295" i="1" s="1"/>
  <c r="BX297" i="1"/>
  <c r="CN297" i="1" s="1"/>
  <c r="BX298" i="1"/>
  <c r="CN298" i="1" s="1"/>
  <c r="BX299" i="1"/>
  <c r="CN299" i="1" s="1"/>
  <c r="BX203" i="1"/>
  <c r="CN203" i="1" s="1"/>
  <c r="BX170" i="1"/>
  <c r="CN170" i="1" s="1"/>
  <c r="BX193" i="1"/>
  <c r="CN193" i="1" s="1"/>
  <c r="BX300" i="1"/>
  <c r="CN300" i="1" s="1"/>
  <c r="BX301" i="1"/>
  <c r="CN301" i="1" s="1"/>
  <c r="BX302" i="1"/>
  <c r="CN302" i="1" s="1"/>
  <c r="BX303" i="1"/>
  <c r="CN303" i="1" s="1"/>
  <c r="BX304" i="1"/>
  <c r="CN304" i="1" s="1"/>
  <c r="BX224" i="1"/>
  <c r="CN224" i="1" s="1"/>
  <c r="BX305" i="1"/>
  <c r="CN305" i="1" s="1"/>
  <c r="BX306" i="1"/>
  <c r="CN306" i="1" s="1"/>
  <c r="BX207" i="1"/>
  <c r="CN207" i="1" s="1"/>
  <c r="BX217" i="1"/>
  <c r="CN217" i="1" s="1"/>
  <c r="BX309" i="1"/>
  <c r="CN309" i="1" s="1"/>
  <c r="BX199" i="1"/>
  <c r="CN199" i="1" s="1"/>
  <c r="BX310" i="1"/>
  <c r="CN310" i="1" s="1"/>
  <c r="BX311" i="1"/>
  <c r="CN311" i="1" s="1"/>
  <c r="BX313" i="1"/>
  <c r="CN313" i="1" s="1"/>
  <c r="BX315" i="1"/>
  <c r="CN315" i="1" s="1"/>
  <c r="BX316" i="1"/>
  <c r="CN316" i="1" s="1"/>
  <c r="BX190" i="1"/>
  <c r="CN190" i="1" s="1"/>
  <c r="BX317" i="1"/>
  <c r="CN317" i="1" s="1"/>
  <c r="BX318" i="1"/>
  <c r="CN318" i="1" s="1"/>
  <c r="BX319" i="1"/>
  <c r="CN319" i="1" s="1"/>
  <c r="BX227" i="1"/>
  <c r="CN227" i="1" s="1"/>
  <c r="BX222" i="1"/>
  <c r="CN222" i="1" s="1"/>
  <c r="BX201" i="1"/>
  <c r="CN201" i="1" s="1"/>
  <c r="BX322" i="1"/>
  <c r="CN322" i="1" s="1"/>
  <c r="BX172" i="1"/>
  <c r="CN172" i="1" s="1"/>
  <c r="BX324" i="1"/>
  <c r="CN324" i="1" s="1"/>
  <c r="BX325" i="1"/>
  <c r="CN325" i="1" s="1"/>
  <c r="BX326" i="1"/>
  <c r="CN326" i="1" s="1"/>
  <c r="BX229" i="1"/>
  <c r="CN229" i="1" s="1"/>
  <c r="BX202" i="1"/>
  <c r="CN202" i="1" s="1"/>
  <c r="BX328" i="1"/>
  <c r="CN328" i="1" s="1"/>
  <c r="BX185" i="1"/>
  <c r="CN185" i="1" s="1"/>
  <c r="BX329" i="1"/>
  <c r="CN329" i="1" s="1"/>
  <c r="BX330" i="1"/>
  <c r="CN330" i="1" s="1"/>
  <c r="BX331" i="1"/>
  <c r="CN331" i="1" s="1"/>
  <c r="BX332" i="1"/>
  <c r="CN332" i="1" s="1"/>
  <c r="BX209" i="1"/>
  <c r="CN209" i="1" s="1"/>
  <c r="BX333" i="1"/>
  <c r="CN333" i="1" s="1"/>
  <c r="BX218" i="1"/>
  <c r="CN218" i="1" s="1"/>
  <c r="BX334" i="1"/>
  <c r="CN334" i="1" s="1"/>
  <c r="BX335" i="1"/>
  <c r="CN335" i="1" s="1"/>
  <c r="BX336" i="1"/>
  <c r="CN336" i="1" s="1"/>
  <c r="BX337" i="1"/>
  <c r="CN337" i="1" s="1"/>
  <c r="BX338" i="1"/>
  <c r="CN338" i="1" s="1"/>
  <c r="BX339" i="1"/>
  <c r="CN339" i="1" s="1"/>
  <c r="BX340" i="1"/>
  <c r="CN340" i="1" s="1"/>
  <c r="BX186" i="1"/>
  <c r="CN186" i="1" s="1"/>
  <c r="BX341" i="1"/>
  <c r="CN341" i="1" s="1"/>
  <c r="BX343" i="1"/>
  <c r="CN343" i="1" s="1"/>
  <c r="BX344" i="1"/>
  <c r="CN344" i="1" s="1"/>
  <c r="BX345" i="1"/>
  <c r="CN345" i="1" s="1"/>
  <c r="BX348" i="1"/>
  <c r="CN348" i="1" s="1"/>
  <c r="BX349" i="1"/>
  <c r="CN349" i="1" s="1"/>
  <c r="BX350" i="1"/>
  <c r="CN350" i="1" s="1"/>
  <c r="BX351" i="1"/>
  <c r="CN351" i="1" s="1"/>
  <c r="BX355" i="1"/>
  <c r="CN355" i="1" s="1"/>
  <c r="BX187" i="1"/>
  <c r="CN187" i="1" s="1"/>
  <c r="BX356" i="1"/>
  <c r="CN356" i="1" s="1"/>
  <c r="BX169" i="1"/>
  <c r="CN169" i="1" s="1"/>
  <c r="BX358" i="1"/>
  <c r="CN358" i="1" s="1"/>
  <c r="BX364" i="1"/>
  <c r="CN364" i="1" s="1"/>
  <c r="BX365" i="1"/>
  <c r="CN365" i="1" s="1"/>
  <c r="BX367" i="1"/>
  <c r="CN367" i="1" s="1"/>
  <c r="BX368" i="1"/>
  <c r="CN368" i="1" s="1"/>
  <c r="BX370" i="1"/>
  <c r="CN370" i="1" s="1"/>
  <c r="BX372" i="1"/>
  <c r="CN372" i="1" s="1"/>
  <c r="BX173" i="1"/>
  <c r="CN173" i="1" s="1"/>
  <c r="BX376" i="1"/>
  <c r="CN376" i="1" s="1"/>
  <c r="BX178" i="1"/>
  <c r="CN178" i="1" s="1"/>
  <c r="BX342" i="1"/>
  <c r="CN342" i="1" s="1"/>
  <c r="BX377" i="1"/>
  <c r="CN377" i="1" s="1"/>
  <c r="BX188" i="1"/>
  <c r="CN188" i="1" s="1"/>
  <c r="BX213" i="1"/>
  <c r="CN213" i="1" s="1"/>
  <c r="BX249" i="1"/>
  <c r="CN249" i="1" s="1"/>
  <c r="BX282" i="1"/>
  <c r="CN282" i="1" s="1"/>
  <c r="BX258" i="1"/>
  <c r="CN258" i="1" s="1"/>
  <c r="BX259" i="1"/>
  <c r="CN259" i="1" s="1"/>
  <c r="BX261" i="1"/>
  <c r="CN261" i="1" s="1"/>
  <c r="BX268" i="1"/>
  <c r="CN268" i="1" s="1"/>
  <c r="BX269" i="1"/>
  <c r="CN269" i="1" s="1"/>
  <c r="BX271" i="1"/>
  <c r="CN271" i="1" s="1"/>
  <c r="BX275" i="1"/>
  <c r="CN275" i="1" s="1"/>
  <c r="BX208" i="1"/>
  <c r="CN208" i="1" s="1"/>
  <c r="BX321" i="1"/>
  <c r="CN321" i="1" s="1"/>
  <c r="BX195" i="1"/>
  <c r="CN195" i="1" s="1"/>
  <c r="BX263" i="1"/>
  <c r="CN263" i="1" s="1"/>
  <c r="BX236" i="1"/>
  <c r="CN236" i="1" s="1"/>
  <c r="BX239" i="1"/>
  <c r="CN239" i="1" s="1"/>
  <c r="BX240" i="1"/>
  <c r="CN240" i="1" s="1"/>
  <c r="BX253" i="1"/>
  <c r="CN253" i="1" s="1"/>
  <c r="BX265" i="1"/>
  <c r="CN265" i="1" s="1"/>
  <c r="BX231" i="1"/>
  <c r="CN231" i="1" s="1"/>
  <c r="BX232" i="1"/>
  <c r="CN232" i="1" s="1"/>
  <c r="BX233" i="1"/>
  <c r="CN233" i="1" s="1"/>
  <c r="BX234" i="1"/>
  <c r="CN234" i="1" s="1"/>
  <c r="BX235" i="1"/>
  <c r="CN235" i="1" s="1"/>
  <c r="BX241" i="1"/>
  <c r="CN241" i="1" s="1"/>
  <c r="BX242" i="1"/>
  <c r="CN242" i="1" s="1"/>
  <c r="BX246" i="1"/>
  <c r="CN246" i="1" s="1"/>
  <c r="BX250" i="1"/>
  <c r="CN250" i="1" s="1"/>
  <c r="BX252" i="1"/>
  <c r="CN252" i="1" s="1"/>
  <c r="BX283" i="1"/>
  <c r="CN283" i="1" s="1"/>
  <c r="BX245" i="1"/>
  <c r="CN245" i="1" s="1"/>
  <c r="BX237" i="1"/>
  <c r="CN237" i="1" s="1"/>
  <c r="BX280" i="1"/>
  <c r="CN280" i="1" s="1"/>
  <c r="BX192" i="1"/>
  <c r="CN192" i="1" s="1"/>
  <c r="BX22" i="1"/>
  <c r="CN22" i="1" s="1"/>
  <c r="BW110" i="1"/>
  <c r="CM110" i="1" s="1"/>
  <c r="BW18" i="1"/>
  <c r="CM18" i="1" s="1"/>
  <c r="BW12" i="1"/>
  <c r="CM12" i="1" s="1"/>
  <c r="BW116" i="1"/>
  <c r="CM116" i="1" s="1"/>
  <c r="BW2" i="1"/>
  <c r="CM2" i="1" s="1"/>
  <c r="BW312" i="1"/>
  <c r="CM312" i="1" s="1"/>
  <c r="BW179" i="1"/>
  <c r="CM179" i="1" s="1"/>
  <c r="BW57" i="1"/>
  <c r="CM57" i="1" s="1"/>
  <c r="BW118" i="1"/>
  <c r="CM118" i="1" s="1"/>
  <c r="BW52" i="1"/>
  <c r="CM52" i="1" s="1"/>
  <c r="BW157" i="1"/>
  <c r="CM157" i="1" s="1"/>
  <c r="BW98" i="1"/>
  <c r="CM98" i="1" s="1"/>
  <c r="BW112" i="1"/>
  <c r="CM112" i="1" s="1"/>
  <c r="BW54" i="1"/>
  <c r="CM54" i="1" s="1"/>
  <c r="BW165" i="1"/>
  <c r="CM165" i="1" s="1"/>
  <c r="BW182" i="1"/>
  <c r="CM182" i="1" s="1"/>
  <c r="BW150" i="1"/>
  <c r="CM150" i="1" s="1"/>
  <c r="BW277" i="1"/>
  <c r="CM277" i="1" s="1"/>
  <c r="BW279" i="1"/>
  <c r="CM279" i="1" s="1"/>
  <c r="BW216" i="1"/>
  <c r="CM216" i="1" s="1"/>
  <c r="BW287" i="1"/>
  <c r="CM287" i="1" s="1"/>
  <c r="BW293" i="1"/>
  <c r="CM293" i="1" s="1"/>
  <c r="BW210" i="1"/>
  <c r="CM210" i="1" s="1"/>
  <c r="BW230" i="1"/>
  <c r="CM230" i="1" s="1"/>
  <c r="BW189" i="1"/>
  <c r="CM189" i="1" s="1"/>
  <c r="BW220" i="1"/>
  <c r="CM220" i="1" s="1"/>
  <c r="BW181" i="1"/>
  <c r="CM181" i="1" s="1"/>
  <c r="BW175" i="1"/>
  <c r="CM175" i="1" s="1"/>
  <c r="BW307" i="1"/>
  <c r="CM307" i="1" s="1"/>
  <c r="BW308" i="1"/>
  <c r="CM308" i="1" s="1"/>
  <c r="BW314" i="1"/>
  <c r="CM314" i="1" s="1"/>
  <c r="BW320" i="1"/>
  <c r="CM320" i="1" s="1"/>
  <c r="BW219" i="1"/>
  <c r="CM219" i="1" s="1"/>
  <c r="BW323" i="1"/>
  <c r="CM323" i="1" s="1"/>
  <c r="BW327" i="1"/>
  <c r="CM327" i="1" s="1"/>
  <c r="BW212" i="1"/>
  <c r="CM212" i="1" s="1"/>
  <c r="BW225" i="1"/>
  <c r="CM225" i="1" s="1"/>
  <c r="BW214" i="1"/>
  <c r="CM214" i="1" s="1"/>
  <c r="BW346" i="1"/>
  <c r="CM346" i="1" s="1"/>
  <c r="BW347" i="1"/>
  <c r="CM347" i="1" s="1"/>
  <c r="BW205" i="1"/>
  <c r="CM205" i="1" s="1"/>
  <c r="BW226" i="1"/>
  <c r="CM226" i="1" s="1"/>
  <c r="BW352" i="1"/>
  <c r="CM352" i="1" s="1"/>
  <c r="BW196" i="1"/>
  <c r="CM196" i="1" s="1"/>
  <c r="BW353" i="1"/>
  <c r="CM353" i="1" s="1"/>
  <c r="BW354" i="1"/>
  <c r="CM354" i="1" s="1"/>
  <c r="BW357" i="1"/>
  <c r="CM357" i="1" s="1"/>
  <c r="BW359" i="1"/>
  <c r="CM359" i="1" s="1"/>
  <c r="BW360" i="1"/>
  <c r="CM360" i="1" s="1"/>
  <c r="BW361" i="1"/>
  <c r="CM361" i="1" s="1"/>
  <c r="BW363" i="1"/>
  <c r="CM363" i="1" s="1"/>
  <c r="BW366" i="1"/>
  <c r="CM366" i="1" s="1"/>
  <c r="BW160" i="1"/>
  <c r="CM160" i="1" s="1"/>
  <c r="BW369" i="1"/>
  <c r="CM369" i="1" s="1"/>
  <c r="BW371" i="1"/>
  <c r="CM371" i="1" s="1"/>
  <c r="BW373" i="1"/>
  <c r="CM373" i="1" s="1"/>
  <c r="BW374" i="1"/>
  <c r="CM374" i="1" s="1"/>
  <c r="BW228" i="1"/>
  <c r="CM228" i="1" s="1"/>
  <c r="BW168" i="1"/>
  <c r="CM168" i="1" s="1"/>
  <c r="BW194" i="1"/>
  <c r="CM194" i="1" s="1"/>
  <c r="BW221" i="1"/>
  <c r="CM221" i="1" s="1"/>
  <c r="BW211" i="1"/>
  <c r="CM211" i="1" s="1"/>
  <c r="BW379" i="1"/>
  <c r="CM379" i="1" s="1"/>
  <c r="BW166" i="1"/>
  <c r="CM166" i="1" s="1"/>
  <c r="BW198" i="1"/>
  <c r="CM198" i="1" s="1"/>
  <c r="BW204" i="1"/>
  <c r="CM204" i="1" s="1"/>
  <c r="BW200" i="1"/>
  <c r="CM200" i="1" s="1"/>
  <c r="BW380" i="1"/>
  <c r="CM380" i="1" s="1"/>
  <c r="BW381" i="1"/>
  <c r="CM381" i="1" s="1"/>
  <c r="BW97" i="1"/>
  <c r="CM97" i="1" s="1"/>
  <c r="BW38" i="1"/>
  <c r="CM38" i="1" s="1"/>
  <c r="BW128" i="1"/>
  <c r="CM128" i="1" s="1"/>
  <c r="BW92" i="1"/>
  <c r="CM92" i="1" s="1"/>
  <c r="BW215" i="1"/>
  <c r="CM215" i="1" s="1"/>
  <c r="BW83" i="1"/>
  <c r="CM83" i="1" s="1"/>
  <c r="BW180" i="1"/>
  <c r="CM180" i="1" s="1"/>
  <c r="BW134" i="1"/>
  <c r="CM134" i="1" s="1"/>
  <c r="BW183" i="1"/>
  <c r="CM183" i="1" s="1"/>
  <c r="BW144" i="1"/>
  <c r="CM144" i="1" s="1"/>
  <c r="BW153" i="1"/>
  <c r="CM153" i="1" s="1"/>
  <c r="BW158" i="1"/>
  <c r="CM158" i="1" s="1"/>
  <c r="BW114" i="1"/>
  <c r="CM114" i="1" s="1"/>
  <c r="BW137" i="1"/>
  <c r="CM137" i="1" s="1"/>
  <c r="BW152" i="1"/>
  <c r="CM152" i="1" s="1"/>
  <c r="BW149" i="1"/>
  <c r="CM149" i="1" s="1"/>
  <c r="BW64" i="1"/>
  <c r="CM64" i="1" s="1"/>
  <c r="BW133" i="1"/>
  <c r="CM133" i="1" s="1"/>
  <c r="BW161" i="1"/>
  <c r="CM161" i="1" s="1"/>
  <c r="BW46" i="1"/>
  <c r="CM46" i="1" s="1"/>
  <c r="BW171" i="1"/>
  <c r="CM171" i="1" s="1"/>
  <c r="BW120" i="1"/>
  <c r="CM120" i="1" s="1"/>
  <c r="BW159" i="1"/>
  <c r="CM159" i="1" s="1"/>
  <c r="BW109" i="1"/>
  <c r="CM109" i="1" s="1"/>
  <c r="BW145" i="1"/>
  <c r="CM145" i="1" s="1"/>
  <c r="BW142" i="1"/>
  <c r="CM142" i="1" s="1"/>
  <c r="BW24" i="1"/>
  <c r="CM24" i="1" s="1"/>
  <c r="BW140" i="1"/>
  <c r="CM140" i="1" s="1"/>
  <c r="BW124" i="1"/>
  <c r="CM124" i="1" s="1"/>
  <c r="BW59" i="1"/>
  <c r="CM59" i="1" s="1"/>
  <c r="BW23" i="1"/>
  <c r="CM23" i="1" s="1"/>
  <c r="BW113" i="1"/>
  <c r="CM113" i="1" s="1"/>
  <c r="BW105" i="1"/>
  <c r="CM105" i="1" s="1"/>
  <c r="BW177" i="1"/>
  <c r="CM177" i="1" s="1"/>
  <c r="BW90" i="1"/>
  <c r="CM90" i="1" s="1"/>
  <c r="BW122" i="1"/>
  <c r="CM122" i="1" s="1"/>
  <c r="BW119" i="1"/>
  <c r="CM119" i="1" s="1"/>
  <c r="BW73" i="1"/>
  <c r="CM73" i="1" s="1"/>
  <c r="BW156" i="1"/>
  <c r="CM156" i="1" s="1"/>
  <c r="BW130" i="1"/>
  <c r="CM130" i="1" s="1"/>
  <c r="BW127" i="1"/>
  <c r="CM127" i="1" s="1"/>
  <c r="BW167" i="1"/>
  <c r="CM167" i="1" s="1"/>
  <c r="BW136" i="1"/>
  <c r="CM136" i="1" s="1"/>
  <c r="BW81" i="1"/>
  <c r="CM81" i="1" s="1"/>
  <c r="BW163" i="1"/>
  <c r="CM163" i="1" s="1"/>
  <c r="BW91" i="1"/>
  <c r="CM91" i="1" s="1"/>
  <c r="BW67" i="1"/>
  <c r="CM67" i="1" s="1"/>
  <c r="BW206" i="1"/>
  <c r="CM206" i="1" s="1"/>
  <c r="BW138" i="1"/>
  <c r="CM138" i="1" s="1"/>
  <c r="BW155" i="1"/>
  <c r="CM155" i="1" s="1"/>
  <c r="BW66" i="1"/>
  <c r="CM66" i="1" s="1"/>
  <c r="BW147" i="1"/>
  <c r="CM147" i="1" s="1"/>
  <c r="BW55" i="1"/>
  <c r="CM55" i="1" s="1"/>
  <c r="BW37" i="1"/>
  <c r="CM37" i="1" s="1"/>
  <c r="BW164" i="1"/>
  <c r="CM164" i="1" s="1"/>
  <c r="BW126" i="1"/>
  <c r="CM126" i="1" s="1"/>
  <c r="BW44" i="1"/>
  <c r="CM44" i="1" s="1"/>
  <c r="BW29" i="1"/>
  <c r="CM29" i="1" s="1"/>
  <c r="BW146" i="1"/>
  <c r="CM146" i="1" s="1"/>
  <c r="BW69" i="1"/>
  <c r="CM69" i="1" s="1"/>
  <c r="BW197" i="1"/>
  <c r="CM197" i="1" s="1"/>
  <c r="BW85" i="1"/>
  <c r="CM85" i="1" s="1"/>
  <c r="BW108" i="1"/>
  <c r="CM108" i="1" s="1"/>
  <c r="BW123" i="1"/>
  <c r="CM123" i="1" s="1"/>
  <c r="BW33" i="1"/>
  <c r="CM33" i="1" s="1"/>
  <c r="BW71" i="1"/>
  <c r="CM71" i="1" s="1"/>
  <c r="BW129" i="1"/>
  <c r="CM129" i="1" s="1"/>
  <c r="BW162" i="1"/>
  <c r="CM162" i="1" s="1"/>
  <c r="BW36" i="1"/>
  <c r="CM36" i="1" s="1"/>
  <c r="BW63" i="1"/>
  <c r="CM63" i="1" s="1"/>
  <c r="BW3" i="1"/>
  <c r="CM3" i="1" s="1"/>
  <c r="BW139" i="1"/>
  <c r="CM139" i="1" s="1"/>
  <c r="BW125" i="1"/>
  <c r="CM125" i="1" s="1"/>
  <c r="BW19" i="1"/>
  <c r="CM19" i="1" s="1"/>
  <c r="BW151" i="1"/>
  <c r="CM151" i="1" s="1"/>
  <c r="BW74" i="1"/>
  <c r="CM74" i="1" s="1"/>
  <c r="BW86" i="1"/>
  <c r="CM86" i="1" s="1"/>
  <c r="BW16" i="1"/>
  <c r="CM16" i="1" s="1"/>
  <c r="BW34" i="1"/>
  <c r="CM34" i="1" s="1"/>
  <c r="BW96" i="1"/>
  <c r="CM96" i="1" s="1"/>
  <c r="BW40" i="1"/>
  <c r="CM40" i="1" s="1"/>
  <c r="BW53" i="1"/>
  <c r="CM53" i="1" s="1"/>
  <c r="BW6" i="1"/>
  <c r="CM6" i="1" s="1"/>
  <c r="BW141" i="1"/>
  <c r="CM141" i="1" s="1"/>
  <c r="BW60" i="1"/>
  <c r="CM60" i="1" s="1"/>
  <c r="BW135" i="1"/>
  <c r="CM135" i="1" s="1"/>
  <c r="BW79" i="1"/>
  <c r="CM79" i="1" s="1"/>
  <c r="BW82" i="1"/>
  <c r="CM82" i="1" s="1"/>
  <c r="BW131" i="1"/>
  <c r="CM131" i="1" s="1"/>
  <c r="BW102" i="1"/>
  <c r="CM102" i="1" s="1"/>
  <c r="BW84" i="1"/>
  <c r="CM84" i="1" s="1"/>
  <c r="BW31" i="1"/>
  <c r="CM31" i="1" s="1"/>
  <c r="BW132" i="1"/>
  <c r="CM132" i="1" s="1"/>
  <c r="BW104" i="1"/>
  <c r="CM104" i="1" s="1"/>
  <c r="BW14" i="1"/>
  <c r="CM14" i="1" s="1"/>
  <c r="BW30" i="1"/>
  <c r="CM30" i="1" s="1"/>
  <c r="BW11" i="1"/>
  <c r="CM11" i="1" s="1"/>
  <c r="BW87" i="1"/>
  <c r="CM87" i="1" s="1"/>
  <c r="BW26" i="1"/>
  <c r="CM26" i="1" s="1"/>
  <c r="BW117" i="1"/>
  <c r="CM117" i="1" s="1"/>
  <c r="BW27" i="1"/>
  <c r="CM27" i="1" s="1"/>
  <c r="BW5" i="1"/>
  <c r="CM5" i="1" s="1"/>
  <c r="BW76" i="1"/>
  <c r="CM76" i="1" s="1"/>
  <c r="BW35" i="1"/>
  <c r="CM35" i="1" s="1"/>
  <c r="BW72" i="1"/>
  <c r="CM72" i="1" s="1"/>
  <c r="BW58" i="1"/>
  <c r="CM58" i="1" s="1"/>
  <c r="BW47" i="1"/>
  <c r="CM47" i="1" s="1"/>
  <c r="BW88" i="1"/>
  <c r="CM88" i="1" s="1"/>
  <c r="BW111" i="1"/>
  <c r="CM111" i="1" s="1"/>
  <c r="BW70" i="1"/>
  <c r="CM70" i="1" s="1"/>
  <c r="BW39" i="1"/>
  <c r="CM39" i="1" s="1"/>
  <c r="BW89" i="1"/>
  <c r="CM89" i="1" s="1"/>
  <c r="BW51" i="1"/>
  <c r="CM51" i="1" s="1"/>
  <c r="BW25" i="1"/>
  <c r="CM25" i="1" s="1"/>
  <c r="BW7" i="1"/>
  <c r="CM7" i="1" s="1"/>
  <c r="BW56" i="1"/>
  <c r="CM56" i="1" s="1"/>
  <c r="BW45" i="1"/>
  <c r="CM45" i="1" s="1"/>
  <c r="BW68" i="1"/>
  <c r="CM68" i="1" s="1"/>
  <c r="BW50" i="1"/>
  <c r="CM50" i="1" s="1"/>
  <c r="BW107" i="1"/>
  <c r="CM107" i="1" s="1"/>
  <c r="BW8" i="1"/>
  <c r="CM8" i="1" s="1"/>
  <c r="BW49" i="1"/>
  <c r="CM49" i="1" s="1"/>
  <c r="BW77" i="1"/>
  <c r="CM77" i="1" s="1"/>
  <c r="BW62" i="1"/>
  <c r="CM62" i="1" s="1"/>
  <c r="BW48" i="1"/>
  <c r="CM48" i="1" s="1"/>
  <c r="BW20" i="1"/>
  <c r="CM20" i="1" s="1"/>
  <c r="BW148" i="1"/>
  <c r="CM148" i="1" s="1"/>
  <c r="BW4" i="1"/>
  <c r="CM4" i="1" s="1"/>
  <c r="BW378" i="1"/>
  <c r="CM378" i="1" s="1"/>
  <c r="BW115" i="1"/>
  <c r="CM115" i="1" s="1"/>
  <c r="BW94" i="1"/>
  <c r="CM94" i="1" s="1"/>
  <c r="BW176" i="1"/>
  <c r="CM176" i="1" s="1"/>
  <c r="BW100" i="1"/>
  <c r="CM100" i="1" s="1"/>
  <c r="BW375" i="1"/>
  <c r="CM375" i="1" s="1"/>
  <c r="BW10" i="1"/>
  <c r="CM10" i="1" s="1"/>
  <c r="BW65" i="1"/>
  <c r="CM65" i="1" s="1"/>
  <c r="BW103" i="1"/>
  <c r="CM103" i="1" s="1"/>
  <c r="BW154" i="1"/>
  <c r="CM154" i="1" s="1"/>
  <c r="BW17" i="1"/>
  <c r="CM17" i="1" s="1"/>
  <c r="BW43" i="1"/>
  <c r="CM43" i="1" s="1"/>
  <c r="BW80" i="1"/>
  <c r="CM80" i="1" s="1"/>
  <c r="BW174" i="1"/>
  <c r="CM174" i="1" s="1"/>
  <c r="BW101" i="1"/>
  <c r="CM101" i="1" s="1"/>
  <c r="BW143" i="1"/>
  <c r="CM143" i="1" s="1"/>
  <c r="BW15" i="1"/>
  <c r="CM15" i="1" s="1"/>
  <c r="BW121" i="1"/>
  <c r="CM121" i="1" s="1"/>
  <c r="BW42" i="1"/>
  <c r="CM42" i="1" s="1"/>
  <c r="BW95" i="1"/>
  <c r="CM95" i="1" s="1"/>
  <c r="BW93" i="1"/>
  <c r="CM93" i="1" s="1"/>
  <c r="BW99" i="1"/>
  <c r="CM99" i="1" s="1"/>
  <c r="BW61" i="1"/>
  <c r="CM61" i="1" s="1"/>
  <c r="BW9" i="1"/>
  <c r="CM9" i="1" s="1"/>
  <c r="BW75" i="1"/>
  <c r="CM75" i="1" s="1"/>
  <c r="BW78" i="1"/>
  <c r="CM78" i="1" s="1"/>
  <c r="BW106" i="1"/>
  <c r="CM106" i="1" s="1"/>
  <c r="BW21" i="1"/>
  <c r="CM21" i="1" s="1"/>
  <c r="BW41" i="1"/>
  <c r="CM41" i="1" s="1"/>
  <c r="BW32" i="1"/>
  <c r="CM32" i="1" s="1"/>
  <c r="BW28" i="1"/>
  <c r="CM28" i="1" s="1"/>
  <c r="BW260" i="1"/>
  <c r="CM260" i="1" s="1"/>
  <c r="BW184" i="1"/>
  <c r="CM184" i="1" s="1"/>
  <c r="BW276" i="1"/>
  <c r="CM276" i="1" s="1"/>
  <c r="BW362" i="1"/>
  <c r="CM362" i="1" s="1"/>
  <c r="BW296" i="1"/>
  <c r="CM296" i="1" s="1"/>
  <c r="BW223" i="1"/>
  <c r="CM223" i="1" s="1"/>
  <c r="BW238" i="1"/>
  <c r="CM238" i="1" s="1"/>
  <c r="BW243" i="1"/>
  <c r="CM243" i="1" s="1"/>
  <c r="BW244" i="1"/>
  <c r="CM244" i="1" s="1"/>
  <c r="BW247" i="1"/>
  <c r="CM247" i="1" s="1"/>
  <c r="BW248" i="1"/>
  <c r="CM248" i="1" s="1"/>
  <c r="BW251" i="1"/>
  <c r="CM251" i="1" s="1"/>
  <c r="BW254" i="1"/>
  <c r="CM254" i="1" s="1"/>
  <c r="BW255" i="1"/>
  <c r="CM255" i="1" s="1"/>
  <c r="BW256" i="1"/>
  <c r="CM256" i="1" s="1"/>
  <c r="BW257" i="1"/>
  <c r="CM257" i="1" s="1"/>
  <c r="BW262" i="1"/>
  <c r="CM262" i="1" s="1"/>
  <c r="BW264" i="1"/>
  <c r="CM264" i="1" s="1"/>
  <c r="BW266" i="1"/>
  <c r="CM266" i="1" s="1"/>
  <c r="BW267" i="1"/>
  <c r="CM267" i="1" s="1"/>
  <c r="BW270" i="1"/>
  <c r="CM270" i="1" s="1"/>
  <c r="BW272" i="1"/>
  <c r="CM272" i="1" s="1"/>
  <c r="BW273" i="1"/>
  <c r="CM273" i="1" s="1"/>
  <c r="BW274" i="1"/>
  <c r="CM274" i="1" s="1"/>
  <c r="BW278" i="1"/>
  <c r="CM278" i="1" s="1"/>
  <c r="BW281" i="1"/>
  <c r="CM281" i="1" s="1"/>
  <c r="BW284" i="1"/>
  <c r="CM284" i="1" s="1"/>
  <c r="BW285" i="1"/>
  <c r="CM285" i="1" s="1"/>
  <c r="BW286" i="1"/>
  <c r="CM286" i="1" s="1"/>
  <c r="BW288" i="1"/>
  <c r="CM288" i="1" s="1"/>
  <c r="BW289" i="1"/>
  <c r="CM289" i="1" s="1"/>
  <c r="BW290" i="1"/>
  <c r="CM290" i="1" s="1"/>
  <c r="BW291" i="1"/>
  <c r="CM291" i="1" s="1"/>
  <c r="BW191" i="1"/>
  <c r="CM191" i="1" s="1"/>
  <c r="BW292" i="1"/>
  <c r="CM292" i="1" s="1"/>
  <c r="BW294" i="1"/>
  <c r="CM294" i="1" s="1"/>
  <c r="BW295" i="1"/>
  <c r="CM295" i="1" s="1"/>
  <c r="BW297" i="1"/>
  <c r="CM297" i="1" s="1"/>
  <c r="BW298" i="1"/>
  <c r="CM298" i="1" s="1"/>
  <c r="BW299" i="1"/>
  <c r="CM299" i="1" s="1"/>
  <c r="BW203" i="1"/>
  <c r="CM203" i="1" s="1"/>
  <c r="BW170" i="1"/>
  <c r="CM170" i="1" s="1"/>
  <c r="BW193" i="1"/>
  <c r="CM193" i="1" s="1"/>
  <c r="BW300" i="1"/>
  <c r="CM300" i="1" s="1"/>
  <c r="BW301" i="1"/>
  <c r="CM301" i="1" s="1"/>
  <c r="BW302" i="1"/>
  <c r="CM302" i="1" s="1"/>
  <c r="BW303" i="1"/>
  <c r="CM303" i="1" s="1"/>
  <c r="BW304" i="1"/>
  <c r="CM304" i="1" s="1"/>
  <c r="BW224" i="1"/>
  <c r="CM224" i="1" s="1"/>
  <c r="BW305" i="1"/>
  <c r="CM305" i="1" s="1"/>
  <c r="BW306" i="1"/>
  <c r="CM306" i="1" s="1"/>
  <c r="BW207" i="1"/>
  <c r="CM207" i="1" s="1"/>
  <c r="BW217" i="1"/>
  <c r="CM217" i="1" s="1"/>
  <c r="BW309" i="1"/>
  <c r="CM309" i="1" s="1"/>
  <c r="BW199" i="1"/>
  <c r="CM199" i="1" s="1"/>
  <c r="BW310" i="1"/>
  <c r="CM310" i="1" s="1"/>
  <c r="BW311" i="1"/>
  <c r="CM311" i="1" s="1"/>
  <c r="BW313" i="1"/>
  <c r="CM313" i="1" s="1"/>
  <c r="BW315" i="1"/>
  <c r="CM315" i="1" s="1"/>
  <c r="BW316" i="1"/>
  <c r="CM316" i="1" s="1"/>
  <c r="BW190" i="1"/>
  <c r="CM190" i="1" s="1"/>
  <c r="BW317" i="1"/>
  <c r="CM317" i="1" s="1"/>
  <c r="BW318" i="1"/>
  <c r="CM318" i="1" s="1"/>
  <c r="BW319" i="1"/>
  <c r="CM319" i="1" s="1"/>
  <c r="BW227" i="1"/>
  <c r="CM227" i="1" s="1"/>
  <c r="BW222" i="1"/>
  <c r="CM222" i="1" s="1"/>
  <c r="BW201" i="1"/>
  <c r="CM201" i="1" s="1"/>
  <c r="BW322" i="1"/>
  <c r="CM322" i="1" s="1"/>
  <c r="BW172" i="1"/>
  <c r="CM172" i="1" s="1"/>
  <c r="BW324" i="1"/>
  <c r="CM324" i="1" s="1"/>
  <c r="BW325" i="1"/>
  <c r="CM325" i="1" s="1"/>
  <c r="BW326" i="1"/>
  <c r="CM326" i="1" s="1"/>
  <c r="BW229" i="1"/>
  <c r="CM229" i="1" s="1"/>
  <c r="BW202" i="1"/>
  <c r="CM202" i="1" s="1"/>
  <c r="BW328" i="1"/>
  <c r="CM328" i="1" s="1"/>
  <c r="BW185" i="1"/>
  <c r="CM185" i="1" s="1"/>
  <c r="BW329" i="1"/>
  <c r="CM329" i="1" s="1"/>
  <c r="BW330" i="1"/>
  <c r="CM330" i="1" s="1"/>
  <c r="BW331" i="1"/>
  <c r="CM331" i="1" s="1"/>
  <c r="BW332" i="1"/>
  <c r="CM332" i="1" s="1"/>
  <c r="BW209" i="1"/>
  <c r="CM209" i="1" s="1"/>
  <c r="BW333" i="1"/>
  <c r="CM333" i="1" s="1"/>
  <c r="BW218" i="1"/>
  <c r="CM218" i="1" s="1"/>
  <c r="BW334" i="1"/>
  <c r="CM334" i="1" s="1"/>
  <c r="BW335" i="1"/>
  <c r="CM335" i="1" s="1"/>
  <c r="BW336" i="1"/>
  <c r="CM336" i="1" s="1"/>
  <c r="BW337" i="1"/>
  <c r="CM337" i="1" s="1"/>
  <c r="BW338" i="1"/>
  <c r="CM338" i="1" s="1"/>
  <c r="BW339" i="1"/>
  <c r="CM339" i="1" s="1"/>
  <c r="BW340" i="1"/>
  <c r="CM340" i="1" s="1"/>
  <c r="BW186" i="1"/>
  <c r="CM186" i="1" s="1"/>
  <c r="BW341" i="1"/>
  <c r="CM341" i="1" s="1"/>
  <c r="BW343" i="1"/>
  <c r="CM343" i="1" s="1"/>
  <c r="BW344" i="1"/>
  <c r="CM344" i="1" s="1"/>
  <c r="BW345" i="1"/>
  <c r="CM345" i="1" s="1"/>
  <c r="BW348" i="1"/>
  <c r="CM348" i="1" s="1"/>
  <c r="BW349" i="1"/>
  <c r="CM349" i="1" s="1"/>
  <c r="BW350" i="1"/>
  <c r="CM350" i="1" s="1"/>
  <c r="BW351" i="1"/>
  <c r="CM351" i="1" s="1"/>
  <c r="BW355" i="1"/>
  <c r="CM355" i="1" s="1"/>
  <c r="BW187" i="1"/>
  <c r="CM187" i="1" s="1"/>
  <c r="BW356" i="1"/>
  <c r="CM356" i="1" s="1"/>
  <c r="BW169" i="1"/>
  <c r="CM169" i="1" s="1"/>
  <c r="BW358" i="1"/>
  <c r="CM358" i="1" s="1"/>
  <c r="BW364" i="1"/>
  <c r="CM364" i="1" s="1"/>
  <c r="BW365" i="1"/>
  <c r="CM365" i="1" s="1"/>
  <c r="BW367" i="1"/>
  <c r="CM367" i="1" s="1"/>
  <c r="BW368" i="1"/>
  <c r="CM368" i="1" s="1"/>
  <c r="BW370" i="1"/>
  <c r="CM370" i="1" s="1"/>
  <c r="BW372" i="1"/>
  <c r="CM372" i="1" s="1"/>
  <c r="BW173" i="1"/>
  <c r="CM173" i="1" s="1"/>
  <c r="BW376" i="1"/>
  <c r="CM376" i="1" s="1"/>
  <c r="BW178" i="1"/>
  <c r="CM178" i="1" s="1"/>
  <c r="BW342" i="1"/>
  <c r="CM342" i="1" s="1"/>
  <c r="BW377" i="1"/>
  <c r="CM377" i="1" s="1"/>
  <c r="BW188" i="1"/>
  <c r="CM188" i="1" s="1"/>
  <c r="BW213" i="1"/>
  <c r="CM213" i="1" s="1"/>
  <c r="BW249" i="1"/>
  <c r="CM249" i="1" s="1"/>
  <c r="BW282" i="1"/>
  <c r="CM282" i="1" s="1"/>
  <c r="BW258" i="1"/>
  <c r="CM258" i="1" s="1"/>
  <c r="BW259" i="1"/>
  <c r="CM259" i="1" s="1"/>
  <c r="BW261" i="1"/>
  <c r="CM261" i="1" s="1"/>
  <c r="BW268" i="1"/>
  <c r="CM268" i="1" s="1"/>
  <c r="BW269" i="1"/>
  <c r="CM269" i="1" s="1"/>
  <c r="BW271" i="1"/>
  <c r="CM271" i="1" s="1"/>
  <c r="BW275" i="1"/>
  <c r="CM275" i="1" s="1"/>
  <c r="BW208" i="1"/>
  <c r="CM208" i="1" s="1"/>
  <c r="BW321" i="1"/>
  <c r="CM321" i="1" s="1"/>
  <c r="BW195" i="1"/>
  <c r="CM195" i="1" s="1"/>
  <c r="BW263" i="1"/>
  <c r="CM263" i="1" s="1"/>
  <c r="BW236" i="1"/>
  <c r="CM236" i="1" s="1"/>
  <c r="BW239" i="1"/>
  <c r="CM239" i="1" s="1"/>
  <c r="BW240" i="1"/>
  <c r="CM240" i="1" s="1"/>
  <c r="BW253" i="1"/>
  <c r="CM253" i="1" s="1"/>
  <c r="BW265" i="1"/>
  <c r="CM265" i="1" s="1"/>
  <c r="BW231" i="1"/>
  <c r="CM231" i="1" s="1"/>
  <c r="BW232" i="1"/>
  <c r="CM232" i="1" s="1"/>
  <c r="BW233" i="1"/>
  <c r="CM233" i="1" s="1"/>
  <c r="BW234" i="1"/>
  <c r="CM234" i="1" s="1"/>
  <c r="BW235" i="1"/>
  <c r="CM235" i="1" s="1"/>
  <c r="BW241" i="1"/>
  <c r="CM241" i="1" s="1"/>
  <c r="BW242" i="1"/>
  <c r="CM242" i="1" s="1"/>
  <c r="BW246" i="1"/>
  <c r="CM246" i="1" s="1"/>
  <c r="BW250" i="1"/>
  <c r="CM250" i="1" s="1"/>
  <c r="BW252" i="1"/>
  <c r="CM252" i="1" s="1"/>
  <c r="BW283" i="1"/>
  <c r="CM283" i="1" s="1"/>
  <c r="BW245" i="1"/>
  <c r="CM245" i="1" s="1"/>
  <c r="BW237" i="1"/>
  <c r="CM237" i="1" s="1"/>
  <c r="BW280" i="1"/>
  <c r="CM280" i="1" s="1"/>
  <c r="BW192" i="1"/>
  <c r="CM192" i="1" s="1"/>
  <c r="BW22" i="1"/>
  <c r="CM22" i="1" s="1"/>
  <c r="BV110" i="1"/>
  <c r="CL110" i="1" s="1"/>
  <c r="BV18" i="1"/>
  <c r="CL18" i="1" s="1"/>
  <c r="BV12" i="1"/>
  <c r="CL12" i="1" s="1"/>
  <c r="BV116" i="1"/>
  <c r="CL116" i="1" s="1"/>
  <c r="BV2" i="1"/>
  <c r="CL2" i="1" s="1"/>
  <c r="BV312" i="1"/>
  <c r="CL312" i="1" s="1"/>
  <c r="BV179" i="1"/>
  <c r="CL179" i="1" s="1"/>
  <c r="BV57" i="1"/>
  <c r="CL57" i="1" s="1"/>
  <c r="BV118" i="1"/>
  <c r="CL118" i="1" s="1"/>
  <c r="BV52" i="1"/>
  <c r="CL52" i="1" s="1"/>
  <c r="BV157" i="1"/>
  <c r="CL157" i="1" s="1"/>
  <c r="BV98" i="1"/>
  <c r="CL98" i="1" s="1"/>
  <c r="BV112" i="1"/>
  <c r="CL112" i="1" s="1"/>
  <c r="BV54" i="1"/>
  <c r="CL54" i="1" s="1"/>
  <c r="BV165" i="1"/>
  <c r="CL165" i="1" s="1"/>
  <c r="BV182" i="1"/>
  <c r="CL182" i="1" s="1"/>
  <c r="BV150" i="1"/>
  <c r="CL150" i="1" s="1"/>
  <c r="BV277" i="1"/>
  <c r="CL277" i="1" s="1"/>
  <c r="BV279" i="1"/>
  <c r="CL279" i="1" s="1"/>
  <c r="BV216" i="1"/>
  <c r="CL216" i="1" s="1"/>
  <c r="BV287" i="1"/>
  <c r="CL287" i="1" s="1"/>
  <c r="BV293" i="1"/>
  <c r="CL293" i="1" s="1"/>
  <c r="BV210" i="1"/>
  <c r="CL210" i="1" s="1"/>
  <c r="BV230" i="1"/>
  <c r="CL230" i="1" s="1"/>
  <c r="BV189" i="1"/>
  <c r="CL189" i="1" s="1"/>
  <c r="BV220" i="1"/>
  <c r="CL220" i="1" s="1"/>
  <c r="BV181" i="1"/>
  <c r="CL181" i="1" s="1"/>
  <c r="BV175" i="1"/>
  <c r="CL175" i="1" s="1"/>
  <c r="BV307" i="1"/>
  <c r="CL307" i="1" s="1"/>
  <c r="BV308" i="1"/>
  <c r="CL308" i="1" s="1"/>
  <c r="BV314" i="1"/>
  <c r="CL314" i="1" s="1"/>
  <c r="BV320" i="1"/>
  <c r="CL320" i="1" s="1"/>
  <c r="BV219" i="1"/>
  <c r="CL219" i="1" s="1"/>
  <c r="BV323" i="1"/>
  <c r="CL323" i="1" s="1"/>
  <c r="BV327" i="1"/>
  <c r="CL327" i="1" s="1"/>
  <c r="BV212" i="1"/>
  <c r="CL212" i="1" s="1"/>
  <c r="BV225" i="1"/>
  <c r="CL225" i="1" s="1"/>
  <c r="BV214" i="1"/>
  <c r="CL214" i="1" s="1"/>
  <c r="BV346" i="1"/>
  <c r="CL346" i="1" s="1"/>
  <c r="BV347" i="1"/>
  <c r="CL347" i="1" s="1"/>
  <c r="BV205" i="1"/>
  <c r="CL205" i="1" s="1"/>
  <c r="BV226" i="1"/>
  <c r="CL226" i="1" s="1"/>
  <c r="BV352" i="1"/>
  <c r="CL352" i="1" s="1"/>
  <c r="BV196" i="1"/>
  <c r="CL196" i="1" s="1"/>
  <c r="BV353" i="1"/>
  <c r="CL353" i="1" s="1"/>
  <c r="BV354" i="1"/>
  <c r="CL354" i="1" s="1"/>
  <c r="BV357" i="1"/>
  <c r="CL357" i="1" s="1"/>
  <c r="BV359" i="1"/>
  <c r="CL359" i="1" s="1"/>
  <c r="BV360" i="1"/>
  <c r="CL360" i="1" s="1"/>
  <c r="BV361" i="1"/>
  <c r="CL361" i="1" s="1"/>
  <c r="BV363" i="1"/>
  <c r="CL363" i="1" s="1"/>
  <c r="BV366" i="1"/>
  <c r="CL366" i="1" s="1"/>
  <c r="BV160" i="1"/>
  <c r="CL160" i="1" s="1"/>
  <c r="BV369" i="1"/>
  <c r="CL369" i="1" s="1"/>
  <c r="BV371" i="1"/>
  <c r="CL371" i="1" s="1"/>
  <c r="BV373" i="1"/>
  <c r="CL373" i="1" s="1"/>
  <c r="BV374" i="1"/>
  <c r="CL374" i="1" s="1"/>
  <c r="BV228" i="1"/>
  <c r="CL228" i="1" s="1"/>
  <c r="BV168" i="1"/>
  <c r="CL168" i="1" s="1"/>
  <c r="BV194" i="1"/>
  <c r="CL194" i="1" s="1"/>
  <c r="BV221" i="1"/>
  <c r="CL221" i="1" s="1"/>
  <c r="BV211" i="1"/>
  <c r="CL211" i="1" s="1"/>
  <c r="BV379" i="1"/>
  <c r="CL379" i="1" s="1"/>
  <c r="BV166" i="1"/>
  <c r="CL166" i="1" s="1"/>
  <c r="BV198" i="1"/>
  <c r="CL198" i="1" s="1"/>
  <c r="BV204" i="1"/>
  <c r="CL204" i="1" s="1"/>
  <c r="BV200" i="1"/>
  <c r="CL200" i="1" s="1"/>
  <c r="BV380" i="1"/>
  <c r="CL380" i="1" s="1"/>
  <c r="BV381" i="1"/>
  <c r="CL381" i="1" s="1"/>
  <c r="BV97" i="1"/>
  <c r="CL97" i="1" s="1"/>
  <c r="BV38" i="1"/>
  <c r="CL38" i="1" s="1"/>
  <c r="BV128" i="1"/>
  <c r="CL128" i="1" s="1"/>
  <c r="BV92" i="1"/>
  <c r="CL92" i="1" s="1"/>
  <c r="BV215" i="1"/>
  <c r="CL215" i="1" s="1"/>
  <c r="BV83" i="1"/>
  <c r="CL83" i="1" s="1"/>
  <c r="BV180" i="1"/>
  <c r="CL180" i="1" s="1"/>
  <c r="BV134" i="1"/>
  <c r="CL134" i="1" s="1"/>
  <c r="BV183" i="1"/>
  <c r="CL183" i="1" s="1"/>
  <c r="BV144" i="1"/>
  <c r="CL144" i="1" s="1"/>
  <c r="BV153" i="1"/>
  <c r="CL153" i="1" s="1"/>
  <c r="BV158" i="1"/>
  <c r="CL158" i="1" s="1"/>
  <c r="BV114" i="1"/>
  <c r="CL114" i="1" s="1"/>
  <c r="BV137" i="1"/>
  <c r="CL137" i="1" s="1"/>
  <c r="BV152" i="1"/>
  <c r="CL152" i="1" s="1"/>
  <c r="BV149" i="1"/>
  <c r="CL149" i="1" s="1"/>
  <c r="BV64" i="1"/>
  <c r="CL64" i="1" s="1"/>
  <c r="BV133" i="1"/>
  <c r="CL133" i="1" s="1"/>
  <c r="BV161" i="1"/>
  <c r="CL161" i="1" s="1"/>
  <c r="BV46" i="1"/>
  <c r="CL46" i="1" s="1"/>
  <c r="BV171" i="1"/>
  <c r="CL171" i="1" s="1"/>
  <c r="BV120" i="1"/>
  <c r="CL120" i="1" s="1"/>
  <c r="BV159" i="1"/>
  <c r="CL159" i="1" s="1"/>
  <c r="BV109" i="1"/>
  <c r="CL109" i="1" s="1"/>
  <c r="BV145" i="1"/>
  <c r="CL145" i="1" s="1"/>
  <c r="BV142" i="1"/>
  <c r="CL142" i="1" s="1"/>
  <c r="BV24" i="1"/>
  <c r="CL24" i="1" s="1"/>
  <c r="BV140" i="1"/>
  <c r="CL140" i="1" s="1"/>
  <c r="BV124" i="1"/>
  <c r="CL124" i="1" s="1"/>
  <c r="BV59" i="1"/>
  <c r="CL59" i="1" s="1"/>
  <c r="BV23" i="1"/>
  <c r="CL23" i="1" s="1"/>
  <c r="BV113" i="1"/>
  <c r="CL113" i="1" s="1"/>
  <c r="BV105" i="1"/>
  <c r="CL105" i="1" s="1"/>
  <c r="BV177" i="1"/>
  <c r="CL177" i="1" s="1"/>
  <c r="BV90" i="1"/>
  <c r="CL90" i="1" s="1"/>
  <c r="BV122" i="1"/>
  <c r="CL122" i="1" s="1"/>
  <c r="BV119" i="1"/>
  <c r="CL119" i="1" s="1"/>
  <c r="BV73" i="1"/>
  <c r="CL73" i="1" s="1"/>
  <c r="BV156" i="1"/>
  <c r="CL156" i="1" s="1"/>
  <c r="BV130" i="1"/>
  <c r="CL130" i="1" s="1"/>
  <c r="BV127" i="1"/>
  <c r="CL127" i="1" s="1"/>
  <c r="BV167" i="1"/>
  <c r="CL167" i="1" s="1"/>
  <c r="BV136" i="1"/>
  <c r="CL136" i="1" s="1"/>
  <c r="BV81" i="1"/>
  <c r="CL81" i="1" s="1"/>
  <c r="BV163" i="1"/>
  <c r="CL163" i="1" s="1"/>
  <c r="BV91" i="1"/>
  <c r="CL91" i="1" s="1"/>
  <c r="BV67" i="1"/>
  <c r="CL67" i="1" s="1"/>
  <c r="BV206" i="1"/>
  <c r="CL206" i="1" s="1"/>
  <c r="BV138" i="1"/>
  <c r="CL138" i="1" s="1"/>
  <c r="BV155" i="1"/>
  <c r="CL155" i="1" s="1"/>
  <c r="BV66" i="1"/>
  <c r="CL66" i="1" s="1"/>
  <c r="BV147" i="1"/>
  <c r="CL147" i="1" s="1"/>
  <c r="BV55" i="1"/>
  <c r="CL55" i="1" s="1"/>
  <c r="BV37" i="1"/>
  <c r="CL37" i="1" s="1"/>
  <c r="BV164" i="1"/>
  <c r="CL164" i="1" s="1"/>
  <c r="BV126" i="1"/>
  <c r="CL126" i="1" s="1"/>
  <c r="BV44" i="1"/>
  <c r="CL44" i="1" s="1"/>
  <c r="BV29" i="1"/>
  <c r="CL29" i="1" s="1"/>
  <c r="BV146" i="1"/>
  <c r="CL146" i="1" s="1"/>
  <c r="BV69" i="1"/>
  <c r="CL69" i="1" s="1"/>
  <c r="BV197" i="1"/>
  <c r="CL197" i="1" s="1"/>
  <c r="BV85" i="1"/>
  <c r="CL85" i="1" s="1"/>
  <c r="BV108" i="1"/>
  <c r="CL108" i="1" s="1"/>
  <c r="BV123" i="1"/>
  <c r="CL123" i="1" s="1"/>
  <c r="BV33" i="1"/>
  <c r="CL33" i="1" s="1"/>
  <c r="BV71" i="1"/>
  <c r="CL71" i="1" s="1"/>
  <c r="BV129" i="1"/>
  <c r="CL129" i="1" s="1"/>
  <c r="BV162" i="1"/>
  <c r="CL162" i="1" s="1"/>
  <c r="BV36" i="1"/>
  <c r="CL36" i="1" s="1"/>
  <c r="BV63" i="1"/>
  <c r="CL63" i="1" s="1"/>
  <c r="BV3" i="1"/>
  <c r="CL3" i="1" s="1"/>
  <c r="BV139" i="1"/>
  <c r="CL139" i="1" s="1"/>
  <c r="BV125" i="1"/>
  <c r="CL125" i="1" s="1"/>
  <c r="BV19" i="1"/>
  <c r="CL19" i="1" s="1"/>
  <c r="BV151" i="1"/>
  <c r="CL151" i="1" s="1"/>
  <c r="BV74" i="1"/>
  <c r="CL74" i="1" s="1"/>
  <c r="BV86" i="1"/>
  <c r="CL86" i="1" s="1"/>
  <c r="BV16" i="1"/>
  <c r="CL16" i="1" s="1"/>
  <c r="BV34" i="1"/>
  <c r="CL34" i="1" s="1"/>
  <c r="BV96" i="1"/>
  <c r="CL96" i="1" s="1"/>
  <c r="BV40" i="1"/>
  <c r="CL40" i="1" s="1"/>
  <c r="BV53" i="1"/>
  <c r="CL53" i="1" s="1"/>
  <c r="BV6" i="1"/>
  <c r="CL6" i="1" s="1"/>
  <c r="BV141" i="1"/>
  <c r="CL141" i="1" s="1"/>
  <c r="BV60" i="1"/>
  <c r="CL60" i="1" s="1"/>
  <c r="BV135" i="1"/>
  <c r="CL135" i="1" s="1"/>
  <c r="BV79" i="1"/>
  <c r="CL79" i="1" s="1"/>
  <c r="BV82" i="1"/>
  <c r="CL82" i="1" s="1"/>
  <c r="BV131" i="1"/>
  <c r="CL131" i="1" s="1"/>
  <c r="BV102" i="1"/>
  <c r="CL102" i="1" s="1"/>
  <c r="BV84" i="1"/>
  <c r="CL84" i="1" s="1"/>
  <c r="BV31" i="1"/>
  <c r="CL31" i="1" s="1"/>
  <c r="BV132" i="1"/>
  <c r="CL132" i="1" s="1"/>
  <c r="BV104" i="1"/>
  <c r="CL104" i="1" s="1"/>
  <c r="BV14" i="1"/>
  <c r="CL14" i="1" s="1"/>
  <c r="BV30" i="1"/>
  <c r="CL30" i="1" s="1"/>
  <c r="BV11" i="1"/>
  <c r="CL11" i="1" s="1"/>
  <c r="BV87" i="1"/>
  <c r="CL87" i="1" s="1"/>
  <c r="BV26" i="1"/>
  <c r="CL26" i="1" s="1"/>
  <c r="BV117" i="1"/>
  <c r="CL117" i="1" s="1"/>
  <c r="BV27" i="1"/>
  <c r="CL27" i="1" s="1"/>
  <c r="BV5" i="1"/>
  <c r="CL5" i="1" s="1"/>
  <c r="BV76" i="1"/>
  <c r="CL76" i="1" s="1"/>
  <c r="BV35" i="1"/>
  <c r="CL35" i="1" s="1"/>
  <c r="BV72" i="1"/>
  <c r="CL72" i="1" s="1"/>
  <c r="BV58" i="1"/>
  <c r="CL58" i="1" s="1"/>
  <c r="BV47" i="1"/>
  <c r="CL47" i="1" s="1"/>
  <c r="BV88" i="1"/>
  <c r="CL88" i="1" s="1"/>
  <c r="BV111" i="1"/>
  <c r="CL111" i="1" s="1"/>
  <c r="BV70" i="1"/>
  <c r="CL70" i="1" s="1"/>
  <c r="BV39" i="1"/>
  <c r="CL39" i="1" s="1"/>
  <c r="BV89" i="1"/>
  <c r="CL89" i="1" s="1"/>
  <c r="BV51" i="1"/>
  <c r="CL51" i="1" s="1"/>
  <c r="BV25" i="1"/>
  <c r="CL25" i="1" s="1"/>
  <c r="BV7" i="1"/>
  <c r="CL7" i="1" s="1"/>
  <c r="BV56" i="1"/>
  <c r="CL56" i="1" s="1"/>
  <c r="BV45" i="1"/>
  <c r="CL45" i="1" s="1"/>
  <c r="BV68" i="1"/>
  <c r="CL68" i="1" s="1"/>
  <c r="BV50" i="1"/>
  <c r="CL50" i="1" s="1"/>
  <c r="BV107" i="1"/>
  <c r="CL107" i="1" s="1"/>
  <c r="BV8" i="1"/>
  <c r="CL8" i="1" s="1"/>
  <c r="BV49" i="1"/>
  <c r="CL49" i="1" s="1"/>
  <c r="BV77" i="1"/>
  <c r="CL77" i="1" s="1"/>
  <c r="BV62" i="1"/>
  <c r="CL62" i="1" s="1"/>
  <c r="BV48" i="1"/>
  <c r="CL48" i="1" s="1"/>
  <c r="BV20" i="1"/>
  <c r="CL20" i="1" s="1"/>
  <c r="BV148" i="1"/>
  <c r="CL148" i="1" s="1"/>
  <c r="BV4" i="1"/>
  <c r="CL4" i="1" s="1"/>
  <c r="BV378" i="1"/>
  <c r="CL378" i="1" s="1"/>
  <c r="BV115" i="1"/>
  <c r="CL115" i="1" s="1"/>
  <c r="BV94" i="1"/>
  <c r="CL94" i="1" s="1"/>
  <c r="BV176" i="1"/>
  <c r="CL176" i="1" s="1"/>
  <c r="BV100" i="1"/>
  <c r="CL100" i="1" s="1"/>
  <c r="BV375" i="1"/>
  <c r="CL375" i="1" s="1"/>
  <c r="BV10" i="1"/>
  <c r="CL10" i="1" s="1"/>
  <c r="BV65" i="1"/>
  <c r="CL65" i="1" s="1"/>
  <c r="BV103" i="1"/>
  <c r="CL103" i="1" s="1"/>
  <c r="BV154" i="1"/>
  <c r="CL154" i="1" s="1"/>
  <c r="BV17" i="1"/>
  <c r="CL17" i="1" s="1"/>
  <c r="BV43" i="1"/>
  <c r="CL43" i="1" s="1"/>
  <c r="BV80" i="1"/>
  <c r="CL80" i="1" s="1"/>
  <c r="BV174" i="1"/>
  <c r="CL174" i="1" s="1"/>
  <c r="BV101" i="1"/>
  <c r="CL101" i="1" s="1"/>
  <c r="BV143" i="1"/>
  <c r="CL143" i="1" s="1"/>
  <c r="BV15" i="1"/>
  <c r="CL15" i="1" s="1"/>
  <c r="BV121" i="1"/>
  <c r="CL121" i="1" s="1"/>
  <c r="BV42" i="1"/>
  <c r="CL42" i="1" s="1"/>
  <c r="BV95" i="1"/>
  <c r="CL95" i="1" s="1"/>
  <c r="BV93" i="1"/>
  <c r="CL93" i="1" s="1"/>
  <c r="BV99" i="1"/>
  <c r="CL99" i="1" s="1"/>
  <c r="BV61" i="1"/>
  <c r="CL61" i="1" s="1"/>
  <c r="BV9" i="1"/>
  <c r="CL9" i="1" s="1"/>
  <c r="BV75" i="1"/>
  <c r="CL75" i="1" s="1"/>
  <c r="BV78" i="1"/>
  <c r="CL78" i="1" s="1"/>
  <c r="BV106" i="1"/>
  <c r="CL106" i="1" s="1"/>
  <c r="BV21" i="1"/>
  <c r="CL21" i="1" s="1"/>
  <c r="BV41" i="1"/>
  <c r="CL41" i="1" s="1"/>
  <c r="BV32" i="1"/>
  <c r="CL32" i="1" s="1"/>
  <c r="BV28" i="1"/>
  <c r="CL28" i="1" s="1"/>
  <c r="BV260" i="1"/>
  <c r="CL260" i="1" s="1"/>
  <c r="BV184" i="1"/>
  <c r="CL184" i="1" s="1"/>
  <c r="BV276" i="1"/>
  <c r="CL276" i="1" s="1"/>
  <c r="BV362" i="1"/>
  <c r="CL362" i="1" s="1"/>
  <c r="BV296" i="1"/>
  <c r="CL296" i="1" s="1"/>
  <c r="BV223" i="1"/>
  <c r="CL223" i="1" s="1"/>
  <c r="BV238" i="1"/>
  <c r="CL238" i="1" s="1"/>
  <c r="BV243" i="1"/>
  <c r="CL243" i="1" s="1"/>
  <c r="BV244" i="1"/>
  <c r="CL244" i="1" s="1"/>
  <c r="BV247" i="1"/>
  <c r="CL247" i="1" s="1"/>
  <c r="BV248" i="1"/>
  <c r="CL248" i="1" s="1"/>
  <c r="BV251" i="1"/>
  <c r="CL251" i="1" s="1"/>
  <c r="BV254" i="1"/>
  <c r="CL254" i="1" s="1"/>
  <c r="BV255" i="1"/>
  <c r="CL255" i="1" s="1"/>
  <c r="BV256" i="1"/>
  <c r="CL256" i="1" s="1"/>
  <c r="BV257" i="1"/>
  <c r="CL257" i="1" s="1"/>
  <c r="BV262" i="1"/>
  <c r="CL262" i="1" s="1"/>
  <c r="BV264" i="1"/>
  <c r="CL264" i="1" s="1"/>
  <c r="BV266" i="1"/>
  <c r="CL266" i="1" s="1"/>
  <c r="BV267" i="1"/>
  <c r="CL267" i="1" s="1"/>
  <c r="BV270" i="1"/>
  <c r="CL270" i="1" s="1"/>
  <c r="BV272" i="1"/>
  <c r="CL272" i="1" s="1"/>
  <c r="BV273" i="1"/>
  <c r="CL273" i="1" s="1"/>
  <c r="BV274" i="1"/>
  <c r="CL274" i="1" s="1"/>
  <c r="BV278" i="1"/>
  <c r="CL278" i="1" s="1"/>
  <c r="BV281" i="1"/>
  <c r="CL281" i="1" s="1"/>
  <c r="BV284" i="1"/>
  <c r="CL284" i="1" s="1"/>
  <c r="BV285" i="1"/>
  <c r="CL285" i="1" s="1"/>
  <c r="BV286" i="1"/>
  <c r="CL286" i="1" s="1"/>
  <c r="BV288" i="1"/>
  <c r="CL288" i="1" s="1"/>
  <c r="BV289" i="1"/>
  <c r="CL289" i="1" s="1"/>
  <c r="BV290" i="1"/>
  <c r="CL290" i="1" s="1"/>
  <c r="BV291" i="1"/>
  <c r="CL291" i="1" s="1"/>
  <c r="BV191" i="1"/>
  <c r="CL191" i="1" s="1"/>
  <c r="BV292" i="1"/>
  <c r="CL292" i="1" s="1"/>
  <c r="BV294" i="1"/>
  <c r="CL294" i="1" s="1"/>
  <c r="BV295" i="1"/>
  <c r="CL295" i="1" s="1"/>
  <c r="BV297" i="1"/>
  <c r="CL297" i="1" s="1"/>
  <c r="BV298" i="1"/>
  <c r="CL298" i="1" s="1"/>
  <c r="BV299" i="1"/>
  <c r="CL299" i="1" s="1"/>
  <c r="BV203" i="1"/>
  <c r="CL203" i="1" s="1"/>
  <c r="BV170" i="1"/>
  <c r="CL170" i="1" s="1"/>
  <c r="BV193" i="1"/>
  <c r="CL193" i="1" s="1"/>
  <c r="BV300" i="1"/>
  <c r="CL300" i="1" s="1"/>
  <c r="BV301" i="1"/>
  <c r="CL301" i="1" s="1"/>
  <c r="BV302" i="1"/>
  <c r="CL302" i="1" s="1"/>
  <c r="BV303" i="1"/>
  <c r="CL303" i="1" s="1"/>
  <c r="BV304" i="1"/>
  <c r="CL304" i="1" s="1"/>
  <c r="BV224" i="1"/>
  <c r="CL224" i="1" s="1"/>
  <c r="BV305" i="1"/>
  <c r="CL305" i="1" s="1"/>
  <c r="BV306" i="1"/>
  <c r="CL306" i="1" s="1"/>
  <c r="BV207" i="1"/>
  <c r="CL207" i="1" s="1"/>
  <c r="BV217" i="1"/>
  <c r="CL217" i="1" s="1"/>
  <c r="BV309" i="1"/>
  <c r="CL309" i="1" s="1"/>
  <c r="BV199" i="1"/>
  <c r="CL199" i="1" s="1"/>
  <c r="BV310" i="1"/>
  <c r="CL310" i="1" s="1"/>
  <c r="BV311" i="1"/>
  <c r="CL311" i="1" s="1"/>
  <c r="BV313" i="1"/>
  <c r="CL313" i="1" s="1"/>
  <c r="BV315" i="1"/>
  <c r="CL315" i="1" s="1"/>
  <c r="BV316" i="1"/>
  <c r="CL316" i="1" s="1"/>
  <c r="BV190" i="1"/>
  <c r="CL190" i="1" s="1"/>
  <c r="BV317" i="1"/>
  <c r="CL317" i="1" s="1"/>
  <c r="BV318" i="1"/>
  <c r="CL318" i="1" s="1"/>
  <c r="BV319" i="1"/>
  <c r="CL319" i="1" s="1"/>
  <c r="BV227" i="1"/>
  <c r="CL227" i="1" s="1"/>
  <c r="BV222" i="1"/>
  <c r="CL222" i="1" s="1"/>
  <c r="BV201" i="1"/>
  <c r="CL201" i="1" s="1"/>
  <c r="BV322" i="1"/>
  <c r="CL322" i="1" s="1"/>
  <c r="BV172" i="1"/>
  <c r="CL172" i="1" s="1"/>
  <c r="BV324" i="1"/>
  <c r="CL324" i="1" s="1"/>
  <c r="BV325" i="1"/>
  <c r="CL325" i="1" s="1"/>
  <c r="BV326" i="1"/>
  <c r="CL326" i="1" s="1"/>
  <c r="BV229" i="1"/>
  <c r="CL229" i="1" s="1"/>
  <c r="BV202" i="1"/>
  <c r="CL202" i="1" s="1"/>
  <c r="BV328" i="1"/>
  <c r="CL328" i="1" s="1"/>
  <c r="BV185" i="1"/>
  <c r="CL185" i="1" s="1"/>
  <c r="BV329" i="1"/>
  <c r="CL329" i="1" s="1"/>
  <c r="BV330" i="1"/>
  <c r="CL330" i="1" s="1"/>
  <c r="BV331" i="1"/>
  <c r="CL331" i="1" s="1"/>
  <c r="BV332" i="1"/>
  <c r="CL332" i="1" s="1"/>
  <c r="BV209" i="1"/>
  <c r="CL209" i="1" s="1"/>
  <c r="BV333" i="1"/>
  <c r="CL333" i="1" s="1"/>
  <c r="BV218" i="1"/>
  <c r="CL218" i="1" s="1"/>
  <c r="BV334" i="1"/>
  <c r="CL334" i="1" s="1"/>
  <c r="BV335" i="1"/>
  <c r="CL335" i="1" s="1"/>
  <c r="BV336" i="1"/>
  <c r="CL336" i="1" s="1"/>
  <c r="BV337" i="1"/>
  <c r="CL337" i="1" s="1"/>
  <c r="BV338" i="1"/>
  <c r="CL338" i="1" s="1"/>
  <c r="BV339" i="1"/>
  <c r="CL339" i="1" s="1"/>
  <c r="BV340" i="1"/>
  <c r="CL340" i="1" s="1"/>
  <c r="BV186" i="1"/>
  <c r="CL186" i="1" s="1"/>
  <c r="BV341" i="1"/>
  <c r="CL341" i="1" s="1"/>
  <c r="BV343" i="1"/>
  <c r="CL343" i="1" s="1"/>
  <c r="BV344" i="1"/>
  <c r="CL344" i="1" s="1"/>
  <c r="BV345" i="1"/>
  <c r="CL345" i="1" s="1"/>
  <c r="BV348" i="1"/>
  <c r="CL348" i="1" s="1"/>
  <c r="BV349" i="1"/>
  <c r="CL349" i="1" s="1"/>
  <c r="BV350" i="1"/>
  <c r="CL350" i="1" s="1"/>
  <c r="BV351" i="1"/>
  <c r="CL351" i="1" s="1"/>
  <c r="BV355" i="1"/>
  <c r="CL355" i="1" s="1"/>
  <c r="BV187" i="1"/>
  <c r="CL187" i="1" s="1"/>
  <c r="BV356" i="1"/>
  <c r="CL356" i="1" s="1"/>
  <c r="BV169" i="1"/>
  <c r="CL169" i="1" s="1"/>
  <c r="BV358" i="1"/>
  <c r="CL358" i="1" s="1"/>
  <c r="BV364" i="1"/>
  <c r="CL364" i="1" s="1"/>
  <c r="BV365" i="1"/>
  <c r="CL365" i="1" s="1"/>
  <c r="BV367" i="1"/>
  <c r="CL367" i="1" s="1"/>
  <c r="BV368" i="1"/>
  <c r="CL368" i="1" s="1"/>
  <c r="BV370" i="1"/>
  <c r="CL370" i="1" s="1"/>
  <c r="BV372" i="1"/>
  <c r="CL372" i="1" s="1"/>
  <c r="BV173" i="1"/>
  <c r="CL173" i="1" s="1"/>
  <c r="BV376" i="1"/>
  <c r="CL376" i="1" s="1"/>
  <c r="BV178" i="1"/>
  <c r="CL178" i="1" s="1"/>
  <c r="BV342" i="1"/>
  <c r="CL342" i="1" s="1"/>
  <c r="BV377" i="1"/>
  <c r="CL377" i="1" s="1"/>
  <c r="BV188" i="1"/>
  <c r="CL188" i="1" s="1"/>
  <c r="BV213" i="1"/>
  <c r="CL213" i="1" s="1"/>
  <c r="BV249" i="1"/>
  <c r="CL249" i="1" s="1"/>
  <c r="BV282" i="1"/>
  <c r="CL282" i="1" s="1"/>
  <c r="BV258" i="1"/>
  <c r="CL258" i="1" s="1"/>
  <c r="BV259" i="1"/>
  <c r="CL259" i="1" s="1"/>
  <c r="BV261" i="1"/>
  <c r="CL261" i="1" s="1"/>
  <c r="BV268" i="1"/>
  <c r="CL268" i="1" s="1"/>
  <c r="BV269" i="1"/>
  <c r="CL269" i="1" s="1"/>
  <c r="BV271" i="1"/>
  <c r="CL271" i="1" s="1"/>
  <c r="BV275" i="1"/>
  <c r="CL275" i="1" s="1"/>
  <c r="BV208" i="1"/>
  <c r="CL208" i="1" s="1"/>
  <c r="BV321" i="1"/>
  <c r="CL321" i="1" s="1"/>
  <c r="BV195" i="1"/>
  <c r="CL195" i="1" s="1"/>
  <c r="BV263" i="1"/>
  <c r="CL263" i="1" s="1"/>
  <c r="BV236" i="1"/>
  <c r="CL236" i="1" s="1"/>
  <c r="BV239" i="1"/>
  <c r="CL239" i="1" s="1"/>
  <c r="BV240" i="1"/>
  <c r="CL240" i="1" s="1"/>
  <c r="BV253" i="1"/>
  <c r="CL253" i="1" s="1"/>
  <c r="BV265" i="1"/>
  <c r="CL265" i="1" s="1"/>
  <c r="BV231" i="1"/>
  <c r="CL231" i="1" s="1"/>
  <c r="BV232" i="1"/>
  <c r="CL232" i="1" s="1"/>
  <c r="BV233" i="1"/>
  <c r="CL233" i="1" s="1"/>
  <c r="BV234" i="1"/>
  <c r="CL234" i="1" s="1"/>
  <c r="BV235" i="1"/>
  <c r="CL235" i="1" s="1"/>
  <c r="BV241" i="1"/>
  <c r="CL241" i="1" s="1"/>
  <c r="BV242" i="1"/>
  <c r="CL242" i="1" s="1"/>
  <c r="BV246" i="1"/>
  <c r="CL246" i="1" s="1"/>
  <c r="BV250" i="1"/>
  <c r="CL250" i="1" s="1"/>
  <c r="BV252" i="1"/>
  <c r="CL252" i="1" s="1"/>
  <c r="BV283" i="1"/>
  <c r="CL283" i="1" s="1"/>
  <c r="BV245" i="1"/>
  <c r="CL245" i="1" s="1"/>
  <c r="BV237" i="1"/>
  <c r="CL237" i="1" s="1"/>
  <c r="BV280" i="1"/>
  <c r="CL280" i="1" s="1"/>
  <c r="BV192" i="1"/>
  <c r="CL192" i="1" s="1"/>
  <c r="BV22" i="1"/>
  <c r="CL22" i="1" s="1"/>
  <c r="BU110" i="1"/>
  <c r="CK110" i="1" s="1"/>
  <c r="BU18" i="1"/>
  <c r="CK18" i="1" s="1"/>
  <c r="BU12" i="1"/>
  <c r="CK12" i="1" s="1"/>
  <c r="BU116" i="1"/>
  <c r="CK116" i="1" s="1"/>
  <c r="BU2" i="1"/>
  <c r="CK2" i="1" s="1"/>
  <c r="BU312" i="1"/>
  <c r="CK312" i="1" s="1"/>
  <c r="BU179" i="1"/>
  <c r="CK179" i="1" s="1"/>
  <c r="BU57" i="1"/>
  <c r="CK57" i="1" s="1"/>
  <c r="BU118" i="1"/>
  <c r="CK118" i="1" s="1"/>
  <c r="BU52" i="1"/>
  <c r="CK52" i="1" s="1"/>
  <c r="BU157" i="1"/>
  <c r="CK157" i="1" s="1"/>
  <c r="BU98" i="1"/>
  <c r="CK98" i="1" s="1"/>
  <c r="BU112" i="1"/>
  <c r="CK112" i="1" s="1"/>
  <c r="BU54" i="1"/>
  <c r="CK54" i="1" s="1"/>
  <c r="BU165" i="1"/>
  <c r="CK165" i="1" s="1"/>
  <c r="BU182" i="1"/>
  <c r="CK182" i="1" s="1"/>
  <c r="BU150" i="1"/>
  <c r="CK150" i="1" s="1"/>
  <c r="BU277" i="1"/>
  <c r="CK277" i="1" s="1"/>
  <c r="BU279" i="1"/>
  <c r="CK279" i="1" s="1"/>
  <c r="BU216" i="1"/>
  <c r="CK216" i="1" s="1"/>
  <c r="BU287" i="1"/>
  <c r="CK287" i="1" s="1"/>
  <c r="BU293" i="1"/>
  <c r="CK293" i="1" s="1"/>
  <c r="BU210" i="1"/>
  <c r="CK210" i="1" s="1"/>
  <c r="BU230" i="1"/>
  <c r="CK230" i="1" s="1"/>
  <c r="BU189" i="1"/>
  <c r="CK189" i="1" s="1"/>
  <c r="BU220" i="1"/>
  <c r="CK220" i="1" s="1"/>
  <c r="BU181" i="1"/>
  <c r="CK181" i="1" s="1"/>
  <c r="BU175" i="1"/>
  <c r="CK175" i="1" s="1"/>
  <c r="BU307" i="1"/>
  <c r="CK307" i="1" s="1"/>
  <c r="BU308" i="1"/>
  <c r="CK308" i="1" s="1"/>
  <c r="BU314" i="1"/>
  <c r="CK314" i="1" s="1"/>
  <c r="BU320" i="1"/>
  <c r="CK320" i="1" s="1"/>
  <c r="BU219" i="1"/>
  <c r="CK219" i="1" s="1"/>
  <c r="BU323" i="1"/>
  <c r="CK323" i="1" s="1"/>
  <c r="BU327" i="1"/>
  <c r="CK327" i="1" s="1"/>
  <c r="BU212" i="1"/>
  <c r="CK212" i="1" s="1"/>
  <c r="BU225" i="1"/>
  <c r="CK225" i="1" s="1"/>
  <c r="BU214" i="1"/>
  <c r="CK214" i="1" s="1"/>
  <c r="BU346" i="1"/>
  <c r="CK346" i="1" s="1"/>
  <c r="BU347" i="1"/>
  <c r="CK347" i="1" s="1"/>
  <c r="BU205" i="1"/>
  <c r="CK205" i="1" s="1"/>
  <c r="BU226" i="1"/>
  <c r="CK226" i="1" s="1"/>
  <c r="BU352" i="1"/>
  <c r="CK352" i="1" s="1"/>
  <c r="BU196" i="1"/>
  <c r="CK196" i="1" s="1"/>
  <c r="BU353" i="1"/>
  <c r="CK353" i="1" s="1"/>
  <c r="BU354" i="1"/>
  <c r="CK354" i="1" s="1"/>
  <c r="BU357" i="1"/>
  <c r="CK357" i="1" s="1"/>
  <c r="BU359" i="1"/>
  <c r="CK359" i="1" s="1"/>
  <c r="BU360" i="1"/>
  <c r="CK360" i="1" s="1"/>
  <c r="BU361" i="1"/>
  <c r="CK361" i="1" s="1"/>
  <c r="BU363" i="1"/>
  <c r="CK363" i="1" s="1"/>
  <c r="BU366" i="1"/>
  <c r="CK366" i="1" s="1"/>
  <c r="BU160" i="1"/>
  <c r="CK160" i="1" s="1"/>
  <c r="BU369" i="1"/>
  <c r="CK369" i="1" s="1"/>
  <c r="BU371" i="1"/>
  <c r="CK371" i="1" s="1"/>
  <c r="BU373" i="1"/>
  <c r="CK373" i="1" s="1"/>
  <c r="BU374" i="1"/>
  <c r="CK374" i="1" s="1"/>
  <c r="BU228" i="1"/>
  <c r="CK228" i="1" s="1"/>
  <c r="BU168" i="1"/>
  <c r="CK168" i="1" s="1"/>
  <c r="BU194" i="1"/>
  <c r="CK194" i="1" s="1"/>
  <c r="BU221" i="1"/>
  <c r="CK221" i="1" s="1"/>
  <c r="BU211" i="1"/>
  <c r="CK211" i="1" s="1"/>
  <c r="BU379" i="1"/>
  <c r="CK379" i="1" s="1"/>
  <c r="BU166" i="1"/>
  <c r="CK166" i="1" s="1"/>
  <c r="BU198" i="1"/>
  <c r="CK198" i="1" s="1"/>
  <c r="BU204" i="1"/>
  <c r="CK204" i="1" s="1"/>
  <c r="BU200" i="1"/>
  <c r="CK200" i="1" s="1"/>
  <c r="BU380" i="1"/>
  <c r="CK380" i="1" s="1"/>
  <c r="BU381" i="1"/>
  <c r="CK381" i="1" s="1"/>
  <c r="BU97" i="1"/>
  <c r="CK97" i="1" s="1"/>
  <c r="BU38" i="1"/>
  <c r="CK38" i="1" s="1"/>
  <c r="BU128" i="1"/>
  <c r="CK128" i="1" s="1"/>
  <c r="BU92" i="1"/>
  <c r="CK92" i="1" s="1"/>
  <c r="BU215" i="1"/>
  <c r="CK215" i="1" s="1"/>
  <c r="BU83" i="1"/>
  <c r="CK83" i="1" s="1"/>
  <c r="BU180" i="1"/>
  <c r="CK180" i="1" s="1"/>
  <c r="BU134" i="1"/>
  <c r="CK134" i="1" s="1"/>
  <c r="BU183" i="1"/>
  <c r="CK183" i="1" s="1"/>
  <c r="BU144" i="1"/>
  <c r="CK144" i="1" s="1"/>
  <c r="BU153" i="1"/>
  <c r="CK153" i="1" s="1"/>
  <c r="BU158" i="1"/>
  <c r="CK158" i="1" s="1"/>
  <c r="BU114" i="1"/>
  <c r="CK114" i="1" s="1"/>
  <c r="BU137" i="1"/>
  <c r="CK137" i="1" s="1"/>
  <c r="BU152" i="1"/>
  <c r="CK152" i="1" s="1"/>
  <c r="BU149" i="1"/>
  <c r="CK149" i="1" s="1"/>
  <c r="BU64" i="1"/>
  <c r="CK64" i="1" s="1"/>
  <c r="BU133" i="1"/>
  <c r="CK133" i="1" s="1"/>
  <c r="BU161" i="1"/>
  <c r="CK161" i="1" s="1"/>
  <c r="BU46" i="1"/>
  <c r="CK46" i="1" s="1"/>
  <c r="BU171" i="1"/>
  <c r="CK171" i="1" s="1"/>
  <c r="BU120" i="1"/>
  <c r="CK120" i="1" s="1"/>
  <c r="BU159" i="1"/>
  <c r="CK159" i="1" s="1"/>
  <c r="BU109" i="1"/>
  <c r="CK109" i="1" s="1"/>
  <c r="BU145" i="1"/>
  <c r="CK145" i="1" s="1"/>
  <c r="BU142" i="1"/>
  <c r="CK142" i="1" s="1"/>
  <c r="BU24" i="1"/>
  <c r="CK24" i="1" s="1"/>
  <c r="BU140" i="1"/>
  <c r="CK140" i="1" s="1"/>
  <c r="BU124" i="1"/>
  <c r="CK124" i="1" s="1"/>
  <c r="BU59" i="1"/>
  <c r="CK59" i="1" s="1"/>
  <c r="BU23" i="1"/>
  <c r="CK23" i="1" s="1"/>
  <c r="BU113" i="1"/>
  <c r="CK113" i="1" s="1"/>
  <c r="BU105" i="1"/>
  <c r="CK105" i="1" s="1"/>
  <c r="BU177" i="1"/>
  <c r="CK177" i="1" s="1"/>
  <c r="BU90" i="1"/>
  <c r="CK90" i="1" s="1"/>
  <c r="BU122" i="1"/>
  <c r="CK122" i="1" s="1"/>
  <c r="BU119" i="1"/>
  <c r="CK119" i="1" s="1"/>
  <c r="BU73" i="1"/>
  <c r="CK73" i="1" s="1"/>
  <c r="BU156" i="1"/>
  <c r="CK156" i="1" s="1"/>
  <c r="BU130" i="1"/>
  <c r="CK130" i="1" s="1"/>
  <c r="BU127" i="1"/>
  <c r="CK127" i="1" s="1"/>
  <c r="BU167" i="1"/>
  <c r="CK167" i="1" s="1"/>
  <c r="BU136" i="1"/>
  <c r="CK136" i="1" s="1"/>
  <c r="BU81" i="1"/>
  <c r="CK81" i="1" s="1"/>
  <c r="BU163" i="1"/>
  <c r="CK163" i="1" s="1"/>
  <c r="BU91" i="1"/>
  <c r="CK91" i="1" s="1"/>
  <c r="BU67" i="1"/>
  <c r="CK67" i="1" s="1"/>
  <c r="BU206" i="1"/>
  <c r="CK206" i="1" s="1"/>
  <c r="BU138" i="1"/>
  <c r="CK138" i="1" s="1"/>
  <c r="BU155" i="1"/>
  <c r="CK155" i="1" s="1"/>
  <c r="BU66" i="1"/>
  <c r="CK66" i="1" s="1"/>
  <c r="BU147" i="1"/>
  <c r="CK147" i="1" s="1"/>
  <c r="BU55" i="1"/>
  <c r="CK55" i="1" s="1"/>
  <c r="BU37" i="1"/>
  <c r="CK37" i="1" s="1"/>
  <c r="BU164" i="1"/>
  <c r="CK164" i="1" s="1"/>
  <c r="BU126" i="1"/>
  <c r="CK126" i="1" s="1"/>
  <c r="BU44" i="1"/>
  <c r="CK44" i="1" s="1"/>
  <c r="BU29" i="1"/>
  <c r="CK29" i="1" s="1"/>
  <c r="BU146" i="1"/>
  <c r="CK146" i="1" s="1"/>
  <c r="BU69" i="1"/>
  <c r="CK69" i="1" s="1"/>
  <c r="BU197" i="1"/>
  <c r="CK197" i="1" s="1"/>
  <c r="BU85" i="1"/>
  <c r="CK85" i="1" s="1"/>
  <c r="BU108" i="1"/>
  <c r="CK108" i="1" s="1"/>
  <c r="BU123" i="1"/>
  <c r="CK123" i="1" s="1"/>
  <c r="BU33" i="1"/>
  <c r="CK33" i="1" s="1"/>
  <c r="BU71" i="1"/>
  <c r="CK71" i="1" s="1"/>
  <c r="BU129" i="1"/>
  <c r="CK129" i="1" s="1"/>
  <c r="BU162" i="1"/>
  <c r="CK162" i="1" s="1"/>
  <c r="BU36" i="1"/>
  <c r="CK36" i="1" s="1"/>
  <c r="BU63" i="1"/>
  <c r="CK63" i="1" s="1"/>
  <c r="BU3" i="1"/>
  <c r="CK3" i="1" s="1"/>
  <c r="BU139" i="1"/>
  <c r="CK139" i="1" s="1"/>
  <c r="BU125" i="1"/>
  <c r="CK125" i="1" s="1"/>
  <c r="BU19" i="1"/>
  <c r="CK19" i="1" s="1"/>
  <c r="BU151" i="1"/>
  <c r="CK151" i="1" s="1"/>
  <c r="BU74" i="1"/>
  <c r="CK74" i="1" s="1"/>
  <c r="BU86" i="1"/>
  <c r="CK86" i="1" s="1"/>
  <c r="BU16" i="1"/>
  <c r="CK16" i="1" s="1"/>
  <c r="BU34" i="1"/>
  <c r="CK34" i="1" s="1"/>
  <c r="BU96" i="1"/>
  <c r="CK96" i="1" s="1"/>
  <c r="BU40" i="1"/>
  <c r="CK40" i="1" s="1"/>
  <c r="BU53" i="1"/>
  <c r="CK53" i="1" s="1"/>
  <c r="BU6" i="1"/>
  <c r="CK6" i="1" s="1"/>
  <c r="BU141" i="1"/>
  <c r="CK141" i="1" s="1"/>
  <c r="BU60" i="1"/>
  <c r="CK60" i="1" s="1"/>
  <c r="BU135" i="1"/>
  <c r="CK135" i="1" s="1"/>
  <c r="BU79" i="1"/>
  <c r="CK79" i="1" s="1"/>
  <c r="BU82" i="1"/>
  <c r="CK82" i="1" s="1"/>
  <c r="BU131" i="1"/>
  <c r="CK131" i="1" s="1"/>
  <c r="BU102" i="1"/>
  <c r="CK102" i="1" s="1"/>
  <c r="BU84" i="1"/>
  <c r="CK84" i="1" s="1"/>
  <c r="BU31" i="1"/>
  <c r="CK31" i="1" s="1"/>
  <c r="BU132" i="1"/>
  <c r="CK132" i="1" s="1"/>
  <c r="BU104" i="1"/>
  <c r="CK104" i="1" s="1"/>
  <c r="BU14" i="1"/>
  <c r="CK14" i="1" s="1"/>
  <c r="BU30" i="1"/>
  <c r="CK30" i="1" s="1"/>
  <c r="BU11" i="1"/>
  <c r="CK11" i="1" s="1"/>
  <c r="BU87" i="1"/>
  <c r="CK87" i="1" s="1"/>
  <c r="BU26" i="1"/>
  <c r="CK26" i="1" s="1"/>
  <c r="BU117" i="1"/>
  <c r="CK117" i="1" s="1"/>
  <c r="BU27" i="1"/>
  <c r="CK27" i="1" s="1"/>
  <c r="BU5" i="1"/>
  <c r="CK5" i="1" s="1"/>
  <c r="BU76" i="1"/>
  <c r="CK76" i="1" s="1"/>
  <c r="BU35" i="1"/>
  <c r="CK35" i="1" s="1"/>
  <c r="BU72" i="1"/>
  <c r="CK72" i="1" s="1"/>
  <c r="BU58" i="1"/>
  <c r="CK58" i="1" s="1"/>
  <c r="BU47" i="1"/>
  <c r="CK47" i="1" s="1"/>
  <c r="BU88" i="1"/>
  <c r="CK88" i="1" s="1"/>
  <c r="BU111" i="1"/>
  <c r="CK111" i="1" s="1"/>
  <c r="BU70" i="1"/>
  <c r="CK70" i="1" s="1"/>
  <c r="BU39" i="1"/>
  <c r="CK39" i="1" s="1"/>
  <c r="BU89" i="1"/>
  <c r="CK89" i="1" s="1"/>
  <c r="BU51" i="1"/>
  <c r="CK51" i="1" s="1"/>
  <c r="BU25" i="1"/>
  <c r="CK25" i="1" s="1"/>
  <c r="BU7" i="1"/>
  <c r="CK7" i="1" s="1"/>
  <c r="BU56" i="1"/>
  <c r="CK56" i="1" s="1"/>
  <c r="BU45" i="1"/>
  <c r="CK45" i="1" s="1"/>
  <c r="BU68" i="1"/>
  <c r="CK68" i="1" s="1"/>
  <c r="BU50" i="1"/>
  <c r="CK50" i="1" s="1"/>
  <c r="BU107" i="1"/>
  <c r="CK107" i="1" s="1"/>
  <c r="BU8" i="1"/>
  <c r="CK8" i="1" s="1"/>
  <c r="BU49" i="1"/>
  <c r="CK49" i="1" s="1"/>
  <c r="BU77" i="1"/>
  <c r="CK77" i="1" s="1"/>
  <c r="BU62" i="1"/>
  <c r="CK62" i="1" s="1"/>
  <c r="BU48" i="1"/>
  <c r="CK48" i="1" s="1"/>
  <c r="BU20" i="1"/>
  <c r="CK20" i="1" s="1"/>
  <c r="BU148" i="1"/>
  <c r="CK148" i="1" s="1"/>
  <c r="BU4" i="1"/>
  <c r="CK4" i="1" s="1"/>
  <c r="BU378" i="1"/>
  <c r="CK378" i="1" s="1"/>
  <c r="BU115" i="1"/>
  <c r="CK115" i="1" s="1"/>
  <c r="BU94" i="1"/>
  <c r="CK94" i="1" s="1"/>
  <c r="BU176" i="1"/>
  <c r="CK176" i="1" s="1"/>
  <c r="BU100" i="1"/>
  <c r="CK100" i="1" s="1"/>
  <c r="BU375" i="1"/>
  <c r="CK375" i="1" s="1"/>
  <c r="BU10" i="1"/>
  <c r="CK10" i="1" s="1"/>
  <c r="BU65" i="1"/>
  <c r="CK65" i="1" s="1"/>
  <c r="BU103" i="1"/>
  <c r="CK103" i="1" s="1"/>
  <c r="BU154" i="1"/>
  <c r="CK154" i="1" s="1"/>
  <c r="BU17" i="1"/>
  <c r="CK17" i="1" s="1"/>
  <c r="BU43" i="1"/>
  <c r="CK43" i="1" s="1"/>
  <c r="BU80" i="1"/>
  <c r="CK80" i="1" s="1"/>
  <c r="BU174" i="1"/>
  <c r="CK174" i="1" s="1"/>
  <c r="BU101" i="1"/>
  <c r="CK101" i="1" s="1"/>
  <c r="BU143" i="1"/>
  <c r="CK143" i="1" s="1"/>
  <c r="BU15" i="1"/>
  <c r="CK15" i="1" s="1"/>
  <c r="BU121" i="1"/>
  <c r="CK121" i="1" s="1"/>
  <c r="BU42" i="1"/>
  <c r="CK42" i="1" s="1"/>
  <c r="BU95" i="1"/>
  <c r="CK95" i="1" s="1"/>
  <c r="BU93" i="1"/>
  <c r="CK93" i="1" s="1"/>
  <c r="BU99" i="1"/>
  <c r="CK99" i="1" s="1"/>
  <c r="BU61" i="1"/>
  <c r="CK61" i="1" s="1"/>
  <c r="BU9" i="1"/>
  <c r="CK9" i="1" s="1"/>
  <c r="BU75" i="1"/>
  <c r="CK75" i="1" s="1"/>
  <c r="BU78" i="1"/>
  <c r="CK78" i="1" s="1"/>
  <c r="BU106" i="1"/>
  <c r="CK106" i="1" s="1"/>
  <c r="BU21" i="1"/>
  <c r="CK21" i="1" s="1"/>
  <c r="BU41" i="1"/>
  <c r="CK41" i="1" s="1"/>
  <c r="BU32" i="1"/>
  <c r="CK32" i="1" s="1"/>
  <c r="BU28" i="1"/>
  <c r="CK28" i="1" s="1"/>
  <c r="BU260" i="1"/>
  <c r="CK260" i="1" s="1"/>
  <c r="BU184" i="1"/>
  <c r="CK184" i="1" s="1"/>
  <c r="BU276" i="1"/>
  <c r="CK276" i="1" s="1"/>
  <c r="BU362" i="1"/>
  <c r="CK362" i="1" s="1"/>
  <c r="BU296" i="1"/>
  <c r="CK296" i="1" s="1"/>
  <c r="BU223" i="1"/>
  <c r="CK223" i="1" s="1"/>
  <c r="BU238" i="1"/>
  <c r="CK238" i="1" s="1"/>
  <c r="BU243" i="1"/>
  <c r="CK243" i="1" s="1"/>
  <c r="BU244" i="1"/>
  <c r="CK244" i="1" s="1"/>
  <c r="BU247" i="1"/>
  <c r="CK247" i="1" s="1"/>
  <c r="BU248" i="1"/>
  <c r="CK248" i="1" s="1"/>
  <c r="BU251" i="1"/>
  <c r="CK251" i="1" s="1"/>
  <c r="BU254" i="1"/>
  <c r="CK254" i="1" s="1"/>
  <c r="BU255" i="1"/>
  <c r="CK255" i="1" s="1"/>
  <c r="BU256" i="1"/>
  <c r="CK256" i="1" s="1"/>
  <c r="BU257" i="1"/>
  <c r="CK257" i="1" s="1"/>
  <c r="BU262" i="1"/>
  <c r="CK262" i="1" s="1"/>
  <c r="BU264" i="1"/>
  <c r="CK264" i="1" s="1"/>
  <c r="BU266" i="1"/>
  <c r="CK266" i="1" s="1"/>
  <c r="BU267" i="1"/>
  <c r="CK267" i="1" s="1"/>
  <c r="BU270" i="1"/>
  <c r="CK270" i="1" s="1"/>
  <c r="BU272" i="1"/>
  <c r="CK272" i="1" s="1"/>
  <c r="BU273" i="1"/>
  <c r="CK273" i="1" s="1"/>
  <c r="BU274" i="1"/>
  <c r="CK274" i="1" s="1"/>
  <c r="BU278" i="1"/>
  <c r="CK278" i="1" s="1"/>
  <c r="BU281" i="1"/>
  <c r="CK281" i="1" s="1"/>
  <c r="BU284" i="1"/>
  <c r="CK284" i="1" s="1"/>
  <c r="BU285" i="1"/>
  <c r="CK285" i="1" s="1"/>
  <c r="BU286" i="1"/>
  <c r="CK286" i="1" s="1"/>
  <c r="BU288" i="1"/>
  <c r="CK288" i="1" s="1"/>
  <c r="BU289" i="1"/>
  <c r="CK289" i="1" s="1"/>
  <c r="BU290" i="1"/>
  <c r="CK290" i="1" s="1"/>
  <c r="BU291" i="1"/>
  <c r="CK291" i="1" s="1"/>
  <c r="BU191" i="1"/>
  <c r="CK191" i="1" s="1"/>
  <c r="BU292" i="1"/>
  <c r="CK292" i="1" s="1"/>
  <c r="BU294" i="1"/>
  <c r="CK294" i="1" s="1"/>
  <c r="BU295" i="1"/>
  <c r="CK295" i="1" s="1"/>
  <c r="BU297" i="1"/>
  <c r="CK297" i="1" s="1"/>
  <c r="BU298" i="1"/>
  <c r="CK298" i="1" s="1"/>
  <c r="BU299" i="1"/>
  <c r="CK299" i="1" s="1"/>
  <c r="BU203" i="1"/>
  <c r="CK203" i="1" s="1"/>
  <c r="BU170" i="1"/>
  <c r="CK170" i="1" s="1"/>
  <c r="BU193" i="1"/>
  <c r="CK193" i="1" s="1"/>
  <c r="BU300" i="1"/>
  <c r="CK300" i="1" s="1"/>
  <c r="BU301" i="1"/>
  <c r="CK301" i="1" s="1"/>
  <c r="BU302" i="1"/>
  <c r="CK302" i="1" s="1"/>
  <c r="BU303" i="1"/>
  <c r="CK303" i="1" s="1"/>
  <c r="BU304" i="1"/>
  <c r="CK304" i="1" s="1"/>
  <c r="BU224" i="1"/>
  <c r="CK224" i="1" s="1"/>
  <c r="BU305" i="1"/>
  <c r="CK305" i="1" s="1"/>
  <c r="BU306" i="1"/>
  <c r="CK306" i="1" s="1"/>
  <c r="BU207" i="1"/>
  <c r="CK207" i="1" s="1"/>
  <c r="BU217" i="1"/>
  <c r="CK217" i="1" s="1"/>
  <c r="BU309" i="1"/>
  <c r="CK309" i="1" s="1"/>
  <c r="BU199" i="1"/>
  <c r="CK199" i="1" s="1"/>
  <c r="BU310" i="1"/>
  <c r="CK310" i="1" s="1"/>
  <c r="BU311" i="1"/>
  <c r="CK311" i="1" s="1"/>
  <c r="BU313" i="1"/>
  <c r="CK313" i="1" s="1"/>
  <c r="BU315" i="1"/>
  <c r="CK315" i="1" s="1"/>
  <c r="BU316" i="1"/>
  <c r="CK316" i="1" s="1"/>
  <c r="BU190" i="1"/>
  <c r="CK190" i="1" s="1"/>
  <c r="BU317" i="1"/>
  <c r="CK317" i="1" s="1"/>
  <c r="BU318" i="1"/>
  <c r="CK318" i="1" s="1"/>
  <c r="BU319" i="1"/>
  <c r="CK319" i="1" s="1"/>
  <c r="BU227" i="1"/>
  <c r="CK227" i="1" s="1"/>
  <c r="BU222" i="1"/>
  <c r="CK222" i="1" s="1"/>
  <c r="BU201" i="1"/>
  <c r="CK201" i="1" s="1"/>
  <c r="BU322" i="1"/>
  <c r="CK322" i="1" s="1"/>
  <c r="BU172" i="1"/>
  <c r="CK172" i="1" s="1"/>
  <c r="BU324" i="1"/>
  <c r="CK324" i="1" s="1"/>
  <c r="BU325" i="1"/>
  <c r="CK325" i="1" s="1"/>
  <c r="BU326" i="1"/>
  <c r="CK326" i="1" s="1"/>
  <c r="BU229" i="1"/>
  <c r="CK229" i="1" s="1"/>
  <c r="BU202" i="1"/>
  <c r="CK202" i="1" s="1"/>
  <c r="BU328" i="1"/>
  <c r="CK328" i="1" s="1"/>
  <c r="BU185" i="1"/>
  <c r="CK185" i="1" s="1"/>
  <c r="BU329" i="1"/>
  <c r="CK329" i="1" s="1"/>
  <c r="BU330" i="1"/>
  <c r="CK330" i="1" s="1"/>
  <c r="BU331" i="1"/>
  <c r="CK331" i="1" s="1"/>
  <c r="BU332" i="1"/>
  <c r="CK332" i="1" s="1"/>
  <c r="BU209" i="1"/>
  <c r="CK209" i="1" s="1"/>
  <c r="BU333" i="1"/>
  <c r="CK333" i="1" s="1"/>
  <c r="BU218" i="1"/>
  <c r="CK218" i="1" s="1"/>
  <c r="BU334" i="1"/>
  <c r="CK334" i="1" s="1"/>
  <c r="BU335" i="1"/>
  <c r="CK335" i="1" s="1"/>
  <c r="BU336" i="1"/>
  <c r="CK336" i="1" s="1"/>
  <c r="BU337" i="1"/>
  <c r="CK337" i="1" s="1"/>
  <c r="BU338" i="1"/>
  <c r="CK338" i="1" s="1"/>
  <c r="BU339" i="1"/>
  <c r="CK339" i="1" s="1"/>
  <c r="BU340" i="1"/>
  <c r="CK340" i="1" s="1"/>
  <c r="BU186" i="1"/>
  <c r="CK186" i="1" s="1"/>
  <c r="BU341" i="1"/>
  <c r="CK341" i="1" s="1"/>
  <c r="BU343" i="1"/>
  <c r="CK343" i="1" s="1"/>
  <c r="BU344" i="1"/>
  <c r="CK344" i="1" s="1"/>
  <c r="BU345" i="1"/>
  <c r="CK345" i="1" s="1"/>
  <c r="BU348" i="1"/>
  <c r="CK348" i="1" s="1"/>
  <c r="BU349" i="1"/>
  <c r="CK349" i="1" s="1"/>
  <c r="BU350" i="1"/>
  <c r="CK350" i="1" s="1"/>
  <c r="BU351" i="1"/>
  <c r="CK351" i="1" s="1"/>
  <c r="BU355" i="1"/>
  <c r="CK355" i="1" s="1"/>
  <c r="BU187" i="1"/>
  <c r="CK187" i="1" s="1"/>
  <c r="BU356" i="1"/>
  <c r="CK356" i="1" s="1"/>
  <c r="BU169" i="1"/>
  <c r="CK169" i="1" s="1"/>
  <c r="BU358" i="1"/>
  <c r="CK358" i="1" s="1"/>
  <c r="BU364" i="1"/>
  <c r="CK364" i="1" s="1"/>
  <c r="BU365" i="1"/>
  <c r="CK365" i="1" s="1"/>
  <c r="BU367" i="1"/>
  <c r="CK367" i="1" s="1"/>
  <c r="BU368" i="1"/>
  <c r="CK368" i="1" s="1"/>
  <c r="BU370" i="1"/>
  <c r="CK370" i="1" s="1"/>
  <c r="BU372" i="1"/>
  <c r="CK372" i="1" s="1"/>
  <c r="BU173" i="1"/>
  <c r="CK173" i="1" s="1"/>
  <c r="BU376" i="1"/>
  <c r="CK376" i="1" s="1"/>
  <c r="BU178" i="1"/>
  <c r="CK178" i="1" s="1"/>
  <c r="BU342" i="1"/>
  <c r="CK342" i="1" s="1"/>
  <c r="BU377" i="1"/>
  <c r="CK377" i="1" s="1"/>
  <c r="BU188" i="1"/>
  <c r="CK188" i="1" s="1"/>
  <c r="BU213" i="1"/>
  <c r="CK213" i="1" s="1"/>
  <c r="BU249" i="1"/>
  <c r="CK249" i="1" s="1"/>
  <c r="BU282" i="1"/>
  <c r="CK282" i="1" s="1"/>
  <c r="BU258" i="1"/>
  <c r="CK258" i="1" s="1"/>
  <c r="BU259" i="1"/>
  <c r="CK259" i="1" s="1"/>
  <c r="BU261" i="1"/>
  <c r="CK261" i="1" s="1"/>
  <c r="BU268" i="1"/>
  <c r="CK268" i="1" s="1"/>
  <c r="BU269" i="1"/>
  <c r="CK269" i="1" s="1"/>
  <c r="BU271" i="1"/>
  <c r="CK271" i="1" s="1"/>
  <c r="BU275" i="1"/>
  <c r="CK275" i="1" s="1"/>
  <c r="BU208" i="1"/>
  <c r="CK208" i="1" s="1"/>
  <c r="BU321" i="1"/>
  <c r="CK321" i="1" s="1"/>
  <c r="BU195" i="1"/>
  <c r="CK195" i="1" s="1"/>
  <c r="BU263" i="1"/>
  <c r="CK263" i="1" s="1"/>
  <c r="BU236" i="1"/>
  <c r="CK236" i="1" s="1"/>
  <c r="BU239" i="1"/>
  <c r="CK239" i="1" s="1"/>
  <c r="BU240" i="1"/>
  <c r="CK240" i="1" s="1"/>
  <c r="BU253" i="1"/>
  <c r="CK253" i="1" s="1"/>
  <c r="BU265" i="1"/>
  <c r="CK265" i="1" s="1"/>
  <c r="BU231" i="1"/>
  <c r="CK231" i="1" s="1"/>
  <c r="BU232" i="1"/>
  <c r="CK232" i="1" s="1"/>
  <c r="BU233" i="1"/>
  <c r="CK233" i="1" s="1"/>
  <c r="BU234" i="1"/>
  <c r="CK234" i="1" s="1"/>
  <c r="BU235" i="1"/>
  <c r="CK235" i="1" s="1"/>
  <c r="BU241" i="1"/>
  <c r="CK241" i="1" s="1"/>
  <c r="BU242" i="1"/>
  <c r="CK242" i="1" s="1"/>
  <c r="BU246" i="1"/>
  <c r="CK246" i="1" s="1"/>
  <c r="BU250" i="1"/>
  <c r="CK250" i="1" s="1"/>
  <c r="BU252" i="1"/>
  <c r="CK252" i="1" s="1"/>
  <c r="BU283" i="1"/>
  <c r="CK283" i="1" s="1"/>
  <c r="BU245" i="1"/>
  <c r="CK245" i="1" s="1"/>
  <c r="BU237" i="1"/>
  <c r="CK237" i="1" s="1"/>
  <c r="BU280" i="1"/>
  <c r="CK280" i="1" s="1"/>
  <c r="BU192" i="1"/>
  <c r="CK192" i="1" s="1"/>
  <c r="BU22" i="1"/>
  <c r="CK22" i="1" s="1"/>
  <c r="BT110" i="1"/>
  <c r="CJ110" i="1" s="1"/>
  <c r="BT18" i="1"/>
  <c r="CJ18" i="1" s="1"/>
  <c r="BT12" i="1"/>
  <c r="CJ12" i="1" s="1"/>
  <c r="BT116" i="1"/>
  <c r="CJ116" i="1" s="1"/>
  <c r="BT2" i="1"/>
  <c r="CJ2" i="1" s="1"/>
  <c r="BT312" i="1"/>
  <c r="CJ312" i="1" s="1"/>
  <c r="BT179" i="1"/>
  <c r="CJ179" i="1" s="1"/>
  <c r="BT57" i="1"/>
  <c r="CJ57" i="1" s="1"/>
  <c r="BT118" i="1"/>
  <c r="CJ118" i="1" s="1"/>
  <c r="BT52" i="1"/>
  <c r="CJ52" i="1" s="1"/>
  <c r="BT157" i="1"/>
  <c r="CJ157" i="1" s="1"/>
  <c r="BT98" i="1"/>
  <c r="CJ98" i="1" s="1"/>
  <c r="BT112" i="1"/>
  <c r="CJ112" i="1" s="1"/>
  <c r="BT54" i="1"/>
  <c r="CJ54" i="1" s="1"/>
  <c r="BT165" i="1"/>
  <c r="CJ165" i="1" s="1"/>
  <c r="BT182" i="1"/>
  <c r="CJ182" i="1" s="1"/>
  <c r="BT150" i="1"/>
  <c r="CJ150" i="1" s="1"/>
  <c r="BT277" i="1"/>
  <c r="CJ277" i="1" s="1"/>
  <c r="BT279" i="1"/>
  <c r="CJ279" i="1" s="1"/>
  <c r="BT216" i="1"/>
  <c r="CJ216" i="1" s="1"/>
  <c r="BT287" i="1"/>
  <c r="CJ287" i="1" s="1"/>
  <c r="BT293" i="1"/>
  <c r="CJ293" i="1" s="1"/>
  <c r="BT210" i="1"/>
  <c r="CJ210" i="1" s="1"/>
  <c r="BT230" i="1"/>
  <c r="CJ230" i="1" s="1"/>
  <c r="BT189" i="1"/>
  <c r="CJ189" i="1" s="1"/>
  <c r="BT220" i="1"/>
  <c r="CJ220" i="1" s="1"/>
  <c r="BT181" i="1"/>
  <c r="CJ181" i="1" s="1"/>
  <c r="BT175" i="1"/>
  <c r="CJ175" i="1" s="1"/>
  <c r="BT307" i="1"/>
  <c r="CJ307" i="1" s="1"/>
  <c r="BT308" i="1"/>
  <c r="CJ308" i="1" s="1"/>
  <c r="BT314" i="1"/>
  <c r="CJ314" i="1" s="1"/>
  <c r="BT320" i="1"/>
  <c r="CJ320" i="1" s="1"/>
  <c r="BT219" i="1"/>
  <c r="CJ219" i="1" s="1"/>
  <c r="BT323" i="1"/>
  <c r="CJ323" i="1" s="1"/>
  <c r="BT327" i="1"/>
  <c r="CJ327" i="1" s="1"/>
  <c r="BT212" i="1"/>
  <c r="CJ212" i="1" s="1"/>
  <c r="BT225" i="1"/>
  <c r="CJ225" i="1" s="1"/>
  <c r="BT214" i="1"/>
  <c r="CJ214" i="1" s="1"/>
  <c r="BT346" i="1"/>
  <c r="CJ346" i="1" s="1"/>
  <c r="BT347" i="1"/>
  <c r="CJ347" i="1" s="1"/>
  <c r="BT205" i="1"/>
  <c r="CJ205" i="1" s="1"/>
  <c r="BT226" i="1"/>
  <c r="CJ226" i="1" s="1"/>
  <c r="BT352" i="1"/>
  <c r="CJ352" i="1" s="1"/>
  <c r="BT196" i="1"/>
  <c r="CJ196" i="1" s="1"/>
  <c r="BT353" i="1"/>
  <c r="CJ353" i="1" s="1"/>
  <c r="BT354" i="1"/>
  <c r="CJ354" i="1" s="1"/>
  <c r="BT357" i="1"/>
  <c r="CJ357" i="1" s="1"/>
  <c r="BT359" i="1"/>
  <c r="CJ359" i="1" s="1"/>
  <c r="BT360" i="1"/>
  <c r="CJ360" i="1" s="1"/>
  <c r="BT361" i="1"/>
  <c r="CJ361" i="1" s="1"/>
  <c r="BT363" i="1"/>
  <c r="CJ363" i="1" s="1"/>
  <c r="BT366" i="1"/>
  <c r="CJ366" i="1" s="1"/>
  <c r="BT160" i="1"/>
  <c r="CJ160" i="1" s="1"/>
  <c r="BT369" i="1"/>
  <c r="CJ369" i="1" s="1"/>
  <c r="BT371" i="1"/>
  <c r="CJ371" i="1" s="1"/>
  <c r="BT373" i="1"/>
  <c r="CJ373" i="1" s="1"/>
  <c r="BT374" i="1"/>
  <c r="CJ374" i="1" s="1"/>
  <c r="BT228" i="1"/>
  <c r="CJ228" i="1" s="1"/>
  <c r="BT168" i="1"/>
  <c r="CJ168" i="1" s="1"/>
  <c r="BT194" i="1"/>
  <c r="CJ194" i="1" s="1"/>
  <c r="BT221" i="1"/>
  <c r="CJ221" i="1" s="1"/>
  <c r="BT211" i="1"/>
  <c r="CJ211" i="1" s="1"/>
  <c r="BT379" i="1"/>
  <c r="CJ379" i="1" s="1"/>
  <c r="BT166" i="1"/>
  <c r="CJ166" i="1" s="1"/>
  <c r="BT198" i="1"/>
  <c r="CJ198" i="1" s="1"/>
  <c r="BT204" i="1"/>
  <c r="CJ204" i="1" s="1"/>
  <c r="BT200" i="1"/>
  <c r="CJ200" i="1" s="1"/>
  <c r="BT380" i="1"/>
  <c r="CJ380" i="1" s="1"/>
  <c r="BT381" i="1"/>
  <c r="CJ381" i="1" s="1"/>
  <c r="BT97" i="1"/>
  <c r="CJ97" i="1" s="1"/>
  <c r="BT38" i="1"/>
  <c r="CJ38" i="1" s="1"/>
  <c r="BT128" i="1"/>
  <c r="CJ128" i="1" s="1"/>
  <c r="BT92" i="1"/>
  <c r="CJ92" i="1" s="1"/>
  <c r="BT215" i="1"/>
  <c r="CJ215" i="1" s="1"/>
  <c r="BT83" i="1"/>
  <c r="CJ83" i="1" s="1"/>
  <c r="BT180" i="1"/>
  <c r="CJ180" i="1" s="1"/>
  <c r="BT134" i="1"/>
  <c r="CJ134" i="1" s="1"/>
  <c r="BT183" i="1"/>
  <c r="CJ183" i="1" s="1"/>
  <c r="BT144" i="1"/>
  <c r="CJ144" i="1" s="1"/>
  <c r="BT153" i="1"/>
  <c r="CJ153" i="1" s="1"/>
  <c r="BT158" i="1"/>
  <c r="CJ158" i="1" s="1"/>
  <c r="BT114" i="1"/>
  <c r="CJ114" i="1" s="1"/>
  <c r="BT137" i="1"/>
  <c r="CJ137" i="1" s="1"/>
  <c r="BT152" i="1"/>
  <c r="CJ152" i="1" s="1"/>
  <c r="BT149" i="1"/>
  <c r="CJ149" i="1" s="1"/>
  <c r="BT64" i="1"/>
  <c r="CJ64" i="1" s="1"/>
  <c r="BT133" i="1"/>
  <c r="CJ133" i="1" s="1"/>
  <c r="BT161" i="1"/>
  <c r="CJ161" i="1" s="1"/>
  <c r="BT46" i="1"/>
  <c r="CJ46" i="1" s="1"/>
  <c r="BT171" i="1"/>
  <c r="CJ171" i="1" s="1"/>
  <c r="BT120" i="1"/>
  <c r="CJ120" i="1" s="1"/>
  <c r="BT159" i="1"/>
  <c r="CJ159" i="1" s="1"/>
  <c r="BT109" i="1"/>
  <c r="CJ109" i="1" s="1"/>
  <c r="BT145" i="1"/>
  <c r="CJ145" i="1" s="1"/>
  <c r="BT142" i="1"/>
  <c r="CJ142" i="1" s="1"/>
  <c r="BT24" i="1"/>
  <c r="CJ24" i="1" s="1"/>
  <c r="BT140" i="1"/>
  <c r="CJ140" i="1" s="1"/>
  <c r="BT124" i="1"/>
  <c r="CJ124" i="1" s="1"/>
  <c r="BT59" i="1"/>
  <c r="CJ59" i="1" s="1"/>
  <c r="BT23" i="1"/>
  <c r="CJ23" i="1" s="1"/>
  <c r="BT113" i="1"/>
  <c r="CJ113" i="1" s="1"/>
  <c r="BT105" i="1"/>
  <c r="CJ105" i="1" s="1"/>
  <c r="BT177" i="1"/>
  <c r="CJ177" i="1" s="1"/>
  <c r="BT90" i="1"/>
  <c r="CJ90" i="1" s="1"/>
  <c r="BT122" i="1"/>
  <c r="CJ122" i="1" s="1"/>
  <c r="BT119" i="1"/>
  <c r="CJ119" i="1" s="1"/>
  <c r="BT73" i="1"/>
  <c r="CJ73" i="1" s="1"/>
  <c r="BT156" i="1"/>
  <c r="CJ156" i="1" s="1"/>
  <c r="BT130" i="1"/>
  <c r="CJ130" i="1" s="1"/>
  <c r="BT127" i="1"/>
  <c r="CJ127" i="1" s="1"/>
  <c r="BT167" i="1"/>
  <c r="CJ167" i="1" s="1"/>
  <c r="BT136" i="1"/>
  <c r="CJ136" i="1" s="1"/>
  <c r="BT81" i="1"/>
  <c r="CJ81" i="1" s="1"/>
  <c r="BT163" i="1"/>
  <c r="CJ163" i="1" s="1"/>
  <c r="BT91" i="1"/>
  <c r="CJ91" i="1" s="1"/>
  <c r="BT67" i="1"/>
  <c r="CJ67" i="1" s="1"/>
  <c r="BT206" i="1"/>
  <c r="CJ206" i="1" s="1"/>
  <c r="BT138" i="1"/>
  <c r="CJ138" i="1" s="1"/>
  <c r="BT155" i="1"/>
  <c r="CJ155" i="1" s="1"/>
  <c r="BT66" i="1"/>
  <c r="CJ66" i="1" s="1"/>
  <c r="BT147" i="1"/>
  <c r="CJ147" i="1" s="1"/>
  <c r="BT55" i="1"/>
  <c r="CJ55" i="1" s="1"/>
  <c r="BT37" i="1"/>
  <c r="CJ37" i="1" s="1"/>
  <c r="BT164" i="1"/>
  <c r="CJ164" i="1" s="1"/>
  <c r="BT126" i="1"/>
  <c r="CJ126" i="1" s="1"/>
  <c r="BT44" i="1"/>
  <c r="CJ44" i="1" s="1"/>
  <c r="BT29" i="1"/>
  <c r="CJ29" i="1" s="1"/>
  <c r="BT146" i="1"/>
  <c r="CJ146" i="1" s="1"/>
  <c r="BT69" i="1"/>
  <c r="CJ69" i="1" s="1"/>
  <c r="BT197" i="1"/>
  <c r="CJ197" i="1" s="1"/>
  <c r="BT85" i="1"/>
  <c r="CJ85" i="1" s="1"/>
  <c r="BT108" i="1"/>
  <c r="CJ108" i="1" s="1"/>
  <c r="BT123" i="1"/>
  <c r="CJ123" i="1" s="1"/>
  <c r="BT33" i="1"/>
  <c r="CJ33" i="1" s="1"/>
  <c r="BT71" i="1"/>
  <c r="CJ71" i="1" s="1"/>
  <c r="BT129" i="1"/>
  <c r="CJ129" i="1" s="1"/>
  <c r="BT162" i="1"/>
  <c r="CJ162" i="1" s="1"/>
  <c r="BT36" i="1"/>
  <c r="CJ36" i="1" s="1"/>
  <c r="BT63" i="1"/>
  <c r="CJ63" i="1" s="1"/>
  <c r="BT3" i="1"/>
  <c r="CJ3" i="1" s="1"/>
  <c r="BT139" i="1"/>
  <c r="CJ139" i="1" s="1"/>
  <c r="BT125" i="1"/>
  <c r="CJ125" i="1" s="1"/>
  <c r="BT19" i="1"/>
  <c r="CJ19" i="1" s="1"/>
  <c r="BT151" i="1"/>
  <c r="CJ151" i="1" s="1"/>
  <c r="BT74" i="1"/>
  <c r="CJ74" i="1" s="1"/>
  <c r="BT86" i="1"/>
  <c r="CJ86" i="1" s="1"/>
  <c r="BT16" i="1"/>
  <c r="CJ16" i="1" s="1"/>
  <c r="BT34" i="1"/>
  <c r="CJ34" i="1" s="1"/>
  <c r="BT96" i="1"/>
  <c r="CJ96" i="1" s="1"/>
  <c r="BT40" i="1"/>
  <c r="CJ40" i="1" s="1"/>
  <c r="BT53" i="1"/>
  <c r="CJ53" i="1" s="1"/>
  <c r="BT6" i="1"/>
  <c r="CJ6" i="1" s="1"/>
  <c r="BT141" i="1"/>
  <c r="CJ141" i="1" s="1"/>
  <c r="BT60" i="1"/>
  <c r="CJ60" i="1" s="1"/>
  <c r="BT135" i="1"/>
  <c r="CJ135" i="1" s="1"/>
  <c r="BT79" i="1"/>
  <c r="CJ79" i="1" s="1"/>
  <c r="BT82" i="1"/>
  <c r="CJ82" i="1" s="1"/>
  <c r="BT131" i="1"/>
  <c r="CJ131" i="1" s="1"/>
  <c r="BT102" i="1"/>
  <c r="CJ102" i="1" s="1"/>
  <c r="BT84" i="1"/>
  <c r="CJ84" i="1" s="1"/>
  <c r="BT31" i="1"/>
  <c r="CJ31" i="1" s="1"/>
  <c r="BT132" i="1"/>
  <c r="CJ132" i="1" s="1"/>
  <c r="BT104" i="1"/>
  <c r="CJ104" i="1" s="1"/>
  <c r="BT14" i="1"/>
  <c r="CJ14" i="1" s="1"/>
  <c r="BT30" i="1"/>
  <c r="CJ30" i="1" s="1"/>
  <c r="BT11" i="1"/>
  <c r="CJ11" i="1" s="1"/>
  <c r="BT87" i="1"/>
  <c r="CJ87" i="1" s="1"/>
  <c r="BT26" i="1"/>
  <c r="CJ26" i="1" s="1"/>
  <c r="BT117" i="1"/>
  <c r="CJ117" i="1" s="1"/>
  <c r="BT27" i="1"/>
  <c r="CJ27" i="1" s="1"/>
  <c r="BT5" i="1"/>
  <c r="CJ5" i="1" s="1"/>
  <c r="BT76" i="1"/>
  <c r="CJ76" i="1" s="1"/>
  <c r="BT35" i="1"/>
  <c r="CJ35" i="1" s="1"/>
  <c r="BT72" i="1"/>
  <c r="CJ72" i="1" s="1"/>
  <c r="BT58" i="1"/>
  <c r="CJ58" i="1" s="1"/>
  <c r="BT47" i="1"/>
  <c r="CJ47" i="1" s="1"/>
  <c r="BT88" i="1"/>
  <c r="CJ88" i="1" s="1"/>
  <c r="BT111" i="1"/>
  <c r="CJ111" i="1" s="1"/>
  <c r="BT70" i="1"/>
  <c r="CJ70" i="1" s="1"/>
  <c r="BT39" i="1"/>
  <c r="CJ39" i="1" s="1"/>
  <c r="BT89" i="1"/>
  <c r="CJ89" i="1" s="1"/>
  <c r="BT51" i="1"/>
  <c r="CJ51" i="1" s="1"/>
  <c r="BT25" i="1"/>
  <c r="CJ25" i="1" s="1"/>
  <c r="BT7" i="1"/>
  <c r="CJ7" i="1" s="1"/>
  <c r="BT56" i="1"/>
  <c r="CJ56" i="1" s="1"/>
  <c r="BT45" i="1"/>
  <c r="CJ45" i="1" s="1"/>
  <c r="BT68" i="1"/>
  <c r="CJ68" i="1" s="1"/>
  <c r="BT50" i="1"/>
  <c r="CJ50" i="1" s="1"/>
  <c r="BT107" i="1"/>
  <c r="CJ107" i="1" s="1"/>
  <c r="BT8" i="1"/>
  <c r="CJ8" i="1" s="1"/>
  <c r="BT49" i="1"/>
  <c r="CJ49" i="1" s="1"/>
  <c r="BT77" i="1"/>
  <c r="CJ77" i="1" s="1"/>
  <c r="BT62" i="1"/>
  <c r="CJ62" i="1" s="1"/>
  <c r="BT48" i="1"/>
  <c r="CJ48" i="1" s="1"/>
  <c r="BT20" i="1"/>
  <c r="CJ20" i="1" s="1"/>
  <c r="BT148" i="1"/>
  <c r="CJ148" i="1" s="1"/>
  <c r="BT4" i="1"/>
  <c r="CJ4" i="1" s="1"/>
  <c r="BT378" i="1"/>
  <c r="CJ378" i="1" s="1"/>
  <c r="BT115" i="1"/>
  <c r="CJ115" i="1" s="1"/>
  <c r="BT94" i="1"/>
  <c r="CJ94" i="1" s="1"/>
  <c r="BT176" i="1"/>
  <c r="CJ176" i="1" s="1"/>
  <c r="BT100" i="1"/>
  <c r="CJ100" i="1" s="1"/>
  <c r="BT375" i="1"/>
  <c r="CJ375" i="1" s="1"/>
  <c r="BT10" i="1"/>
  <c r="CJ10" i="1" s="1"/>
  <c r="BT65" i="1"/>
  <c r="CJ65" i="1" s="1"/>
  <c r="BT103" i="1"/>
  <c r="CJ103" i="1" s="1"/>
  <c r="BT154" i="1"/>
  <c r="CJ154" i="1" s="1"/>
  <c r="BT17" i="1"/>
  <c r="CJ17" i="1" s="1"/>
  <c r="BT43" i="1"/>
  <c r="CJ43" i="1" s="1"/>
  <c r="BT80" i="1"/>
  <c r="CJ80" i="1" s="1"/>
  <c r="BT174" i="1"/>
  <c r="CJ174" i="1" s="1"/>
  <c r="BT101" i="1"/>
  <c r="CJ101" i="1" s="1"/>
  <c r="BT143" i="1"/>
  <c r="CJ143" i="1" s="1"/>
  <c r="BT15" i="1"/>
  <c r="CJ15" i="1" s="1"/>
  <c r="BT121" i="1"/>
  <c r="CJ121" i="1" s="1"/>
  <c r="BT42" i="1"/>
  <c r="CJ42" i="1" s="1"/>
  <c r="BT95" i="1"/>
  <c r="CJ95" i="1" s="1"/>
  <c r="BT93" i="1"/>
  <c r="CJ93" i="1" s="1"/>
  <c r="BT99" i="1"/>
  <c r="CJ99" i="1" s="1"/>
  <c r="BT61" i="1"/>
  <c r="CJ61" i="1" s="1"/>
  <c r="BT9" i="1"/>
  <c r="CJ9" i="1" s="1"/>
  <c r="BT75" i="1"/>
  <c r="CJ75" i="1" s="1"/>
  <c r="BT78" i="1"/>
  <c r="CJ78" i="1" s="1"/>
  <c r="BT106" i="1"/>
  <c r="CJ106" i="1" s="1"/>
  <c r="BT21" i="1"/>
  <c r="CJ21" i="1" s="1"/>
  <c r="BT41" i="1"/>
  <c r="CJ41" i="1" s="1"/>
  <c r="BT32" i="1"/>
  <c r="CJ32" i="1" s="1"/>
  <c r="BT28" i="1"/>
  <c r="CJ28" i="1" s="1"/>
  <c r="BT260" i="1"/>
  <c r="CJ260" i="1" s="1"/>
  <c r="BT184" i="1"/>
  <c r="CJ184" i="1" s="1"/>
  <c r="BT276" i="1"/>
  <c r="CJ276" i="1" s="1"/>
  <c r="BT362" i="1"/>
  <c r="CJ362" i="1" s="1"/>
  <c r="BT296" i="1"/>
  <c r="CJ296" i="1" s="1"/>
  <c r="BT223" i="1"/>
  <c r="CJ223" i="1" s="1"/>
  <c r="BT238" i="1"/>
  <c r="CJ238" i="1" s="1"/>
  <c r="BT243" i="1"/>
  <c r="CJ243" i="1" s="1"/>
  <c r="BT244" i="1"/>
  <c r="CJ244" i="1" s="1"/>
  <c r="BT247" i="1"/>
  <c r="CJ247" i="1" s="1"/>
  <c r="BT248" i="1"/>
  <c r="CJ248" i="1" s="1"/>
  <c r="BT251" i="1"/>
  <c r="CJ251" i="1" s="1"/>
  <c r="BT254" i="1"/>
  <c r="CJ254" i="1" s="1"/>
  <c r="BT255" i="1"/>
  <c r="CJ255" i="1" s="1"/>
  <c r="BT256" i="1"/>
  <c r="CJ256" i="1" s="1"/>
  <c r="BT257" i="1"/>
  <c r="CJ257" i="1" s="1"/>
  <c r="BT262" i="1"/>
  <c r="CJ262" i="1" s="1"/>
  <c r="BT264" i="1"/>
  <c r="CJ264" i="1" s="1"/>
  <c r="BT266" i="1"/>
  <c r="CJ266" i="1" s="1"/>
  <c r="BT267" i="1"/>
  <c r="CJ267" i="1" s="1"/>
  <c r="BT270" i="1"/>
  <c r="CJ270" i="1" s="1"/>
  <c r="BT272" i="1"/>
  <c r="CJ272" i="1" s="1"/>
  <c r="BT273" i="1"/>
  <c r="CJ273" i="1" s="1"/>
  <c r="BT274" i="1"/>
  <c r="CJ274" i="1" s="1"/>
  <c r="BT278" i="1"/>
  <c r="CJ278" i="1" s="1"/>
  <c r="BT281" i="1"/>
  <c r="CJ281" i="1" s="1"/>
  <c r="BT284" i="1"/>
  <c r="CJ284" i="1" s="1"/>
  <c r="BT285" i="1"/>
  <c r="CJ285" i="1" s="1"/>
  <c r="BT286" i="1"/>
  <c r="CJ286" i="1" s="1"/>
  <c r="BT288" i="1"/>
  <c r="CJ288" i="1" s="1"/>
  <c r="BT289" i="1"/>
  <c r="CJ289" i="1" s="1"/>
  <c r="BT290" i="1"/>
  <c r="CJ290" i="1" s="1"/>
  <c r="BT291" i="1"/>
  <c r="CJ291" i="1" s="1"/>
  <c r="BT191" i="1"/>
  <c r="CJ191" i="1" s="1"/>
  <c r="BT292" i="1"/>
  <c r="CJ292" i="1" s="1"/>
  <c r="BT294" i="1"/>
  <c r="CJ294" i="1" s="1"/>
  <c r="BT295" i="1"/>
  <c r="CJ295" i="1" s="1"/>
  <c r="BT297" i="1"/>
  <c r="CJ297" i="1" s="1"/>
  <c r="BT298" i="1"/>
  <c r="CJ298" i="1" s="1"/>
  <c r="BT299" i="1"/>
  <c r="CJ299" i="1" s="1"/>
  <c r="BT203" i="1"/>
  <c r="CJ203" i="1" s="1"/>
  <c r="BT170" i="1"/>
  <c r="CJ170" i="1" s="1"/>
  <c r="BT193" i="1"/>
  <c r="CJ193" i="1" s="1"/>
  <c r="BT300" i="1"/>
  <c r="CJ300" i="1" s="1"/>
  <c r="BT301" i="1"/>
  <c r="CJ301" i="1" s="1"/>
  <c r="BT302" i="1"/>
  <c r="CJ302" i="1" s="1"/>
  <c r="BT303" i="1"/>
  <c r="CJ303" i="1" s="1"/>
  <c r="BT304" i="1"/>
  <c r="CJ304" i="1" s="1"/>
  <c r="BT224" i="1"/>
  <c r="CJ224" i="1" s="1"/>
  <c r="BT305" i="1"/>
  <c r="CJ305" i="1" s="1"/>
  <c r="BT306" i="1"/>
  <c r="CJ306" i="1" s="1"/>
  <c r="BT207" i="1"/>
  <c r="CJ207" i="1" s="1"/>
  <c r="BT217" i="1"/>
  <c r="CJ217" i="1" s="1"/>
  <c r="BT309" i="1"/>
  <c r="CJ309" i="1" s="1"/>
  <c r="BT199" i="1"/>
  <c r="CJ199" i="1" s="1"/>
  <c r="BT310" i="1"/>
  <c r="CJ310" i="1" s="1"/>
  <c r="BT311" i="1"/>
  <c r="CJ311" i="1" s="1"/>
  <c r="BT313" i="1"/>
  <c r="CJ313" i="1" s="1"/>
  <c r="BT315" i="1"/>
  <c r="CJ315" i="1" s="1"/>
  <c r="BT316" i="1"/>
  <c r="CJ316" i="1" s="1"/>
  <c r="BT190" i="1"/>
  <c r="CJ190" i="1" s="1"/>
  <c r="BT317" i="1"/>
  <c r="CJ317" i="1" s="1"/>
  <c r="BT318" i="1"/>
  <c r="CJ318" i="1" s="1"/>
  <c r="BT319" i="1"/>
  <c r="CJ319" i="1" s="1"/>
  <c r="BT227" i="1"/>
  <c r="CJ227" i="1" s="1"/>
  <c r="BT222" i="1"/>
  <c r="CJ222" i="1" s="1"/>
  <c r="BT201" i="1"/>
  <c r="CJ201" i="1" s="1"/>
  <c r="BT322" i="1"/>
  <c r="CJ322" i="1" s="1"/>
  <c r="BT172" i="1"/>
  <c r="CJ172" i="1" s="1"/>
  <c r="BT324" i="1"/>
  <c r="CJ324" i="1" s="1"/>
  <c r="BT325" i="1"/>
  <c r="CJ325" i="1" s="1"/>
  <c r="BT326" i="1"/>
  <c r="CJ326" i="1" s="1"/>
  <c r="BT229" i="1"/>
  <c r="CJ229" i="1" s="1"/>
  <c r="BT202" i="1"/>
  <c r="CJ202" i="1" s="1"/>
  <c r="BT328" i="1"/>
  <c r="CJ328" i="1" s="1"/>
  <c r="BT185" i="1"/>
  <c r="CJ185" i="1" s="1"/>
  <c r="BT329" i="1"/>
  <c r="CJ329" i="1" s="1"/>
  <c r="BT330" i="1"/>
  <c r="CJ330" i="1" s="1"/>
  <c r="BT331" i="1"/>
  <c r="CJ331" i="1" s="1"/>
  <c r="BT332" i="1"/>
  <c r="CJ332" i="1" s="1"/>
  <c r="BT209" i="1"/>
  <c r="CJ209" i="1" s="1"/>
  <c r="BT333" i="1"/>
  <c r="CJ333" i="1" s="1"/>
  <c r="BT218" i="1"/>
  <c r="CJ218" i="1" s="1"/>
  <c r="BT334" i="1"/>
  <c r="CJ334" i="1" s="1"/>
  <c r="BT335" i="1"/>
  <c r="CJ335" i="1" s="1"/>
  <c r="BT336" i="1"/>
  <c r="CJ336" i="1" s="1"/>
  <c r="BT337" i="1"/>
  <c r="CJ337" i="1" s="1"/>
  <c r="BT338" i="1"/>
  <c r="CJ338" i="1" s="1"/>
  <c r="BT339" i="1"/>
  <c r="CJ339" i="1" s="1"/>
  <c r="BT340" i="1"/>
  <c r="CJ340" i="1" s="1"/>
  <c r="BT186" i="1"/>
  <c r="CJ186" i="1" s="1"/>
  <c r="BT341" i="1"/>
  <c r="CJ341" i="1" s="1"/>
  <c r="BT343" i="1"/>
  <c r="CJ343" i="1" s="1"/>
  <c r="BT344" i="1"/>
  <c r="CJ344" i="1" s="1"/>
  <c r="BT345" i="1"/>
  <c r="CJ345" i="1" s="1"/>
  <c r="BT348" i="1"/>
  <c r="CJ348" i="1" s="1"/>
  <c r="BT349" i="1"/>
  <c r="CJ349" i="1" s="1"/>
  <c r="BT350" i="1"/>
  <c r="CJ350" i="1" s="1"/>
  <c r="BT351" i="1"/>
  <c r="CJ351" i="1" s="1"/>
  <c r="BT355" i="1"/>
  <c r="CJ355" i="1" s="1"/>
  <c r="BT187" i="1"/>
  <c r="CJ187" i="1" s="1"/>
  <c r="BT356" i="1"/>
  <c r="CJ356" i="1" s="1"/>
  <c r="BT169" i="1"/>
  <c r="CJ169" i="1" s="1"/>
  <c r="BT358" i="1"/>
  <c r="CJ358" i="1" s="1"/>
  <c r="BT364" i="1"/>
  <c r="CJ364" i="1" s="1"/>
  <c r="BT365" i="1"/>
  <c r="CJ365" i="1" s="1"/>
  <c r="BT367" i="1"/>
  <c r="CJ367" i="1" s="1"/>
  <c r="BT368" i="1"/>
  <c r="CJ368" i="1" s="1"/>
  <c r="BT370" i="1"/>
  <c r="CJ370" i="1" s="1"/>
  <c r="BT372" i="1"/>
  <c r="CJ372" i="1" s="1"/>
  <c r="BT173" i="1"/>
  <c r="CJ173" i="1" s="1"/>
  <c r="BT376" i="1"/>
  <c r="CJ376" i="1" s="1"/>
  <c r="BT178" i="1"/>
  <c r="CJ178" i="1" s="1"/>
  <c r="BT342" i="1"/>
  <c r="CJ342" i="1" s="1"/>
  <c r="BT377" i="1"/>
  <c r="CJ377" i="1" s="1"/>
  <c r="BT188" i="1"/>
  <c r="CJ188" i="1" s="1"/>
  <c r="BT213" i="1"/>
  <c r="CJ213" i="1" s="1"/>
  <c r="BT249" i="1"/>
  <c r="CJ249" i="1" s="1"/>
  <c r="BT282" i="1"/>
  <c r="CJ282" i="1" s="1"/>
  <c r="BT258" i="1"/>
  <c r="CJ258" i="1" s="1"/>
  <c r="BT259" i="1"/>
  <c r="CJ259" i="1" s="1"/>
  <c r="BT261" i="1"/>
  <c r="CJ261" i="1" s="1"/>
  <c r="BT268" i="1"/>
  <c r="CJ268" i="1" s="1"/>
  <c r="BT269" i="1"/>
  <c r="CJ269" i="1" s="1"/>
  <c r="BT271" i="1"/>
  <c r="CJ271" i="1" s="1"/>
  <c r="BT275" i="1"/>
  <c r="CJ275" i="1" s="1"/>
  <c r="BT208" i="1"/>
  <c r="CJ208" i="1" s="1"/>
  <c r="BT321" i="1"/>
  <c r="CJ321" i="1" s="1"/>
  <c r="BT195" i="1"/>
  <c r="CJ195" i="1" s="1"/>
  <c r="BT263" i="1"/>
  <c r="CJ263" i="1" s="1"/>
  <c r="BT236" i="1"/>
  <c r="CJ236" i="1" s="1"/>
  <c r="BT239" i="1"/>
  <c r="CJ239" i="1" s="1"/>
  <c r="BT240" i="1"/>
  <c r="CJ240" i="1" s="1"/>
  <c r="BT253" i="1"/>
  <c r="CJ253" i="1" s="1"/>
  <c r="BT265" i="1"/>
  <c r="CJ265" i="1" s="1"/>
  <c r="BT231" i="1"/>
  <c r="CJ231" i="1" s="1"/>
  <c r="BT232" i="1"/>
  <c r="CJ232" i="1" s="1"/>
  <c r="BT233" i="1"/>
  <c r="CJ233" i="1" s="1"/>
  <c r="BT234" i="1"/>
  <c r="CJ234" i="1" s="1"/>
  <c r="BT235" i="1"/>
  <c r="CJ235" i="1" s="1"/>
  <c r="BT241" i="1"/>
  <c r="CJ241" i="1" s="1"/>
  <c r="BT242" i="1"/>
  <c r="CJ242" i="1" s="1"/>
  <c r="BT246" i="1"/>
  <c r="CJ246" i="1" s="1"/>
  <c r="BT250" i="1"/>
  <c r="CJ250" i="1" s="1"/>
  <c r="BT252" i="1"/>
  <c r="CJ252" i="1" s="1"/>
  <c r="BT283" i="1"/>
  <c r="CJ283" i="1" s="1"/>
  <c r="BT245" i="1"/>
  <c r="CJ245" i="1" s="1"/>
  <c r="BT237" i="1"/>
  <c r="CJ237" i="1" s="1"/>
  <c r="BT280" i="1"/>
  <c r="CJ280" i="1" s="1"/>
  <c r="BT192" i="1"/>
  <c r="CJ192" i="1" s="1"/>
  <c r="BT22" i="1"/>
  <c r="CJ22" i="1" s="1"/>
  <c r="BS110" i="1"/>
  <c r="CI110" i="1" s="1"/>
  <c r="BS18" i="1"/>
  <c r="CI18" i="1" s="1"/>
  <c r="BS12" i="1"/>
  <c r="CI12" i="1" s="1"/>
  <c r="BS116" i="1"/>
  <c r="CI116" i="1" s="1"/>
  <c r="BS2" i="1"/>
  <c r="CI2" i="1" s="1"/>
  <c r="BS312" i="1"/>
  <c r="CI312" i="1" s="1"/>
  <c r="BS179" i="1"/>
  <c r="CI179" i="1" s="1"/>
  <c r="BS57" i="1"/>
  <c r="CI57" i="1" s="1"/>
  <c r="BS118" i="1"/>
  <c r="CI118" i="1" s="1"/>
  <c r="BS52" i="1"/>
  <c r="CI52" i="1" s="1"/>
  <c r="BS157" i="1"/>
  <c r="CI157" i="1" s="1"/>
  <c r="BS98" i="1"/>
  <c r="CI98" i="1" s="1"/>
  <c r="BS112" i="1"/>
  <c r="CI112" i="1" s="1"/>
  <c r="BS54" i="1"/>
  <c r="CI54" i="1" s="1"/>
  <c r="BS165" i="1"/>
  <c r="CI165" i="1" s="1"/>
  <c r="BS182" i="1"/>
  <c r="CI182" i="1" s="1"/>
  <c r="BS150" i="1"/>
  <c r="CI150" i="1" s="1"/>
  <c r="BS277" i="1"/>
  <c r="CI277" i="1" s="1"/>
  <c r="BS279" i="1"/>
  <c r="CI279" i="1" s="1"/>
  <c r="BS216" i="1"/>
  <c r="CI216" i="1" s="1"/>
  <c r="BS287" i="1"/>
  <c r="CI287" i="1" s="1"/>
  <c r="BS293" i="1"/>
  <c r="CI293" i="1" s="1"/>
  <c r="BS210" i="1"/>
  <c r="CI210" i="1" s="1"/>
  <c r="BS230" i="1"/>
  <c r="CI230" i="1" s="1"/>
  <c r="BS189" i="1"/>
  <c r="CI189" i="1" s="1"/>
  <c r="BS220" i="1"/>
  <c r="CI220" i="1" s="1"/>
  <c r="BS181" i="1"/>
  <c r="CI181" i="1" s="1"/>
  <c r="BS175" i="1"/>
  <c r="CI175" i="1" s="1"/>
  <c r="BS307" i="1"/>
  <c r="CI307" i="1" s="1"/>
  <c r="BS308" i="1"/>
  <c r="CI308" i="1" s="1"/>
  <c r="BS314" i="1"/>
  <c r="CI314" i="1" s="1"/>
  <c r="BS320" i="1"/>
  <c r="CI320" i="1" s="1"/>
  <c r="BS219" i="1"/>
  <c r="CI219" i="1" s="1"/>
  <c r="BS323" i="1"/>
  <c r="CI323" i="1" s="1"/>
  <c r="BS327" i="1"/>
  <c r="CI327" i="1" s="1"/>
  <c r="BS212" i="1"/>
  <c r="CI212" i="1" s="1"/>
  <c r="BS225" i="1"/>
  <c r="CI225" i="1" s="1"/>
  <c r="BS214" i="1"/>
  <c r="CI214" i="1" s="1"/>
  <c r="BS346" i="1"/>
  <c r="CI346" i="1" s="1"/>
  <c r="BS347" i="1"/>
  <c r="CI347" i="1" s="1"/>
  <c r="BS205" i="1"/>
  <c r="CI205" i="1" s="1"/>
  <c r="BS226" i="1"/>
  <c r="CI226" i="1" s="1"/>
  <c r="BS352" i="1"/>
  <c r="CI352" i="1" s="1"/>
  <c r="BS196" i="1"/>
  <c r="CI196" i="1" s="1"/>
  <c r="BS353" i="1"/>
  <c r="CI353" i="1" s="1"/>
  <c r="BS354" i="1"/>
  <c r="CI354" i="1" s="1"/>
  <c r="BS357" i="1"/>
  <c r="CI357" i="1" s="1"/>
  <c r="BS359" i="1"/>
  <c r="CI359" i="1" s="1"/>
  <c r="BS360" i="1"/>
  <c r="CI360" i="1" s="1"/>
  <c r="BS361" i="1"/>
  <c r="CI361" i="1" s="1"/>
  <c r="BS363" i="1"/>
  <c r="CI363" i="1" s="1"/>
  <c r="BS366" i="1"/>
  <c r="CI366" i="1" s="1"/>
  <c r="BS160" i="1"/>
  <c r="CI160" i="1" s="1"/>
  <c r="BS369" i="1"/>
  <c r="CI369" i="1" s="1"/>
  <c r="BS371" i="1"/>
  <c r="CI371" i="1" s="1"/>
  <c r="BS373" i="1"/>
  <c r="CI373" i="1" s="1"/>
  <c r="BS374" i="1"/>
  <c r="CI374" i="1" s="1"/>
  <c r="BS228" i="1"/>
  <c r="CI228" i="1" s="1"/>
  <c r="BS168" i="1"/>
  <c r="CI168" i="1" s="1"/>
  <c r="BS194" i="1"/>
  <c r="CI194" i="1" s="1"/>
  <c r="BS221" i="1"/>
  <c r="CI221" i="1" s="1"/>
  <c r="BS211" i="1"/>
  <c r="CI211" i="1" s="1"/>
  <c r="BS379" i="1"/>
  <c r="CI379" i="1" s="1"/>
  <c r="BS166" i="1"/>
  <c r="CI166" i="1" s="1"/>
  <c r="BS198" i="1"/>
  <c r="CI198" i="1" s="1"/>
  <c r="BS204" i="1"/>
  <c r="CI204" i="1" s="1"/>
  <c r="BS200" i="1"/>
  <c r="CI200" i="1" s="1"/>
  <c r="BS380" i="1"/>
  <c r="CI380" i="1" s="1"/>
  <c r="BS381" i="1"/>
  <c r="CI381" i="1" s="1"/>
  <c r="BS97" i="1"/>
  <c r="CI97" i="1" s="1"/>
  <c r="BS38" i="1"/>
  <c r="CI38" i="1" s="1"/>
  <c r="BS128" i="1"/>
  <c r="CI128" i="1" s="1"/>
  <c r="BS92" i="1"/>
  <c r="CI92" i="1" s="1"/>
  <c r="BS215" i="1"/>
  <c r="CI215" i="1" s="1"/>
  <c r="BS83" i="1"/>
  <c r="CI83" i="1" s="1"/>
  <c r="BS180" i="1"/>
  <c r="CI180" i="1" s="1"/>
  <c r="BS134" i="1"/>
  <c r="CI134" i="1" s="1"/>
  <c r="BS183" i="1"/>
  <c r="CI183" i="1" s="1"/>
  <c r="BS144" i="1"/>
  <c r="CI144" i="1" s="1"/>
  <c r="BS153" i="1"/>
  <c r="CI153" i="1" s="1"/>
  <c r="BS158" i="1"/>
  <c r="CI158" i="1" s="1"/>
  <c r="BS114" i="1"/>
  <c r="CI114" i="1" s="1"/>
  <c r="BS137" i="1"/>
  <c r="CI137" i="1" s="1"/>
  <c r="BS152" i="1"/>
  <c r="CI152" i="1" s="1"/>
  <c r="BS149" i="1"/>
  <c r="CI149" i="1" s="1"/>
  <c r="BS64" i="1"/>
  <c r="CI64" i="1" s="1"/>
  <c r="BS133" i="1"/>
  <c r="CI133" i="1" s="1"/>
  <c r="BS161" i="1"/>
  <c r="CI161" i="1" s="1"/>
  <c r="BS46" i="1"/>
  <c r="CI46" i="1" s="1"/>
  <c r="BS171" i="1"/>
  <c r="CI171" i="1" s="1"/>
  <c r="BS120" i="1"/>
  <c r="CI120" i="1" s="1"/>
  <c r="BS159" i="1"/>
  <c r="CI159" i="1" s="1"/>
  <c r="BS109" i="1"/>
  <c r="CI109" i="1" s="1"/>
  <c r="BS145" i="1"/>
  <c r="CI145" i="1" s="1"/>
  <c r="BS142" i="1"/>
  <c r="CI142" i="1" s="1"/>
  <c r="BS24" i="1"/>
  <c r="CI24" i="1" s="1"/>
  <c r="BS140" i="1"/>
  <c r="CI140" i="1" s="1"/>
  <c r="BS124" i="1"/>
  <c r="CI124" i="1" s="1"/>
  <c r="BS59" i="1"/>
  <c r="CI59" i="1" s="1"/>
  <c r="BS23" i="1"/>
  <c r="CI23" i="1" s="1"/>
  <c r="BS113" i="1"/>
  <c r="CI113" i="1" s="1"/>
  <c r="BS105" i="1"/>
  <c r="CI105" i="1" s="1"/>
  <c r="BS177" i="1"/>
  <c r="CI177" i="1" s="1"/>
  <c r="BS90" i="1"/>
  <c r="CI90" i="1" s="1"/>
  <c r="BS122" i="1"/>
  <c r="CI122" i="1" s="1"/>
  <c r="BS119" i="1"/>
  <c r="CI119" i="1" s="1"/>
  <c r="BS73" i="1"/>
  <c r="CI73" i="1" s="1"/>
  <c r="BS156" i="1"/>
  <c r="CI156" i="1" s="1"/>
  <c r="BS130" i="1"/>
  <c r="CI130" i="1" s="1"/>
  <c r="BS127" i="1"/>
  <c r="CI127" i="1" s="1"/>
  <c r="BS167" i="1"/>
  <c r="CI167" i="1" s="1"/>
  <c r="BS136" i="1"/>
  <c r="CI136" i="1" s="1"/>
  <c r="BS81" i="1"/>
  <c r="CI81" i="1" s="1"/>
  <c r="BS163" i="1"/>
  <c r="CI163" i="1" s="1"/>
  <c r="BS91" i="1"/>
  <c r="CI91" i="1" s="1"/>
  <c r="BS67" i="1"/>
  <c r="CI67" i="1" s="1"/>
  <c r="BS206" i="1"/>
  <c r="CI206" i="1" s="1"/>
  <c r="BS138" i="1"/>
  <c r="CI138" i="1" s="1"/>
  <c r="BS155" i="1"/>
  <c r="CI155" i="1" s="1"/>
  <c r="BS66" i="1"/>
  <c r="CI66" i="1" s="1"/>
  <c r="BS147" i="1"/>
  <c r="CI147" i="1" s="1"/>
  <c r="BS55" i="1"/>
  <c r="CI55" i="1" s="1"/>
  <c r="BS37" i="1"/>
  <c r="CI37" i="1" s="1"/>
  <c r="BS164" i="1"/>
  <c r="CI164" i="1" s="1"/>
  <c r="BS126" i="1"/>
  <c r="CI126" i="1" s="1"/>
  <c r="BS44" i="1"/>
  <c r="CI44" i="1" s="1"/>
  <c r="BS29" i="1"/>
  <c r="CI29" i="1" s="1"/>
  <c r="BS146" i="1"/>
  <c r="CI146" i="1" s="1"/>
  <c r="BS69" i="1"/>
  <c r="CI69" i="1" s="1"/>
  <c r="BS197" i="1"/>
  <c r="CI197" i="1" s="1"/>
  <c r="BS85" i="1"/>
  <c r="CI85" i="1" s="1"/>
  <c r="BS108" i="1"/>
  <c r="CI108" i="1" s="1"/>
  <c r="BS123" i="1"/>
  <c r="CI123" i="1" s="1"/>
  <c r="BS33" i="1"/>
  <c r="CI33" i="1" s="1"/>
  <c r="BS71" i="1"/>
  <c r="CI71" i="1" s="1"/>
  <c r="BS129" i="1"/>
  <c r="CI129" i="1" s="1"/>
  <c r="BS162" i="1"/>
  <c r="CI162" i="1" s="1"/>
  <c r="BS36" i="1"/>
  <c r="CI36" i="1" s="1"/>
  <c r="BS63" i="1"/>
  <c r="CI63" i="1" s="1"/>
  <c r="BS3" i="1"/>
  <c r="CI3" i="1" s="1"/>
  <c r="BS139" i="1"/>
  <c r="CI139" i="1" s="1"/>
  <c r="BS125" i="1"/>
  <c r="CI125" i="1" s="1"/>
  <c r="BS19" i="1"/>
  <c r="CI19" i="1" s="1"/>
  <c r="BS151" i="1"/>
  <c r="CI151" i="1" s="1"/>
  <c r="BS74" i="1"/>
  <c r="CI74" i="1" s="1"/>
  <c r="BS86" i="1"/>
  <c r="CI86" i="1" s="1"/>
  <c r="BS16" i="1"/>
  <c r="CI16" i="1" s="1"/>
  <c r="BS34" i="1"/>
  <c r="CI34" i="1" s="1"/>
  <c r="BS96" i="1"/>
  <c r="CI96" i="1" s="1"/>
  <c r="BS40" i="1"/>
  <c r="CI40" i="1" s="1"/>
  <c r="BS53" i="1"/>
  <c r="CI53" i="1" s="1"/>
  <c r="BS6" i="1"/>
  <c r="CI6" i="1" s="1"/>
  <c r="BS141" i="1"/>
  <c r="CI141" i="1" s="1"/>
  <c r="BS60" i="1"/>
  <c r="CI60" i="1" s="1"/>
  <c r="BS135" i="1"/>
  <c r="CI135" i="1" s="1"/>
  <c r="BS79" i="1"/>
  <c r="CI79" i="1" s="1"/>
  <c r="BS82" i="1"/>
  <c r="CI82" i="1" s="1"/>
  <c r="BS131" i="1"/>
  <c r="CI131" i="1" s="1"/>
  <c r="BS102" i="1"/>
  <c r="CI102" i="1" s="1"/>
  <c r="BS84" i="1"/>
  <c r="CI84" i="1" s="1"/>
  <c r="BS31" i="1"/>
  <c r="CI31" i="1" s="1"/>
  <c r="BS132" i="1"/>
  <c r="CI132" i="1" s="1"/>
  <c r="BS104" i="1"/>
  <c r="CI104" i="1" s="1"/>
  <c r="BS14" i="1"/>
  <c r="CI14" i="1" s="1"/>
  <c r="BS30" i="1"/>
  <c r="CI30" i="1" s="1"/>
  <c r="BS11" i="1"/>
  <c r="CI11" i="1" s="1"/>
  <c r="BS87" i="1"/>
  <c r="CI87" i="1" s="1"/>
  <c r="BS26" i="1"/>
  <c r="CI26" i="1" s="1"/>
  <c r="BS117" i="1"/>
  <c r="CI117" i="1" s="1"/>
  <c r="BS27" i="1"/>
  <c r="CI27" i="1" s="1"/>
  <c r="BS5" i="1"/>
  <c r="CI5" i="1" s="1"/>
  <c r="BS76" i="1"/>
  <c r="CI76" i="1" s="1"/>
  <c r="BS35" i="1"/>
  <c r="CI35" i="1" s="1"/>
  <c r="BS72" i="1"/>
  <c r="CI72" i="1" s="1"/>
  <c r="BS58" i="1"/>
  <c r="CI58" i="1" s="1"/>
  <c r="BS47" i="1"/>
  <c r="CI47" i="1" s="1"/>
  <c r="BS88" i="1"/>
  <c r="CI88" i="1" s="1"/>
  <c r="BS111" i="1"/>
  <c r="CI111" i="1" s="1"/>
  <c r="BS70" i="1"/>
  <c r="CI70" i="1" s="1"/>
  <c r="BS39" i="1"/>
  <c r="CI39" i="1" s="1"/>
  <c r="BS89" i="1"/>
  <c r="CI89" i="1" s="1"/>
  <c r="BS51" i="1"/>
  <c r="CI51" i="1" s="1"/>
  <c r="BS25" i="1"/>
  <c r="CI25" i="1" s="1"/>
  <c r="BS7" i="1"/>
  <c r="CI7" i="1" s="1"/>
  <c r="BS56" i="1"/>
  <c r="CI56" i="1" s="1"/>
  <c r="BS45" i="1"/>
  <c r="CI45" i="1" s="1"/>
  <c r="BS68" i="1"/>
  <c r="CI68" i="1" s="1"/>
  <c r="BS50" i="1"/>
  <c r="CI50" i="1" s="1"/>
  <c r="BS107" i="1"/>
  <c r="CI107" i="1" s="1"/>
  <c r="BS8" i="1"/>
  <c r="CI8" i="1" s="1"/>
  <c r="BS49" i="1"/>
  <c r="CI49" i="1" s="1"/>
  <c r="BS77" i="1"/>
  <c r="CI77" i="1" s="1"/>
  <c r="BS62" i="1"/>
  <c r="CI62" i="1" s="1"/>
  <c r="BS48" i="1"/>
  <c r="CI48" i="1" s="1"/>
  <c r="BS20" i="1"/>
  <c r="CI20" i="1" s="1"/>
  <c r="BS148" i="1"/>
  <c r="CI148" i="1" s="1"/>
  <c r="BS4" i="1"/>
  <c r="CI4" i="1" s="1"/>
  <c r="BS378" i="1"/>
  <c r="CI378" i="1" s="1"/>
  <c r="BS115" i="1"/>
  <c r="CI115" i="1" s="1"/>
  <c r="BS94" i="1"/>
  <c r="CI94" i="1" s="1"/>
  <c r="BS176" i="1"/>
  <c r="CI176" i="1" s="1"/>
  <c r="BS100" i="1"/>
  <c r="CI100" i="1" s="1"/>
  <c r="BS375" i="1"/>
  <c r="CI375" i="1" s="1"/>
  <c r="BS10" i="1"/>
  <c r="CI10" i="1" s="1"/>
  <c r="BS65" i="1"/>
  <c r="CI65" i="1" s="1"/>
  <c r="BS103" i="1"/>
  <c r="CI103" i="1" s="1"/>
  <c r="BS154" i="1"/>
  <c r="CI154" i="1" s="1"/>
  <c r="BS17" i="1"/>
  <c r="CI17" i="1" s="1"/>
  <c r="BS43" i="1"/>
  <c r="CI43" i="1" s="1"/>
  <c r="BS80" i="1"/>
  <c r="CI80" i="1" s="1"/>
  <c r="BS174" i="1"/>
  <c r="CI174" i="1" s="1"/>
  <c r="BS101" i="1"/>
  <c r="CI101" i="1" s="1"/>
  <c r="BS143" i="1"/>
  <c r="CI143" i="1" s="1"/>
  <c r="BS15" i="1"/>
  <c r="CI15" i="1" s="1"/>
  <c r="BS121" i="1"/>
  <c r="CI121" i="1" s="1"/>
  <c r="BS42" i="1"/>
  <c r="CI42" i="1" s="1"/>
  <c r="BS95" i="1"/>
  <c r="CI95" i="1" s="1"/>
  <c r="BS93" i="1"/>
  <c r="CI93" i="1" s="1"/>
  <c r="BS99" i="1"/>
  <c r="CI99" i="1" s="1"/>
  <c r="BS61" i="1"/>
  <c r="CI61" i="1" s="1"/>
  <c r="BS9" i="1"/>
  <c r="CI9" i="1" s="1"/>
  <c r="BS75" i="1"/>
  <c r="CI75" i="1" s="1"/>
  <c r="BS78" i="1"/>
  <c r="CI78" i="1" s="1"/>
  <c r="BS106" i="1"/>
  <c r="CI106" i="1" s="1"/>
  <c r="BS21" i="1"/>
  <c r="CI21" i="1" s="1"/>
  <c r="BS41" i="1"/>
  <c r="CI41" i="1" s="1"/>
  <c r="BS32" i="1"/>
  <c r="CI32" i="1" s="1"/>
  <c r="BS28" i="1"/>
  <c r="CI28" i="1" s="1"/>
  <c r="BS260" i="1"/>
  <c r="CI260" i="1" s="1"/>
  <c r="BS184" i="1"/>
  <c r="CI184" i="1" s="1"/>
  <c r="BS276" i="1"/>
  <c r="CI276" i="1" s="1"/>
  <c r="BS362" i="1"/>
  <c r="CI362" i="1" s="1"/>
  <c r="BS296" i="1"/>
  <c r="CI296" i="1" s="1"/>
  <c r="BS223" i="1"/>
  <c r="CI223" i="1" s="1"/>
  <c r="BS238" i="1"/>
  <c r="CI238" i="1" s="1"/>
  <c r="BS243" i="1"/>
  <c r="CI243" i="1" s="1"/>
  <c r="BS244" i="1"/>
  <c r="CI244" i="1" s="1"/>
  <c r="BS247" i="1"/>
  <c r="CI247" i="1" s="1"/>
  <c r="BS248" i="1"/>
  <c r="CI248" i="1" s="1"/>
  <c r="BS251" i="1"/>
  <c r="CI251" i="1" s="1"/>
  <c r="BS254" i="1"/>
  <c r="CI254" i="1" s="1"/>
  <c r="BS255" i="1"/>
  <c r="CI255" i="1" s="1"/>
  <c r="BS256" i="1"/>
  <c r="CI256" i="1" s="1"/>
  <c r="BS257" i="1"/>
  <c r="CI257" i="1" s="1"/>
  <c r="BS262" i="1"/>
  <c r="CI262" i="1" s="1"/>
  <c r="BS264" i="1"/>
  <c r="CI264" i="1" s="1"/>
  <c r="BS266" i="1"/>
  <c r="CI266" i="1" s="1"/>
  <c r="BS267" i="1"/>
  <c r="CI267" i="1" s="1"/>
  <c r="BS270" i="1"/>
  <c r="CI270" i="1" s="1"/>
  <c r="BS272" i="1"/>
  <c r="CI272" i="1" s="1"/>
  <c r="BS273" i="1"/>
  <c r="CI273" i="1" s="1"/>
  <c r="BS274" i="1"/>
  <c r="CI274" i="1" s="1"/>
  <c r="BS278" i="1"/>
  <c r="CI278" i="1" s="1"/>
  <c r="BS281" i="1"/>
  <c r="CI281" i="1" s="1"/>
  <c r="BS284" i="1"/>
  <c r="CI284" i="1" s="1"/>
  <c r="BS285" i="1"/>
  <c r="CI285" i="1" s="1"/>
  <c r="BS286" i="1"/>
  <c r="CI286" i="1" s="1"/>
  <c r="BS288" i="1"/>
  <c r="CI288" i="1" s="1"/>
  <c r="BS289" i="1"/>
  <c r="CI289" i="1" s="1"/>
  <c r="BS290" i="1"/>
  <c r="CI290" i="1" s="1"/>
  <c r="BS291" i="1"/>
  <c r="CI291" i="1" s="1"/>
  <c r="BS191" i="1"/>
  <c r="CI191" i="1" s="1"/>
  <c r="BS292" i="1"/>
  <c r="CI292" i="1" s="1"/>
  <c r="BS294" i="1"/>
  <c r="CI294" i="1" s="1"/>
  <c r="BS295" i="1"/>
  <c r="CI295" i="1" s="1"/>
  <c r="BS297" i="1"/>
  <c r="CI297" i="1" s="1"/>
  <c r="BS298" i="1"/>
  <c r="CI298" i="1" s="1"/>
  <c r="BS299" i="1"/>
  <c r="CI299" i="1" s="1"/>
  <c r="BS203" i="1"/>
  <c r="CI203" i="1" s="1"/>
  <c r="BS170" i="1"/>
  <c r="CI170" i="1" s="1"/>
  <c r="BS193" i="1"/>
  <c r="CI193" i="1" s="1"/>
  <c r="BS300" i="1"/>
  <c r="CI300" i="1" s="1"/>
  <c r="BS301" i="1"/>
  <c r="CI301" i="1" s="1"/>
  <c r="BS302" i="1"/>
  <c r="CI302" i="1" s="1"/>
  <c r="BS303" i="1"/>
  <c r="CI303" i="1" s="1"/>
  <c r="BS304" i="1"/>
  <c r="CI304" i="1" s="1"/>
  <c r="BS224" i="1"/>
  <c r="CI224" i="1" s="1"/>
  <c r="BS305" i="1"/>
  <c r="CI305" i="1" s="1"/>
  <c r="BS306" i="1"/>
  <c r="CI306" i="1" s="1"/>
  <c r="BS207" i="1"/>
  <c r="CI207" i="1" s="1"/>
  <c r="BS217" i="1"/>
  <c r="CI217" i="1" s="1"/>
  <c r="BS309" i="1"/>
  <c r="CI309" i="1" s="1"/>
  <c r="BS199" i="1"/>
  <c r="CI199" i="1" s="1"/>
  <c r="BS310" i="1"/>
  <c r="CI310" i="1" s="1"/>
  <c r="BS311" i="1"/>
  <c r="CI311" i="1" s="1"/>
  <c r="BS313" i="1"/>
  <c r="CI313" i="1" s="1"/>
  <c r="BS315" i="1"/>
  <c r="CI315" i="1" s="1"/>
  <c r="BS316" i="1"/>
  <c r="CI316" i="1" s="1"/>
  <c r="BS190" i="1"/>
  <c r="CI190" i="1" s="1"/>
  <c r="BS317" i="1"/>
  <c r="CI317" i="1" s="1"/>
  <c r="BS318" i="1"/>
  <c r="CI318" i="1" s="1"/>
  <c r="BS319" i="1"/>
  <c r="CI319" i="1" s="1"/>
  <c r="BS227" i="1"/>
  <c r="CI227" i="1" s="1"/>
  <c r="BS222" i="1"/>
  <c r="CI222" i="1" s="1"/>
  <c r="BS201" i="1"/>
  <c r="CI201" i="1" s="1"/>
  <c r="BS322" i="1"/>
  <c r="CI322" i="1" s="1"/>
  <c r="BS172" i="1"/>
  <c r="CI172" i="1" s="1"/>
  <c r="BS324" i="1"/>
  <c r="CI324" i="1" s="1"/>
  <c r="BS325" i="1"/>
  <c r="CI325" i="1" s="1"/>
  <c r="BS326" i="1"/>
  <c r="CI326" i="1" s="1"/>
  <c r="BS229" i="1"/>
  <c r="CI229" i="1" s="1"/>
  <c r="BS202" i="1"/>
  <c r="CI202" i="1" s="1"/>
  <c r="BS328" i="1"/>
  <c r="CI328" i="1" s="1"/>
  <c r="BS185" i="1"/>
  <c r="CI185" i="1" s="1"/>
  <c r="BS329" i="1"/>
  <c r="CI329" i="1" s="1"/>
  <c r="BS330" i="1"/>
  <c r="CI330" i="1" s="1"/>
  <c r="BS331" i="1"/>
  <c r="CI331" i="1" s="1"/>
  <c r="BS332" i="1"/>
  <c r="CI332" i="1" s="1"/>
  <c r="BS209" i="1"/>
  <c r="CI209" i="1" s="1"/>
  <c r="BS333" i="1"/>
  <c r="CI333" i="1" s="1"/>
  <c r="BS218" i="1"/>
  <c r="CI218" i="1" s="1"/>
  <c r="BS334" i="1"/>
  <c r="CI334" i="1" s="1"/>
  <c r="BS335" i="1"/>
  <c r="CI335" i="1" s="1"/>
  <c r="BS336" i="1"/>
  <c r="CI336" i="1" s="1"/>
  <c r="BS337" i="1"/>
  <c r="CI337" i="1" s="1"/>
  <c r="BS338" i="1"/>
  <c r="CI338" i="1" s="1"/>
  <c r="BS339" i="1"/>
  <c r="CI339" i="1" s="1"/>
  <c r="BS340" i="1"/>
  <c r="CI340" i="1" s="1"/>
  <c r="BS186" i="1"/>
  <c r="CI186" i="1" s="1"/>
  <c r="BS341" i="1"/>
  <c r="CI341" i="1" s="1"/>
  <c r="BS343" i="1"/>
  <c r="CI343" i="1" s="1"/>
  <c r="BS344" i="1"/>
  <c r="CI344" i="1" s="1"/>
  <c r="BS345" i="1"/>
  <c r="CI345" i="1" s="1"/>
  <c r="BS348" i="1"/>
  <c r="CI348" i="1" s="1"/>
  <c r="BS349" i="1"/>
  <c r="CI349" i="1" s="1"/>
  <c r="BS350" i="1"/>
  <c r="CI350" i="1" s="1"/>
  <c r="BS351" i="1"/>
  <c r="CI351" i="1" s="1"/>
  <c r="BS355" i="1"/>
  <c r="CI355" i="1" s="1"/>
  <c r="BS187" i="1"/>
  <c r="CI187" i="1" s="1"/>
  <c r="BS356" i="1"/>
  <c r="CI356" i="1" s="1"/>
  <c r="BS169" i="1"/>
  <c r="CI169" i="1" s="1"/>
  <c r="BS358" i="1"/>
  <c r="CI358" i="1" s="1"/>
  <c r="BS364" i="1"/>
  <c r="CI364" i="1" s="1"/>
  <c r="BS365" i="1"/>
  <c r="CI365" i="1" s="1"/>
  <c r="BS367" i="1"/>
  <c r="CI367" i="1" s="1"/>
  <c r="BS368" i="1"/>
  <c r="CI368" i="1" s="1"/>
  <c r="BS370" i="1"/>
  <c r="CI370" i="1" s="1"/>
  <c r="BS372" i="1"/>
  <c r="CI372" i="1" s="1"/>
  <c r="BS173" i="1"/>
  <c r="CI173" i="1" s="1"/>
  <c r="BS376" i="1"/>
  <c r="CI376" i="1" s="1"/>
  <c r="BS178" i="1"/>
  <c r="CI178" i="1" s="1"/>
  <c r="BS342" i="1"/>
  <c r="CI342" i="1" s="1"/>
  <c r="BS377" i="1"/>
  <c r="CI377" i="1" s="1"/>
  <c r="BS188" i="1"/>
  <c r="CI188" i="1" s="1"/>
  <c r="BS213" i="1"/>
  <c r="CI213" i="1" s="1"/>
  <c r="BS249" i="1"/>
  <c r="CI249" i="1" s="1"/>
  <c r="BS282" i="1"/>
  <c r="CI282" i="1" s="1"/>
  <c r="BS258" i="1"/>
  <c r="CI258" i="1" s="1"/>
  <c r="BS259" i="1"/>
  <c r="CI259" i="1" s="1"/>
  <c r="BS261" i="1"/>
  <c r="CI261" i="1" s="1"/>
  <c r="BS268" i="1"/>
  <c r="CI268" i="1" s="1"/>
  <c r="BS269" i="1"/>
  <c r="CI269" i="1" s="1"/>
  <c r="BS271" i="1"/>
  <c r="CI271" i="1" s="1"/>
  <c r="BS275" i="1"/>
  <c r="CI275" i="1" s="1"/>
  <c r="BS208" i="1"/>
  <c r="CI208" i="1" s="1"/>
  <c r="BS321" i="1"/>
  <c r="CI321" i="1" s="1"/>
  <c r="BS195" i="1"/>
  <c r="CI195" i="1" s="1"/>
  <c r="BS263" i="1"/>
  <c r="CI263" i="1" s="1"/>
  <c r="BS236" i="1"/>
  <c r="CI236" i="1" s="1"/>
  <c r="BS239" i="1"/>
  <c r="CI239" i="1" s="1"/>
  <c r="BS240" i="1"/>
  <c r="CI240" i="1" s="1"/>
  <c r="BS253" i="1"/>
  <c r="CI253" i="1" s="1"/>
  <c r="BS265" i="1"/>
  <c r="CI265" i="1" s="1"/>
  <c r="BS231" i="1"/>
  <c r="CI231" i="1" s="1"/>
  <c r="BS232" i="1"/>
  <c r="CI232" i="1" s="1"/>
  <c r="BS233" i="1"/>
  <c r="CI233" i="1" s="1"/>
  <c r="BS234" i="1"/>
  <c r="CI234" i="1" s="1"/>
  <c r="BS235" i="1"/>
  <c r="CI235" i="1" s="1"/>
  <c r="BS241" i="1"/>
  <c r="CI241" i="1" s="1"/>
  <c r="BS242" i="1"/>
  <c r="CI242" i="1" s="1"/>
  <c r="BS246" i="1"/>
  <c r="CI246" i="1" s="1"/>
  <c r="BS250" i="1"/>
  <c r="CI250" i="1" s="1"/>
  <c r="BS252" i="1"/>
  <c r="CI252" i="1" s="1"/>
  <c r="BS283" i="1"/>
  <c r="CI283" i="1" s="1"/>
  <c r="BS245" i="1"/>
  <c r="CI245" i="1" s="1"/>
  <c r="BS237" i="1"/>
  <c r="CI237" i="1" s="1"/>
  <c r="BS280" i="1"/>
  <c r="CI280" i="1" s="1"/>
  <c r="BS192" i="1"/>
  <c r="CI192" i="1" s="1"/>
  <c r="BS22" i="1"/>
  <c r="CI22" i="1" s="1"/>
  <c r="BS13" i="1"/>
  <c r="CI13" i="1" s="1"/>
  <c r="BT13" i="1"/>
  <c r="CJ13" i="1" s="1"/>
  <c r="BU13" i="1"/>
  <c r="CK13" i="1" s="1"/>
  <c r="BV13" i="1"/>
  <c r="CL13" i="1" s="1"/>
  <c r="BW13" i="1"/>
  <c r="CM13" i="1" s="1"/>
  <c r="BX13" i="1"/>
  <c r="CN13" i="1" s="1"/>
  <c r="BY13" i="1"/>
  <c r="CO13" i="1" s="1"/>
  <c r="BR110" i="1"/>
  <c r="BR18" i="1"/>
  <c r="BR12" i="1"/>
  <c r="BR116" i="1"/>
  <c r="BR2" i="1"/>
  <c r="BR312" i="1"/>
  <c r="BZ312" i="1" s="1"/>
  <c r="BR179" i="1"/>
  <c r="BR57" i="1"/>
  <c r="BR118" i="1"/>
  <c r="BR52" i="1"/>
  <c r="BR157" i="1"/>
  <c r="BR98" i="1"/>
  <c r="BR112" i="1"/>
  <c r="BR54" i="1"/>
  <c r="BR165" i="1"/>
  <c r="BR182" i="1"/>
  <c r="BR150" i="1"/>
  <c r="BR277" i="1"/>
  <c r="BZ277" i="1" s="1"/>
  <c r="BR279" i="1"/>
  <c r="BR216" i="1"/>
  <c r="BR287" i="1"/>
  <c r="BR293" i="1"/>
  <c r="BZ293" i="1" s="1"/>
  <c r="BR210" i="1"/>
  <c r="BR230" i="1"/>
  <c r="BR189" i="1"/>
  <c r="BR220" i="1"/>
  <c r="BR181" i="1"/>
  <c r="BR175" i="1"/>
  <c r="BR307" i="1"/>
  <c r="BR308" i="1"/>
  <c r="BZ308" i="1" s="1"/>
  <c r="BR314" i="1"/>
  <c r="BR320" i="1"/>
  <c r="BR219" i="1"/>
  <c r="BR323" i="1"/>
  <c r="BZ323" i="1" s="1"/>
  <c r="BR327" i="1"/>
  <c r="BR212" i="1"/>
  <c r="BR225" i="1"/>
  <c r="BR214" i="1"/>
  <c r="BR346" i="1"/>
  <c r="BR347" i="1"/>
  <c r="BR205" i="1"/>
  <c r="BR226" i="1"/>
  <c r="BR352" i="1"/>
  <c r="BR196" i="1"/>
  <c r="BR353" i="1"/>
  <c r="BR354" i="1"/>
  <c r="BZ354" i="1" s="1"/>
  <c r="BR357" i="1"/>
  <c r="BR359" i="1"/>
  <c r="BR360" i="1"/>
  <c r="BR361" i="1"/>
  <c r="BZ361" i="1" s="1"/>
  <c r="BR363" i="1"/>
  <c r="BR366" i="1"/>
  <c r="BR160" i="1"/>
  <c r="BR369" i="1"/>
  <c r="BZ369" i="1" s="1"/>
  <c r="BR371" i="1"/>
  <c r="BR373" i="1"/>
  <c r="BR374" i="1"/>
  <c r="BR228" i="1"/>
  <c r="BR168" i="1"/>
  <c r="BR194" i="1"/>
  <c r="BR221" i="1"/>
  <c r="BR211" i="1"/>
  <c r="BR379" i="1"/>
  <c r="BR166" i="1"/>
  <c r="BR198" i="1"/>
  <c r="BR204" i="1"/>
  <c r="BR200" i="1"/>
  <c r="BR380" i="1"/>
  <c r="BR381" i="1"/>
  <c r="BR97" i="1"/>
  <c r="BR38" i="1"/>
  <c r="BR128" i="1"/>
  <c r="BR92" i="1"/>
  <c r="BR215" i="1"/>
  <c r="BR83" i="1"/>
  <c r="BR180" i="1"/>
  <c r="BR134" i="1"/>
  <c r="BR183" i="1"/>
  <c r="BR144" i="1"/>
  <c r="BR153" i="1"/>
  <c r="BR158" i="1"/>
  <c r="BR114" i="1"/>
  <c r="BR137" i="1"/>
  <c r="BR152" i="1"/>
  <c r="BR149" i="1"/>
  <c r="BR64" i="1"/>
  <c r="BR133" i="1"/>
  <c r="BR161" i="1"/>
  <c r="BR46" i="1"/>
  <c r="BR171" i="1"/>
  <c r="BR120" i="1"/>
  <c r="BR159" i="1"/>
  <c r="BR109" i="1"/>
  <c r="BR145" i="1"/>
  <c r="BR142" i="1"/>
  <c r="BR24" i="1"/>
  <c r="BR140" i="1"/>
  <c r="BR124" i="1"/>
  <c r="BR59" i="1"/>
  <c r="BR23" i="1"/>
  <c r="BR113" i="1"/>
  <c r="BR105" i="1"/>
  <c r="BR177" i="1"/>
  <c r="BR90" i="1"/>
  <c r="BR122" i="1"/>
  <c r="BR119" i="1"/>
  <c r="BR73" i="1"/>
  <c r="BR156" i="1"/>
  <c r="BR130" i="1"/>
  <c r="BR127" i="1"/>
  <c r="BR167" i="1"/>
  <c r="BR136" i="1"/>
  <c r="BR81" i="1"/>
  <c r="BR163" i="1"/>
  <c r="BR91" i="1"/>
  <c r="BR67" i="1"/>
  <c r="BR206" i="1"/>
  <c r="BR138" i="1"/>
  <c r="BR155" i="1"/>
  <c r="BR66" i="1"/>
  <c r="BR147" i="1"/>
  <c r="BR55" i="1"/>
  <c r="BR37" i="1"/>
  <c r="BR164" i="1"/>
  <c r="BR126" i="1"/>
  <c r="BR44" i="1"/>
  <c r="BR29" i="1"/>
  <c r="BR146" i="1"/>
  <c r="BR69" i="1"/>
  <c r="BR197" i="1"/>
  <c r="BR85" i="1"/>
  <c r="BR108" i="1"/>
  <c r="BR123" i="1"/>
  <c r="BR33" i="1"/>
  <c r="BR71" i="1"/>
  <c r="BR129" i="1"/>
  <c r="BR162" i="1"/>
  <c r="BR36" i="1"/>
  <c r="BR63" i="1"/>
  <c r="BR3" i="1"/>
  <c r="BR139" i="1"/>
  <c r="BR125" i="1"/>
  <c r="BR19" i="1"/>
  <c r="BR151" i="1"/>
  <c r="BR74" i="1"/>
  <c r="BR86" i="1"/>
  <c r="BR16" i="1"/>
  <c r="BR34" i="1"/>
  <c r="BR96" i="1"/>
  <c r="BR40" i="1"/>
  <c r="BR53" i="1"/>
  <c r="BR6" i="1"/>
  <c r="BR141" i="1"/>
  <c r="BR60" i="1"/>
  <c r="BR135" i="1"/>
  <c r="BR79" i="1"/>
  <c r="BR82" i="1"/>
  <c r="BR131" i="1"/>
  <c r="BR102" i="1"/>
  <c r="BR84" i="1"/>
  <c r="BR31" i="1"/>
  <c r="BR132" i="1"/>
  <c r="BR104" i="1"/>
  <c r="BR14" i="1"/>
  <c r="BR30" i="1"/>
  <c r="BR11" i="1"/>
  <c r="BR87" i="1"/>
  <c r="BR26" i="1"/>
  <c r="BR117" i="1"/>
  <c r="BR27" i="1"/>
  <c r="BR5" i="1"/>
  <c r="BR76" i="1"/>
  <c r="BR35" i="1"/>
  <c r="BR72" i="1"/>
  <c r="BR58" i="1"/>
  <c r="BR47" i="1"/>
  <c r="BR88" i="1"/>
  <c r="BR111" i="1"/>
  <c r="BR70" i="1"/>
  <c r="BR39" i="1"/>
  <c r="BR89" i="1"/>
  <c r="BR51" i="1"/>
  <c r="BR25" i="1"/>
  <c r="BR7" i="1"/>
  <c r="BR56" i="1"/>
  <c r="BR45" i="1"/>
  <c r="BR68" i="1"/>
  <c r="BR50" i="1"/>
  <c r="BR107" i="1"/>
  <c r="BR8" i="1"/>
  <c r="BR49" i="1"/>
  <c r="BR77" i="1"/>
  <c r="BR62" i="1"/>
  <c r="BR48" i="1"/>
  <c r="BR20" i="1"/>
  <c r="BR148" i="1"/>
  <c r="BR4" i="1"/>
  <c r="BR378" i="1"/>
  <c r="BZ378" i="1" s="1"/>
  <c r="BR115" i="1"/>
  <c r="BR94" i="1"/>
  <c r="BR176" i="1"/>
  <c r="BR100" i="1"/>
  <c r="BR375" i="1"/>
  <c r="BR10" i="1"/>
  <c r="BR65" i="1"/>
  <c r="BR103" i="1"/>
  <c r="BR154" i="1"/>
  <c r="BR17" i="1"/>
  <c r="BR43" i="1"/>
  <c r="BR80" i="1"/>
  <c r="BR174" i="1"/>
  <c r="BR101" i="1"/>
  <c r="BR143" i="1"/>
  <c r="BR15" i="1"/>
  <c r="BR121" i="1"/>
  <c r="BR42" i="1"/>
  <c r="BR95" i="1"/>
  <c r="BR93" i="1"/>
  <c r="BR99" i="1"/>
  <c r="BR61" i="1"/>
  <c r="BR9" i="1"/>
  <c r="BR75" i="1"/>
  <c r="BR78" i="1"/>
  <c r="BR106" i="1"/>
  <c r="BR21" i="1"/>
  <c r="BR41" i="1"/>
  <c r="BR32" i="1"/>
  <c r="BR28" i="1"/>
  <c r="BR260" i="1"/>
  <c r="BR184" i="1"/>
  <c r="BR276" i="1"/>
  <c r="BR362" i="1"/>
  <c r="BR296" i="1"/>
  <c r="BR223" i="1"/>
  <c r="BR238" i="1"/>
  <c r="BR243" i="1"/>
  <c r="BR244" i="1"/>
  <c r="BR247" i="1"/>
  <c r="BZ247" i="1" s="1"/>
  <c r="BR248" i="1"/>
  <c r="BR251" i="1"/>
  <c r="BR254" i="1"/>
  <c r="BR255" i="1"/>
  <c r="BZ255" i="1" s="1"/>
  <c r="BR256" i="1"/>
  <c r="BR257" i="1"/>
  <c r="BR262" i="1"/>
  <c r="BR264" i="1"/>
  <c r="BZ264" i="1" s="1"/>
  <c r="BR266" i="1"/>
  <c r="BR267" i="1"/>
  <c r="BR270" i="1"/>
  <c r="BR272" i="1"/>
  <c r="BZ272" i="1" s="1"/>
  <c r="BR273" i="1"/>
  <c r="BR274" i="1"/>
  <c r="BR278" i="1"/>
  <c r="BR281" i="1"/>
  <c r="BZ281" i="1" s="1"/>
  <c r="BR284" i="1"/>
  <c r="BR285" i="1"/>
  <c r="BR286" i="1"/>
  <c r="BR288" i="1"/>
  <c r="BZ288" i="1" s="1"/>
  <c r="BR289" i="1"/>
  <c r="BR290" i="1"/>
  <c r="BR291" i="1"/>
  <c r="BR191" i="1"/>
  <c r="BR292" i="1"/>
  <c r="BR294" i="1"/>
  <c r="BR295" i="1"/>
  <c r="BR297" i="1"/>
  <c r="BZ297" i="1" s="1"/>
  <c r="BR298" i="1"/>
  <c r="BR299" i="1"/>
  <c r="BR203" i="1"/>
  <c r="BR170" i="1"/>
  <c r="BR193" i="1"/>
  <c r="BR300" i="1"/>
  <c r="BR301" i="1"/>
  <c r="BR302" i="1"/>
  <c r="BZ302" i="1" s="1"/>
  <c r="BR303" i="1"/>
  <c r="BR304" i="1"/>
  <c r="BR224" i="1"/>
  <c r="BR305" i="1"/>
  <c r="BZ305" i="1" s="1"/>
  <c r="BR306" i="1"/>
  <c r="BR207" i="1"/>
  <c r="BR217" i="1"/>
  <c r="BR309" i="1"/>
  <c r="BZ309" i="1" s="1"/>
  <c r="BR199" i="1"/>
  <c r="BR310" i="1"/>
  <c r="BR311" i="1"/>
  <c r="BR313" i="1"/>
  <c r="BZ313" i="1" s="1"/>
  <c r="BR315" i="1"/>
  <c r="BR316" i="1"/>
  <c r="BR190" i="1"/>
  <c r="BR317" i="1"/>
  <c r="BZ317" i="1" s="1"/>
  <c r="BR318" i="1"/>
  <c r="BR319" i="1"/>
  <c r="BR227" i="1"/>
  <c r="BR222" i="1"/>
  <c r="BR201" i="1"/>
  <c r="BR322" i="1"/>
  <c r="BR172" i="1"/>
  <c r="BR324" i="1"/>
  <c r="BZ324" i="1" s="1"/>
  <c r="BR325" i="1"/>
  <c r="BR326" i="1"/>
  <c r="BR229" i="1"/>
  <c r="BR202" i="1"/>
  <c r="BR328" i="1"/>
  <c r="BR185" i="1"/>
  <c r="BR329" i="1"/>
  <c r="BR330" i="1"/>
  <c r="BZ330" i="1" s="1"/>
  <c r="BR331" i="1"/>
  <c r="BR332" i="1"/>
  <c r="BR209" i="1"/>
  <c r="BR333" i="1"/>
  <c r="BZ333" i="1" s="1"/>
  <c r="BR218" i="1"/>
  <c r="BR334" i="1"/>
  <c r="BR335" i="1"/>
  <c r="BR336" i="1"/>
  <c r="BZ336" i="1" s="1"/>
  <c r="BR337" i="1"/>
  <c r="BR338" i="1"/>
  <c r="BR339" i="1"/>
  <c r="BR340" i="1"/>
  <c r="BZ340" i="1" s="1"/>
  <c r="BR186" i="1"/>
  <c r="BR341" i="1"/>
  <c r="BR343" i="1"/>
  <c r="BR344" i="1"/>
  <c r="BZ344" i="1" s="1"/>
  <c r="BR345" i="1"/>
  <c r="BR348" i="1"/>
  <c r="BR349" i="1"/>
  <c r="BR350" i="1"/>
  <c r="BZ350" i="1" s="1"/>
  <c r="BR351" i="1"/>
  <c r="BR355" i="1"/>
  <c r="BR187" i="1"/>
  <c r="BR356" i="1"/>
  <c r="BZ356" i="1" s="1"/>
  <c r="BR169" i="1"/>
  <c r="BR358" i="1"/>
  <c r="BR364" i="1"/>
  <c r="BR365" i="1"/>
  <c r="BZ365" i="1" s="1"/>
  <c r="BR367" i="1"/>
  <c r="BR368" i="1"/>
  <c r="BR370" i="1"/>
  <c r="BR372" i="1"/>
  <c r="BZ372" i="1" s="1"/>
  <c r="BR173" i="1"/>
  <c r="BR376" i="1"/>
  <c r="BR178" i="1"/>
  <c r="BR342" i="1"/>
  <c r="BZ342" i="1" s="1"/>
  <c r="BR377" i="1"/>
  <c r="BR188" i="1"/>
  <c r="BR213" i="1"/>
  <c r="BR249" i="1"/>
  <c r="BZ249" i="1" s="1"/>
  <c r="BR282" i="1"/>
  <c r="BR258" i="1"/>
  <c r="BR259" i="1"/>
  <c r="BR261" i="1"/>
  <c r="BZ261" i="1" s="1"/>
  <c r="BR268" i="1"/>
  <c r="BR269" i="1"/>
  <c r="BR271" i="1"/>
  <c r="BR275" i="1"/>
  <c r="BZ275" i="1" s="1"/>
  <c r="BR208" i="1"/>
  <c r="BR321" i="1"/>
  <c r="BR195" i="1"/>
  <c r="BR263" i="1"/>
  <c r="BZ263" i="1" s="1"/>
  <c r="BR236" i="1"/>
  <c r="BR239" i="1"/>
  <c r="BR240" i="1"/>
  <c r="BR253" i="1"/>
  <c r="BZ253" i="1" s="1"/>
  <c r="BR265" i="1"/>
  <c r="BR231" i="1"/>
  <c r="BR232" i="1"/>
  <c r="BR233" i="1"/>
  <c r="BZ233" i="1" s="1"/>
  <c r="BR234" i="1"/>
  <c r="BR235" i="1"/>
  <c r="BR241" i="1"/>
  <c r="BR242" i="1"/>
  <c r="BZ242" i="1" s="1"/>
  <c r="BR246" i="1"/>
  <c r="BR250" i="1"/>
  <c r="BR252" i="1"/>
  <c r="BR283" i="1"/>
  <c r="BZ283" i="1" s="1"/>
  <c r="BR245" i="1"/>
  <c r="BR237" i="1"/>
  <c r="BR280" i="1"/>
  <c r="BR192" i="1"/>
  <c r="BR22" i="1"/>
  <c r="BR13" i="1"/>
  <c r="BZ223" i="1" l="1"/>
  <c r="BZ80" i="1"/>
  <c r="BZ48" i="1"/>
  <c r="CH48" i="1" s="1"/>
  <c r="BZ45" i="1"/>
  <c r="BZ27" i="1"/>
  <c r="BZ60" i="1"/>
  <c r="CH60" i="1" s="1"/>
  <c r="BZ86" i="1"/>
  <c r="BZ36" i="1"/>
  <c r="CH36" i="1" s="1"/>
  <c r="BZ197" i="1"/>
  <c r="BZ163" i="1"/>
  <c r="CH163" i="1" s="1"/>
  <c r="BZ119" i="1"/>
  <c r="BZ124" i="1"/>
  <c r="BZ171" i="1"/>
  <c r="BZ114" i="1"/>
  <c r="BZ215" i="1"/>
  <c r="BZ204" i="1"/>
  <c r="CH204" i="1" s="1"/>
  <c r="BZ228" i="1"/>
  <c r="BZ226" i="1"/>
  <c r="BZ220" i="1"/>
  <c r="CH220" i="1" s="1"/>
  <c r="BZ52" i="1"/>
  <c r="BZ18" i="1"/>
  <c r="BZ192" i="1"/>
  <c r="CH192" i="1" s="1"/>
  <c r="BZ41" i="1"/>
  <c r="BZ93" i="1"/>
  <c r="CH93" i="1" s="1"/>
  <c r="BZ100" i="1"/>
  <c r="BZ111" i="1"/>
  <c r="BZ132" i="1"/>
  <c r="CH132" i="1" s="1"/>
  <c r="BZ55" i="1"/>
  <c r="BZ202" i="1"/>
  <c r="BZ191" i="1"/>
  <c r="CH191" i="1" s="1"/>
  <c r="BZ75" i="1"/>
  <c r="BZ103" i="1"/>
  <c r="CH103" i="1" s="1"/>
  <c r="BZ51" i="1"/>
  <c r="BZ11" i="1"/>
  <c r="CH11" i="1" s="1"/>
  <c r="BZ131" i="1"/>
  <c r="BZ40" i="1"/>
  <c r="BZ125" i="1"/>
  <c r="BZ44" i="1"/>
  <c r="CH44" i="1" s="1"/>
  <c r="BZ138" i="1"/>
  <c r="BZ127" i="1"/>
  <c r="CH127" i="1" s="1"/>
  <c r="BZ105" i="1"/>
  <c r="CH105" i="1" s="1"/>
  <c r="BZ145" i="1"/>
  <c r="CH145" i="1" s="1"/>
  <c r="BZ64" i="1"/>
  <c r="BZ183" i="1"/>
  <c r="BZ97" i="1"/>
  <c r="BZ211" i="1"/>
  <c r="CH211" i="1" s="1"/>
  <c r="BZ214" i="1"/>
  <c r="BZ54" i="1"/>
  <c r="CH54" i="1" s="1"/>
  <c r="BZ222" i="1"/>
  <c r="CH222" i="1" s="1"/>
  <c r="BZ170" i="1"/>
  <c r="CH170" i="1" s="1"/>
  <c r="BZ184" i="1"/>
  <c r="BZ15" i="1"/>
  <c r="BZ8" i="1"/>
  <c r="BZ72" i="1"/>
  <c r="CH72" i="1" s="1"/>
  <c r="BZ33" i="1"/>
  <c r="BZ280" i="1"/>
  <c r="CH280" i="1" s="1"/>
  <c r="BZ241" i="1"/>
  <c r="CH241" i="1" s="1"/>
  <c r="BZ240" i="1"/>
  <c r="BZ271" i="1"/>
  <c r="CH271" i="1" s="1"/>
  <c r="BZ213" i="1"/>
  <c r="CH213" i="1" s="1"/>
  <c r="BZ370" i="1"/>
  <c r="BZ187" i="1"/>
  <c r="CH187" i="1" s="1"/>
  <c r="BZ343" i="1"/>
  <c r="BZ335" i="1"/>
  <c r="CH335" i="1" s="1"/>
  <c r="BZ329" i="1"/>
  <c r="BZ172" i="1"/>
  <c r="BZ190" i="1"/>
  <c r="CH190" i="1" s="1"/>
  <c r="BZ217" i="1"/>
  <c r="BZ301" i="1"/>
  <c r="BZ295" i="1"/>
  <c r="BZ286" i="1"/>
  <c r="BZ270" i="1"/>
  <c r="CH270" i="1" s="1"/>
  <c r="BZ254" i="1"/>
  <c r="CH254" i="1" s="1"/>
  <c r="BZ296" i="1"/>
  <c r="BZ21" i="1"/>
  <c r="BZ95" i="1"/>
  <c r="CH95" i="1" s="1"/>
  <c r="BZ43" i="1"/>
  <c r="BZ176" i="1"/>
  <c r="CH176" i="1" s="1"/>
  <c r="BZ62" i="1"/>
  <c r="BZ56" i="1"/>
  <c r="CH56" i="1" s="1"/>
  <c r="BZ88" i="1"/>
  <c r="BZ117" i="1"/>
  <c r="CH117" i="1" s="1"/>
  <c r="BZ31" i="1"/>
  <c r="BZ141" i="1"/>
  <c r="CH141" i="1" s="1"/>
  <c r="BZ74" i="1"/>
  <c r="BZ162" i="1"/>
  <c r="BZ69" i="1"/>
  <c r="BZ147" i="1"/>
  <c r="CH147" i="1" s="1"/>
  <c r="BZ81" i="1"/>
  <c r="BZ122" i="1"/>
  <c r="CH122" i="1" s="1"/>
  <c r="BZ140" i="1"/>
  <c r="CH140" i="1" s="1"/>
  <c r="BZ46" i="1"/>
  <c r="CH46" i="1" s="1"/>
  <c r="BZ158" i="1"/>
  <c r="BZ92" i="1"/>
  <c r="CH92" i="1" s="1"/>
  <c r="BZ198" i="1"/>
  <c r="BZ374" i="1"/>
  <c r="CH374" i="1" s="1"/>
  <c r="BZ360" i="1"/>
  <c r="BZ205" i="1"/>
  <c r="BZ219" i="1"/>
  <c r="CH219" i="1" s="1"/>
  <c r="BZ189" i="1"/>
  <c r="BZ150" i="1"/>
  <c r="CH150" i="1" s="1"/>
  <c r="BZ118" i="1"/>
  <c r="CH118" i="1" s="1"/>
  <c r="BZ110" i="1"/>
  <c r="BZ252" i="1"/>
  <c r="CH252" i="1" s="1"/>
  <c r="BZ232" i="1"/>
  <c r="CH232" i="1" s="1"/>
  <c r="BZ195" i="1"/>
  <c r="BZ259" i="1"/>
  <c r="CH259" i="1" s="1"/>
  <c r="BZ178" i="1"/>
  <c r="CH178" i="1" s="1"/>
  <c r="BZ364" i="1"/>
  <c r="BZ349" i="1"/>
  <c r="BZ339" i="1"/>
  <c r="BZ209" i="1"/>
  <c r="CH209" i="1" s="1"/>
  <c r="BZ229" i="1"/>
  <c r="BZ227" i="1"/>
  <c r="BZ311" i="1"/>
  <c r="BZ224" i="1"/>
  <c r="CH224" i="1" s="1"/>
  <c r="BZ203" i="1"/>
  <c r="BZ291" i="1"/>
  <c r="CH291" i="1" s="1"/>
  <c r="BZ278" i="1"/>
  <c r="BZ262" i="1"/>
  <c r="CH262" i="1" s="1"/>
  <c r="BZ244" i="1"/>
  <c r="CH244" i="1" s="1"/>
  <c r="BZ260" i="1"/>
  <c r="BZ9" i="1"/>
  <c r="CH9" i="1" s="1"/>
  <c r="BZ143" i="1"/>
  <c r="BZ65" i="1"/>
  <c r="BZ4" i="1"/>
  <c r="CH4" i="1" s="1"/>
  <c r="BZ107" i="1"/>
  <c r="BZ89" i="1"/>
  <c r="CH89" i="1" s="1"/>
  <c r="BZ35" i="1"/>
  <c r="BZ30" i="1"/>
  <c r="BZ82" i="1"/>
  <c r="BZ96" i="1"/>
  <c r="CH96" i="1" s="1"/>
  <c r="BZ139" i="1"/>
  <c r="BZ123" i="1"/>
  <c r="CH123" i="1" s="1"/>
  <c r="BZ126" i="1"/>
  <c r="BZ206" i="1"/>
  <c r="CH206" i="1" s="1"/>
  <c r="BZ130" i="1"/>
  <c r="CH130" i="1" s="1"/>
  <c r="BZ113" i="1"/>
  <c r="BZ109" i="1"/>
  <c r="BZ149" i="1"/>
  <c r="BZ134" i="1"/>
  <c r="BZ381" i="1"/>
  <c r="BZ221" i="1"/>
  <c r="BZ160" i="1"/>
  <c r="CH160" i="1" s="1"/>
  <c r="BZ353" i="1"/>
  <c r="CH353" i="1" s="1"/>
  <c r="BZ225" i="1"/>
  <c r="BZ307" i="1"/>
  <c r="BZ287" i="1"/>
  <c r="CH287" i="1" s="1"/>
  <c r="BZ112" i="1"/>
  <c r="BZ2" i="1"/>
  <c r="BZ22" i="1"/>
  <c r="BZ246" i="1"/>
  <c r="BZ265" i="1"/>
  <c r="BZ208" i="1"/>
  <c r="CH208" i="1" s="1"/>
  <c r="BZ282" i="1"/>
  <c r="BZ173" i="1"/>
  <c r="CH173" i="1" s="1"/>
  <c r="BZ169" i="1"/>
  <c r="CH169" i="1" s="1"/>
  <c r="BZ345" i="1"/>
  <c r="BZ337" i="1"/>
  <c r="CH337" i="1" s="1"/>
  <c r="BZ331" i="1"/>
  <c r="CH331" i="1" s="1"/>
  <c r="BZ325" i="1"/>
  <c r="CH325" i="1" s="1"/>
  <c r="BZ318" i="1"/>
  <c r="CH318" i="1" s="1"/>
  <c r="BZ199" i="1"/>
  <c r="CH199" i="1" s="1"/>
  <c r="BZ303" i="1"/>
  <c r="CH303" i="1" s="1"/>
  <c r="BZ298" i="1"/>
  <c r="CH298" i="1" s="1"/>
  <c r="BZ289" i="1"/>
  <c r="BZ273" i="1"/>
  <c r="CH273" i="1" s="1"/>
  <c r="BZ256" i="1"/>
  <c r="BZ238" i="1"/>
  <c r="BZ32" i="1"/>
  <c r="CH32" i="1" s="1"/>
  <c r="BZ99" i="1"/>
  <c r="CH99" i="1" s="1"/>
  <c r="BZ174" i="1"/>
  <c r="CH174" i="1" s="1"/>
  <c r="BZ375" i="1"/>
  <c r="CH375" i="1" s="1"/>
  <c r="BZ20" i="1"/>
  <c r="CH20" i="1" s="1"/>
  <c r="BZ68" i="1"/>
  <c r="BZ70" i="1"/>
  <c r="CH70" i="1" s="1"/>
  <c r="BZ5" i="1"/>
  <c r="BZ104" i="1"/>
  <c r="CH104" i="1" s="1"/>
  <c r="BZ135" i="1"/>
  <c r="BZ16" i="1"/>
  <c r="CH16" i="1" s="1"/>
  <c r="BZ63" i="1"/>
  <c r="BZ85" i="1"/>
  <c r="CH85" i="1" s="1"/>
  <c r="BZ37" i="1"/>
  <c r="BZ91" i="1"/>
  <c r="CH91" i="1" s="1"/>
  <c r="BZ73" i="1"/>
  <c r="BZ59" i="1"/>
  <c r="CH59" i="1" s="1"/>
  <c r="BZ120" i="1"/>
  <c r="BZ137" i="1"/>
  <c r="CH137" i="1" s="1"/>
  <c r="BZ83" i="1"/>
  <c r="CH83" i="1" s="1"/>
  <c r="BZ200" i="1"/>
  <c r="CH200" i="1" s="1"/>
  <c r="BZ168" i="1"/>
  <c r="BZ363" i="1"/>
  <c r="CH363" i="1" s="1"/>
  <c r="BZ352" i="1"/>
  <c r="CH352" i="1" s="1"/>
  <c r="BZ327" i="1"/>
  <c r="CH327" i="1" s="1"/>
  <c r="BZ181" i="1"/>
  <c r="CH181" i="1" s="1"/>
  <c r="BZ279" i="1"/>
  <c r="CH279" i="1" s="1"/>
  <c r="BZ157" i="1"/>
  <c r="CH157" i="1" s="1"/>
  <c r="BZ12" i="1"/>
  <c r="CH12" i="1" s="1"/>
  <c r="CH22" i="1"/>
  <c r="CH263" i="1"/>
  <c r="CH282" i="1"/>
  <c r="CH370" i="1"/>
  <c r="CH350" i="1"/>
  <c r="CH329" i="1"/>
  <c r="CH301" i="1"/>
  <c r="CH184" i="1"/>
  <c r="CH43" i="1"/>
  <c r="CH378" i="1"/>
  <c r="CH68" i="1"/>
  <c r="CH88" i="1"/>
  <c r="CH135" i="1"/>
  <c r="CH74" i="1"/>
  <c r="CH33" i="1"/>
  <c r="CH37" i="1"/>
  <c r="CH81" i="1"/>
  <c r="CH120" i="1"/>
  <c r="CH158" i="1"/>
  <c r="CH97" i="1"/>
  <c r="CH168" i="1"/>
  <c r="CH360" i="1"/>
  <c r="CH214" i="1"/>
  <c r="CH312" i="1"/>
  <c r="CH195" i="1"/>
  <c r="CH249" i="1"/>
  <c r="CH349" i="1"/>
  <c r="CH336" i="1"/>
  <c r="CH227" i="1"/>
  <c r="CH309" i="1"/>
  <c r="CH272" i="1"/>
  <c r="CH260" i="1"/>
  <c r="CH45" i="1"/>
  <c r="CH30" i="1"/>
  <c r="CH55" i="1"/>
  <c r="CH113" i="1"/>
  <c r="CH171" i="1"/>
  <c r="CH381" i="1"/>
  <c r="CH228" i="1"/>
  <c r="CH225" i="1"/>
  <c r="CH233" i="1"/>
  <c r="CH365" i="1"/>
  <c r="CH345" i="1"/>
  <c r="CH202" i="1"/>
  <c r="CH217" i="1"/>
  <c r="CH289" i="1"/>
  <c r="CH247" i="1"/>
  <c r="CH125" i="1"/>
  <c r="CH183" i="1"/>
  <c r="CH354" i="1"/>
  <c r="CH189" i="1"/>
  <c r="BZ237" i="1"/>
  <c r="CH237" i="1" s="1"/>
  <c r="BZ235" i="1"/>
  <c r="CH235" i="1" s="1"/>
  <c r="BZ239" i="1"/>
  <c r="CH239" i="1" s="1"/>
  <c r="BZ269" i="1"/>
  <c r="CH269" i="1" s="1"/>
  <c r="BZ188" i="1"/>
  <c r="CH188" i="1" s="1"/>
  <c r="BZ368" i="1"/>
  <c r="CH368" i="1" s="1"/>
  <c r="BZ355" i="1"/>
  <c r="CH355" i="1" s="1"/>
  <c r="BZ341" i="1"/>
  <c r="CH341" i="1" s="1"/>
  <c r="BZ334" i="1"/>
  <c r="CH334" i="1" s="1"/>
  <c r="BZ185" i="1"/>
  <c r="CH185" i="1" s="1"/>
  <c r="BZ322" i="1"/>
  <c r="CH322" i="1" s="1"/>
  <c r="BZ316" i="1"/>
  <c r="CH316" i="1" s="1"/>
  <c r="BZ207" i="1"/>
  <c r="CH207" i="1" s="1"/>
  <c r="BZ300" i="1"/>
  <c r="CH300" i="1" s="1"/>
  <c r="BZ294" i="1"/>
  <c r="CH294" i="1" s="1"/>
  <c r="BZ285" i="1"/>
  <c r="CH285" i="1" s="1"/>
  <c r="BZ267" i="1"/>
  <c r="CH267" i="1" s="1"/>
  <c r="BZ251" i="1"/>
  <c r="CH251" i="1" s="1"/>
  <c r="BZ362" i="1"/>
  <c r="CH362" i="1" s="1"/>
  <c r="BZ106" i="1"/>
  <c r="CH106" i="1" s="1"/>
  <c r="BZ42" i="1"/>
  <c r="CH42" i="1" s="1"/>
  <c r="BZ17" i="1"/>
  <c r="CH17" i="1" s="1"/>
  <c r="BZ94" i="1"/>
  <c r="CH94" i="1" s="1"/>
  <c r="BZ77" i="1"/>
  <c r="CH77" i="1" s="1"/>
  <c r="BZ7" i="1"/>
  <c r="CH7" i="1" s="1"/>
  <c r="BZ47" i="1"/>
  <c r="CH47" i="1" s="1"/>
  <c r="BZ26" i="1"/>
  <c r="CH26" i="1" s="1"/>
  <c r="BZ84" i="1"/>
  <c r="CH84" i="1" s="1"/>
  <c r="BZ6" i="1"/>
  <c r="CH6" i="1" s="1"/>
  <c r="BZ151" i="1"/>
  <c r="CH151" i="1" s="1"/>
  <c r="BZ129" i="1"/>
  <c r="CH129" i="1" s="1"/>
  <c r="BZ146" i="1"/>
  <c r="CH146" i="1" s="1"/>
  <c r="BZ66" i="1"/>
  <c r="CH66" i="1" s="1"/>
  <c r="BZ136" i="1"/>
  <c r="CH136" i="1" s="1"/>
  <c r="BZ90" i="1"/>
  <c r="CH90" i="1" s="1"/>
  <c r="BZ24" i="1"/>
  <c r="CH24" i="1" s="1"/>
  <c r="BZ161" i="1"/>
  <c r="CH161" i="1" s="1"/>
  <c r="BZ153" i="1"/>
  <c r="CH153" i="1" s="1"/>
  <c r="BZ128" i="1"/>
  <c r="CH128" i="1" s="1"/>
  <c r="BZ166" i="1"/>
  <c r="CH166" i="1" s="1"/>
  <c r="BZ373" i="1"/>
  <c r="CH373" i="1" s="1"/>
  <c r="BZ359" i="1"/>
  <c r="CH359" i="1" s="1"/>
  <c r="BZ347" i="1"/>
  <c r="CH347" i="1" s="1"/>
  <c r="BZ320" i="1"/>
  <c r="CH320" i="1" s="1"/>
  <c r="BZ230" i="1"/>
  <c r="CH230" i="1" s="1"/>
  <c r="BZ182" i="1"/>
  <c r="CH182" i="1" s="1"/>
  <c r="BZ57" i="1"/>
  <c r="CH57" i="1" s="1"/>
  <c r="CH275" i="1"/>
  <c r="CH364" i="1"/>
  <c r="CH344" i="1"/>
  <c r="CH229" i="1"/>
  <c r="CH317" i="1"/>
  <c r="CH203" i="1"/>
  <c r="CH288" i="1"/>
  <c r="CH41" i="1"/>
  <c r="CH65" i="1"/>
  <c r="CH35" i="1"/>
  <c r="CH139" i="1"/>
  <c r="CH197" i="1"/>
  <c r="CH124" i="1"/>
  <c r="CH134" i="1"/>
  <c r="CH323" i="1"/>
  <c r="CH112" i="1"/>
  <c r="CH18" i="1"/>
  <c r="BZ245" i="1"/>
  <c r="CH245" i="1" s="1"/>
  <c r="BZ234" i="1"/>
  <c r="CH234" i="1" s="1"/>
  <c r="BZ236" i="1"/>
  <c r="BZ268" i="1"/>
  <c r="BZ377" i="1"/>
  <c r="CH377" i="1" s="1"/>
  <c r="BZ367" i="1"/>
  <c r="CH367" i="1" s="1"/>
  <c r="BZ351" i="1"/>
  <c r="CH351" i="1" s="1"/>
  <c r="BZ186" i="1"/>
  <c r="BZ218" i="1"/>
  <c r="CH218" i="1" s="1"/>
  <c r="BZ328" i="1"/>
  <c r="CH328" i="1" s="1"/>
  <c r="BZ201" i="1"/>
  <c r="CH201" i="1" s="1"/>
  <c r="BZ315" i="1"/>
  <c r="BZ306" i="1"/>
  <c r="CH306" i="1" s="1"/>
  <c r="BZ193" i="1"/>
  <c r="CH193" i="1" s="1"/>
  <c r="BZ292" i="1"/>
  <c r="CH292" i="1" s="1"/>
  <c r="BZ284" i="1"/>
  <c r="CH284" i="1" s="1"/>
  <c r="BZ266" i="1"/>
  <c r="CH266" i="1" s="1"/>
  <c r="BZ248" i="1"/>
  <c r="CH248" i="1" s="1"/>
  <c r="BZ276" i="1"/>
  <c r="CH276" i="1" s="1"/>
  <c r="BZ78" i="1"/>
  <c r="CH78" i="1" s="1"/>
  <c r="BZ121" i="1"/>
  <c r="CH121" i="1" s="1"/>
  <c r="BZ154" i="1"/>
  <c r="CH154" i="1" s="1"/>
  <c r="BZ115" i="1"/>
  <c r="CH115" i="1" s="1"/>
  <c r="BZ49" i="1"/>
  <c r="CH49" i="1" s="1"/>
  <c r="BZ25" i="1"/>
  <c r="CH25" i="1" s="1"/>
  <c r="BZ58" i="1"/>
  <c r="CH58" i="1" s="1"/>
  <c r="BZ87" i="1"/>
  <c r="CH87" i="1" s="1"/>
  <c r="BZ102" i="1"/>
  <c r="CH102" i="1" s="1"/>
  <c r="BZ53" i="1"/>
  <c r="CH53" i="1" s="1"/>
  <c r="BZ19" i="1"/>
  <c r="CH19" i="1" s="1"/>
  <c r="BZ71" i="1"/>
  <c r="CH71" i="1" s="1"/>
  <c r="BZ29" i="1"/>
  <c r="BZ155" i="1"/>
  <c r="CH155" i="1" s="1"/>
  <c r="BZ167" i="1"/>
  <c r="CH167" i="1" s="1"/>
  <c r="BZ177" i="1"/>
  <c r="CH177" i="1" s="1"/>
  <c r="BZ142" i="1"/>
  <c r="CH142" i="1" s="1"/>
  <c r="BZ133" i="1"/>
  <c r="CH133" i="1" s="1"/>
  <c r="BZ144" i="1"/>
  <c r="CH144" i="1" s="1"/>
  <c r="BZ38" i="1"/>
  <c r="CH38" i="1" s="1"/>
  <c r="BZ379" i="1"/>
  <c r="BZ371" i="1"/>
  <c r="CH371" i="1" s="1"/>
  <c r="BZ357" i="1"/>
  <c r="CH357" i="1" s="1"/>
  <c r="BZ346" i="1"/>
  <c r="CH346" i="1" s="1"/>
  <c r="BZ314" i="1"/>
  <c r="BZ210" i="1"/>
  <c r="CH210" i="1" s="1"/>
  <c r="BZ165" i="1"/>
  <c r="CH165" i="1" s="1"/>
  <c r="BZ179" i="1"/>
  <c r="CH283" i="1"/>
  <c r="CH265" i="1"/>
  <c r="CH342" i="1"/>
  <c r="CH343" i="1"/>
  <c r="CH333" i="1"/>
  <c r="CH305" i="1"/>
  <c r="CH286" i="1"/>
  <c r="CH264" i="1"/>
  <c r="CH238" i="1"/>
  <c r="CH21" i="1"/>
  <c r="CH15" i="1"/>
  <c r="CH62" i="1"/>
  <c r="CH51" i="1"/>
  <c r="CH5" i="1"/>
  <c r="CH31" i="1"/>
  <c r="CH40" i="1"/>
  <c r="CH63" i="1"/>
  <c r="CH69" i="1"/>
  <c r="CH138" i="1"/>
  <c r="CH73" i="1"/>
  <c r="CH64" i="1"/>
  <c r="CH198" i="1"/>
  <c r="CH369" i="1"/>
  <c r="CH293" i="1"/>
  <c r="CH110" i="1"/>
  <c r="CH253" i="1"/>
  <c r="CH268" i="1"/>
  <c r="CH356" i="1"/>
  <c r="CH186" i="1"/>
  <c r="CH324" i="1"/>
  <c r="CH315" i="1"/>
  <c r="CH297" i="1"/>
  <c r="CH223" i="1"/>
  <c r="CH143" i="1"/>
  <c r="CH100" i="1"/>
  <c r="CH27" i="1"/>
  <c r="CH29" i="1"/>
  <c r="CH119" i="1"/>
  <c r="CH149" i="1"/>
  <c r="CH215" i="1"/>
  <c r="CH379" i="1"/>
  <c r="CH226" i="1"/>
  <c r="CH314" i="1"/>
  <c r="CH52" i="1"/>
  <c r="CH246" i="1"/>
  <c r="CH240" i="1"/>
  <c r="CH261" i="1"/>
  <c r="CH340" i="1"/>
  <c r="CH172" i="1"/>
  <c r="CH313" i="1"/>
  <c r="CH295" i="1"/>
  <c r="CH281" i="1"/>
  <c r="CH256" i="1"/>
  <c r="CH296" i="1"/>
  <c r="CH75" i="1"/>
  <c r="CH8" i="1"/>
  <c r="CH131" i="1"/>
  <c r="CH162" i="1"/>
  <c r="CH205" i="1"/>
  <c r="CH308" i="1"/>
  <c r="BZ13" i="1"/>
  <c r="CH13" i="1" s="1"/>
  <c r="BZ250" i="1"/>
  <c r="CH250" i="1" s="1"/>
  <c r="BZ231" i="1"/>
  <c r="CH231" i="1" s="1"/>
  <c r="BZ321" i="1"/>
  <c r="CH321" i="1" s="1"/>
  <c r="BZ258" i="1"/>
  <c r="CH258" i="1" s="1"/>
  <c r="BZ376" i="1"/>
  <c r="CH376" i="1" s="1"/>
  <c r="BZ358" i="1"/>
  <c r="CH358" i="1" s="1"/>
  <c r="BZ348" i="1"/>
  <c r="CH348" i="1"/>
  <c r="BZ338" i="1"/>
  <c r="CH338" i="1"/>
  <c r="BZ332" i="1"/>
  <c r="CH332" i="1"/>
  <c r="BZ326" i="1"/>
  <c r="CH326" i="1" s="1"/>
  <c r="BZ319" i="1"/>
  <c r="CH319" i="1" s="1"/>
  <c r="BZ310" i="1"/>
  <c r="CH310" i="1" s="1"/>
  <c r="BZ304" i="1"/>
  <c r="CH304" i="1" s="1"/>
  <c r="BZ299" i="1"/>
  <c r="CH299" i="1" s="1"/>
  <c r="BZ290" i="1"/>
  <c r="CH290" i="1" s="1"/>
  <c r="BZ274" i="1"/>
  <c r="CH274" i="1"/>
  <c r="BZ257" i="1"/>
  <c r="CH257" i="1"/>
  <c r="BZ243" i="1"/>
  <c r="CH243" i="1" s="1"/>
  <c r="BZ28" i="1"/>
  <c r="CH28" i="1" s="1"/>
  <c r="BZ61" i="1"/>
  <c r="CH61" i="1" s="1"/>
  <c r="BZ101" i="1"/>
  <c r="CH101" i="1" s="1"/>
  <c r="BZ10" i="1"/>
  <c r="CH10" i="1" s="1"/>
  <c r="BZ148" i="1"/>
  <c r="CH148" i="1" s="1"/>
  <c r="BZ50" i="1"/>
  <c r="CH50" i="1"/>
  <c r="BZ39" i="1"/>
  <c r="CH39" i="1" s="1"/>
  <c r="BZ76" i="1"/>
  <c r="CH76" i="1" s="1"/>
  <c r="BZ14" i="1"/>
  <c r="CH14" i="1" s="1"/>
  <c r="BZ79" i="1"/>
  <c r="CH79" i="1" s="1"/>
  <c r="BZ34" i="1"/>
  <c r="CH34" i="1" s="1"/>
  <c r="BZ3" i="1"/>
  <c r="CH3" i="1" s="1"/>
  <c r="BZ108" i="1"/>
  <c r="CH108" i="1"/>
  <c r="BZ164" i="1"/>
  <c r="CH164" i="1"/>
  <c r="BZ67" i="1"/>
  <c r="CH67" i="1"/>
  <c r="BZ156" i="1"/>
  <c r="CH156" i="1" s="1"/>
  <c r="BZ23" i="1"/>
  <c r="CH23" i="1" s="1"/>
  <c r="BZ159" i="1"/>
  <c r="CH159" i="1" s="1"/>
  <c r="BZ152" i="1"/>
  <c r="CH152" i="1" s="1"/>
  <c r="BZ180" i="1"/>
  <c r="CH180" i="1" s="1"/>
  <c r="BZ380" i="1"/>
  <c r="CH380" i="1"/>
  <c r="BZ194" i="1"/>
  <c r="CH194" i="1" s="1"/>
  <c r="BZ366" i="1"/>
  <c r="CH366" i="1" s="1"/>
  <c r="BZ196" i="1"/>
  <c r="CH196" i="1" s="1"/>
  <c r="BZ212" i="1"/>
  <c r="CH212" i="1" s="1"/>
  <c r="BZ175" i="1"/>
  <c r="CH175" i="1" s="1"/>
  <c r="BZ216" i="1"/>
  <c r="CH216" i="1" s="1"/>
  <c r="BZ98" i="1"/>
  <c r="CH98" i="1" s="1"/>
  <c r="BZ116" i="1"/>
  <c r="CH116" i="1" s="1"/>
  <c r="CH242" i="1"/>
  <c r="CH236" i="1"/>
  <c r="CH372" i="1"/>
  <c r="CH339" i="1"/>
  <c r="CH330" i="1"/>
  <c r="CH311" i="1"/>
  <c r="CH302" i="1"/>
  <c r="CH278" i="1"/>
  <c r="CH255" i="1"/>
  <c r="CH80" i="1"/>
  <c r="CH107" i="1"/>
  <c r="CH111" i="1"/>
  <c r="CH82" i="1"/>
  <c r="CH86" i="1"/>
  <c r="CH126" i="1"/>
  <c r="CH109" i="1"/>
  <c r="CH114" i="1"/>
  <c r="CH221" i="1"/>
  <c r="CH361" i="1"/>
  <c r="CH307" i="1"/>
  <c r="CH277" i="1"/>
  <c r="CH179" i="1"/>
</calcChain>
</file>

<file path=xl/sharedStrings.xml><?xml version="1.0" encoding="utf-8"?>
<sst xmlns="http://schemas.openxmlformats.org/spreadsheetml/2006/main" count="17183" uniqueCount="1853">
  <si>
    <t>BARCODE</t>
  </si>
  <si>
    <t>CONTIG.H</t>
  </si>
  <si>
    <t>SEQUENCE_INPUT.H</t>
  </si>
  <si>
    <t>FUNCTIONAL.H</t>
  </si>
  <si>
    <t>IN_FRAME.H</t>
  </si>
  <si>
    <t>INDELS.H</t>
  </si>
  <si>
    <t>LOCUS.H</t>
  </si>
  <si>
    <t>V_CALL.H</t>
  </si>
  <si>
    <t>D_CALL.H</t>
  </si>
  <si>
    <t>J_CALL.H</t>
  </si>
  <si>
    <t>SEQUENCE_VDJ.H</t>
  </si>
  <si>
    <t>SEQUENCE_IMGT.H</t>
  </si>
  <si>
    <t>JUNCTION.H</t>
  </si>
  <si>
    <t>JUNCTION_LENGTH.H</t>
  </si>
  <si>
    <t>GERMLINE_IMGT.H</t>
  </si>
  <si>
    <t>V_SCORE.H</t>
  </si>
  <si>
    <t>V_IDENTITY.H</t>
  </si>
  <si>
    <t>J_SCORE.H</t>
  </si>
  <si>
    <t>J_IDENTITY.H</t>
  </si>
  <si>
    <t>FWR1_IMGT.H</t>
  </si>
  <si>
    <t>FWR2_IMGT.H</t>
  </si>
  <si>
    <t>FWR3_IMGT.H</t>
  </si>
  <si>
    <t>FWR4_IMGT.H</t>
  </si>
  <si>
    <t>CDR1_IMGT.H</t>
  </si>
  <si>
    <t>CDR2_IMGT.H</t>
  </si>
  <si>
    <t>CDR3_IMGT.H</t>
  </si>
  <si>
    <t>C_CALL.H</t>
  </si>
  <si>
    <t>CONSCOUNT.H</t>
  </si>
  <si>
    <t>UMICOUNT.H</t>
  </si>
  <si>
    <t>JUNCTION_10X_AA.H</t>
  </si>
  <si>
    <t>CLONE</t>
  </si>
  <si>
    <t>CONTIG.L</t>
  </si>
  <si>
    <t>SEQUENCE_INPUT.L</t>
  </si>
  <si>
    <t>FUNCTIONAL.L</t>
  </si>
  <si>
    <t>IN_FRAME.L</t>
  </si>
  <si>
    <t>INDELS.L</t>
  </si>
  <si>
    <t>LOCUS.L</t>
  </si>
  <si>
    <t>V_CALL.L</t>
  </si>
  <si>
    <t>J_CALL.L</t>
  </si>
  <si>
    <t>SEQUENCE_VDJ.L</t>
  </si>
  <si>
    <t>SEQUENCE_IMGT.L</t>
  </si>
  <si>
    <t>JUNCTION.L</t>
  </si>
  <si>
    <t>JUNCTION_LENGTH.L</t>
  </si>
  <si>
    <t>GERMLINE_IMGT.L</t>
  </si>
  <si>
    <t>V_SCORE.L</t>
  </si>
  <si>
    <t>V_IDENTITY.L</t>
  </si>
  <si>
    <t>J_SCORE.L</t>
  </si>
  <si>
    <t>J_IDENTITY.L</t>
  </si>
  <si>
    <t>FWR1_IMGT.L</t>
  </si>
  <si>
    <t>FWR2_IMGT.L</t>
  </si>
  <si>
    <t>FWR3_IMGT.L</t>
  </si>
  <si>
    <t>FWR4_IMGT.L</t>
  </si>
  <si>
    <t>CDR1_IMGT.L</t>
  </si>
  <si>
    <t>CDR2_IMGT.L</t>
  </si>
  <si>
    <t>CDR3_IMGT.L</t>
  </si>
  <si>
    <t>C_CALL.L</t>
  </si>
  <si>
    <t>CONSCOUNT.L</t>
  </si>
  <si>
    <t>JUNCTION_10X_AA.L</t>
  </si>
  <si>
    <t>UMICOUNT.L</t>
  </si>
  <si>
    <t>D_CALL.L</t>
  </si>
  <si>
    <t>N</t>
  </si>
  <si>
    <t>FLU_HA_NC99.LSS</t>
  </si>
  <si>
    <t>HIV_BG505_D279K.LSS</t>
  </si>
  <si>
    <t>HIV_BG505_D368R.LSS</t>
  </si>
  <si>
    <t>HIV_BG505_K169E.LSS</t>
  </si>
  <si>
    <t>HIV_BG505_N160K.LSS</t>
  </si>
  <si>
    <t>HIV_BG505_N332T.LSS</t>
  </si>
  <si>
    <t>HIV_BG505_DKO.LSS</t>
  </si>
  <si>
    <t>HIV_BG505_T332N.LSS</t>
  </si>
  <si>
    <t>AACACGTAGTAGGCCA</t>
  </si>
  <si>
    <t>contig_9</t>
  </si>
  <si>
    <t>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</si>
  <si>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</t>
  </si>
  <si>
    <t>IGH</t>
  </si>
  <si>
    <t>IGHV1-69</t>
  </si>
  <si>
    <t>IGHD6-25</t>
  </si>
  <si>
    <t>IGHJ4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</si>
  <si>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</si>
  <si>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GCCTGCGCTCTGAAGATACCGCCGTGTACTATTGTGCTCGGGGAAAGAGACCCGGCTACTGCAGCGGAGGCGTCTGTTCCTCTGACTATTGGGGCCAGGGGACTCTGGTGACCGTCTCCTCAG</t>
  </si>
  <si>
    <t>TGTGCTCGGGGAAAGAGACCCGGCTACTGCAGCGGAGGCGTCTGTTCCTCTGACTATTGG</t>
  </si>
  <si>
    <t>NA</t>
  </si>
  <si>
    <t>CAGGTGCAGCTGGTGCAGTCAGGAGCC...GAGGTGAAGAAACCAGGCAGCTCCGTGAAGGTCAGCTGCAAAGCTTCC</t>
  </si>
  <si>
    <t>ATCACTTGGGTCCGACAGGCACCTGGACAGGGACTGGAATGGATGGGAGGA</t>
  </si>
  <si>
    <t>AACTACGCCCAGAAGTTTCAG...GGAAGGGTGACAATTTCTGCAGACAAAAGTACCAATACAGCCTATATGGAGCTGTCAAGCCTGCGCTCTGAAGATACCGCCGTGTACTATTGT</t>
  </si>
  <si>
    <t>TGGGGCCAGGGGACTCTGGTGACCGTCTCCTCAG</t>
  </si>
  <si>
    <t>GGGGTGACATCT............AGTAACTACCCC</t>
  </si>
  <si>
    <t>GTGCTGCCACTG......TTCGGAGTCACC</t>
  </si>
  <si>
    <t>GCTCGGGGAAAGAGACCCGGCTACTGCAGCGGAGGCGTCTGTTCCTCTGACTAT</t>
  </si>
  <si>
    <t>IGHM</t>
  </si>
  <si>
    <t>contig_1</t>
  </si>
  <si>
    <t>GTTCTTAGATGGGGGCTGGGGTCTCAGGAGGCAGCGCTCTCGGGACGTCTCCACCATGGCCTGGGCTCTGCTATTCCTCACCCTCCTCACTCAGGGCACAGGGTCCTGGGCCCAGTCTGCCCTGACTCAGCCTGCCTCCGTGTCTGGGTCTCCTGGACAGTCGATCACCATCTCCTGCACTGGAACCAGCAGTGACGTTGGTGGTTATAACTATGTCTCCTGGTACCAACAAAACCCAGGCAAAGCCCCCAAACTCATGATTTCTGATGTCAG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</si>
  <si>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F</t>
  </si>
  <si>
    <t>IGL</t>
  </si>
  <si>
    <t>IGLV2-14</t>
  </si>
  <si>
    <t>IGLJ2</t>
  </si>
  <si>
    <t>CAGTCTGCCCTGACTCAGCCTGCCTCCGTGTCTGGGTCTCCTGGACAGTCGATCACCATCTCCTGCACTGGAACCAGCAGTGACGTTGGTGGTTATAACTATGTCTCCTGGTACCAACAAAACCCAGGCAAAGCCCCCAAACTCATGATTTCTGATGTCAGTAATCGGCCCTCAGGGATTTCTAATCGCTTCTCTGGCTCCAAGTCTGGCAACACGGCCTCCCTGACCATCTCTGGGCTCCAGGCTGACGACGAGGCTGATTATTACTGCACCTCATATACAAACGACAGCAATTCTCAGGTATTCGGCGGAGGGACCAAGCTGACCGTCCTAG</t>
  </si>
  <si>
    <t>CAGTCTGCCCTGACTCAGCCTGCCTCC...GTGTCTGGGTCTCCTGGACAGTCGATCACCATCTCCTGCACTGGAACCAGCAGTGACGTTGGT.........GGTTATAACTATGTCTCCTGGTACCAACAAAACCCAGGCAAAGCCCCCAAACTCATGATTTCTGATGTC.....................AGTAATCGGCCCTCAGGGATTTCT...AATCGCTTCTCTGGCTCCAAG......TCTGGCAACACGGCCTCCCTGACCATCTCTGGGCTCCAGGCTGACGACGAGGCTGATTATTACTGCACCTCATATACAAACGACAGCAATTCTCAGGTATTCGGCGGAGGGACCAAGCTGACCGTCCTAG</t>
  </si>
  <si>
    <t>TGCACCTCATATACAAACGACAGCAATTCTCAGGTATTC</t>
  </si>
  <si>
    <t>CAGTCTGCCCTGACTCAGCCTGCCTCC...GTGTCTGGGTCTCCTGGACAGTCGATCACCATCTCCTGCACTGGAACC</t>
  </si>
  <si>
    <t>GTCTCCTGGTACCAACAAAACCCAGGCAAAGCCCCCAAACTCATGATTTCT</t>
  </si>
  <si>
    <t>AATCGGCCCTCAGGGATTTCT...AATCGCTTCTCTGGCTCCAAG......TCTGGCAACACGGCCTCCCTGACCATCTCTGGGCTCCAGGCTGACGACGAGGCTGATTATTACTGC</t>
  </si>
  <si>
    <t>TTCGGCGGAGGGACCAAGCTGACCGTCCTAG</t>
  </si>
  <si>
    <t>AGCAGTGACGTTGGT.........GGTTATAACTAT</t>
  </si>
  <si>
    <t>GATGTC.....................AGT</t>
  </si>
  <si>
    <t>ACCTCATATACAAACGACAGCAATTCTCAGGTA</t>
  </si>
  <si>
    <t>IGLC2</t>
  </si>
  <si>
    <t>CTSYTNDSNSQVF</t>
  </si>
  <si>
    <t>AACACGTTCAGCTCGG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</si>
  <si>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</si>
  <si>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IGHV1-2</t>
  </si>
  <si>
    <t>IGHD2-21</t>
  </si>
  <si>
    <t>IGHJ2</t>
  </si>
  <si>
    <t>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</t>
  </si>
  <si>
    <t>CAGGTGCAGCTGGTGCAGTCTGGAGGT...CAGATGAAGAAGCCTGGCGAGTCGATGAGAATTTCTTGTCGGGCTTCTGGATATGAATTT............ATTGATTGTACGCTAAATTGGATTCGTCTGGCCCCCGGAAAAAGGCCTGAGTGGATGGGATGGCTGAAGCCTCGG......GGGGGGGCCGTCAACTACGCACGTCCACTTCAG...GGCAGAGTGACCATGACTCGAGACGTTTATTCCGACACAGCCTTTTTGGAGCTGCGCTCGTTGACAGTAGACGACACGGCCGTCTACTTTTGTACTAGGGGAAAAAACTGTGATTACAATTGGGACTTCGAACACTGGGGCCGGGGCACCCCGGTCATCGTCTCATCAG</t>
  </si>
  <si>
    <t>TGTACTAGGGGAAAAAACTGTGATTACAATTGGGACTTCGAACACTGG</t>
  </si>
  <si>
    <t>CAGGTGCAGCTGGTGCAGTCTGGAGGT...CAGATGAAGAAGCCTGGCGAGTCGATGAGAATTTCTTGTCGGGCTTCT</t>
  </si>
  <si>
    <t>CTAAATTGGATTCGTCTGGCCCCCGGAAAAAGGCCTGAGTGGATGGGATGG</t>
  </si>
  <si>
    <t>AACTACGCACGTCCACTTCAG...GGCAGAGTGACCATGACTCGAGACGTTTATTCCGACACAGCCTTTTTGGAGCTGCGCTCGTTGACAGTAGACGACACGGCCGTCTACTTTTGT</t>
  </si>
  <si>
    <t>TGGGGCCGGGGCACCCCGGTCATCGTCTCATCAG</t>
  </si>
  <si>
    <t>GGATATGAATTT............ATTGATTGTACG</t>
  </si>
  <si>
    <t>CTGAAGCCTCGG......GGGGGGGCCGTC</t>
  </si>
  <si>
    <t>ACTAGGGGAAAAAACTGTGATTACAATTGGGACTTCGAACAC</t>
  </si>
  <si>
    <t>TATCTGGGGGCTGGGGTCTCAGGAGGCAGCGCTCTCGGGACGTCTCCACCATGGCCTGGGCTCTGCTATTCCTCACCCTCCTCACTCAGGGCACAGGGTCCTGGGCCCAGTCTGCCCTGACTCAACCTGCCTCCGTGTCTGGGTGTCCTGGACAGTCGATCACCATCTCCTGCACTGGAACCAGCAGTGACGTTGGTGGTTATAACTCTGTCTCCTGC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</si>
  <si>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GTCCTGGACAGTCGATCACCATCTCCTGCACTGGAACCAGCAGTGACGTTGGTGGTTATAACTCTGTCTCCTGCTACCAACAAAACCCAGGCAAAGCCCCCAAACTCATGATTTATGATGTCAGTAATCGGCCCTCAGGGATTTCTAATCGCTTCTCTGGCTCCAAGTCTGGCAACACGGCCTCCCTGACCATCTCTGGGCTCCAGGCTGACGACGAGACTGATTATTACTGCACCTCATATACAAACGACAGCAATTCTCAGGTATTCGGCGGAGGGACCAAGCTGACCGTCCTAG</t>
  </si>
  <si>
    <t>CAGTCTGCCCTGACTCAACCTGCCTCC...GTGTCTGGGTGTCCTGGACAGTCGATCACCATCTCCTGCACTGGAACCAGCAGTGACGTTGGT.........GGTTATAACTCTGTCTCCTGC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</si>
  <si>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CAGTCTGCCCTGACTCAACCTGCCTCC...GTGTCTGGGTGTCCTGGACAGTCGATCACCATCTCCTGCACTGGAACC</t>
  </si>
  <si>
    <t>GTCTCCTGCTACCAACAAAACCCAGGCAAAGCCCCCAAACTCATGATTTAT</t>
  </si>
  <si>
    <t>AATCGGCCCTCAGGGATTTCT...AATCGCTTCTCTGGCTCCAAG......TCTGGCAACACGGCCTCCCTGACCATCTCTGGGCTCCAGGCTGACGACGAGACTGATTATTACTGC</t>
  </si>
  <si>
    <t>AGCAGTGACGTTGGT.........GGTTATAACTCT</t>
  </si>
  <si>
    <t>AACTCCCAGTAGCGGT</t>
  </si>
  <si>
    <t>contig_10</t>
  </si>
  <si>
    <t>G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</si>
  <si>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AGACGATCTTTTCTTATATGGGGGCTGGGGTCTCAGGAGGCAGCGCTCTCGGGACGTCTCCACCATGGCCTGGGCTCTGCTATTCCTCACCCTCCTCACTCAGGGCACAGGGTCCTGGGCCCAGTCTGCCCTGACTCAGCCTGCCTCCGTGTCTGGGTCTCCTGGACAGTCGATCACCATCTCCTGCACTGGAACCAGCAGTGACGTTGGTGGTTATAACTCTGTCTCCTGGTACCG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</si>
  <si>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G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</si>
  <si>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TATAACTCTGTCTCCTGGTACCGACAAAACCCAGGCAAAGCCCCCAAACTCATGATTTATGATGTC.....................AGTAATCGGCCCTCAGGGATTTCT...AATCGCTTCTCTGGCTCCAAG......TCTGGCAACACGGCCTCCCTGACCATCTCTGGGCTCCAGGCTGACGACGAGACTGATTATTACTGCACCTCATATACAAACGACAGCAATTCTCAGGTATTCGGCGGAGGGACCAAGCTGACCGTCCTAC</t>
  </si>
  <si>
    <t>GTCTCCTGGTACCGACAAAACCCAGGCAAAGCCCCCAAACTCATGATTTAT</t>
  </si>
  <si>
    <t>TTCGGCGGAGGGACCAAGCTGACCGTCCTAC</t>
  </si>
  <si>
    <t>AACTCCCCACGGTAAG</t>
  </si>
  <si>
    <t>GAGG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GGAGTGCATCCGCCCCAACCCTTTTCCCCCTCGTCTCCTGTGAGAATTCCCCGTCGGATACGAGCAGCGTG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</si>
  <si>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</si>
  <si>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GCCTGCACTCTGAAGATACCGCCGTGTACTATTGTGCTCGGGGAAAGAGACCCGGCTACTGCAGCGGAGGCGTCTGTTCCTCTGACTATTGGGGCCAGGGGACTCTGGTGACCGTCTCCTCAG</t>
  </si>
  <si>
    <t>AACTACGCCCAGAAGTTTCAG...GGAAGGGTGACAATTTCTGCAGACAAAAGTACCAATACAGCCTATATGGAGCTGTCAAGCCTGCACTCTGAAGATACCGCCGTGTACTATTGT</t>
  </si>
  <si>
    <t>contig_4</t>
  </si>
  <si>
    <t>CACCTCTA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</si>
  <si>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</si>
  <si>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</si>
  <si>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GTCTCCTGGTACCAACAAAACCCAGGCAAAGCCCCCAAACTCATGATTTAT</t>
  </si>
  <si>
    <t>AACTGGTAGCCGGTAA</t>
  </si>
  <si>
    <t>contig_7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</si>
  <si>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</si>
  <si>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GAGATTTTCTTATATGGGGGCTGGGGTCTCAGGAGGCAGCGCTCTCGGGACGTCTCCACCATGGCCTGGGCTCTGCTATTCCTCACCCTCCTCACTCAGGGCACAGGGTCCTGGGCCCAGTCTGCCCTGACTCAGCCTGCCTCCGTGTCTGGGTCTCCTGGACAGTCGATCACCATCTCCTGCACTGGAACCAGCAGTGACGTTGGTGGTTATAACTATGTCTCCTGGTACCAACAAAACCCAGGCAAAGCCCCCAAACTCATGATTTCTGATGTCAG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</si>
  <si>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AACTGGTTCAAACCGT</t>
  </si>
  <si>
    <t>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</si>
  <si>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contig_3</t>
  </si>
  <si>
    <t>GGGGCTGGGGTCTCAGGAGGCAGCGCTCTCGGGACGTCTCCACCATGGCCTGGGCTCTGCTATTCCTCACCCTCCTCACTCAGGGCACAGGGTCCTGGGCCCAGTCTGCCCTGACTCAGCCTGCCTCCGTGTCTGGGTCTCCTGGACAGTCGATCACCATCTCCTGCACTA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</si>
  <si>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AGAA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</si>
  <si>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A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</si>
  <si>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CAGTCTGCCCTGACTCAGCCTGCCTCC...GTGTCTGGGTCTCCTGGACAGTCGATCACCATCTCCTGCACTAGAACC</t>
  </si>
  <si>
    <t>AACTTTCAGGAGTTGC</t>
  </si>
  <si>
    <t>contig_2</t>
  </si>
  <si>
    <t>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</si>
  <si>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</si>
  <si>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AAGGAGCTCCGCGCAA</t>
  </si>
  <si>
    <t>ATCAATCTACGTTTCTTATATG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</si>
  <si>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A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</si>
  <si>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AAGGTTCCATTACGAC</t>
  </si>
  <si>
    <t>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CCCTGCGCTCTGAAGATACCGCCGTGTACTATTGTGCTCGGGGAAAGAGACCCGGCTACTGCAGCGGAGGCGTCTGTTCCTCTGACTATTGGGGCCAGGGGACTCTGGTGACCGTCTCCTCAGGGAGTGCATCCGCCCCAACCCTTTTCCCCCTCGTCTCCTGTGAGAATTCCCCGTCGGATACGAGCAGCGTG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</si>
  <si>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CCCTGCGCTCTGAAGATACCGCCGTGTACTATTGTGC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</si>
  <si>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CCCTGCGCTCTGAAGATACCGCCGTGTACTATTGTGCTCGGGGAAAGAGACCCGGCTACTGCAGCGGAGGCGTCTGTTCCTCTGACTATTGGGGCCAGGGGACTCTGGTGACCGTCTCCTCAG</t>
  </si>
  <si>
    <t>AACTACGCCCAGAAGTTTCAG...GGAAGGGTGACAATTTCTGCAGACAAAAGTACCAATACAGCCTATATGGAGCTGTCAACCCTGCGCTCTGAAGATACCGCCGTGTACTATTGT</t>
  </si>
  <si>
    <t>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</si>
  <si>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AAGTCTGTCCAAATGC</t>
  </si>
  <si>
    <t>GAGAGGGGATAAGACAGGGCTGGGGGCAGGCCCAGTGCTGGGGTCTCAGGAGGCAGCGCTCTCGGGACGTCTCCACCATGGCCTGGGCTCTGCTATTCCTCACCCTCCTCACTCAGGGCACAGGGTCCTGGGCCCAGTCTGCCCTGACTCAGCCTGCCTCCGTGTCTGGGTCTCCTGGACAGTCGATCACCATCTCCTGCACTGGAACCAGCAGTGACGTTGGTGCTTATAACTCTGTCTCCTGGTACCAACAAAACCCAGGCAAAGCCCCCAAACTCATGATTTATGATGTCAGTAATCGGCCCTCAGGGATTTCTAATCGCTTCTCTGCCTCCAAGTCTGC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</si>
  <si>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CTTATAACTCTGTCTCCTGGTACCAACAAAACCCAGGCAAAGCCCCCAAACTCATGATTTATGATGTCAGTAATCGGCCCTCAGGGATTTCTAATCGCTTCTCTGCCTCCAAGTCTGCCAACACGGCCTCCCTGACCATCTCTGGGCTCCAGGCTGACGACGAGACTGATTATTACTGCACCTCATATACAAACGACAGCAATTCTCAGGTATTCGGCGGAGGGACCAAGCTGACCGTCCTAG</t>
  </si>
  <si>
    <t>CAGTCTGCCCTGACTCAGCCTGCCTCC...GTGTCTGGGTCTCCTGGACAGTCGATCACCATCTCCTGCACTGGAACCAGCAGTGACGTTGGT.........GCTTATAACTCTGTCTCCTGGTACCAACAAAACCCAGGCAAAGCCCCCAAACTCATGATTTATGATGTC.....................AGTAATCGGCCCTCAGGGATTTCT...AATCGCTTCTCTGCCTCCAAG......TCTGCCAACACGGCCTCCCTGACCATCTCTGGGCTCCAGGCTGACGACGAGACTGATTATTACTGCACCTCATATACAAACGACAGCAATTCTCAGGTATTCGGCGGAGGGACCAAGCTGACCGTCCTAG</t>
  </si>
  <si>
    <t>AATCGGCCCTCAGGGATTTCT...AATCGCTTCTCTGCCTCCAAG......TCTGCCAACACGGCCTCCCTGACCATCTCTGGGCTCCAGGCTGACGACGAGACTGATTATTACTGC</t>
  </si>
  <si>
    <t>AGCAGTGACGTTGGT.........GCTTATAACTCT</t>
  </si>
  <si>
    <t>ACACCAACACCTTGTC</t>
  </si>
  <si>
    <t>contig_8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</si>
  <si>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AGTCCTGAGAGGGGGCAAGTACGCAGCCACCTCACAGGTGCTGCTGCCTTCCAAGGACGTCATG</t>
  </si>
  <si>
    <t>TGTCTTATCTGGGGGGGGTCACAAGAGGCAGCGCTCTCGGGACGTCTCCACCATGGCCTGGGCTCTGCTGCTCCTCACTCTCCTCACTCAGGACACAGGGTCCTGGGCCCAGTCTGCCCTGACTCAGCCT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</si>
  <si>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</si>
  <si>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CTTGTCTCCTGGTACCAAAAGCACCCAGGCAAAGCCCCCAAAGTCTTGATTTATGAGGGC.....................AGTAAGCGGCCCTCAGGGGTTTCT...AATCGCTTCTCTGGCTCCAAG......TCTGGCAACACGGCCTCCCTGACCATCTCTGGGCTCCAGGCTGACGACGAGACTGATTATTACTGCACCTCATATACAAACGACAGCAATTCTCAGGTATTCGGCGGAGGGACCAAGCTGACCGTCCTAG</t>
  </si>
  <si>
    <t>GTCTCCTGGTACCAAAAGCACCCAGGCAAAGCCCCCAAAGTCTTGATTTAT</t>
  </si>
  <si>
    <t>AAGCGGCCCTCAGGGGTTTCT...AATCGCTTCTCTGGCTCCAAG......TCTGGCAACACGGCCTCCCTGACCATCTCTGGGCTCCAGGCTGACGACGAGACTGATTATTACTGC</t>
  </si>
  <si>
    <t>AGCAGTGATGTTGGG.........AGTTATAACCTT</t>
  </si>
  <si>
    <t>GAGGGC.....................AGT</t>
  </si>
  <si>
    <t>ACACCAATCGCTTAGA</t>
  </si>
  <si>
    <t>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</si>
  <si>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GGTGCTTTCTTTCTTATATGGGGGCTGGGGTCTCAGGAGGCAGCGCTCTCGGGACGTCTCCACCATGGCCTGGGCTCTGCTATTCCTCACCCTCCTCACTCAGGGCACAGGGTCCTGGGCCCAGTCTGCCCTGACTCAGCCTGCCTCCGTGTCTGGGTCTCCTGGACAGTCGATCACCATTTCCTGCACTGGAACCAGCAGTGACGTTGGTGGTTATAATTCTGTCTCCTGGTACCAACAAAACCCAGACAAAGCCCCCAAAT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</si>
  <si>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TTCCTGCACTGGAACCAGCAGTGACGTTGGTGGTTATAATTCTGTCTCCTGGTACCAACAAAACCCAGACAAAGCCCCCAAAT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</si>
  <si>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TTCCTGCACTGGAACCAGCAGTGACGTTGGT.........GGTTATAATTCTGTCTCCTGGTACCAACAAAACCCAGACAAAGCCCCCAAATTCATGATTTATGATGTC.....................AGTAATCGGCCCTCAGGGATTTCT...AATCGCTTCTCTGGCTCCAAG......TCTGGCAACACGGCCTCCCTGACCATCTCTGGGCTCCAGGCTGACGACGAGACTGATTATTACTGCACCTCATATACAAACGACAGCAATTCTCAGGTATTCGGCGGAGGGACCAAGCTGACCGTCCTAC</t>
  </si>
  <si>
    <t>CAGTCTGCCCTGACTCAGCCTGCCTCC...GTGTCTGGGTCTCCTGGACAGTCGATCACCATTTCCTGCACTGGAACC</t>
  </si>
  <si>
    <t>GTCTCCTGGTACCAACAAAACCCAGACAAAGCCCCCAAATTCATGATTTAT</t>
  </si>
  <si>
    <t>AGCAGTGACGTTGGT.........GGTTATAATTCT</t>
  </si>
  <si>
    <t>ACACCAATCTACGAGT</t>
  </si>
  <si>
    <t>contig_15</t>
  </si>
  <si>
    <t>CCACTTTGA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</si>
  <si>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ACACCGGCATTCTCAT</t>
  </si>
  <si>
    <t>contig_11</t>
  </si>
  <si>
    <t>AATGGCTTTCTTATATGGGGCTGGGGTCTCAGGAGGCAGCGCTCTCGGGACGTCTCCACCATGGCCTGGGCTCTGCTATTCCTCACCCTCCTCACTCAGGGCACAGGGTCCTGGGCCCAGTCTGCCCTGACTCAGTT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</si>
  <si>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TT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</si>
  <si>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TT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</si>
  <si>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CAGTCTGCCCTGACTCAGTTTGCCTCC...GTGTCTGGGTCTCCTGGACAGTCGATCACCATCTCCTGCACTGGAACC</t>
  </si>
  <si>
    <t>ACAGCCGGTAACGCGA</t>
  </si>
  <si>
    <t>TCTATGGGGGCTGGGGTCTCAGGAGGCAGCGCTCTCGGGACGTCTCCACCATGGCCTGGGCTCTGCTATTCCTCACCCTCCTCACTCAGGGCACAGGGTCCTGGGCCCAGTCTGCCCTGACTCAGCCTGCCTCCGTGTCTGGGTCTCCTGGACAGTCGATCACCATCTCGTGCACTGGAACCAGCAGTGACGTTGGTGGTTATAACTCTGTCTCCTGGTACCAACAAAACCCAGGCAAAGCCCCCAAACTCATGATTTATGATGTCAGTAATCGGCCCTCAGGGATTTCTAATCGCTTCTCTGGCTG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</si>
  <si>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GTGCACTGGAACCAGCAGTGACGTTGGTGGTTATAACTCTGTCTCCTGGTACCAACAAAACCCAGGCAAAGCCCCCAAACTCATGATTTATGATGTCAGTAATCGGCCCTCAGGGATTTCTAATCGCTTCTCTGGCTGCAAGTCTGGCAACACGGCCTCCCTGACCATCTCTGGGCTCCAGGCTGACGACGAGACTGATTATTACTGCACCTCATATACAAACGACAGCAATTCTCAGGTATTCGGCGGAGGGACCAAGCTGACCGTCCTAG</t>
  </si>
  <si>
    <t>CAGTCTGCCCTGACTCAGCCTGCCTCC...GTGTCTGGGTCTCCTGGACAGTCGATCACCATCTCGTGCACTGGAACCAGCAGTGACGTTGGT.........GGTTATAACTCTGTCTCCTGGTACCAACAAAACCCAGGCAAAGCCCCCAAACTCATGATTTATGATGTC.....................AGTAATCGGCCCTCAGGGATTTCT...AATCGCTTCTCTGGCTGCAAG......TCTGGCAACACGGCCTCCCTGACCATCTCTGGGCTCCAGGCTGACGACGAGACTGATTATTACTGCACCTCATATACAAACGACAGCAATTCTCAGGTATTCGGCGGAGGGACCAAGCTGACCGTCCTAG</t>
  </si>
  <si>
    <t>CAGTCTGCCCTGACTCAGCCTGCCTCC...GTGTCTGGGTCTCCTGGACAGTCGATCACCATCTCGTGCACTGGAACC</t>
  </si>
  <si>
    <t>AATCGGCCCTCAGGGATTTCT...AATCGCTTCTCTGGCTGCAAG......TCTGGCAACACGGCCTCCCTGACCATCTCTGGGCTCCAGGCTGACGACGAGACTGATTATTACTGC</t>
  </si>
  <si>
    <t>ACAGCCGGTTCAGCGC</t>
  </si>
  <si>
    <t>contig_6</t>
  </si>
  <si>
    <t>ACGTTCTCTTTTCTTATAT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</si>
  <si>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CTGGTCATTTTTCTTATATGGGGGCTGGGGTCTCAGGAGGCAGCGCTCTCGGGACGTCTCCACCATGGCCTGGGCTCTGCTATTCCTCACCCTCCTCACTCAGGACACAGGGTCCTGGGCCCAGTCTGCCCTGACTCAGCCTGCCTCCGTGTCTGGGTCTCCTGGACAGTCGATCACCATCTCCTGCAGTGGAACCAGCAGTGACGTTGGTGGTTATAACTATGTCTCCTGGTACCAACAAAACCCAGGCAAGGCCCCCAAACTCATGATTTATGATGTCAGTAATCGGCCCTCAGGGATTTCTAATCGCTTCTCTGGCTCCAAGTCTGGCAACACGGCCTCCCTGACCATCTCTGGACTCCAGGCTGACGACGAGGCTGATTATTACTGCACCTCATATACAAACGACAGCAATTCTCAGGTATTCGGCGGAGGGACCAAT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</si>
  <si>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GTGGAACCAGCAGTGACGTTGGTGGTTATAACTATGTCTCCTGGTACCAACAAAACCCAGGCAAGGCCCCCAAACTCATGATTTATGATGTCAGTAATCGGCCCTCAGGGATTTCTAATCGCTTCTCTGGCTCCAAGTCTGGCAACACGGCCTCCCTGACCATCTCTGGACTCCAGGCTGACGACGAGGCTGATTATTACTGCACCTCATATACAAACGACAGCAATTCTCAGGTATTCGGCGGAGGGACCAATCTGACCGTCCTAG</t>
  </si>
  <si>
    <t>CAGTCTGCCCTGACTCAGCCTGCCTCC...GTGTCTGGGTCTCCTGGACAGTCGATCACCATCTCCTGCAGTGGAACCAGCAGTGACGTTGGT.........GGTTATAACTATGTCTCCTGGTACCAACAAAACCCAGGCAAGGCCCCCAAACTCATGATTTATGATGTC.....................AGTAATCGGCCCTCAGGGATTTCT...AATCGCTTCTCTGGCTCCAAG......TCTGGCAACACGGCCTCCCTGACCATCTCTGGACTCCAGGCTGACGACGAGGCTGATTATTACTGCACCTCATATACAAACGACAGCAATTCTCAGGTATTCGGCGGAGGGACCAATCTGACCGTCCTAG</t>
  </si>
  <si>
    <t>CAGTCTGCCCTGACTCAGCCTGCCTCC...GTGTCTGGGTCTCCTGGACAGTCGATCACCATCTCCTGCAGTGGAACC</t>
  </si>
  <si>
    <t>GTCTCCTGGTACCAACAAAACCCAGGCAAGGCCCCCAAACTCATGATTTAT</t>
  </si>
  <si>
    <t>AATCGGCCCTCAGGGATTTCT...AATCGCTTCTCTGGCTCCAAG......TCTGGCAACACGGCCTCCCTGACCATCTCTGGACTCCAGGCTGACGACGAGGCTGATTATTACTGC</t>
  </si>
  <si>
    <t>TTCGGCGGAGGGACCAATCTGACCGTCCTAG</t>
  </si>
  <si>
    <t>ACATACGCAGCCTATA</t>
  </si>
  <si>
    <t>GGAGTCAGACTCAGTCAGGACACAGCTCTAGAGCCACCATGGATTGGACATGGAGATTTCTGTTCGTCGTCGCCGCCGCTACCGGGGGAGTGCAGTCACAGGTGCAGCTGGTGCAGTCAC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</si>
  <si>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GGTGCAGCTGGTGCAGTCAC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</t>
  </si>
  <si>
    <t>CAGGTGCAGCTGGTGCAGTCACGAGCC...GAGGTGAAGAAACCAGGCAGCTCCGTGAAGGTCAGCTGCAAAGCTTCCGGGGTGACATCT............AGTAACTACCCCATCACTTGGGTCCGACAGGCACCTGGACAGGGACTGGAATGGATGGGAGGAGTGCTGCCACTG......TTCGGAGTCACCAACTACGCCCAGAAGTTTCAG...GGAAGGGTGACAATTTCTGCAGACAAAAGTACCAATACAGCCTATATGGAGCTGTCAAGCCTGCGCTCTGAAGATACCGCCGTGTACTATTGTGCTCGGGGAAAGAGACCCGGCTACTGCAGCGGAGGCGTCTGTTCCTCTGACTATTGGGGCCAGGGGACTCTGGTGACCGTCTCCTCAG</t>
  </si>
  <si>
    <t>CAGGTGCAGCTGGTGCAGTCACGAGCC...GAGGTGAAGAAACCAGGCAGCTCCGTGAAGGTCAGCTGCAAAGCTTCC</t>
  </si>
  <si>
    <t>TGGGGGGGGTCACAA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</si>
  <si>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ACATCAGAGCTATGCT</t>
  </si>
  <si>
    <t>contig_24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</si>
  <si>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</si>
  <si>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</si>
  <si>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ACATGGTCACAGCCCA</t>
  </si>
  <si>
    <t>contig_5</t>
  </si>
  <si>
    <t>ACATGGTGTGCCTGCA</t>
  </si>
  <si>
    <t>AGATGGGGGCTGGGGTCTCAGGAGGCAGCGCTCTCGGGACGTCTCCACCATGGCCTGGGCTCTGCTATTCCTCACCCTCCTCACTCAGGGCACAGGGTCCTGGGCCCAGTCTGCCCTGACTCAGCCTGCCTCCGTGTCTGGGTCTCCTGGACAGTCGATCACCATCTCCTGCACTGGAACCAGCAGTGACGTTGGTGGTTATAACTATGTCTCCTGGTACCAACAAAACCCAGGCAAAGCCCCCAAATTCATGATTTCTGATGTCAGTAATCGGCCCTCAGGGATTTCTAATCGCTTCTCTGGCTCCAAGTCTGGCAACACGGCCTCCCTGACCATCTCTGGGCTCCAGGCTGACGACGAGGCTGATTATTACTGCACCTCATATACAAACGACAGCAATTCTCAGGTATTCGGCGGAGGGACCAAGCTGACCGTT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</si>
  <si>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TTCATGATTTCTGATGTCAGTAATCGGCCCTCAGGGATTTCTAATCGCTTCTCTGGCTCCAAGTCTGGCAACACGGCCTCCCTGACCATCTCTGGGCTCCAGGCTGACGACGAGGCTGATTATTACTGCACCTCATATACAAACGACAGCAATTCTCAGGTATTCGGCGGAGGGACCAAGCTGACCGTTCTAG</t>
  </si>
  <si>
    <t>CAGTCTGCCCTGACTCAGCCTGCCTCC...GTGTCTGGGTCTCCTGGACAGTCGATCACCATCTCCTGCACTGGAACCAGCAGTGACGTTGGT.........GGTTATAACTATGTCTCCTGGTACCAACAAAACCCAGGCAAAGCCCCCAAATTCATGATTTCTGATGTC.....................AGTAATCGGCCCTCAGGGATTTCT...AATCGCTTCTCTGGCTCCAAG......TCTGGCAACACGGCCTCCCTGACCATCTCTGGGCTCCAGGCTGACGACGAGGCTGATTATTACTGCACCTCATATACAAACGACAGCAATTCTCAGGTATTCGGCGGAGGGACCAAGCTGACCGTTCTAG</t>
  </si>
  <si>
    <t>GTCTCCTGGTACCAACAAAACCCAGGCAAAGCCCCCAAATTCATGATTTCT</t>
  </si>
  <si>
    <t>TTCGGCGGAGGGACCAAGCTGACCGTTCTAG</t>
  </si>
  <si>
    <t>ACCCACTTCACCAGGC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</si>
  <si>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</t>
  </si>
  <si>
    <t>GCAGAGGGGATAAGACAGGGCTGGGGGCAGGCCCAGTGCTGGGGTCTCAGGAGGCAGCGCTCTCGGGACGTCTCCACCATGGCCTGGGCTCTGCTATTCCTCACCCTCCTCACTCAGGGCACAGGGTCCTGGGCCCAGTCTGCCCTGACTCAGCCTGCCTCCGTGTCTGGGTCTCCTGGACAGTCGATCACCATCTCCTGCACTGGAACCAGTAGTGACGTTGGTGGTTATAACTATGTCTCCTGGTACCAACAAAACCCAGGCAAAGCCCCCAAACTCATGATTTT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</si>
  <si>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TAGTGACGTTGGTGGTTATAACTATGTCTCCTGGTACCAACAAAACCCAGGCAAAGCCCCCAAACTCATGATTTTTGATGTCAGTAATCGGCCCTCAGGGATTTCTAATCGCTTCTCTGGCTCCAAGTCTGGCAACACGGCCTCCCTGACCATCTCTGGGCTCCAGGCTGACGACGAGGCTGATTATTACTGCACCTCATATACAAACGACACCAATTCTCAGGTATTCGGCGGAGGGACCAAGCTGACCGTCCTAG</t>
  </si>
  <si>
    <t>CAGTCTGCCCTGACTCAGCCTGCCTCC...GTGTCTGGGTCTCCTGGACAGTCGATCACCATCTCCTGCACTGGAACCAGTAGTGACGTTGGT.........GGTTATAACTATGTCTCCTGGTACCAACAAAACCCAGGCAAAGCCCCCAAACTCATGATTTTTGATGTC.....................AGTAATCGGCCCTCAGGGATTTCT...AATCGCTTCTCTGGCTCCAAG......TCTGGCAACACGGCCTCCCTGACCATCTCTGGGCTCCAGGCTGACGACGAGGCTGATTATTACTGCACCTCATATACAAACGACACCAATTCTCAGGTATTCGGCGGAGGGACCAAGCTGACCGTCCTAG</t>
  </si>
  <si>
    <t>TGCACCTCATATACAAACGACACCAATTCTCAGGTATTC</t>
  </si>
  <si>
    <t>GTCTCCTGGTACCAACAAAACCCAGGCAAAGCCCCCAAACTCATGATTTTT</t>
  </si>
  <si>
    <t>AGTAGTGACGTTGGT.........GGTTATAACTAT</t>
  </si>
  <si>
    <t>ACCTCATATACAAACGACACCAATTCTCAGGTA</t>
  </si>
  <si>
    <t>CTSYTNDTNSQVF</t>
  </si>
  <si>
    <t>ACCGTAACACGGTAGA</t>
  </si>
  <si>
    <t>TGGGGGGGGTCACAAGAGGCAGCGCTCTCGGGACGTCTCCACCATGGCCTGGGCTCTGCTGCTCCTCACTCTCCTCACTCAGGACACAGGGTCCTGGGCCCAGTCTGCCCTGACTCAGCCTGCCTCCGTGTCTGGGTCTCCTGGACAGTCGATCACCATCTCCTGCACTGGAACCAA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</si>
  <si>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ACAGTGATGTTGGGAGTTATAACCTTGTCTCCTGGTACCAAAAC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</si>
  <si>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ACAGTGATGTTGGG.........AGTTATAACCTTGTCTCCTGGTACCAAAACCACCCAGGCAAAGCCCCCAAAGTCTTGATTTATGAGGGC.....................AGTAAGCGGCCCTCAGGGGTTTCT...AATCGCTTCTCTGGCTCCAAG......TCTGGCAACACGGCCTCCCTGACCATCTCTGGGCTCCAGGCTGACGACGAGACTGATTATTACTGCACCTCATATACAAACGACAGCAATTCTCAGGTATTCGGCGGAGGGACCAAGCTGACCGTCCTAG</t>
  </si>
  <si>
    <t>GTCTCCTGGTACCAAAACCACCCAGGCAAAGCCCCCAAAGTCTTGATTTAT</t>
  </si>
  <si>
    <t>AACAGTGATGTTGGG.........AGTTATAACCTT</t>
  </si>
  <si>
    <t>ACGATGTTCAGCACAT</t>
  </si>
  <si>
    <t>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</si>
  <si>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ATCGGGACTTTCTTATATGGGGGCTGGGGTCTCAGGAGGCAGCGCTCTCGGGACGTCTCCACCATGGCCTGGGCTCTGCTATTCCTCACCCTCCTCACTCAGGGCACAGGGTCCTGGGCCCAGTCTGCCCTGACTCAGCCTGCCTCCGTGTCTGGGTCTCCTGGACAGTCGATCACCATCTCCTGCACTGGAACCAGCAGTGACC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</si>
  <si>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C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</si>
  <si>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C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</si>
  <si>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AGCAGTGACCTTGGT.........GGTTATAACTCT</t>
  </si>
  <si>
    <t>ACGCCGAGTGAGTGAC</t>
  </si>
  <si>
    <t>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</si>
  <si>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CTTTCTTCTCTGGGGGCTGGGGTCTCAGGAGGCAGCGCTCTCGGGACGTCTCCACCATGGCCTGGGCTCTGCTATTCCTCACCCTCCTCACTCAGGGCACAGGGTCCTGGGCCCAGTCTGCCCTGACTCAGCCTGCCTCCGTGTCTGGGTCTCCTGGACAGTCGATCACCATCTCCTGCACTGGAACCAGCAGTGACGTTGGTGGTTATAACTCTGTCTCCTGGTATCAACAAAAT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</si>
  <si>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TCAACAAAAT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</si>
  <si>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TCAACAAAATCCAGGCAAAGCCCCCAAACTCATGATTTATGATGTC.....................AGTAATCGGCCCTCAGGGATTTCT...AATCGCTTCTCTGGCTCCAAG......TCTGGCAACACGGCCTCCCTGACCATCTCTGGGCTCCAGGCTGACGACGAGACTGATTATTACTGCACCTCATATACAAACGACAGCAATTCTCAGGTATTCGGCGGAGGGACCAAGCTGACCGTCCTAG</t>
  </si>
  <si>
    <t>GTCTCCTGGTATCAACAAAATCCAGGCAAAGCCCCCAAACTCATGATTTAT</t>
  </si>
  <si>
    <t>ACGGGCTGTGCCTGCA</t>
  </si>
  <si>
    <t>GCCTGCAGGCGGTTTC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ACTGACGACGAG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</si>
  <si>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ACTGACGACGAGACTGATTATTACTGCACCTCATATACAAACGACAC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</si>
  <si>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ACTGACGACGAGACTGATTATTACTGCACCTCATATACAAACGACACCAATTCTCAGGTATTCGGCGGAGGGACCAAGCTGACCGTCCTAG</t>
  </si>
  <si>
    <t>AATCGGCCCTCAGGGATTTCT...AATCGCTTCTCTGGCTCCAAG......TCTGGCAACACGGCCTCCCTGACCATCTCTGGGCTCCAGACTGACGACGAGACTGATTATTACTGC</t>
  </si>
  <si>
    <t>ACGGGTCGTCATTAGC</t>
  </si>
  <si>
    <t>CATTAGCCATATTAAGATTTCTTATATGGGGGCTGGGGTCTCAGGAGGCAGCGCTCTCGGGACGTCTCCACCATGGCCTGGGCTCTGCTATTCCTCACCCTCCTCACTCAGGGCACAGGGTCCTGGGCCCAGTCTGCCCTGACTCAGCCTGCCTCCGTGTCTGGGTCTCCTGGACAGTCGATCACCATCTCCTGCACTGGAACTAGT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</si>
  <si>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TAGT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</si>
  <si>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TAGT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</si>
  <si>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CAGTCTGCCCTGACTCAGCCTGCCTCC...GTGTCTGGGTCTCCTGGACAGTCGATCACCATCTCCTGCACTGGAACT</t>
  </si>
  <si>
    <t>AGTAGTGACGTTGGT.........GGTTATAACTCT</t>
  </si>
  <si>
    <t>ACTGAGTGTAAGGATT</t>
  </si>
  <si>
    <t>T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</si>
  <si>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</si>
  <si>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ACTGTCCGTACTTAGC</t>
  </si>
  <si>
    <t>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</si>
  <si>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ACTTACTGTAATCGTC</t>
  </si>
  <si>
    <t>TGGGGGCTGGGGTCTCAGGAGGCAGCGCTCTCGGGACGTCTCCACCATGGCCTGGGCTCTGCTATTCCTCACCCTCCTCACTCAGGGCACAGGGTCCTGGGCCCAGTCTGCCCTGACTCAGCCTGCCTCCGTGTCTGGGTCTCCTGGACAGTCGATCACCATCTCCTGGACTGGAACCAGCAGTGACGTTGGTGGTTATAACTCTGTCTCCTGGTACCAACAAAACCCAGGCAAAGCCCCCAAACTCATGATTTATGATGTCAGTAATCGGCCCTCAGAGATTTCTAATCGCTTCTCTGGCTCCAAGTCTGGCAACACGGCCTCCCTGACCATCTCTGGGCTCCAGGCTGACGACGAGACTGATTATTACTA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</si>
  <si>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GACTGGAACCAGCAGTGACGTTGGTGGTTATAACTCTGTCTCCTGGTACCAACAAAACCCAGGCAAAGCCCCCAAACTCATGATTTATGATGTCAGTAATCGGCCCTCAGAGATTTCTAATCGCTTCTCTGGCTCCAAGTCTGGCAACACGGCCTCCCTGACCATCTCTGGGCTCCAGGCTGACGACGAGACTGATTATTACTACACCTCATATACAAACGACAGCAATTCTCAGGTATTCGGCGGAGGGACCAAGCTGACCGTCCTAG</t>
  </si>
  <si>
    <t>CAGTCTGCCCTGACTCAGCCTGCCTCC...GTGTCTGGGTCTCCTGGACAGTCGATCACCATCTCCTGGACTGGAACCAGCAGTGACGTTGGT.........GGTTATAACTCTGTCTCCTGGTACCAACAAAACCCAGGCAAAGCCCCCAAACTCATGATTTATGATGTC.....................AGTAATCGGCCCTCAGAGATTTCT...AATCGCTTCTCTGGCTCCAAG......TCTGGCAACACGGCCTCCCTGACCATCTCTGGGCTCCAGGCTGACGACGAGACTGATTATTACTACACCTCATATACAAACGACAGCAATTCTCAGGTATTCGGCGGAGGGACCAAGCTGACCGTCCTAG</t>
  </si>
  <si>
    <t>TACACCTCATATACAAACGACAGCAATTCTCAGGTATTC</t>
  </si>
  <si>
    <t>CAGTCTGCCCTGACTCAGCCTGCCTCC...GTGTCTGGGTCTCCTGGACAGTCGATCACCATCTCCTGGACTGGAACC</t>
  </si>
  <si>
    <t>AATCGGCCCTCAGAGATTTCT...AATCGCTTCTCTGGCTCCAAG......TCTGGCAACACGGCCTCCCTGACCATCTCTGGGCTCCAGGCTGACGACGAGACTGATTATTACTAC</t>
  </si>
  <si>
    <t>ACTTGTTTCGATGAGG</t>
  </si>
  <si>
    <t>TATCTGGGGGCTGGGGTCTCAGGAGGCAGCGCTCTCGGGACGTCTCCACCATGGCCTGGGCTCTGCTATTCCTCACCCTCCTCACTCAGGGCACAGGGTCCTGGGCCCAGTCTGCCCTGACTCAGCCTGCCTCCGTGTCTGGGTCTCCTGGACAGTCGATCACCATCTCCTGCACTGGAACCAGCAGTGACGTTGGTGGTTATAACTCTGTCTCCTGGTACCAACAAAACCCAGGCAAAGCCCCCAAAT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</si>
  <si>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T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</si>
  <si>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TTCATGATTTATGATGTC.....................AGTAATCGGCCCTCAGGGATTTCT...AATCGCTTCTCTGGCTCCAAG......TCTGGCAACACGGCCTCCCTGACCATCTCTGGGCTCCAGGCTGACGACGAGACTGATTATTACTGCACCTCATATACAAACGACAGCAATTCTCAGGTATTCGGCGGAGGGACCAAGCTGACCGTCCTAG</t>
  </si>
  <si>
    <t>GTCTCCTGGTACCAACAAAACCCAGGCAAAGCCCCCAAATTCATGATTTAT</t>
  </si>
  <si>
    <t>AGAATAGGTCTAACGT</t>
  </si>
  <si>
    <t>TATCTGGGGGCTGGGGTCTCAGGAGGCAGCGCTCTCGGGACGTCTCCACCATGGCCTGGGCTCTGCTATTCCTCACCCTCCTCACTCAGGGCACAGGGTCCTGGGCCCAGTCTGCCCTGACTCAGCCTGCCTCCGTGTCTGGGTCTCCTGGACAGTCGATCACCATCTCCTGCACTGGAACCAGCAGTGACGTTGGTGGTTATAACTCTGTCTCCTGGTACCAAG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</si>
  <si>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G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</si>
  <si>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GAAAACCCAGGCAAAGCCCCCAAACTCATGATTTATGATGTC.....................AGTAATCGGCCCTCAGGGATTTCT...AATCGCTTCTCTGGCTCCAAG......TCTGGCAACACGGCCTCCCTGACCATCTCTGGGCTCCAGGCTGACGACGAGACTGATTATTACTGCACCTCATATACAAACGACAGCAATTCTCAGGTATTCGGCGGAGGGACCAAGCTGACCGTCCTAG</t>
  </si>
  <si>
    <t>GTCTCCTGGTACCAAGAAAACCCAGGCAAAGCCCCCAAACTCATGATTTAT</t>
  </si>
  <si>
    <t>AGACGTTCATTTCAGG</t>
  </si>
  <si>
    <t>contig_12</t>
  </si>
  <si>
    <t>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</si>
  <si>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CACCGGGTTTTCTTATATGGGGGCTGGGGTCTCAGGAGGCAGCGCTCTCGGGACGTCTCCACCATGGCCTGGGCTCTGCTATTCCTCACCCTCCTCACTCAGGGCACAGGGTCCTGGGCCCAGTCTGCCCTGACTCAGCCTGCCTCCGTGTCTGGGTCTCCTGGACAGTCGATCACCATCTCCTGCACTGGAACCAGCAGTGACGTTGGTGGTTATAACTCTGTCTCCTGGTACCAACAAAACCCAGGCAAAGACCCCAAACTCATGATTTATGATGTCAGTAATCGGCCCTCAGGGATTTCTAATCGCTTCTCTGGCTCCAAGTCTGGCAACACGGCCTCCCTGACCATCTCTGGGCTCCAGGT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</si>
  <si>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ACCCCAAACTCATGATTTATGATGTCAGTAATCGGCCCTCAGGGATTTCTAATCGCTTCTCTGGCTCCAAGTCTGGCAACACGGCCTCCCTGACCATCTCTGGGCTCCAGGTTGACGACGAGACTGATTATTACTGCACCTCATATACAAACGACAGCAATTCTCAGGTATTCGGCGGAGGGACCAAGTTGACCGTCCTAG</t>
  </si>
  <si>
    <t>CAGTCTGCCCTGACTCAGCCTGCCTCC...GTGTCTGGGTCTCCTGGACAGTCGATCACCATCTCCTGCACTGGAACCAGCAGTGACGTTGGT.........GGTTATAACTCTGTCTCCTGGTACCAACAAAACCCAGGCAAAGACCCCAAACTCATGATTTATGATGTC.....................AGTAATCGGCCCTCAGGGATTTCT...AATCGCTTCTCTGGCTCCAAG......TCTGGCAACACGGCCTCCCTGACCATCTCTGGGCTCCAGGTTGACGACGAGACTGATTATTACTGCACCTCATATACAAACGACAGCAATTCTCAGGTATTCGGCGGAGGGACCAAGTTGACCGTCCTAG</t>
  </si>
  <si>
    <t>GTCTCCTGGTACCAACAAAACCCAGGCAAAGACCCCAAACTCATGATTTAT</t>
  </si>
  <si>
    <t>AATCGGCCCTCAGGGATTTCT...AATCGCTTCTCTGGCTCCAAG......TCTGGCAACACGGCCTCCCTGACCATCTCTGGGCTCCAGGTTGACGACGAGACTGATTATTACTGC</t>
  </si>
  <si>
    <t>TTCGGCGGAGGGACCAAGTTGACCGTCCTAG</t>
  </si>
  <si>
    <t>AGAGTGGCATCTACGA</t>
  </si>
  <si>
    <t>AGATCTGGTTCACGGC</t>
  </si>
  <si>
    <t>GGGAGTCAGACTCAGTCAGGACACAGCTCTAGAGCCACCATGGATTGGACATGGAGATTTCTGTTCGTCGTCGCCGCCGCTACCGGGGGAGTGCAGTCACAGGTGCAGCTGGTGCAGTCAGGAGCCGAGGTGAAGAAACCAGGCAGCTCCGTGAAGGTCAGCTGCAAAGCTTCCGGGGTGACATCTAGTAACTACCCCATCACTTGGGTCCGACAGGCACCTGGACAGGGACTGGG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</si>
  <si>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GGTGCAGCTGGTGCAGTCAGGAGCCGAGGTGAAGAAACCAGGCAGCTCCGTGAAGGTCAGCTGCAAAGCTTCCGGGGTGACATCTAGTAACTACCCCATCACTTGGGTCCGACAGGCACCTGGACAGGGACTGGGATGGATGGGAGGAGTGCTGCCACTGTTCGGAGTCACCAACTACGCCCAGAAGTTTCAGGGAAGGGTGACAATTTCTGCAGACAAAAGTACCAATACAGCCTATATGGAGCTGTCAAGCCTGCGCTCTGAAGATACCGCCGTGTACTATTGTGCTCGGGGAAAGAGACCCGGCTACTGCAGCGGAGGCGTCTGTTCCTCTGACTATTGGGGCCAGGGGACTCTGGTGACCGTCTCCTCAG</t>
  </si>
  <si>
    <t>CAGGTGCAGCTGGTGCAGTCAGGAGCC...GAGGTGAAGAAACCAGGCAGCTCCGTGAAGGTCAGCTGCAAAGCTTCCGGGGTGACATCT............AGTAACTACCCCATCACTTGGGTCCGACAGGCACCTGGACAGGGACTGGGATGGATGGGAGGAGTGCTGCCACTG......TTCGGAGTCACCAACTACGCCCAGAAGTTTCAG...GGAAGGGTGACAATTTCTGCAGACAAAAGTACCAATACAGCCTATATGGAGCTGTCAAGCCTGCGCTCTGAAGATACCGCCGTGTACTATTGTGCTCGGGGAAAGAGACCCGGCTACTGCAGCGGAGGCGTCTGTTCCTCTGACTATTGGGGCCAGGGGACTCTGGTGACCGTCTCCTCAG</t>
  </si>
  <si>
    <t>ATCACTTGGGTCCGACAGGCACCTGGACAGGGACTGGGATGGATGGGAGGA</t>
  </si>
  <si>
    <t>CTGGGG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AAG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</si>
  <si>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AAG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</si>
  <si>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AAGTGATTATTACTGCACCTCATATACAAACGACAGCAATTCTCAGGTATTCGGCGGAGGGACCAAGCTGACCGTCCTAG</t>
  </si>
  <si>
    <t>AATCGGCCCTCAGGGATTTCT...AATCGCTTCTCTGGCTCCAAG......TCTGGCAACACGGCCTCCCTGACCATCTCTGGGCTCCAGGCTGACGACGAAAGTGATTATTACTGC</t>
  </si>
  <si>
    <t>AGCAGCCAGATACACA</t>
  </si>
  <si>
    <t>GAG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</si>
  <si>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</si>
  <si>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AGCGGTCAGCGTAATA</t>
  </si>
  <si>
    <t>GG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</si>
  <si>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AGCGGTCCAAGTAATG</t>
  </si>
  <si>
    <t>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</t>
  </si>
  <si>
    <t>GCCTCCTCTTTGGCAGAGGGGATAAGACAGGGCTGGGGGCAGGCCCAGTGCTGGGGTCTCAGGAGGCAGCGCTCTCGGGACGTCTCCACCATGGCCTGGGCTCTGCTATTCCTCACCCTCCTCACTCAGGGCACAGGGTCCTGGGCCCAGTCTGCCCTGACTCAGCCTGCCTCCGTGTCTGGGTCTCCTGGACAGTCGATCACCATCTCCTGCATTGGAACCAG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</si>
  <si>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TTGGAACCAG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</si>
  <si>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T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</si>
  <si>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CAGTCTGCCCTGACTCAGCCTGCCTCC...GTGTCTGGGTCTCCTGGACAGTCGATCACCATCTCCTGCATTGGAACC</t>
  </si>
  <si>
    <t>AGCGGTCCAGCCTATA</t>
  </si>
  <si>
    <t>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C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</si>
  <si>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C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</si>
  <si>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CCTCCAGGCTGACGACGAGACTGATTATTACTGCACCTCATATACAAACGACAGCAATTCTCAGGTATTCGGCGGAGGGACCAAGCTGACCGTCCTAG</t>
  </si>
  <si>
    <t>AATCGGCCCTCAGGGATTTCT...AATCGCTTCTCTGGCTCCAAG......TCTGGCAACACGGCCTCCCTGACCATCTCTGGCCTCCAGGCTGACGACGAGACTGATTATTACTGC</t>
  </si>
  <si>
    <t>AGCGGTCGTTACTGAC</t>
  </si>
  <si>
    <t>CGGCCTCCCTTTCTTATATGGGGGCTGGGGTCTCAGGAGGCAGCGCTCTCGGGACGTCTCCACCATGGCCTGGGCTCTGCTATTCCTCACCCTCCTCACTCAGGGCACAGGGTCCTGGGCCCAGTCTGCCCTGACTCAGCCTGCCTCCGTGTCTGGGTCTCCTGGACAGTCGATCACCATCTCCTGCACTGGAACCAGCAGTGACGTTGGTGGTTATAACTCTGTCTCCTGGTACCAACAAAACCCAGGCAAAGCCCCCAAAGTCATGATTTATGATGTCAGTAATCGGCCCTCAGGGATTTCTAATCGCTTCTCTGGCTCCAAGTCTGGCAACACGGCCTCCCTGACCATCTCTGGGCTCCAGGC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</si>
  <si>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GTCATGATTTATGATGTCAGTAATCGGCCCTCAGGGATTTCTAATCGCTTCTCTGGCTCCAAGTCTGGCAACACGGCCTCCCTGACCATCTCTGGGCTCCAGGCTGACGACGAGACTGATTATTACTGCACCTCATATACAAACGACAGCAATTCTCAGGTATTCGGCGGAGGGACCAAGTTGACCGTCCTAG</t>
  </si>
  <si>
    <t>CAGTCTGCCCTGACTCAGCCTGCCTCC...GTGTCTGGGTCTCCTGGACAGTCGATCACCATCTCCTGCACTGGAACCAGCAGTGACGTTGGT.........GGTTATAACTCTGTCTCCTGGTACCAACAAAACCCAGGCAAAGCCCCCAAAGTCATGATTTATGATGTC.....................AGTAATCGGCCCTCAGGGATTTCT...AATCGCTTCTCTGGCTCCAAG......TCTGGCAACACGGCCTCCCTGACCATCTCTGGGCTCCAGGCTGACGACGAGACTGATTATTACTGCACCTCATATACAAACGACAGCAATTCTCAGGTATTCGGCGGAGGGACCAAGTTGACCGTCCTAG</t>
  </si>
  <si>
    <t>GTCTCCTGGTACCAACAAAACCCAGGCAAAGCCCCCAAAGTCATGATTTAT</t>
  </si>
  <si>
    <t>AGCGTATAGGACAGCT</t>
  </si>
  <si>
    <t>GAGGAGTCAGACTCAGTCAGGACACAGCTCTAGAGCCACCATGGATTGGACATGGAGATTTCTGTTCGTCGTCGCCGCCGCTACCGGGGGAGTGCAGTC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</si>
  <si>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AGGAGTCAGACTCAGTCAGGACACAGCTCTAGAGCCACCATGGATTGGACATGGAGATTTCTGTTCGTCGTCGCCGCCGCTACCGGGGGAGTGCAGTCACAGGCACCTGGACAGGGACTGGAATGGATGGGAGGAGTGCTGCCACTGTTCGGAGTCACCAACTACGCCCAGAAGTTTCAGGGAAGGGTGACAATTTCTGCAGACAAAAGTACCAATACAGCCTATATGGAGCTGTCAAGCCTGCGCTCTGAAGATACCGCCGTGTACTATTGTGCTCGGGGAAAGAGACCCGGCTACTGCAGCGGAGGCGTCTGTTCCTCTGACTATTGGGGCCAGGGGACTCTGGTGACCGTCTCCTCAG</t>
  </si>
  <si>
    <t>..............GAGGAGTCAGACT...CAGTCAGGACACAGCTCTAGAGCCACCATGGATTGGACATGGAGATTTCTGTTCGTCGTC............GCCGCCGCTACCGGGGGAGTGCAGTCACAGGCACCTGGACAGGGACTGGAATGGATGGGAGGAGTGCTGCCACTG......TTCGGAGTCACCAACTACGCCCAGAAGTTTCAG...GGAAGGGTGACAATTTCTGCAGACAAAAGTACCAATACAGCCTATATGGAGCTGTCAAGCCTGCGCTCTGAAGATACCGCCGTGTACTATTGTGCTCGGGGAAAGAGACCCGGCTACTGCAGCGGAGGCGTCTGTTCCTCTGACTATTGGGGCCAGGGGACTCTGGTGACCGTCTCCTCAG</t>
  </si>
  <si>
    <t>..............GAGGAGTCAGACT...CAGTCAGGACACAGCTCTAGAGCCACCATGGATTGGACATGGAGATTT</t>
  </si>
  <si>
    <t>GGGGGAGTGCAGTCACAGGCACCTGGACAGGGACTGGAATGGATGGGAGGA</t>
  </si>
  <si>
    <t>CTGTTCGTCGTC............GCCGCCGCTACC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</si>
  <si>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</si>
  <si>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AGCGTATTCCTAGTGA</t>
  </si>
  <si>
    <t>GGCTGGGGTCACAA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</si>
  <si>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AGCTCCTAGTGACTCT</t>
  </si>
  <si>
    <t>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</t>
  </si>
  <si>
    <t>AGATGGGGGCTGGGGTCTCAGGAGGCAGCGCTCTCGGGACGTCTCCACCATGGCCTGGGCTCTGCTATTCCTCACCCTCCTCACTCAGGGCACAGGGTCCTGGGCCCAGTCTGCCCTGACTCAGCCTGCCTCCGTGTCTGGGTCTCCTGGACAGTCGATCACCATCTCCTGCACTGGAACCAGCAGTGACATTGGTGCTTATAACTCTGTCTCCTGGTACCAACAAAACCCAGGCAAAGCCCCCAAACTCATGATTTATGATGTCAGTAATCGGCCCTCAGGGATTTCTAATCGCTTCTCTGGCTCCAAGTCTGGCAACACGGCCTCCCTGACCATCTCTGGGCTCCAGGCTGACGACGAG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</si>
  <si>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ATTGGTGCTTATAACTCTGTCTCCTGGTACCAACAAAACCCAGGCAAAGCCCCCAAACTCATGATTTATGATGTCAGTAATCGGCCCTCAGGGATTTCTAATCGCTTCTCTGGCTCCAAGTCTGGCAACACGGCCTCCCTGACCATCTCTGGGCTCCAGGCTGACGACGAGACTGATTATTACTGCACCTCATATACAAACGACACCAATTCTCAGGTATTCGGCGGAGGGACCAAGCTGACCGTCCTAG</t>
  </si>
  <si>
    <t>CAGTCTGCCCTGACTCAGCCTGCCTCC...GTGTCTGGGTCTCCTGGACAGTCGATCACCATCTCCTGCACTGGAACCAGCAGTGACATTGGT.........GCTTATAACTCTGTCTCCTGGTACCAACAAAACCCAGGCAAAGCCCCCAAACTCATGATTTATGATGTC.....................AGTAATCGGCCCTCAGGGATTTCT...AATCGCTTCTCTGGCTCCAAG......TCTGGCAACACGGCCTCCCTGACCATCTCTGGGCTCCAGGCTGACGACGAGACTGATTATTACTGCACCTCATATACAAACGACACCAATTCTCAGGTATTCGGCGGAGGGACCAAGCTGACCGTCCTAG</t>
  </si>
  <si>
    <t>AGCAGTGACATTGGT.........GCTTATAACTCT</t>
  </si>
  <si>
    <t>AGCTCCTTCGCGCCAA</t>
  </si>
  <si>
    <t>G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</si>
  <si>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</si>
  <si>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AGCTTGACATCCGCGA</t>
  </si>
  <si>
    <t>G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</si>
  <si>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AGACCTG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</si>
  <si>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AGGCCACCATTGGGCC</t>
  </si>
  <si>
    <t>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</si>
  <si>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AGGCCACTCGCAAACT</t>
  </si>
  <si>
    <t>TCTTATCTGGGGGCTGGGGTCTCAGGAGGCAGCGCTCTCGGGACGTCTCCACCATGGCCTGGGCTCTGCTATTCCTCACCCTCCTCACTCAGGGCACAGGGTCCTGGGCCCAGTCTGCCCTGACTCAGCCTGCCTCCGTGTCTGGGTCTCCTGGACAGTCGATCACCATCTCCTGCACTGGAACCAGCAGTGACGTTGGTGGTTATAACTCTGTCTCCTGGTACCAACAAAACCCAGTCAAAGCCCCCAAACTCATGATTTATGATGTCAGTAATCGGCCCTCAGGGATTTCTAATCGCTTCTCTGGCTCCAAGTCTGGCAACACGGCCTCCCTGACCATCTCTGGGCTCCAGGCTGACGACGAGACTGATTATTACTGCACCTCATATACAAACGACAGCAATTCTCAGGTATTCGACGGAGGGACCAAC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</si>
  <si>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TCAAAGCCCCCAAACTCATGATTTATGATGTCAGTAATCGGCCCTCAGGGATTTCTAATCGCTTCTCTGGCTCCAAGTCTGGCAACACGGCCTCCCTGACCATCTCTGGGCTCCAGGCTGACGACGAGACTGATTATTACTGCACCTCATATACAAACGACAGCAATTCTCAGGTATTCGACGGAGGGACCAACCTGACCGTCCTAC</t>
  </si>
  <si>
    <t>CAGTCTGCCCTGACTCAGCCTGCCTCC...GTGTCTGGGTCTCCTGGACAGTCGATCACCATCTCCTGCACTGGAACCAGCAGTGACGTTGGT.........GGTTATAACTCTGTCTCCTGGTACCAACAAAACCCAGTCAAAGCCCCCAAACTCATGATTTATGATGTC.....................AGTAATCGGCCCTCAGGGATTTCT...AATCGCTTCTCTGGCTCCAAG......TCTGGCAACACGGCCTCCCTGACCATCTCTGGGCTCCAGGCTGACGACGAGACTGATTATTACTGCACCTCATATACAAACGACAGCAATTCTCAGGTATTCGACGGAGGGACCAACCTGACCGTCCTAC</t>
  </si>
  <si>
    <t>GTCTCCTGGTACCAACAAAACCCAGTCAAAGCCCCCAAACTCATGATTTAT</t>
  </si>
  <si>
    <t>TTCGACGGAGGGACCAACCTGACCGTCCTAC</t>
  </si>
  <si>
    <t>AGGGATGCAAGAGTCG</t>
  </si>
  <si>
    <t>AGAGTCGACTACTTCGGTTTCTTATATGGGGGCTGGGGTCTCAGGAGGCAGCGCTCTCGGGACGTCTCCACCATGGCCTGGGCTCTGCTATTCCTCACCCTCCTCACTCAGGGCACAGGGTCCTGGGCCCAGTCTGCCCTGACTCAGGCTGCCTCCGTGTCTGGGTCTCCTGGACAGTCGATCACCATCTCCTGCACTGGAACCAGCAGTGACGTTGGTGGTTATAACTCTGTCTCCTGGTACCAACAAAACCCAGGCAAAGCCCCCAAACTCATGATTTATGATGTCAGTAATCGGCCCTCAGAGATTTCTAATCGCTTCTCTGGCTCCAAGTCTGGCAACACGGCCTCCCTGACCATCTCTGGGCTCCAGGCTGACGACGAGACTGATTATTACTA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</si>
  <si>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GCTGCCTCCGTGTCTGGGTCTCCTGGACAGTCGATCACCATCTCCTGCACTGGAACCAGCAGTGACGTTGGTGGTTATAACTCTGTCTCCTGGTACCAACAAAACCCAGGCAAAGCCCCCAAACTCATGATTTATGATGTCAGTAATCGGCCCTCAGAGATTTCTAATCGCTTCTCTGGCTCCAAGTCTGGCAACACGGCCTCCCTGACCATCTCTGGGCTCCAGGCTGACGACGAGACTGATTATTACTACACCTCATATACAAACGACAGCAATTCTCAGGTATTCGGCGGAGGGACCAAGCTGACCGTCCTAC</t>
  </si>
  <si>
    <t>CAGTCTGCCCTGACTCAGGCTGCCTCC...GTGTCTGGGTCTCCTGGACAGTCGATCACCATCTCCTGCACTGGAACCAGCAGTGACGTTGGT.........GGTTATAACTCTGTCTCCTGGTACCAACAAAACCCAGGCAAAGCCCCCAAACTCATGATTTATGATGTC.....................AGTAATCGGCCCTCAGAGATTTCT...AATCGCTTCTCTGGCTCCAAG......TCTGGCAACACGGCCTCCCTGACCATCTCTGGGCTCCAGGCTGACGACGAGACTGATTATTACTACACCTCATATACAAACGACAGCAATTCTCAGGTATTCGGCGGAGGGACCAAGCTGACCGTCCTAC</t>
  </si>
  <si>
    <t>CAGTCTGCCCTGACTCAGGCTGCCTCC...GTGTCTGGGTCTCCTGGACAGTCGATCACCATCTCCTGCACTGGAACC</t>
  </si>
  <si>
    <t>AGGTCATAGAGCAATT</t>
  </si>
  <si>
    <t>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</si>
  <si>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AGGTCATGTCTCCCTA</t>
  </si>
  <si>
    <t>TCAGATGCCTTTCTTATATGGGGGCTGGGGTCTCAGGAGGCAGCGCTCTCGGGACGTCTCCACCATGGCCTGGGCTCTGCTATTCCTCACCCTCCTCACTCAGGGCACAGGGTCCTGGGCCCAGTCTGCCCTGACTCAGCCTGCCTCCGTGTCTGGGTCTCCTGGACAGTCGATCACCATCTCCTGCACTGGAACCAGTAGTGACGTTGGTGGTTATAACTATGTCTCCTGGTACCAACAAAACCCAGGCAAAGCCCCCAAACTCATGATTTATGATGTCAGTAATCGGCCCTCAGGGATTTCTAATCGCTTCTCTGGCTCCAAGTCTGGCAACACGGCCTCCCTGACCATCTCTGGGCTCCAGGCTGACGACGAGGCTGATTATTTGTGCACCTCATATACAAACGACAGCAATTCTCAGGTC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</si>
  <si>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TAGTGACGTTGGTGGTTATAACTATGTCTCCTGGTACCAACAAAACCCAGGCAAAGCCCCCAAACTCATGATTTATGATGTCAGTAATCGGCCCTCAGGGATTTCTAATCGCTTCTCTGGCTCCAAGTCTGGCAACACGGCCTCCCTGACCATCTCTGGGCTCCAGGCTGACGACGAGGCTGATTATTTGTGCACCTCATATACAAACGACAGCAATTCTCAGGTCTTCGGCGGAGGGACCAAGCTGACCGTCCTAG</t>
  </si>
  <si>
    <t>CAGTCTGCCCTGACTCAGCCTGCCTCC...GTGTCTGGGTCTCCTGGACAGTCGATCACCATCTCCTGCACTGGAACCAGTAGTGACGTTGGT.........GGTTATAACTATGTCTCCTGGTACCAACAAAACCCAGGCAAAGCCCCCAAACTCATGATTTATGATGTC.....................AGTAATCGGCCCTCAGGGATTTCT...AATCGCTTCTCTGGCTCCAAG......TCTGGCAACACGGCCTCCCTGACCATCTCTGGGCTCCAGGCTGACGACGAGGCTGATTATTTGTGCACCTCATATACAAACGACAGCAATTCTCAGGTCTTCGGCGGAGGGACCAAGCTGACCGTCCTAG</t>
  </si>
  <si>
    <t>TGCACCTCATATACAAACGACAGCAATTCTCAGGTCTTC</t>
  </si>
  <si>
    <t>AATCGGCCCTCAGGGATTTCT...AATCGCTTCTCTGGCTCCAAG......TCTGGCAACACGGCCTCCCTGACCATCTCTGGGCTCCAGGCTGACGACGAGGCTGATTATTTGTGC</t>
  </si>
  <si>
    <t>ACCTCATATACAAACGACAGCAATTCTCAGGTC</t>
  </si>
  <si>
    <t>AGGTCCGTCTACTCAT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</si>
  <si>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</si>
  <si>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AGTGAGGCATCGACGC</t>
  </si>
  <si>
    <t>GAGGGCTGGGGGCAGGCCCAGTGCTGGGGTCTCAGGAGGCAGCGCTCTCGGGACGTCTCCACCATGGCCTGGGCTCTGCTATTCCTCACCCTCCTCACTCAGGGCACAGGGTCCTGGGCCCAGTCTGCCCTGACTCAGCCTGCCTCCGTGTCTGGGTCTCCTGGACAGTCGATCACCATCTCCTGCACTGGAACCAGCAGTGACGTTGGTGGTTATAACTCTGTCTCCTGGTACCAACAAAACCCAGGCAAAGCCCCCAAACTCATGATTCAGTAATCGGCCCTCAGGGATTTCTAATCGCTTCTCTGGCTCCAAGTCTGGCAACACGGCCTCCCTGACCATCTCTGGGCTCCAGGCTGACGACGAGACTGATTATTACTGCACCTCATATACAAACGACAGCAATTCTCAGGTATTCGGCGGAGGGACCAAGCTGACCGTCG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</si>
  <si>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CAGTAATCGGCCCTCAGGGATTTCTAATCGCTTCTCTGGCTCCAAGTCTGGCAACACGGCCTCCCTGACCATCTCTGGGCTCCAGGCTGACGACGAGACTGATTATTACTGCACCTCATATACAAACGACAGCAATTCTCAGGTATTCGGCGGAGGGACCAAGCTGACCGTCGTAG</t>
  </si>
  <si>
    <t>CAGTCTGCCCTGACTCAGCCTGCCTCC...GTGTCTGGGTCTCCTGGACAGTCGATCACCATCTCCTGCACTGGAACCAGCAGTGACGTTGGT.........GGTTATAACTCTGTCTCCTGGTACCAACAAAACCCAGGCAAAGCCCCCAAACTCATGATT........C.....................AGTAATCGGCCCTCAGGGATTTCT...AATCGCTTCTCTGGCTCCAAG......TCTGGCAACACGGCCTCCCTGACCATCTCTGGGCTCCAGGCTGACGACGAGACTGATTATTACTGCACCTCATATACAAACGACAGCAATTCTCAGGTATTCGGCGGAGGGACCAAGCTGACCGTCGTAG</t>
  </si>
  <si>
    <t>GTCTCCTGGTACCAACAAAACCCAGGCAAAGCCCCCAAACTCATGATT...</t>
  </si>
  <si>
    <t>TTCGGCGGAGGGACCAAGCTGACCGTCGTAG</t>
  </si>
  <si>
    <t>.....C.....................AGT</t>
  </si>
  <si>
    <t>AGTGAGGGTTTGCATG</t>
  </si>
  <si>
    <t>G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</si>
  <si>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GAATGTGGTTTCTTATATGGGGGCTGGGGTCTCAGGAGGCCGCGCTCTCGGGACGTCTCCACCATGGCCTGGGCTCTGCTATTCCTCACCCTCCTCACTCAGGGCACAGGGTCCTGGGCCCAGTCTGCCCTGACTCAGCCTGCCTCCGTGTCTGGGTCTCCTGGACAGTCGATCACCAGCTCCTGCACTGGAACCAGCAGTGACGTTGGTGGTTATAACTATGTCTCCTGGTACCAACAAAACCCAGGCAAAGTCCCCAAAG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</si>
  <si>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GCTCCTGCACTGGAACCAGCAGTGACGTTGGTGGTTATAACTATGTCTCCTGGTACCAACAAAACCCAGGCAAAGTCCCCAAAGTCATGATTTATGATGTCAGTAATCGGCCCTCAGGGATTTCTAATCGCTTCTCTGGCTCCAAGTCTGGCAACACGGCCTCCCTGACCATCTCTGGGCTCCAGGCTGACGACGAGGCTGATTATTACTGCACCTCATATACAAACGACACCAATTCTCAGGTATTCGGCGGAGGGACCAAGCTGACCGTCCTAG</t>
  </si>
  <si>
    <t>CAGTCTGCCCTGACTCAGCCTGCCTCC...GTGTCTGGGTCTCCTGGACAGTCGATCACCAGCTCCTGCACTGGAACCAGCAGTGACGTTGGT.........GGTTATAACTATGTCTCCTGGTACCAACAAAACCCAGGCAAAGTCCCCAAAGTCATGATTTATGATGTC.....................AGTAATCGGCCCTCAGGGATTTCT...AATCGCTTCTCTGGCTCCAAG......TCTGGCAACACGGCCTCCCTGACCATCTCTGGGCTCCAGGCTGACGACGAGGCTGATTATTACTGCACCTCATATACAAACGACACCAATTCTCAGGTATTCGGCGGAGGGACCAAGCTGACCGTCCTAG</t>
  </si>
  <si>
    <t>CAGTCTGCCCTGACTCAGCCTGCCTCC...GTGTCTGGGTCTCCTGGACAGTCGATCACCAGCTCCTGCACTGGAACC</t>
  </si>
  <si>
    <t>GTCTCCTGGTACCAACAAAACCCAGGCAAAGTCCCCAAAGTCATGATTTAT</t>
  </si>
  <si>
    <t>AGTTGGTCAAGTAGTA</t>
  </si>
  <si>
    <t>GGGGCAGGCCCAGTGCTGGGGTCTCAGGAGGCAGCGCTCTCGGGACGTCTCCACCATGGCCTGGGCTCTGCTATTCCTCACCCTCCTCACTCAGGGCACAGGTGATGCCTCCAGGGAAGGGGCTTCGGGGACCTCTGGGCTGATCCTTCGTCTCCTGCTCCTCAGGCTCACCAGGGCCCAGCACTGACTCACTGCCCAGTCTGCCCTGACTCAGCCTGCCTCCGTGTCTGGGTCTCCTGGACAGTCGATCACCATCTCCTGCACTGGAACCAGCAGTGACGTTGGTGGTTATAACTCTGTCTCCTGGTACCGACAAAACCCAGGCAAAGCCCCCAAACTCATGATTTATGATGTCAGTAATCGGCCCTCAGGGATTTCTAATCGCTTCTCTGGCTCCAAGTCTGGCAACACGGCCTCCCTGACCATCTCTGGGCTCCAGGT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</si>
  <si>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GACAAAACCCAGGCAAAGCCCCCAAACTCATGATTTATGATGTCAGTAATCGGCCCTCAGGGATTTCTAATCGCTTCTCTGGCTCCAAGTCTGGCAACACGGCCTCCCTGACCATCTCTGGGCTCCAGGTTGACGACGAGACTGATTATTACTGCACCTCATATACAAACGACAGCAATTCTCAGGTATTCGGCGGAGGGACCAAGTTGACCGTCCTAG</t>
  </si>
  <si>
    <t>CAGTCTGCCCTGACTCAGCCTGCCTCC...GTGTCTGGGTCTCCTGGACAGTCGATCACCATCTCCTGCACTGGAACCAGCAGTGACGTTGGT.........GGTTATAACTCTGTCTCCTGGTACCGACAAAACCCAGGCAAAGCCCCCAAACTCATGATTTATGATGTC.....................AGTAATCGGCCCTCAGGGATTTCT...AATCGCTTCTCTGGCTCCAAG......TCTGGCAACACGGCCTCCCTGACCATCTCTGGGCTCCAGGTTGACGACGAGACTGATTATTACTGCACCTCATATACAAACGACAGCAATTCTCAGGTATTCGGCGGAGGGACCAAGTTGACCGTCCTAG</t>
  </si>
  <si>
    <t>ATAACGCCACCGTTGG</t>
  </si>
  <si>
    <t>CCGTTGGCAATGGCTCATTTCTTATATGGGGGCTGGGGTCTCAGGAGGCAGCGCTCTCGGGACGTCTCCACCATGGCCTGGGCTCTGCTATTCCTCACCCTCCTCACTCAGGGCACAGGGTCCTGGGCCCAGTCTGCCCTGACTCAGCCTGCCTCCGTGTCTGGGTCTCCTGGACAGTCGATCACCATCTCCTGCACTGGAACCAGCAGTGACA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</si>
  <si>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A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</si>
  <si>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A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</si>
  <si>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AGCAGTGACATTGGT.........GGTTATAACTCT</t>
  </si>
  <si>
    <t>ATAAGAGAGAAGGGTA</t>
  </si>
  <si>
    <t>ATAGACCAGCTCAACT</t>
  </si>
  <si>
    <t>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GGAGTGCATCCGCCCCAACCCTTTTCCCCCTCGTCTCCTGTGAGAATTCCCCGTCGGATACGAGCAGCGTG</t>
  </si>
  <si>
    <t>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</si>
  <si>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ATCACGAAGTGTGGCA</t>
  </si>
  <si>
    <t>G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</t>
  </si>
  <si>
    <t>ATCATCTGTTACGGAG</t>
  </si>
  <si>
    <t>TCTGGGGGCTGGGGTCTCAGGAGGCAGCGCTCTCGGGACGTCTCCACCATGGCCTGGGCTCTGCTATTCCTCACCCTCCTCACTCAGGGCACAGGGTCCTGGGCCCAGTCTGCCCTGACTCAACCTGCCTCCGTGTCTGGGTCTCCTGGACAGTCGATCACCATCTCCTGCACTGGAAGCAGCAGTGACGTTGGTGGTTATAACTCTGTCTCCTGGTACCAACAAAATCCAGGCAAAGTCCCCAAACTCATGATTTATGATGTCAGTAATCGGCCCTCAGGGATTTCTAATCGCTTCTCTGGCTCCAAGTCTGGCAACACGGCCTCCCTGACCATCTCTGGACTCCAGGCTGACGACGAGACTGATTATTACTGCACCTCATATACAAACGACAGCAATTCTCAGGTATTCGGCGGAGGGACCAAACTGACCGTCCTACGTCAGT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</si>
  <si>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GCAGCAGTGACGTTGGTGGTTATAACTCTGTCTCCTGGTACCAACAAAATCCAGGCAAAGTCCCCAAACTCATGATTTATGATGTCAGTAATCGGCCCTCAGGGATTTCTAATCGCTTCTCTGGCTCCAAGTCTGGCAACACGGCCTCCCTGACCATCTCTGGACTCCAGGCTGACGACGAGACTGATTATTACTGCACCTCATATACAAACGACAGCAATTCTCAGGTATTCGGCGGAGGGACCAAACTGACCGTCCTAC</t>
  </si>
  <si>
    <t>CAGTCTGCCCTGACTCAACCTGCCTCC...GTGTCTGGGTCTCCTGGACAGTCGATCACCATCTCCTGCACTGGAAGCAGCAGTGACGTTGGT.........GGTTATAACTCTGTCTCCTGGTACCAACAAAATCCAGGCAAAGTCCCCAAACTCATGATTTATGATGTC.....................AGTAATCGGCCCTCAGGGATTTCT...AATCGCTTCTCTGGCTCCAAG......TCTGGCAACACGGCCTCCCTGACCATCTCTGGACTCCAGGCTGACGACGAGACTGATTATTACTGCACCTCATATACAAACGACAGCAATTCTCAGGTATTCGGCGGAGGGACCAAACTGACCGTCCTAC</t>
  </si>
  <si>
    <t>CAGTCTGCCCTGACTCAACCTGCCTCC...GTGTCTGGGTCTCCTGGACAGTCGATCACCATCTCCTGCACTGGAAGC</t>
  </si>
  <si>
    <t>GTCTCCTGGTACCAACAAAATCCAGGCAAAGTCCCCAAACTCATGATTTAT</t>
  </si>
  <si>
    <t>AATCGGCCCTCAGGGATTTCT...AATCGCTTCTCTGGCTCCAAG......TCTGGCAACACGGCCTCCCTGACCATCTCTGGACTCCAGGCTGACGACGAGACTGATTATTACTGC</t>
  </si>
  <si>
    <t>TTCGGCGGAGGGACCAAACTGACCGTCCTAC</t>
  </si>
  <si>
    <t>ATCATGGAGAAGGTTT</t>
  </si>
  <si>
    <t>TCTTAGATGGGGGCTGGGGTCTCAGGAGGCAGCGCTCTCGGGACGTCTCCACCATGGCCTGGGCTCTGCTATTCCTCACCCTCCTCACTCAGGGCACAGGGTCCTGGGCCCAGTCTGCCCTGACTCAGCCTGCCTCCGTGTCTGGGTCTCCTGGACAGTCGATCACCATCTCCTGCACTGGAAT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</si>
  <si>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T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</si>
  <si>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T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</si>
  <si>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CAGTCTGCCCTGACTCAGCCTGCCTCC...GTGTCTGGGTCTCCTGGACAGTCGATCACCATCTCCTGCACTGGAATC</t>
  </si>
  <si>
    <t>ATCATGGAGATGTTAG</t>
  </si>
  <si>
    <t>GG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</t>
  </si>
  <si>
    <t>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</si>
  <si>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ATCATGGGTAGCACGA</t>
  </si>
  <si>
    <t>GAGG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</si>
  <si>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CTGGGGGCTGGGGTCTCAGGAGGCAGCGCTCTCGGGACGTCTCCACCATGGCCTGGGCTCTGCTATTCCTCACCCTCCTCACTCAGGGCACAGGGTCCTGGGCCCAGTCTGCCCTGACTCAGCCTGCCTCCGTGTCTGGGTCTCCTGGACAGTCGATCACCATCTCCTGCACTGGAACCAGCAGTGACGTTGGTGATTATAACTATGTCTCCTGGTACCAACAAAACCCAGGCAAAGCCCCCAAAGTCATGATTTATGATGTCAGTAATCGGCCCTCAGGGATTTCTAATCGCTTCTCTGGCTCCAAGTCTGGCAACACGGCCTCCCTGACCATCTCTGGGCTCCAGGCTGACGACGAGG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</si>
  <si>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CGTTGGTGATTATAACTATGTCTCCTGGTACCAACAAAACCCAGGCAAAGCCCCCAAAGTCATGATTTATGATGTCAGTAATCGGCCCTCAGGGATTTCTAATCGCTTCTCTGGCTCCAAGTCTGGCAACACGGCCTCCCTGACCATCTCTGGGCTCCAGGCTGACGACGAGGCTGATTATTACTGCACCTCATATACAAACGACAGCAATTCTCAGGTATTCGGCGGAGGGACCAAGTTGACCGTCCTAG</t>
  </si>
  <si>
    <t>CAGTCTGCCCTGACTCAGCCTGCCTCC...GTGTCTGGGTCTCCTGGACAGTCGATCACCATCTCCTGCACTGGAACCAGCAGTGACGTTGGT.........GATTATAACTATGTCTCCTGGTACCAACAAAACCCAGGCAAAGCCCCCAAAGTCATGATTTATGATGTC.....................AGTAATCGGCCCTCAGGGATTTCT...AATCGCTTCTCTGGCTCCAAG......TCTGGCAACACGGCCTCCCTGACCATCTCTGGGCTCCAGGCTGACGACGAGGCTGATTATTACTGCACCTCATATACAAACGACAGCAATTCTCAGGTATTCGGCGGAGGGACCAAGTTGACCGTCCTAG</t>
  </si>
  <si>
    <t>AGCAGTGACGTTGGT.........GATTATAACTAT</t>
  </si>
  <si>
    <t>ATCCACCAGGAGTTTA</t>
  </si>
  <si>
    <t>G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</t>
  </si>
  <si>
    <t>GTTCTTATCTGGGGGGGGTCACAAGAGGCAGCGCTCTCGGGACGTCTCCACCATGGCCTGGGCTCTGCTGCTCCTCACTCTCCTCACTCAGGACACAGGGTCCTGGGCCCAGTCTGCCCTGACTCAGCCTGCCTCCGTCTCTGGGTCTCCTGGACAGTCGATCACCATCTCCTGCACTGGAACCAGCAGTGACGTTGGTGGTTATAACTCTGTCTCCTGGTACCAACAAAACCCAGGCAAAGCCCCCAAACTCATGATTTATGATGTCAGTAATCGGCCCTCAGGGATTTCTAATCGCTTCTCTGGCTCCAAGTCTGGCAACACGGCCTCCCTGACCATCTCTAGTCTCCAGACTGACC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</si>
  <si>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CTCTGGGTCTCCTGGACAGTCGATCACCATCTCCTGCACTGGAACCAGCAGTGACGTTGGTGGTTATAACTCTGTCTCCTGGTACCAACAAAACCCAGGCAAAGCCCCCAAACTCATGATTTATGATGTCAGTAATCGGCCCTCAGGGATTTCTAATCGCTTCTCTGGCTCCAAGTCTGGCAACACGGCCTCCCTGACCATCTCTAGTCTCCAGACTGACCACGAGACTGATTATTACTGCACCTCATATACAAACGACAGCAATTCTCAGGTATTCGGCGGAGGGACCAAGCTGACCGTCCTAC</t>
  </si>
  <si>
    <t>CAGTCTGCCCTGACTCAGCCTGCCTCC...GTCTCTGGGTCTCCTGGACAGTCGATCACCATCTCCTGCACTGGAACCAGCAGTGACGTTGGT.........GGTTATAACTCTGTCTCCTGGTACCAACAAAACCCAGGCAAAGCCCCCAAACTCATGATTTATGATGTC.....................AGTAATCGGCCCTCAGGGATTTCT...AATCGCTTCTCTGGCTCCAAG......TCTGGCAACACGGCCTCCCTGACCATCTCTAGTCTCCAGACTGACCACGAGACTGATTATTACTGCACCTCATATACAAACGACAGCAATTCTCAGGTATTCGGCGGAGGGACCAAGCTGACCGTCCTAC</t>
  </si>
  <si>
    <t>CAGTCTGCCCTGACTCAGCCTGCCTCC...GTCTCTGGGTCTCCTGGACAGTCGATCACCATCTCCTGCACTGGAACC</t>
  </si>
  <si>
    <t>AATCGGCCCTCAGGGATTTCT...AATCGCTTCTCTGGCTCCAAG......TCTGGCAACACGGCCTCCCTGACCATCTCTAGTCTCCAGACTGACCACGAGACTGATTATTACTGC</t>
  </si>
  <si>
    <t>ATCCACCAGTGACATA</t>
  </si>
  <si>
    <t>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</si>
  <si>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ATCCGAACAAACTGTC</t>
  </si>
  <si>
    <t>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GGAGTGCATCCGCCCCAACCCTTTTCCCCCTCGTCTCCTGTGAGAATTCCCCGTCGGATACGAGCAGCGTG</t>
  </si>
  <si>
    <t>GGGGGGGCAGGCCCAGTGCTGGGGTCTCAGGAGGCAGCGCTCTCGGGACGTCTCCACCATGGCCTGGGCTCTGCTATTCCTCACCCTCCTCACTCAGGGCACAGGGTCCTGGGCCCAGTCTGCCCTGACTCAGCCTGCCTCCGTGTCTGGGTCTCCTGGACAGTCGATCACCATCTCCTGCAGTGGAACCAGCAGTGACGTTGGTGGTTATAACTATGTCTCCTGGTACCAACAAAACCCAGGCAAAGCCCCCAAACTCATGATTTATGATGTCAC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</si>
  <si>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ACCAGCAGTGACGTTGGTGGTTATAACTATGTCTCCTGGTACCAACAAAACCCAGGCAAAGCCCCCAAACTCATGATTTATGATGTCACTAATCGGCCCTCAGGGATTTCTAATCGCTTCTCTGGCTCCAAGTCTGGCAACACGGCCTCCCTGACCATCTCTGGGCTCCAGGCTGACGACGAGGCTGATTATTACTGCACCTCATATACAAACGACAGCAATTCTCAGGTATTCGGCGGAGGGACCAAGCTGACCGTCCTAG</t>
  </si>
  <si>
    <t>CAGTCTGCCCTGACTCAGCCTGCCTCC...GTGTCTGGGTCTCCTGGACAGTCGATCACCATCTCCTGCAGTGGAACCAGCAGTGACGTTGGT.........GGTTATAACTATGTCTCCTGGTACCAACAAAACCCAGGCAAAGCCCCCAAACTCATGATTTATGATGTC.....................ACTAATCGGCCCTCAGGGATTTCT...AATCGCTTCTCTGGCTCCAAG......TCTGGCAACACGGCCTCCCTGACCATCTCTGGGCTCCAGGCTGACGACGAGGCTGATTATTACTGCACCTCATATACAAACGACAGCAATTCTCAGGTATTCGGCGGAGGGACCAAGCTGACCGTCCTAG</t>
  </si>
  <si>
    <t>GATGTC.....................ACT</t>
  </si>
  <si>
    <t>ATCCGAACACCGGAAA</t>
  </si>
  <si>
    <t>GGTCCAGCTCACATGGGAAGTGCTTTCTGAGAGTCATGGACCTCCTGCACAAGAACATGAAACACCTGTGGTTCTTCCTCCTCCTGGTGGCAGCTCCCAGATGTGACTGTCTCAGGAATGCGGATATGAAGATATGAGATGCTGCCTCTGATCCCAGGGCTCACTGTGGGTTTTTCTGTTCACAGGGGTCCTGTCCCAGGTGCAGGTACAGCAGTGGGGCGCAGGACTGTTGAAGCCTTCGGAGACCCTGTCCCTCACCTGCCCCAACCCGTCCCTCAAGAGTCGAGTCACCATATCAATAGACACGTCCAAGAAGCAGGTCTCCCTGAAGTTGAGCTCTGTGAACGCCGCGGACACGGCTGTGTATTACTGTGCGAGAGTTATTCCTAGGGCGAGTCCTGGCACAGACGGGAGGTACCGTATGGACGTCTGGGGCCAAGGGACCACGGTCACCGTCTCCTCAGGGAGTGCATCCGCCCCAACCCTTTTCCCCCTCGTCTCCTGTGAGAATTCCCCGTCGGATACGAGCAGCGTG</t>
  </si>
  <si>
    <t>IGHV4-34</t>
  </si>
  <si>
    <t>IGHD3-10</t>
  </si>
  <si>
    <t>IGHJ6</t>
  </si>
  <si>
    <t>CAGGTGCAGGTACAGCAGTGGGGCGCAGGACTGTTGAAGCCTTCGGAGACCCTGTCCCTCACCTGCCCCAACCCGTCCCTCAAGAGTCGAGTCACCATATCAATAGACACGTCCAAGAAGCAGGTCTCCCTGAAGTTGAGCTCTGTGAACGCCGCGGACACGGCTGTGTATTACTGTGCGAGAGTTATTCCTAGGGCGAGTCCTGGCACAGACGGGAGGTACCGTATGGACGTCTGGGGCCAAGGGACCACGGTCACCGTCTCCTCA</t>
  </si>
  <si>
    <t>CAGGTGCAGGTACAGCAGTGGGGCGCA...GGACTGTTGAAGCCTTCGGAGACCCTGTCCCTCACCTGCCCC.................................................................................................................................AACCCGTCCCTCAAG...AGTCGAGTCACCATATCAATAGACACGTCCAAGAAGCAGGTCTCCCTGAAGTTGAGCTCTGTGAACGCCGCGGACACGGCTGTGTATTACTGTGCGAGAGTTATTCCTAGGGCGAGTCCTGGCACAGACGGGAGGTACCGTATGGACGTCTGGGGCCAAGGGACCACGGTCACCGTCTCCTCA</t>
  </si>
  <si>
    <t>TGTGCGAGAGTTATTCCTAGGGCGAGTCCTGGCACAGACGGGAGGTACCGTATGGACGTCTGG</t>
  </si>
  <si>
    <t>CAGGTGCAGGTACAGCAGTGGGGCGCA...GGACTGTTGAAGCCTTCGGAGACCCTGTCCCTCACCTGCCCC......</t>
  </si>
  <si>
    <t>...................................................</t>
  </si>
  <si>
    <t>......AACCCGTCCCTCAAG...AGTCGAGTCACCATATCAATAGACACGTCCAAGAAGCAGGTCTCCCTGAAGTTGAGCTCTGTGAACGCCGCGGACACGGCTGTGTATTACTGT</t>
  </si>
  <si>
    <t>TGGGGCCAAGGGACCACGGTCACCGTCTCCTCA</t>
  </si>
  <si>
    <t>....................................</t>
  </si>
  <si>
    <t>..............................</t>
  </si>
  <si>
    <t>GCGAGAGTTATTCCTAGGGCGAGTCCTGGCACAGACGGGAGGTACCGTATGGACGTC</t>
  </si>
  <si>
    <t>CARVIPRASPGTDGRYRMDVW</t>
  </si>
  <si>
    <t>G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G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</si>
  <si>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G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</si>
  <si>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GAAACGACAGCAATTCTCAGGTATTCGGCGGAGGGACCAAGCTGACCGTCCTAG</t>
  </si>
  <si>
    <t>TGCACCTCATATAGAAACGACAGCAATTCTCAGGTATTC</t>
  </si>
  <si>
    <t>ACCTCATATAGAAACGACAGCAATTCTCAGGTA</t>
  </si>
  <si>
    <t>CTSYRNDSNSQVF</t>
  </si>
  <si>
    <t>ATCCGAATCTACGAGT</t>
  </si>
  <si>
    <t>TCCTGCCCTGAAGCCTAATTAATAG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</t>
  </si>
  <si>
    <t>TGGGGGCTGGGGTCTCAGGAGGCAGCGCTCTCGGGACGTCTCCACCATGGCCTGGGCTCTGCTATTCCTCACCCTCCTCACTCAGGGCACAGGGTCCTGGGCCCAGTCTGCCCTGACTCAGCCTGCCTCCGTGTCTGGGTCTCCTGGACAGTCGATCACCATCTCCTGCACTGGAACCAGCAGTGACGTTGGTGGTTATAACTCTGTCTCCTGGTACCAACAAAACCCAGGCAAAGCCCCCAAACTCATCATTTATGATGTCAATAATCGGCCCTCAGGGATTTCTAACCGCTGTCAGTAATCGGCCCTCAGGGATTTCTAATCGCTTCTCTGGCTCCAAGTCTGA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</si>
  <si>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CATTTATGATGTCAGTAATCGGCCCTCAGGGATTTCTAATCGCTTCTCTGGCTCCAAGTCTGA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</si>
  <si>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CATTTATGATGTC.....................AGTAATCGGCCCTCAGGGATTTCT...AATCGCTTCTCTGGCTCCAAG......TCTGACAACACGGCCTCCCTGACCATCTCTGGGCTCCAGGCTGACGACGAGACTGATTATTACTGCACCTCATATACAAACGACAGCAATTCTCAGGTATTCGGCGGAGGGACCAAGCTGACCGTCCTAG</t>
  </si>
  <si>
    <t>GTCTCCTGGTACCAACAAAACCCAGGCAAAGCCCCCAAACTCATCATTTAT</t>
  </si>
  <si>
    <t>AATCGGCCCTCAGGGATTTCT...AATCGCTTCTCTGGCTCCAAG......TCTGACAACACGGCCTCCCTGACCATCTCTGGGCTCCAGGCTGACGACGAGACTGATTATTACTGC</t>
  </si>
  <si>
    <t>ATGAGGGAGCTAGTCT</t>
  </si>
  <si>
    <t>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</si>
  <si>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TTAGAT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</si>
  <si>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CCAATTCTCAGGTATTCGGCGGAGGGACCAAGCTGACCGTCCTAG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</si>
  <si>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GCTGATTATTACTGCACCTCATATACAAACGACACCAATTCTCAGGTATTCGGCGGAGGGACCAAGCTGACCGTCCTAG</t>
  </si>
  <si>
    <t>ATGAGGGCACCGATAT</t>
  </si>
  <si>
    <t>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</t>
  </si>
  <si>
    <t>TTTCTTCTCTGGGGGCTGGGGTCTCAGGAGGCAGCGCTCTCGGGACGTCTCCACCATGGCCTGGGCTCTGCTATTCCTCACCCTCCTCACTGAGGGCACAGGGTCCTGGGCCCAGTCTGCCCTGACTCAGCCTGCCTCCGTGTCTGGGTCTCCTGGACAGTCGATCACCATCTCCTGCACTGGAACCAGCAGTGACGTTGGTGGTTATAACTCTGTCTCCTGGTACCAACAAAACCCAGGCAAAGCCCCCAAACTCATGATTTATGATGTCAGTAATCGGCCCTCAGGGATTTCTAATCGCTTCTCTGGCTCCAAGTCTGGCAAG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</si>
  <si>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G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</si>
  <si>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GACGGCCTCCCTGACCATCTCTGGGCTCCAGGCTGACGACGAGACTGATTATTACTGCACCTCATATACAAACGACAGCAATTCTCAGGTATTCGGCGGAGGGACCAAGCTGACCGTCCTAG</t>
  </si>
  <si>
    <t>AATCGGCCCTCAGGGATTTCT...AATCGCTTCTCTGGCTCCAAG......TCTGGCAAGACGGCCTCCCTGACCATCTCTGGGCTCCAGGCTGACGACGAGACTGATTATTACTGC</t>
  </si>
  <si>
    <t>ATGAGGGGTGGTAACG</t>
  </si>
  <si>
    <t>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</si>
  <si>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</si>
  <si>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ATGCGATAGTTACGGG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</si>
  <si>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</t>
  </si>
  <si>
    <t>TGCGTATA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C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</si>
  <si>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CCAACACGGCCTCCCTGACCATCTCTGGGCTCCAGGCTGACGACGAGACTGATTATTA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</si>
  <si>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CCAACACGGCCTCCCTGACCATCTCTGGGCTCCAGGCTGACGACGAGACTGATTATTACTGCACCTCATATACAAACGACAGCAATTCTCAGGTATTCGGCGGAGGGACCAAGCTGACCGTCCTAC</t>
  </si>
  <si>
    <t>AATCGGCCCTCAGGGATTTCT...AATCGCTTCTCTGGCTCCAAG......TCTGCCAACACGGCCTCCCTGACCATCTCTGGGCTCCAGGCTGACGACGAGACTGATTATTACTGC</t>
  </si>
  <si>
    <t>ATTATCCAGATGCGAC</t>
  </si>
  <si>
    <t>ATCTGGGGGGGGTCACAAGAGGCAGCGCTCTCGGGACGTCTCCACCATGGCCTGGGCTCTGCTGCTCCTCACTCTCCTCACTCAGGACACAGGGTCCTGGGCC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</si>
  <si>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</si>
  <si>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CTTGTCTCCTGGTACCAAAACCACCCAGGCAAAGCCCCCAAAGTCTTGATTTATGAGGGC.....................AGTAAGCGGCCCTCAGGGGTTTCT...AATCGCTTCTCTGGCTCCAAG......TCTGGCAACACGGCCTCCCTGACCATCTCTGGGCTCCAGGCTGACGACGAGACTGATTATTACTGCACCTCATATACAAACGACAGCAATTCTCAGGTATTCGGCGGAGGGACCAAGCTGACCGTCCTAG</t>
  </si>
  <si>
    <t>ATTATCCGTTTGACAC</t>
  </si>
  <si>
    <t>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</si>
  <si>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GCAATTCTCAGGTATTCGGCGGAGGGACCAAGCTGACCGTCCTAG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</si>
  <si>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GCTGATTATTACTGCACCTCATATACAAACGACAGCAATTCTCAGGTATTCGGCGGAGGGACCAAGCTGACCGTCCTAG</t>
  </si>
  <si>
    <t>ATTCTACCACCAGTTA</t>
  </si>
  <si>
    <t>GG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</si>
  <si>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GGCTTTCTTATATGGGGCTGGGGTCTCAGGAGGCAGCGCTCTCGGGACGTCTCCACCATGGCCTGGGCTCTGCTATTCCTCACCCTCCTCACTCAGGGCACAGAGTCCTGGGCCCAGTCTGCCCTGACTCAGCCTGCCTCCGTGTCTGGGTCTCCTGGACAGTCGATCACCATCTCCTGCACTGGAACCACCAGTGACGTTGGTGCTTATAACTATGTCTCCTGGTACCAACAAAACCCAGGCAAAGCCCCCAAAC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</si>
  <si>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CCAGTGACGTTGGTGCTTATAACTATGTCTCCTGGTACCAACAAAACCCAGGCAAAGCCCCCAAACTCATGATTTATGATGTCAGTAATCGGCCCTCAGGGATTTCTAATCGCTTCTCTGGCTCCAAGTCTGGCAACACGGCCTCCCTGACCATCTCTGGGCTCCAGGCTGACGACGAGGCTGATTATTACTGCACCTCATATACAAACAACAGCAATTCTCAGGTATTCGGCGGAGGGACCAAGCTGACCGTCCTAG</t>
  </si>
  <si>
    <t>CAGTCTGCCCTGACTCAGCCTGCCTCC...GTGTCTGGGTCTCCTGGACAGTCGATCACCATCTCCTGCACTGGAACCACCAGTGACGTTGGT.........GCTTATAACTATGTCTCCTGGTACCAACAAAACCCAGGCAAAGCCCCCAAACTCATGATTTATGATGTC.....................AGTAATCGGCCCTCAGGGATTTCT...AATCGCTTCTCTGGCTCCAAG......TCTGGCAACACGGCCTCCCTGACCATCTCTGGGCTCCAGGCTGACGACGAGGCTGATTATTACTGCACCTCATATACAAACAACAGCAATTCTCAGGTATTCGGCGGAGGGACCAAGCTGACCGTCCTAG</t>
  </si>
  <si>
    <t>TGCACCTCATATACAAACAACAGCAATTCTCAGGTATTC</t>
  </si>
  <si>
    <t>ACCAGTGACGTTGGT.........GCTTATAACTAT</t>
  </si>
  <si>
    <t>ACCTCATATACAAACAACAGCAATTCTCAGGTA</t>
  </si>
  <si>
    <t>CTSYTNNSNSQVF</t>
  </si>
  <si>
    <t>ATTGGACCATCGGAAG</t>
  </si>
  <si>
    <t>G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</si>
  <si>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ATTGGTGTCCCAACGG</t>
  </si>
  <si>
    <t>CTGACGTA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</si>
  <si>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ATTTCTGAGTGTTAGA</t>
  </si>
  <si>
    <t>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GTGCGCTCGTTGACAGTAGACGACACGGCCGTCTACTTTTGTACTAGGGGAAAAAACTGTGATTACAATTGGGACTTCGAACACTGGGGCCGGGGCACCCCGGTCATCGTCTCATCAGGGAGTGCATCCGCCCCAACCCTTTTCCCCCTCGTCTCCTGTGAGAATTCCCCGTCGGATACGAGCAGCGTGGCC</t>
  </si>
  <si>
    <t>CAGGTGCAGCTGGTGCAGTCTGGAGGTCAGATGAAGAAGCCTGGCGAGTCGATGAGAATTTCTTGTCGGGCTTCTGGATATGAATTTATTGATTGTACGCTAAATTGGATTCGTCTGGCCCCCGGAAAAAGGCCTGAGTGGATGGGATGGCTGAAGCCTCGGGGGGGGGCCGTCAACTACGCACGTCCACTTCAGGGCAGAGTGACCATGACTCGAGACGTTTATTCCGACACAGCCTTTTTGGAGGTGCGCTCGTTGACAGTAGACGACACGGCCGTCTACTTTTGTACTAGGGGAAAAAACTGTGATTACAATTGGGACTTCGAACACTGGGGCCGGGGCACCCCGGTCATCGTCTCATCAG</t>
  </si>
  <si>
    <t>CAGGTGCAGCTGGTGCAGTCTGGAGGT...CAGATGAAGAAGCCTGGCGAGTCGATGAGAATTTCTTGTCGGGCTTCTGGATATGAATTT............ATTGATTGTACGCTAAATTGGATTCGTCTGGCCCCCGGAAAAAGGCCTGAGTGGATGGGATGGCTGAAGCCTCGG......GGGGGGGCCGTCAACTACGCACGTCCACTTCAG...GGCAGAGTGACCATGACTCGAGACGTTTATTCCGACACAGCCTTTTTGGAGGTGCGCTCGTTGACAGTAGACGACACGGCCGTCTACTTTTGTACTAGGGGAAAAAACTGTGATTACAATTGGGACTTCGAACACTGGGGCCGGGGCACCCCGGTCATCGTCTCATCAG</t>
  </si>
  <si>
    <t>AACTACGCACGTCCACTTCAG...GGCAGAGTGACCATGACTCGAGACGTTTATTCCGACACAGCCTTTTTGGAGGTGCGCTCGTTGACAGTAGACGACACGGCCGTCTACTTTTGT</t>
  </si>
  <si>
    <t>TCTGC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</si>
  <si>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ATTTCTGTCATGTCTT</t>
  </si>
  <si>
    <t>G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</si>
  <si>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CAACCAAGTTAAAGAC</t>
  </si>
  <si>
    <t>TCTTATCTGGGGGCTGGGGTCTCAGGAGGCAGCGCTCTCGGGACGTCTCCACCATGGCCTGGGCTCTGCTATTCCTCACCCTCCTCACTCAGGGCACAGGGTCCTGGGCCCAGTCTGCCCTGACTCAGCCTGCCTCCGTGTCTGGGTCTCCTGGACAGTCGATCACCATCTCCTGCACTGGAACCAGCAGTGACGTTGGTGGTCATAACTCTGTCTCCTGGTACCAACAAAACCCAGGCAAAGCCCCCAAAT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</si>
  <si>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CATAACTCTGTCTCCTGGTACCAACAAAACCCAGGCAAAGCCCCCAAAT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</si>
  <si>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CATAACTCTGTCTCCTGGTACCAACAAAACCCAGGCAAAGCCCCCAAATTCATGATTTATGATGTC.....................AGTAATCGGCCCTCAGGGATTTCT...AATCGCTTCTCTGGCTCCAAG......TCTGGCAACACGGCCTCCCTGACCATCTCTGGGCTCCAGGCTGACGACGAGACTGATTATTACTGCACCTCATATACAAACGACAGCAATTCTCAGGTATTCGGCGGAGGGACCAAGCTGACCGTCCTAC</t>
  </si>
  <si>
    <t>AGCAGTGACGTTGGT.........GGTCATAACTCT</t>
  </si>
  <si>
    <t>CAACTAGAGACCACGA</t>
  </si>
  <si>
    <t>GGAGG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</si>
  <si>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TCCGTA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</si>
  <si>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CAACTAGTCTAGAGTC</t>
  </si>
  <si>
    <t>CAAGATCAGGAGCGTT</t>
  </si>
  <si>
    <t>G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</si>
  <si>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CTCTGCCCTGACTCAACCTGCCTCCGTGTCTGGGTCTCCTGGACAGTCGATCACCATCTCCTGCACTGGAACCAGCAGTGACGTTGGTGGTTATAACTATGTCTCCTGGTACCAACAAAACCCAGGCAAAGCCCCCAAACTCATGATTTATGATGTCAGTAATCGGCCCTCAGGGATTTCTAATCGCTTCTCTGGCTCCAAGTCTGGCAACACGGCCTCCCTGACCATCTCTGGGCTCCAGGCTA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</si>
  <si>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TCTGCCCTGACTCAACCTGCCTCCGTGTCTGGGTCTCCTGGACAGTCGATCACCATCTCCTGCACTGGAACCAGCAGTGACGTTGGTGGTTATAACTATGTCTCCTGGTACCAACAAAACCCAGGCAAAGCCCCCAAACTCATGATTTATGATGTCAGTAATCGGCCCTCAGGGATTTCTAATCGCTTCTCTGGCTCCAAGTCTGGCAACACGGCCTCCCTGACCATCTCTGGGCTCCAGGCTAACGACGAGGCTGATTATTACTGCACCTCATATACAAACGACACCAATTCTCAGGTATTCGGCGGAGGGACCAAGCTGACCGTCCTAG</t>
  </si>
  <si>
    <t>CACTCTGCCCTGACTCAACCTGCCTCC...GTGTCTGGGTCTCCTGGACAGTCGATCACCATCTCCTGCACTGGAACCAGCAGTGACGTTGGT.........GGTTATAACTATGTCTCCTGGTACCAACAAAACCCAGGCAAAGCCCCCAAACTCATGATTTATGATGTC.....................AGTAATCGGCCCTCAGGGATTTCT...AATCGCTTCTCTGGCTCCAAG......TCTGGCAACACGGCCTCCCTGACCATCTCTGGGCTCCAGGCTAACGACGAGGCTGATTATTACTGCACCTCATATACAAACGACACCAATTCTCAGGTATTCGGCGGAGGGACCAAGCTGACCGTCCTAG</t>
  </si>
  <si>
    <t>CACTCTGCCCTGACTCAACCTGCCTCC...GTGTCTGGGTCTCCTGGACAGTCGATCACCATCTCCTGCACTGGAACC</t>
  </si>
  <si>
    <t>AATCGGCCCTCAGGGATTTCT...AATCGCTTCTCTGGCTCCAAG......TCTGGCAACACGGCCTCCCTGACCATCTCTGGGCTCCAGGCTAACGACGAGGCTGATTATTACTGC</t>
  </si>
  <si>
    <t>CAAGGCCTCATGCATG</t>
  </si>
  <si>
    <t>CTTC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</si>
  <si>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CAAGTTGCATGCCACG</t>
  </si>
  <si>
    <t>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</si>
  <si>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ATGGGGGCTGGGGTCTCAGGAGGCAGCGCTCTCGGGACGTCTCCACCATGGCCTGGGCTCTGCTATTCCTCACCCTCCTCACTCAGGGCACAGGGTCCTGGGCCCAGTCTGCCCTGACTCAGCCTGCCTCCGTGTCTGGGTCTCCTGGACAGTCGATCACCATCTCCTGCACTGGAACCAGCAGTGACGTTGGTGGTTATAACTTTGTCTCCTGGTACCAACAAAACCCAGGCAAAGCCCCCAAACTCATGATTTATGATGTCAGTAATCGGCCCTCAGAGATTTCTAATCGCTTCTCTGGCTCCAACTCTGGCAACACGGCCTCCCTGACCATCTCTGGGCTCCAGGCTGACGACGAGACTGATTATTACTACACCTCATATACTAACGACAGCAATTCTCAGGTATTCGGCGGAGGGACCAAGCTGC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</si>
  <si>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TTGTCTCCTGGTACCAACAAAACCCAGGCAAAGCCCCCAAACTCATGATTTATGATGTCAGTAATCGGCCCTCAGAGATTTCTAATCGCTTCTCTGGCTCCAACTCTGGCAACACGGCCTCCCTGACCATCTCTGGGCTCCAGGCTGACGACGAGACTGATTATTACTACACCTCATATACTAACGACAGCAATTCTCAGGTATTCGGCGGAGGGACCAAGCTGCCCGTCCTAC</t>
  </si>
  <si>
    <t>CAGTCTGCCCTGACTCAGCCTGCCTCC...GTGTCTGGGTCTCCTGGACAGTCGATCACCATCTCCTGCACTGGAACCAGCAGTGACGTTGGT.........GGTTATAACTTTGTCTCCTGGTACCAACAAAACCCAGGCAAAGCCCCCAAACTCATGATTTATGATGTC.....................AGTAATCGGCCCTCAGAGATTTCT...AATCGCTTCTCTGGCTCCAAC......TCTGGCAACACGGCCTCCCTGACCATCTCTGGGCTCCAGGCTGACGACGAGACTGATTATTACTACACCTCATATACTAACGACAGCAATTCTCAGGTATTCGGCGGAGGGACCAAGCTGCCCGTCCTAC</t>
  </si>
  <si>
    <t>TACACCTCATATACTAACGACAGCAATTCTCAGGTATTC</t>
  </si>
  <si>
    <t>AATCGGCCCTCAGAGATTTCT...AATCGCTTCTCTGGCTCCAAC......TCTGGCAACACGGCCTCCCTGACCATCTCTGGGCTCCAGGCTGACGACGAGACTGATTATTACTAC</t>
  </si>
  <si>
    <t>TTCGGCGGAGGGACCAAGCTGCCCGTCCTAC</t>
  </si>
  <si>
    <t>AGCAGTGACGTTGGT.........GGTTATAACTTT</t>
  </si>
  <si>
    <t>ACCTCATATACTAACGACAGCAATTCTCAGGTA</t>
  </si>
  <si>
    <t>CACAAACCAGTGGGAT</t>
  </si>
  <si>
    <t>CACACAACAATGCCAT</t>
  </si>
  <si>
    <t>ATCTGGGGGGGGTCACAAGAGGCAGCGCTCTCGGGACGTCTCCACCATGGCCTGGGCTCTGCTGCTCCTCACTCTCCTCACTCAGGACACAGGGTCCTGGGCCCAGTCTGCCCTGACTCAGCCC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</si>
  <si>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C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G</t>
  </si>
  <si>
    <t>CAGTCTGCCCTGACTCAGCCCGCCTCC...GTGTCTGGGTCTCCTGGACAGTCGATCACCATCTCCTGCACTGGAACCAGCAGTGATGTTGGG.........AGTTATAACCTTGTCTCCTGGTACCAAAAGCACCCAGGCAAAGCCCCCAAAGTCTTGATTTATGAGGGC.....................AGTAAGCGGCCCTCAGGGGTTTCT...AATCGCTTCTCTGGCTCCAAG......TCTGGCAACACGGCCTCCCTGACCATCTCTGGGCTCCAGGCTGACGACGAGACTGATTATTACTGCACCTCATATACAAACGACAGCAATTCTCAGGTATTCGGCGGAGGGACCAAGCTGACCGTCCTAG</t>
  </si>
  <si>
    <t>CAGTCTGCCCTGACTCAGCCCGCCTCC...GTGTCTGGGTCTCCTGGACAGTCGATCACCATCTCCTGCACTGGAACC</t>
  </si>
  <si>
    <t>CACACAAGTACCGTTA</t>
  </si>
  <si>
    <t>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</si>
  <si>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ATCTGGGGGCTGGGGTCTCAGGAGGCAGCGCTCTCGGGACGTCTCCACCATGGCCTGGGCTCTGCTATTCCTCACCCTCCTCACTCAGGGCACAGGGTCCTGGGCCCAGTCTGCCCTGACTCAGCCTGCCTCCGTGTCTGGGTCTCCTGGACAGTCGATCACCATCTCCTGCACTGGAACCAGCAGTGACGTTGGTGGTTATAATTCTGTCTCCTGGTACCAACAAAACCCAGGGATTTCTAATCGCTTCTCTGGCTCCAAGTCTGA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</si>
  <si>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TTCTGTCTCCTGGTACCAACAAAACCCAGGGATTTCTAATCGCTTCTCTGGCTCCAAGTCTGACAACACGGCCTCCCTGACCATCTCTGGGCTCCAGGCTGACGACGAGACTGATTATTACTGCACCTCATATACAAACGACAGCAATTCTCAGGTATTCGGCGGAGGGACCAAGCTGACCGTCCTAG</t>
  </si>
  <si>
    <t>CAGTCTGCCCTGACTCAGCCTGCCTCC...GTGTCTGGGTCTCCTGGACAGTCGATCACCATCTCCTGCACTGGAACCAGCAGTGACGTTGGT.........GGTTATAATTCTGTCTCCTGGTACCAACAAAACCCA.....................................................................GGGATTTCT...AATCGCTTCTCTGGCTCCAAG......TCTGACAACACGGCCTCCCTGACCATCTCTGGGCTCCAGGCTGACGACGAGACTGATTATTACTGCACCTCATATACAAACGACAGCAATTCTCAGGTATTCGGCGGAGGGACCAAGCTGACCGTCCTAG</t>
  </si>
  <si>
    <t>GTCTCCTGGTACCAACAAAACCCA...........................</t>
  </si>
  <si>
    <t>............GGGATTTCT...AATCGCTTCTCTGGCTCCAAG......TCTGACAACACGGCCTCCCTGACCATCTCTGGGCTCCAGGCTGACGACGAGACTGATTATTACTGC</t>
  </si>
  <si>
    <t>CACACCTCACGGTAGA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</si>
  <si>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</t>
  </si>
  <si>
    <t>AGAGGGGATAAGACAGGGCTGGGGGCAGGCCCAGTGCTGGGGTCTCAGGAGGCAGCGCTCTCGGGACGTCTCCACCATGGCCTGGGCTCTGCTATTCCTCACCCTCCTCACTCAGGGCACAGGGTCCTGGGCCCAGTCTGCCCTGACTCAGAT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</si>
  <si>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AT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ATATTCGGCGGAGGGACCAAGCTGACCGTCCTAG</t>
  </si>
  <si>
    <t>CAGTCTGCCCTGACTCAGAT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ATATTCGGCGGAGGGACCAAGCTGACCGTCCTAG</t>
  </si>
  <si>
    <t>TGCACCTCATATACAAACGACAGCAATTCTCAGATATTC</t>
  </si>
  <si>
    <t>CAGTCTGCCCTGACTCAGATTGCCTCC...GTGTCTGGGTCTCCTGGACAGTCGATCACCATCTCCTGCACTGGAACC</t>
  </si>
  <si>
    <t>ACCTCATATACAAACGACAGCAATTCTCAGATA</t>
  </si>
  <si>
    <t>CTSYTNDSNSQIF</t>
  </si>
  <si>
    <t>CACACCTTCTTTACGT</t>
  </si>
  <si>
    <t>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TTATTGTGCTCGGGGAAAGAGACCCGGCTACTGCAGCGGAGGCGTCTGTTCCTCTGACTATTGGGGCCAGGGGACTCTGGTGACCGTCTCCTCAGGGAGTGCATCCGCCCCAACCCTTTTCCCCCTCGTCTCCTGTGAGAATTCCCCGTCGGATACGAGCAGCGTGTGCCCCGTCAAGGCGGGAGTGGAGACCACCACACCCTCCAAACAAAGCAACAACAAGTACGCGGCCAGCAGCTACCTGAGCCTGACGCCTGAGCAGTGGAAGTCCCACA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</si>
  <si>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TTATTGTGC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</si>
  <si>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GCCTGCGCTCTGAAGATACCGCCGTGTATTATTGTGCTCGGGGAAAGAGACCCGGCTACTGCAGCGGAGGCGTCTGTTCCTCTGACTATTGGGGCCAGGGGACTCTGGTGACCGTCTCCTCAG</t>
  </si>
  <si>
    <t>AACTACGCCCAGAAGTTTCAG...GGAAGGGTGACAATTTCTGCAGACAAAAGTACCAATACAGCCTATATGGAGCTGTCAAGCCTGCGCTCTGAAGATACCGCCGTGTATTATTGT</t>
  </si>
  <si>
    <t>IGLC3</t>
  </si>
  <si>
    <t>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</si>
  <si>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CACAGGCTCATAACCG</t>
  </si>
  <si>
    <t>CACATAGGTTCGGGCT</t>
  </si>
  <si>
    <t>TGGGGGCTGGGGTCTCAGGAGGCAGCGCTCTCGGGACGTCTCCACCATGGCCTGGGCTCTGCTATTCCTCACCCTCCTCACTCAGGGCACAGGGTCCTGGGCCCAGTCTGCCCTGATCTCCTGGACAGTCGATCACCATCTCCTGCACTGGAACCAT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</si>
  <si>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TCTCCTGGACAGTCGATCACCATCTCCTGCACTGGAACCAT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</si>
  <si>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..........................TCTCCTGGACAGTCGATCACCATCTCCTGCACTGGAACCAT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</si>
  <si>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CAGTCTGCCCTGA..........................TCTCCTGGACAGTCGATCACCATCTCCTGCACTGGAACC</t>
  </si>
  <si>
    <t>ATCAGTGACGTTGGT.........GGTTATAACTCT</t>
  </si>
  <si>
    <t>TGGGGGCTGGGGTCTCAGGAGGCAGCGCTCTCGGGACGTCTCCACCATGGCCTGGGCTCTGCTGCTCCTCACTCTCCTCACTCAGGACACAGGGTCCTGGGCCCAGTCTGCCCTGACTCAGCCTGCCTCCGTGTCTGGGTCTCCTGGACAGTCGATCACCATCTCCTGCACTGGAACCAT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</si>
  <si>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T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</si>
  <si>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T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</si>
  <si>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CACATAGTCGTTGCCT</t>
  </si>
  <si>
    <t>TTTCTTC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</si>
  <si>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CACATTTGTAAGGGAA</t>
  </si>
  <si>
    <t>ATTTGTAAGGGAACTCAAACTCGTTTCTATGGGGAGTCAGACTCAGTCAGGACACAGCTCTAGACCACCATGGGATGGTCATGTATCATCCTTTTTCTAGTAGCAACTGCAACCGGTGTACATTCCCAGGTGCAGCTGGTGCAGTCTGGAGGTCAGATGAAGAAGCCTGGCGAGTCGATGAGAATTTCTTGTCGGGCTTCTGGATATGAATTTAA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</si>
  <si>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AGGTGCAGCTGGTGCAGTCTGGAGGTCAGATGAAGAAGCCTGGCGAGTCGATGAGAATTTCTTGTCGGGCTTCTGGATATGAATTTAATGATTGTACGCTAAATTGGATTCGTCTGGCCCCCGGAAAAAGGCCTGAGTGGATGGGATGGCTGAAGCCTCGGGGGGGGGCCGTCAACTACGCACGTCCACTTCAGGGCAGAGTGACCATGACTCGAGACGTTTATTCCGACACAGCCTTTTTGGAGCTGCGCTCGTTGACAGTAGACGACACGGCCGTCTACTTTTGTACTAGGGGAAAAAACTGTGATTACAATTGGGACTTCGAACACTGGGGCCGGGGCACCCCGGTCATCGTCTCATCAG</t>
  </si>
  <si>
    <t>CAGGTGCAGCTGGTGCAGTCTGGAGGT...CAGATGAAGAAGCCTGGCGAGTCGATGAGAATTTCTTGTCGGGCTTCTGGATATGAATTT............AATGATTGTACGCTAAATTGGATTCGTCTGGCCCCCGGAAAAAGGCCTGAGTGGATGGGATGGCTGAAGCCTCGG......GGGGGGGCCGTCAACTACGCACGTCCACTTCAG...GGCAGAGTGACCATGACTCGAGACGTTTATTCCGACACAGCCTTTTTGGAGCTGCGCTCGTTGACAGTAGACGACACGGCCGTCTACTTTTGTACTAGGGGAAAAAACTGTGATTACAATTGGGACTTCGAACACTGGGGCCGGGGCACCCCGGTCATCGTCTCATCAG</t>
  </si>
  <si>
    <t>GGATATGAATTT............AATGATTGTACG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</si>
  <si>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</si>
  <si>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</si>
  <si>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</si>
  <si>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CACCAGGTCGGCGCTA</t>
  </si>
  <si>
    <t>T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</si>
  <si>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AG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</si>
  <si>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CACCTTGTCATGCAAC</t>
  </si>
  <si>
    <t>ATGGTGCACTTTTTCTTATATGGGGGGGGTCACAAGAGGCAGCGCTCTCGGGACGTCTCCACCATGGCCTGGGCTCTGCTGCTCCTCACTCTCCTCACTCAGGACACAGGGTCCTGGGCCCAGTCTGCCCTGACTCAGCCTGCCTCCGTGTCTGGGTCTCCTGGACAGTCGATCACCATCTCCTGCACTGGAACCAGCAGTGATGTTGGGAGTTATAACCTTGTCTCCTGGTACCAAAATCACCCAGGCAAAGCCCCCAAAGTCTTGATTTATGAGGGCAGTAAGCGGCCCTCAGGGGTTTCTAATCGCTTCTCTGGCTCCAAGTCTGGCAACACGGCCTCCCTGACCATCTCTGGGCTCCAGGCTGACGACGAGAG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</si>
  <si>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TCACCCAGGCAAAGCCCCCAAAGTCTTGATTTATGAGGGCAGTAAGCGGCCCTCAGGGGTTTCTAATCGCTTCTCTGGCTCCAAGTCTGGCAACACGGCCTCCCTGACCATCTCTGGGCTCCAGGCTGACGACGAGAGTGATTATTACTGCACCTCATATACAAACGACAGCAATTCTCAGGTATTCGGCGGAGGGACCAAGCTGACCGTCCTAG</t>
  </si>
  <si>
    <t>CAGTCTGCCCTGACTCAGCCTGCCTCC...GTGTCTGGGTCTCCTGGACAGTCGATCACCATCTCCTGCACTGGAACCAGCAGTGATGTTGGG.........AGTTATAACCTTGTCTCCTGGTACCAAAATCACCCAGGCAAAGCCCCCAAAGTCTTGATTTATGAGGGC.....................AGTAAGCGGCCCTCAGGGGTTTCT...AATCGCTTCTCTGGCTCCAAG......TCTGGCAACACGGCCTCCCTGACCATCTCTGGGCTCCAGGCTGACGACGAGAGTGATTATTACTGCACCTCATATACAAACGACAGCAATTCTCAGGTATTCGGCGGAGGGACCAAGCTGACCGTCCTAG</t>
  </si>
  <si>
    <t>GTCTCCTGGTACCAAAATCACCCAGGCAAAGCCCCCAAAGTCTTGATTTAT</t>
  </si>
  <si>
    <t>AAGCGGCCCTCAGGGGTTTCT...AATCGCTTCTCTGGCTCCAAG......TCTGGCAACACGGCCTCCCTGACCATCTCTGGGCTCCAGGCTGACGACGAGAGTGATTATTACTGC</t>
  </si>
  <si>
    <t>CAGAGAGCACTTCGAA</t>
  </si>
  <si>
    <t>GGGCTGGGGTCACAA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</si>
  <si>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CAGATCAAGACGCACA</t>
  </si>
  <si>
    <t>G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</si>
  <si>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CAGATCAAGCAATATG</t>
  </si>
  <si>
    <t>TGGGGGGGGTCACAAGAGGCAGCGCTCTCGGGACGTCTCCACCATGGCCTGGGCTCTGCTGCTCCTCACTCTCCTCACTCAGGACACAGGGTCCTGGGCCCAGTCTGCCCTGACTCACCCTGCCTCCGTGTCTGGGTCTCCTGGACAGTCGATCACCATCTCCTGCACTGGAACCAGCAGTGACGTTGGTGGTTATAACTATGTCTCCTGGTCCCAACAAAACCCAGGCAAAGCCCCCAAACTCATCATTTATGATGTCAGTAATCGGCCCTCAGGGATTTCTAATCGCTTCTCTGGCTCCAAGTCTGGCAACACGGCCTCCCTGACCATCTCTGGGCTCCAGGCTGACGACGAGGCTGATTATTACTGCACCTCATATACAAACAACAGCAATTCTCAT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</si>
  <si>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CCCTGCCTCCGTGTCTGGGTCTCCTGGACAGTCGATCACCATCTCCTGCACTGGAACCAGCAGTGACGTTGGTGGTTATAACTATGTCTCCTGGTCCCAACAAAACCCAGGCAAAGCCCCCAAACTCATCATTTATGATGTCAGTAATCGGCCCTCAGGGATTTCTAATCGCTTCTCTGGCTCCAAGTCTGGCAACACGGCCTCCCTGACCATCTCTGGGCTCCAGGCTGACGACGAGGCTGATTATTACTGCACCTCATATACAAACAACAGCAATTCTCATGTATTCGGCGGAGGGACCAAGCTGACCGTCCTAG</t>
  </si>
  <si>
    <t>CAGTCTGCCCTGACTCACCCTGCCTCC...GTGTCTGGGTCTCCTGGACAGTCGATCACCATCTCCTGCACTGGAACCAGCAGTGACGTTGGT.........GGTTATAACTATGTCTCCTGGTCCCAACAAAACCCAGGCAAAGCCCCCAAACTCATCATTTATGATGTC.....................AGTAATCGGCCCTCAGGGATTTCT...AATCGCTTCTCTGGCTCCAAG......TCTGGCAACACGGCCTCCCTGACCATCTCTGGGCTCCAGGCTGACGACGAGGCTGATTATTACTGCACCTCATATACAAACAACAGCAATTCTCATGTATTCGGCGGAGGGACCAAGCTGACCGTCCTAG</t>
  </si>
  <si>
    <t>TGCACCTCATATACAAACAACAGCAATTCTCATGTATTC</t>
  </si>
  <si>
    <t>CAGTCTGCCCTGACTCACCCTGCCTCC...GTGTCTGGGTCTCCTGGACAGTCGATCACCATCTCCTGCACTGGAACC</t>
  </si>
  <si>
    <t>GTCTCCTGGTCCCAACAAAACCCAGGCAAAGCCCCCAAACTCATCATTTAT</t>
  </si>
  <si>
    <t>ACCTCATATACAAACAACAGCAATTCTCATGTA</t>
  </si>
  <si>
    <t>CTSYTNNSNSHVF</t>
  </si>
  <si>
    <t>CAGATCACAGCTGTAT</t>
  </si>
  <si>
    <t>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</t>
  </si>
  <si>
    <t>GGCAGGCCCAGTGCTGGGGTCTCAGGAGGCAGCGCTCTCGGGACGTCTCCACCATGGCCTGGGCTCTGCTATTCCTCACCCTCCTCACTCAGGGCACAGGGTCCTGGGCCCAGTCTGCCCTGACTCAGCCTGCCTCCGTGTCTGGGTCTCCTGGACAGTCGATCACCATCTCCTGCACTGGAT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</si>
  <si>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T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</si>
  <si>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T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</si>
  <si>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CAGTCTGCCCTGACTCAGCCTGCCTCC...GTGTCTGGGTCTCCTGGACAGTCGATCACCATCTCCTGCACTGGATCC</t>
  </si>
  <si>
    <t>CAGATCATCAGCGATT</t>
  </si>
  <si>
    <t>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</si>
  <si>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TCTGCCTCCGTGTCTGGGTCTCCTGGACAGTCGATCACCATCTCCTGCACTGGAACCAGCAGTGACGTTGGTGGTTATAACTCTGTCTCCTGGTACCAACAAAACCCAGGCAAAGCCCCCAAACTCATGATTTC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</si>
  <si>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TCTGCCTCCGTGTCTGGGTCTCCTGGACAGTCGATCACCATCTCCTGCACTGGAACCAGCAGTGACGTTGGTGGTTATAACTCTGTCTCCTGGTACCAACAAAACCCAGGCAAAGCCCCCAAACTCATGATTTCTGATGTCAGTAATCGGCCCTCAGGGATTTCTAATCGCTTCTCTGGCTCCAAGTCTGGCAACACGGCCTCCCTGACCATCTCTGGGCTCCAGGCTGACGACGAGACTGATTATTACTGCACCTCATATACAAACGACAGCAATTCTCAGGTATTCGGCGGAGGGACCAAGCTGACCGTCCTAC</t>
  </si>
  <si>
    <t>CAGTCTGCCCTGACTCAGTCTGCCTCC...GTGTCTGGGTCTCCTGGACAGTCGATCACCATCTCCTGCACTGGAACCAGCAGTGACGTTGGT.........GGTTATAACTCTGTCTCCTGGTACCAACAAAACCCAGGCAAAGCCCCCAAACTCATGATTTCTGATGTC.....................AGTAATCGGCCCTCAGGGATTTCT...AATCGCTTCTCTGGCTCCAAG......TCTGGCAACACGGCCTCCCTGACCATCTCTGGGCTCCAGGCTGACGACGAGACTGATTATTACTGCACCTCATATACAAACGACAGCAATTCTCAGGTATTCGGCGGAGGGACCAAGCTGACCGTCCTAC</t>
  </si>
  <si>
    <t>CAGTCTGCCCTGACTCAGTCTGCCTCC...GTGTCTGGGTCTCCTGGACAGTCGATCACCATCTCCTGCACTGGAACC</t>
  </si>
  <si>
    <t>CAGCAGCAGAGCAATT</t>
  </si>
  <si>
    <t>TGGGGGCTGGGGTCTCAGGAGGCAGCGCTCTCGGGACGTCTCCACCATGGCCTGGGCTCTGCTATTCCTCACCCTCCTCACTCAGGGCACAGGGTCCTGGGCCCAGTCTGCCCTGACTCAACCTGCCTCCGTGTCTGGGTCTCCTGGACAGTCGATCACCATCTCCTGCACTGGAACCAGCAGTGACGTTGGTGGTTATAACTATGTCTCCTGGTACCAACAAAACCCAGGCAAAGCCCCCAAAG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</si>
  <si>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ATGTCTCCTGGTACCAACAAAACCCAGGCAAAGCCCCCAAAGTCATGATTTATGATGTCAGTAATCGGCCCTCAGGGATTTCTAATCGCTTCTCTGGCTCCAAGTCTGGCAACACGGCCTCCCTGACCATCTCTGGGCTCCAGGCTGACGACGAGGCTGATTATTACTGCACCTCATATACAAACGACACCAATTCTCAGGTATTCGGCGGAGGGACCAAGCTGACCGTCCTAG</t>
  </si>
  <si>
    <t>CAGTCTGCCCTGACTCAACCTGCCTCC...GTGTCTGGGTCTCCTGGACAGTCGATCACCATCTCCTGCACTGGAACCAGCAGTGACGTTGGT.........GGTTATAACTATGTCTCCTGGTACCAACAAAACCCAGGCAAAGCCCCCAAAGTCATGATTTATGATGTC.....................AGTAATCGGCCCTCAGGGATTTCT...AATCGCTTCTCTGGCTCCAAG......TCTGGCAACACGGCCTCCCTGACCATCTCTGGGCTCCAGGCTGACGACGAGGCTGATTATTACTGCACCTCATATACAAACGACACCAATTCTCAGGTATTCGGCGGAGGGACCAAGCTGACCGTCCTAG</t>
  </si>
  <si>
    <t>CAGTCTGCCCTGACTCAACCTGCCTCC...GTGTCTGGGTCTCCTGGACAGTCGATCACCATCTCCTGCACTGGAACC</t>
  </si>
  <si>
    <t>CAGCAGCGTTCCGTCT</t>
  </si>
  <si>
    <t>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GGAGTGCATCCGCCCCAACCCTTTTCCCCCTCGTCTCCTGTGAGAATTCCCCGTCGGATACGAGCAGCGTG</t>
  </si>
  <si>
    <t>TGGGGGCTGGGGTCTCAGGAGGCAGCGCTCTCGGGACGTCTCCACCATGGCCTGGGCTCTGCTGCTCCTCACTCTCCTCACTCAGGA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</si>
  <si>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CAGCCGAGTTAAGATG</t>
  </si>
  <si>
    <t>G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</si>
  <si>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CAGCCGATCCCAAGTA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</si>
  <si>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</t>
  </si>
  <si>
    <t>GTATCTGGGGGCTGGGGTCTCAGGAGGCAGCGCTCTCGGGACGTCTCCACCATGGCCTGGGCTCTGCTATTCCTCACCCTCCTCACTCAGGGCACAGGGTCCTGGGCCCAGTCTGCCCTGACTCAGCCTGCCTCCGTGTCTGGGTCTCCTGGACAGTCGATCACCATCTCCTGCACTGGAACCAGCAGTGACGTTGGTGGTTATAACTCTGTCTCCTGGTACCAACAAAACCCAGGCAAAGCCCCCAAACTCATGATTTATGATGTCAA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</si>
  <si>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A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</si>
  <si>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ATAATCGGCCCTCAGGGATTTCT...AATCGCTTCTCTGGCTCCAAG......TCTGGCAACACGGCCTCCCTGACCATCTCTGGGCTCCAGGCTGACGACGAGACTGATTATTACTGCACCTCATATACAAACGACAGCAATTCTCAGGTATTCGGCGGAGGGACCAAGCTGACCGTCCTAC</t>
  </si>
  <si>
    <t>GATGTC.....................AAT</t>
  </si>
  <si>
    <t>CAGGTGCTCCTTTACA</t>
  </si>
  <si>
    <t>AATGAGGTTTTCTTATATGGGGGCTGGGGTCTCAGGAGGCAGCGCTCTCGGGACGTCTCCACCATGGCCTGGGCTCTGCTATTCCTCACCCTCCTCACTCAGGGCACAGGGTCCTGGGCCCAGTCTGCCCTGACTCAACCTGCCTCCGTGTCTGGGTCTCCTGGACAGTCGATCACCATCTCCTGCACTGGAACCAGCAGTGACGTTGGTGGTTATAACTCTGTCTCCTGGTACCAACAAAACCCAGGCAAAGCCCCCAAACTCATGATTTATGATGTCAC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</si>
  <si>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CTGGTACCAACAAAACCCAGGCAAAGCCCCCAAACTCATGATTTATGATGTCACTAATCGGCCCTCAGGGATTTCTAATCGCTTCTCTGGCTCCAAGTCTGGCAACACGGCCTCCCTGACCATCTCTGGGCTCCAGGCTGACGACGAGACTGATTATTACTGCACCTCATATACAAACGACAGCAATTCTCAGGTATTCGGCGGAGGGACCAAGCTGACCGTCCTAG</t>
  </si>
  <si>
    <t>CAGTCTGCCCTGACTCAACCTGCCTCC...GTGTCTGGGTCTCCTGGACAGTCGATCACCATCTCCTGCACTGGAACCAGCAGTGACGTTGGT.........GGTTATAACTCTGTCTCCTGGTACCAACAAAACCCAGGCAAAGCCCCCAAACTCATGATTTATGATGTC.....................ACTAATCGGCCCTCAGGGATTTCT...AATCGCTTCTCTGGCTCCAAG......TCTGGCAACACGGCCTCCCTGACCATCTCTGGGCTCCAGGCTGACGACGAGACTGATTATTACTGCACCTCATATACAAACGACAGCAATTCTCAGGTATTCGGCGGAGGGACCAAGCTGACCGTCCTAG</t>
  </si>
  <si>
    <t>CAGTAACAGCTAAGAT</t>
  </si>
  <si>
    <t>GAGG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</si>
  <si>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CAGTAACCACAGGTTT</t>
  </si>
  <si>
    <t>CAGTAACTCACGACTA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</si>
  <si>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</t>
  </si>
  <si>
    <t>TATCTGGGGGGGGTCACAAGAGGCAGCGCTCTCGGGACGTCTCCACCATGGCCTGGGCTCTGCTGCTCCTCACTCTCCTCACTCAGGACACAGGGTCCTGGGCCCAGTCTGCCCTGACTCAGCCTGCCTCCGTGTCTGGGTCTCCTGGACAGTCGATCACCATCTCCTGCACTGGAACCAA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</si>
  <si>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CATATGGCAAATTGCC</t>
  </si>
  <si>
    <t>TGAATC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CCTCTGGCTCCAAGTCTGGCAACACGGCCTCCCTGACCATCTCTGGGCTCCAGGCTGACGACGAGACTGATTATTACTGCACCTCATATAGAAACGACAGCAATTCTCAG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</si>
  <si>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CCTCTGGCTCCAAGTCTGGCAACACGGCCTCCCTGACCATCTCTGGGCTCCAGGCTGACGACGAGACTGATTATTACTGCACCTCATATAGAAACGACAGCAATTCTCAGA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</si>
  <si>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CCTCTGGCTCCAAG......TCTGGCAACACGGCCTCCCTGACCATCTCTGGGCTCCAGGCTGACGACGAGACTGATTATTACTGCACCTCATATAGAAACGACAGCAATTCTCAGATATTCGGCGGAGGGACCAAGCTGACCGTCCTAG</t>
  </si>
  <si>
    <t>TGCACCTCATATAGAAACGACAGCAATTCTCAGATATTC</t>
  </si>
  <si>
    <t>AATCGGCCCTCAGGGATTTCT...AATCGCTCCTCTGGCTCCAAG......TCTGGCAACACGGCCTCCCTGACCATCTCTGGGCTCCAGGCTGACGACGAGACTGATTATTACTGC</t>
  </si>
  <si>
    <t>ACCTCATATAGAAACGACAGCAATTCTCAGATA</t>
  </si>
  <si>
    <t>CTSYRNDSNSQIF</t>
  </si>
  <si>
    <t>CATCAGAGTTTGGGCC</t>
  </si>
  <si>
    <t>TCTCTGGGGGCTGGGGTCTCAGGAGGCAGCGCTCTCGGGACGTCTCCACCATGGCCTGGGCTCTGCTATTCCTCACCCTCCTCACTCAGGGCACAGGGTCCTGGGCCCAGTCTGCCCTGACTCAGCCTGCCTCCGTGTCTGGGTCTCCTGGACAGTCGATCACCATCTCCTGCAGTGGAACCAGCAGTGACGTTGGTGGTTATAACTATGTCTCCTGGTACCAACAAAACCCAGGCAAAGCCCCCAAACTCATGATTTATGATGTCAA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</si>
  <si>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GTGGAACCAGCAGTGACGTTGGTGGTTATAACTATGTCTCCTGGTACCAACAAAACCCAGGCAAAGCCCCCAAACTCATGATTTATGATGTCAATAATCGGCCCTCAGGGATTTCTAATCGCTTCTCTGGCTCCAAGTCTGGCAACACGGCCTCCCTGACCATCTCTGGGCTCCAGGCTGACGACGAGGCTGATTATTACTGCACCTCATATACAAACGACAGCAATTCTCAGGTATTCGGCGGAGGGACCAAGCTGACCGTCCTAG</t>
  </si>
  <si>
    <t>CAGTCTGCCCTGACTCAGCCTGCCTCC...GTGTCTGGGTCTCCTGGACAGTCGATCACCATCTCCTGCAGTGGAACCAGCAGTGACGTTGGT.........GGTTATAACTATGTCTCCTGGTACCAACAAAACCCAGGCAAAGCCCCCAAACTCATGATTTATGATGTC.....................AATAATCGGCCCTCAGGGATTTCT...AATCGCTTCTCTGGCTCCAAG......TCTGGCAACACGGCCTCCCTGACCATCTCTGGGCTCCAGGCTGACGACGAGGCTGATTATTACTGCACCTCATATACAAACGACAGCAATTCTCAGGTATTCGGCGGAGGGACCAAGCTGACCGTCCTAG</t>
  </si>
  <si>
    <t>CATCGAATCCGCATAA</t>
  </si>
  <si>
    <t>TTTGGGGGGGGTCACAAGAGGCAGCGCTCTCGGGACGTCTCCACCATGGCCTGGGCTCTGCTGCTCCTCACTCTCCTCACTCAGGACACAGGGTCCTGGGCCCAGTCTGCCCTGACTCAGCCTGCCTCCGTGTCTGGGTCTCCTGGACAGTCGATCACCATCTCCTACACTGGAACCAGCAGTGATTTTGGGAGTTATAACCTTGTCTCCTGGTACCAAAACCACCCAGGCAAAGCCCCCAAAGTCTTGATTTATGAGGGCAGTAAGCGGCCCTCAGGGGTTTCTAATCGCTTCTCTGGCTCCAAGTCTGGCAACACGGCCTCCCTGACCATCTCTGGGCTCCAGGCTGACGACGAGACTA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</si>
  <si>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ACACTGGAACCAGCAGTGATTTTGGGAGTTATAACCTTGTCTCCTGGTACCAAAACCACCCAGGCAAAGCCCCCAAAGTCTTGATTTATGAGGGCAGTAAGCGGCCCTCAGGGGTTTCTAATCGCTTCTCTGGCTCCAAGTCTGGCAACACGGCCTCCCTGACCATCTCTGGGCTCCAGGCTGACGACGAGACTAATTATTACTGCACCTCATATACAAACGACAGCAATTCTCAGGTATTCGGCGGAGGGACCAAGCTGACCGTCCTAG</t>
  </si>
  <si>
    <t>CAGTCTGCCCTGACTCAGCCTGCCTCC...GTGTCTGGGTCTCCTGGACAGTCGATCACCATCTCCTACACTGGAACCAGCAGTGATTTTGGG.........AGTTATAACCTTGTCTCCTGGTACCAAAACCACCCAGGCAAAGCCCCCAAAGTCTTGATTTATGAGGGC.....................AGTAAGCGGCCCTCAGGGGTTTCT...AATCGCTTCTCTGGCTCCAAG......TCTGGCAACACGGCCTCCCTGACCATCTCTGGGCTCCAGGCTGACGACGAGACTAATTATTACTGCACCTCATATACAAACGACAGCAATTCTCAGGTATTCGGCGGAGGGACCAAGCTGACCGTCCTAG</t>
  </si>
  <si>
    <t>CAGTCTGCCCTGACTCAGCCTGCCTCC...GTGTCTGGGTCTCCTGGACAGTCGATCACCATCTCCTACACTGGAACC</t>
  </si>
  <si>
    <t>AAGCGGCCCTCAGGGGTTTCT...AATCGCTTCTCTGGCTCCAAG......TCTGGCAACACGGCCTCCCTGACCATCTCTGGGCTCCAGGCTGACGACGAGACTAATTATTACTGC</t>
  </si>
  <si>
    <t>AGCAGTGATTTTGGG.........AGTTATAACCTT</t>
  </si>
  <si>
    <t>CATGACATCCGAGCCA</t>
  </si>
  <si>
    <t>contig_14</t>
  </si>
  <si>
    <t>ATGGGGGCTGGGGTCTCAGGAGGCAGCGCTCTCGGGACGTCTCCACCATGGCCTGGGCTCTGCTATTCCTCACCCTCCTCACTCAGGGCACAGGGTCCTGGGCCCAGTCTGCCCTGACTCAGCCTGCCTCCGTGTCTGGGTCTCCTGGACAGTCGATCACCATCTCCTGCACTGGAACCAGCAGTGACGTTGGTGGTTATAACTCTGTCTCCTGGTACCAACAAAACCCAGACAAAGCCCCCAAACTCATGATTTATGATGTCAGTAATCGGCCCTCAGAGATTTCTAATCGCTTCTCTGGCTCCAAGTCTGGCAACACGGCCTCCCTGACCATCTCTGGGCTCCAGGCTGACGACGAGACTAATTATTACTA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</si>
  <si>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ACAAAGCCCCCAAACTCATGATTTATGATGTCAGTAATCGGCCCTCAGAGATTTCTAATCGCTTCTCTGGCTCCAAGTCTGGCAACACGGCCTCCCTGACCATCTCTGGGCTCCAGGCTGACGACGAGACTAATTATTACTACACCTCATATACAAACGACAGCAATTCTCAGGTATTCGGCGGAGGGACCAAGCTGACCGTCCTAG</t>
  </si>
  <si>
    <t>CAGTCTGCCCTGACTCAGCCTGCCTCC...GTGTCTGGGTCTCCTGGACAGTCGATCACCATCTCCTGCACTGGAACCAGCAGTGACGTTGGT.........GGTTATAACTCTGTCTCCTGGTACCAACAAAACCCAGACAAAGCCCCCAAACTCATGATTTATGATGTC.....................AGTAATCGGCCCTCAGAGATTTCT...AATCGCTTCTCTGGCTCCAAG......TCTGGCAACACGGCCTCCCTGACCATCTCTGGGCTCCAGGCTGACGACGAGACTAATTATTACTACACCTCATATACAAACGACAGCAATTCTCAGGTATTCGGCGGAGGGACCAAGCTGACCGTCCTAG</t>
  </si>
  <si>
    <t>GTCTCCTGGTACCAACAAAACCCAGACAAAGCCCCCAAACTCATGATTTAT</t>
  </si>
  <si>
    <t>AATCGGCCCTCAGAGATTTCT...AATCGCTTCTCTGGCTCCAAG......TCTGGCAACACGGCCTCCCTGACCATCTCTGGGCTCCAGGCTGACGACGAGACTAATTATTACTAC</t>
  </si>
  <si>
    <t>CATGCCTGTCAAAGAT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</si>
  <si>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</si>
  <si>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CATGGCGCAATGACCT</t>
  </si>
  <si>
    <t>CCACCTATCGTCTGCT</t>
  </si>
  <si>
    <t>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</si>
  <si>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TTATCTGGGGGCTGGGGTCTCAGGAGGCAGCGCTCTCGGGACGTCTCCACCATGGCCTGGGCTCTGCTATTCCTCACCCTCCTCACTCAGGGCACAGGGTCCTGGGCCCAGTCTGCCCTGACTCAGTCTGCCTCCGTGTCTGGGTCTCCTGGACAGTCGATCACCATCTCCTGCACTGGAACCAGCAGTGACGTTGGTGGTTATAACTATGTCTCCTGGTACCAACAAAACCCAGGCAAAGCCCCCAAACTCATGATTTATGATGTCAGTAATCGGCCCTCAGGGATTTCTAATCGCTTCTCTGGCTCCAAGTCTGGCAACACGGCCTCCCTGACCATCTCTGGA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</si>
  <si>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TCTGCCTCCGTGTCTGGGTCTCCTGGACAGTCGATCACCATCTCCTGCACTGGAACCAGCAGTGACGTTGGTGGTTATAACTATGTCTCCTGGTACCAACAAAACCCAGGCAAAGCCCCCAAACTCATGATTTATGATGTCAGTAATCGGCCCTCAGGGATTTCTAATCGCTTCTCTGGCTCCAAGTCTGGCAACACGGCCTCCCTGACCATCTCTGGACTCCAGGCTGACGACGAGGCTGATTATTACTGCACCTCATATACAAACGACAGCAATTCTCAGGTATTCGGCGGAGGGACCAAGCTGACCGTCCTAG</t>
  </si>
  <si>
    <t>CAGTCTGCCCTGACTCAGTCTGCCTCC...GTGTCTGGGTCTCCTGGACAGTCGATCACCATCTCCTGCACTGGAACCAGCAGTGACGTTGGT.........GGTTATAACTATGTCTCCTGGTACCAACAAAACCCAGGCAAAGCCCCCAAACTCATGATTTATGATGTC.....................AGTAATCGGCCCTCAGGGATTTCT...AATCGCTTCTCTGGCTCCAAG......TCTGGCAACACGGCCTCCCTGACCATCTCTGGACTCCAGGCTGACGACGAGGCTGATTATTACTGCACCTCATATACAAACGACAGCAATTCTCAGGTATTCGGCGGAGGGACCAAGCTGACCGTCCTAG</t>
  </si>
  <si>
    <t>CCACGGACACCAGGCT</t>
  </si>
  <si>
    <t>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</si>
  <si>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GGAG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</si>
  <si>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CCAGCGAGTATAGGTA</t>
  </si>
  <si>
    <t>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</t>
  </si>
  <si>
    <t>CCAGCGAGTTCAACCA</t>
  </si>
  <si>
    <t>AGGCGATCA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</si>
  <si>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CCATTCGGTAGCGTAG</t>
  </si>
  <si>
    <t>G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</t>
  </si>
  <si>
    <t>CACTTGTTTCTTATATGGGGCTGGGGTCTCAGGAGGCAGCGCTCTCGGGACGTCTCCACCATGGCCTGGGCTCTGCTATTCCTCACCCTCCTCACTCAGGGCACAGGGTCCTGGGCCCAGTCTGCCCTGACTCAGCCTGCCTCCGTGTCTGGGTCTCCTGGACAGTCGATCACCATCTCCTGCACTGGAACCACCAGTGACGTTGGTGGTTATAACTCTGTCTCCTGGTACCAACAAAACCCAGCCAAAGCCCCCAAACTCATGATTTT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</si>
  <si>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CCAGTGACGTTGGTGGTTATAACTCTGTCTCCTGGTACCAACAAAACCCAGCCAAAGCCCCCAAACTCATGATTTT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</si>
  <si>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CCAGTGACGTTGGT.........GGTTATAACTCTGTCTCCTGGTACCAACAAAACCCAGCCAAAGCCCCCAAACTCATGATTTTTGATGTC.....................AGTAATCGGCCCTCAGGGATTTCT...AATCGCTTCTCTGGCTCCAAG......TCTGGCAACACGGCCTCCCTGACCATCTCTGGGCTCCAGGCTGACGACGAGACTGATTATTACTGCACCTCATATACAAACGACAGCAATTCTCAGGTATTCGGCGGAGGGACCAAGCTGACCGTCCTAC</t>
  </si>
  <si>
    <t>GTCTCCTGGTACCAACAAAACCCAGCCAAAGCCCCCAAACTCATGATTTTT</t>
  </si>
  <si>
    <t>ACCAGTGACGTTGGT.........GGTTATAACTCT</t>
  </si>
  <si>
    <t>CCCAATCTCCAACCAA</t>
  </si>
  <si>
    <t>CAAGGATATTTCTTATATGGGGGCTGGGGTCTCAGGAGGCAGCGCTCTCGGGACGTCTCCACCATGGCCTGGGCTCTGCTATTCCTCACCCTCCTCACTCAGGGCACACGTGATGCCTCCAGGGAAGGGGCTTCGGGGACCTCTGGGCTGATCCTTCGTCTCCTGCTCCTCAGGCTCACCAGGGCCCAGCACTGACTCACTGGCATGTATTTCTCCCTCTTTCCAGGGTCCTGGGCCCAC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</si>
  <si>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</si>
  <si>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C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</si>
  <si>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CACTCTGCCCTGACTCAGCCTGCCTCC...GTGTCTGGGTCTCCTGGACAGTCGATCACCATCTCCTGCACTGGAACC</t>
  </si>
  <si>
    <t>CCCAATCTCCCTAATT</t>
  </si>
  <si>
    <t>TGGGAGAAGCCTCTGAGCCCAGGCCCAGGTGAGGGTGGGGTGAAGAGAGGAGCTCAAGGTGGAGATTTGCATGCCGGCCCCACCCTCCTCTTTGGCAGAGGGGATAAGACAGGGCTGGGGGCAGGCCCAGTGCTGGGGTCTCAGGAGGCAGCGCTCTCGGGACGTCTCCACCATGGCCTGGGCTCTGCTATTCCTCACCCTCCTCACTCAGGGCACAGGGTCCTGGGCCCAGTCTGCCCTGACTCAGCCTGCCTCCGTGTCTGGGTCTCCTGGACAGTCGATCACCATCTCCTGCACTGGAACCAGCAGTGACGTTGGTGGTTATAACTCTGTCTCCTGGTACCAACAAAACCCAGGCAAAGCCCCCAAATTCATGATTTATGATGTCAGTAATCGGCCCTCAGGGATTTCTAATCGCTTCTCTGGCTCCAAGTCTGACAACACGGCCTCCCTGACCATCTCTGGGCTCCAGGCTGACGACGAGACTTATTATTACTGCACCTCATATACAAACGACAT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</si>
  <si>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TTCATGATTTATGATGTCAGTAATCGGCCCTCAGGGATTTCTAATCGCTTCTCTGGCTCCAAGTCTGACAACACGGCCTCCCTGACCATCTCTGGGCTCCAGGCTGACGACGAGACTTATTATTACTGCACCTCATATACAAACGACATCAATTCTCAGGTATTCGGCGGAGGGACCAAGCTGACCGTCCTAG</t>
  </si>
  <si>
    <t>CAGTCTGCCCTGACTCAGCCTGCCTCC...GTGTCTGGGTCTCCTGGACAGTCGATCACCATCTCCTGCACTGGAACCAGCAGTGACGTTGGT.........GGTTATAACTCTGTCTCCTGGTACCAACAAAACCCAGGCAAAGCCCCCAAATTCATGATTTATGATGTC.....................AGTAATCGGCCCTCAGGGATTTCT...AATCGCTTCTCTGGCTCCAAG......TCTGACAACACGGCCTCCCTGACCATCTCTGGGCTCCAGGCTGACGACGAGACTTATTATTACTGCACCTCATATACAAACGACATCAATTCTCAGGTATTCGGCGGAGGGACCAAGCTGACCGTCCTAG</t>
  </si>
  <si>
    <t>TGCACCTCATATACAAACGACATCAATTCTCAGGTATTC</t>
  </si>
  <si>
    <t>AATCGGCCCTCAGGGATTTCT...AATCGCTTCTCTGGCTCCAAG......TCTGACAACACGGCCTCCCTGACCATCTCTGGGCTCCAGGCTGACGACGAGACTTATTATTACTGC</t>
  </si>
  <si>
    <t>ACCTCATATACAAACGACATCAATTCTCAGGTA</t>
  </si>
  <si>
    <t>CTSYTNDINSQVF</t>
  </si>
  <si>
    <t>CCCAGTTCAATAGCGG</t>
  </si>
  <si>
    <t>TGGGGGCTGGGGTCTCAGGAGGCAGCGCTCTCGGGACGTCTCCACCATGGCCTGGGCTCTGCTATTCCTCACCCTCCTCACTCAGGGCACAGGGTCCTGGGCCCAGTCTGCCCTGACTCAGCCTGCCTCCGTGTCTGGGTCTCCTGGACAGTCA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</si>
  <si>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A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</si>
  <si>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A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</si>
  <si>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CAGTCTGCCCTGACTCAGCCTGCCTCC...GTGTCTGGGTCTCCTGGACAGTCAATCACCATCTCCTGCACTGGAACC</t>
  </si>
  <si>
    <t>CCCAGTTGTGGTGTAG</t>
  </si>
  <si>
    <t>contig_13</t>
  </si>
  <si>
    <t>CCCTCCTAGAGGTTAT</t>
  </si>
  <si>
    <t>G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</si>
  <si>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TGAGTCTTTCTTATATGGG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</si>
  <si>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</si>
  <si>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A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</si>
  <si>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CCGGGATAGCAAATCA</t>
  </si>
  <si>
    <t>CCGGGATAGTTGTAGA</t>
  </si>
  <si>
    <t>ATAATCACC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T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</si>
  <si>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T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</si>
  <si>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TTATTCGGCGGAGGGACCAAGCTGACCGTCCTAC</t>
  </si>
  <si>
    <t>TGCACCTCATATACAAACGACAGCAATTCTCAGTTATTC</t>
  </si>
  <si>
    <t>ACCTCATATACAAACGACAGCAATTCTCAGTTA</t>
  </si>
  <si>
    <t>CTSYTNDSNSQLF</t>
  </si>
  <si>
    <t>CCGGGATTCTACTATC</t>
  </si>
  <si>
    <t>T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AGTCCTGAGAGGGGGCAAGTACGCAGCCACCTCACAGGTGCTGCTGCCTTCCAAGGACGTCATG</t>
  </si>
  <si>
    <t>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TT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</si>
  <si>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TT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</si>
  <si>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TTTTTCT...AATCGCTTCTCTGGCTCCAAG......TCTGGCAACACGGCCTCCCTGACCATCTCTGGGCTCCAGGCTGACGACGAGACTGATTATTACTGCACCTCATATACAAACGACAGCAATTCTCAGGTATTCGGCGGAGGGACCAAGCTGACCGTCCTAG</t>
  </si>
  <si>
    <t>AATCGGCCCTCAGGTTTTTCT...AATCGCTTCTCTGGCTCCAAG......TCTGGCAACACGGCCTCCCTGACCATCTCTGGGCTCCAGGCTGACGACGAGACTGATTATTACTGC</t>
  </si>
  <si>
    <t>CCGGTAGGTCAGAAGC</t>
  </si>
  <si>
    <t>GCGACCTTTCTTATATGGGGGCTGGGGTCTCAGGAGGCAGCGCTCTCGGGACGTCTCCACCATGGCCTGGGCTCTGCTATTCCTCACCCTCCTCACTCAGGGCACAGGCTCCTGGGCCCAGTCTGCCCTGACTCAGGCTGCCTCCGTGTCTGGGTCTCCTGGACAGTCGATCACCATCTCCTGCACTGGAACCAGCAGTGACGTTGGTGGTTATGACGTTGGTGGTTATAACTATGTCTCCTGGTACCCACAAAACCCAGGCAAAGCCCCCAAACTCATGATTTATGATGTCAGTAATCGGCCCTCAGGGATTTCTAATCGCTTCTCTGGCTCCAAGTCTGGCAACACGGCCTCCCTGACCATCTCTGGGCTCCAGGCTGACGACGAGGCTAATTATTACTGCACCTCATATACAAATAACAGCAATTCTCAGGTATTAGGCGGAGGGACCAAA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</si>
  <si>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GCTGCCTCCGTGTCTGGGTCTCCTGGACAGTCGATCACCATCTCCTGCACTGGAACCAGCAGTGACGTTGGTGGTTATAACTATGTCTCCTGGTACCCACAAAACCCAGGCAAAGCCCCCAAACTCATGATTTATGATGTCAGTAATCGGCCCTCAGGGATTTCTAATCGCTTCTCTGGCTCCAAGTCTGGCAACACGGCCTCCCTGACCATCTCTGGGCTCCAGGCTGACGACGAGGCTAATTATTACTGCACCTCATATACAAATAACAGCAATTCTCAGGTATTAGGCGGAGGGACCAAACTGACCGTCCTAG</t>
  </si>
  <si>
    <t>CAGTCTGCCCTGACTCAGGCTGCCTCC...GTGTCTGGGTCTCCTGGACAGTCGATCACCATCTCCTGCACTGGAACCAGCAGTGACGTTGGT.........GGTTATAACTATGTCTCCTGGTACCCACAAAACCCAGGCAAAGCCCCCAAACTCATGATTTATGATGTC.....................AGTAATCGGCCCTCAGGGATTTCT...AATCGCTTCTCTGGCTCCAAG......TCTGGCAACACGGCCTCCCTGACCATCTCTGGGCTCCAGGCTGACGACGAGGCTAATTATTACTGCACCTCATATACAAATAACAGCAATTCTCAGGTATTAGGCGGAGGGACCAAACTGACCGTCCTAG</t>
  </si>
  <si>
    <t>TGCACCTCATATACAAATAACAGCAATTCTCAGGTATTA</t>
  </si>
  <si>
    <t>GTCTCCTGGTACCCACAAAACCCAGGCAAAGCCCCCAAACTCATGATTTAT</t>
  </si>
  <si>
    <t>AATCGGCCCTCAGGGATTTCT...AATCGCTTCTCTGGCTCCAAG......TCTGGCAACACGGCCTCCCTGACCATCTCTGGGCTCCAGGCTGACGACGAGGCTAATTATTACTGC</t>
  </si>
  <si>
    <t>TTAGGCGGAGGGACCAAACTGACCGTCCTAG</t>
  </si>
  <si>
    <t>ACCTCATATACAAATAACAGCAATTCTCAGGTA</t>
  </si>
  <si>
    <t>CTSYTNNSNSQVL</t>
  </si>
  <si>
    <t>CCGTGGAGTACCATCA</t>
  </si>
  <si>
    <t>ATCTGGGGGCTGGGGTCTCAGGAGGCAGCGCTCTCGGGACGTCTCCACCATGGCCTGGGCTCTGCTATTCCTCACCCTCCTCACTCAGGGCACAGGGTCCTGGGCCCAGTCTGCCCTGACTCAGCCTGCCTCCGTGTCTGGGTCTCCTGGACAGTCGATCACCATCTCCTGCACTGGAACAAGCAGTGACGTTGGTGGTTATAACTCTGTCTCCTGGTACCAACAAAACCCAGGCAAAGCCCCCAAACTCATCATTTATGATGTCAGTAATCGGCCCTCAGGGATTTCTAATCGCTTCTCTGGCTCCAAGTCTGGCAACACGGCCTCCCTGACCATCTCTGGGCTCCAGGCTGACGACGAGACTC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</si>
  <si>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AAGCAGTGACGTTGGTGGTTATAACTCTGTCTCCTGGTACCAACAAAACCCAGGCAAAGCCCCCAAACTCATCATTTATGATGTCAGTAATCGGCCCTCAGGGATTTCTAATCGCTTCTCTGGCTCCAAGTCTGGCAACACGGCCTCCCTGACCATCTCTGGGCTCCAGGCTGACGACGAGACTCATTATTACTGCACCTCATATACAAACGACAGCAATTCTCAGGTATTCGGCGGAGGGACCAAGCTGACCGTCCTAG</t>
  </si>
  <si>
    <t>CAGTCTGCCCTGACTCAGCCTGCCTCC...GTGTCTGGGTCTCCTGGACAGTCGATCACCATCTCCTGCACTGGAACAAGCAGTGACGTTGGT.........GGTTATAACTCTGTCTCCTGGTACCAACAAAACCCAGGCAAAGCCCCCAAACTCATCATTTATGATGTC.....................AGTAATCGGCCCTCAGGGATTTCT...AATCGCTTCTCTGGCTCCAAG......TCTGGCAACACGGCCTCCCTGACCATCTCTGGGCTCCAGGCTGACGACGAGACTCATTATTACTGCACCTCATATACAAACGACAGCAATTCTCAGGTATTCGGCGGAGGGACCAAGCTGACCGTCCTAG</t>
  </si>
  <si>
    <t>CAGTCTGCCCTGACTCAGCCTGCCTCC...GTGTCTGGGTCTCCTGGACAGTCGATCACCATCTCCTGCACTGGAACA</t>
  </si>
  <si>
    <t>AATCGGCCCTCAGGGATTTCT...AATCGCTTCTCTGGCTCCAAG......TCTGGCAACACGGCCTCCCTGACCATCTCTGGGCTCCAGGCTGACGACGAGACTCATTATTACTGC</t>
  </si>
  <si>
    <t>CCTACCAAGAACAATC</t>
  </si>
  <si>
    <t>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</t>
  </si>
  <si>
    <t>G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</si>
  <si>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CCTAGCTCACCGTTGG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</si>
  <si>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AGGCGGAGGGACCAAA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</si>
  <si>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AGGCGGAGGGACCAAA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</si>
  <si>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AGGCGGAGGGACCAAACTGACCGTCCTAG</t>
  </si>
  <si>
    <t>TGCACCTCATATACAAACGACAGCAATTCTCAGGTATTA</t>
  </si>
  <si>
    <t>CTSYTNDSNSQVL</t>
  </si>
  <si>
    <t>CCTATTATCCAAGCCG</t>
  </si>
  <si>
    <t>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</si>
  <si>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CCTCAGTAGGCACATG</t>
  </si>
  <si>
    <t>AG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</si>
  <si>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T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</si>
  <si>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TCAACACGGCCTCCCTGACCATCTCTGGGCTCCAGGCTGACGACGAGACTGATTATTA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</si>
  <si>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TCAACACGGCCTCCCTGACCATCTCTGGGCTCCAGGCTGACGACGAGACTGATTATTACTGCACCTCATATACAAACGACAGCAATTCTCAGGTATTCGGCGGAGGGACCAAGCTGACCGTCCTAC</t>
  </si>
  <si>
    <t>AATCGGCCCTCAGGGATTTCT...AATCGCTTCTCTGGCTCCAAG......TCTGTCAACACGGCCTCCCTGACCATCTCTGGGCTCCAGGCTGACGACGAGACTGATTATTACTGC</t>
  </si>
  <si>
    <t>CCTCAGTGTACCGGCT</t>
  </si>
  <si>
    <t>TTTCTTATATGGGGGCTGGGGTCTCAGGAGGCAGCGCTCTCGGGACGTCTCCACCATGGCCTGGGCTCTGCTATTCCTCACCCTCCTCACTCAGGGCACAGGGTCCTGGGCCCAGTCTGCCCTGACTCAGCCTGCCTCCGTGTCTGGGTCTCCTGGACAGTCGATCACCATCTCCTACACTGGAACCAG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</si>
  <si>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ACACTGGAACCAG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</si>
  <si>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A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</si>
  <si>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CCTTACGGTATATGAG</t>
  </si>
  <si>
    <t>GG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</si>
  <si>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CCTTCGACAAGTCATC</t>
  </si>
  <si>
    <t>GG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</si>
  <si>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CCAGTGACGTTGGTGGTTATAACTCTGTCTCCTGGTACCAACAAAACCCAGGCAAAGCCCCCAAACTCATGATTTATGATGTCAGTAATCGGCCCTCAGGGATTTCTAATCGCTTCTCTGGCTCCAAGTCTGCCAACACGGCCTCCCTGACCATCTCTGGGCTCCAGGCTGACGACGAGACTGATTATTACTGCACCTCAAATACAAACGACAGCAATTCTCAGGTATTCGACGGAGGGACCAAGCA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</si>
  <si>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CCAGTGACGTTGGTGGTTATAACTCTGTCTCCTGGTACCAACAAAACCCAGGCAAAGCCCCCAAACTCATGATTTATGATGTCAGTAATCGGCCCTCAGGGATTTCTAATCGCTTCTCTGGCTCCAAGTCTGCCAACACGGCCTCCCTGACCATCTCTGGGCTCCAGGCTGACGACGAGACTGATTATTACTGCACCTCAAATACAAACGACAGCAATTCTCAGGTATTCGACGGAGGGACCAAGCAGACCGTCCTAG</t>
  </si>
  <si>
    <t>CAGTCTGCCCTGACTCAGCCTGCCTCC...GTGTCTGGGTCTCCTGGACAGTCGATCACCATCTCCTGCACTGGAACCACCAGTGACGTTGGT.........GGTTATAACTCTGTCTCCTGGTACCAACAAAACCCAGGCAAAGCCCCCAAACTCATGATTTATGATGTC.....................AGTAATCGGCCCTCAGGGATTTCT...AATCGCTTCTCTGGCTCCAAG......TCTGCCAACACGGCCTCCCTGACCATCTCTGGGCTCCAGGCTGACGACGAGACTGATTATTACTGCACCTCAAATACAAACGACAGCAATTCTCAGGTATTCGACGGAGGGACCAAGCAGACCGTCCTAG</t>
  </si>
  <si>
    <t>TGCACCTCAAATACAAACGACAGCAATTCTCAGGTATTC</t>
  </si>
  <si>
    <t>TTCGACGGAGGGACCAAGCAGACCGTCCTAG</t>
  </si>
  <si>
    <t>ACCTCAAATACAAACGACAGCAATTCTCAGGTA</t>
  </si>
  <si>
    <t>CTSNTNDSNSQVF</t>
  </si>
  <si>
    <t>CCTTTCTAGGTTACCT</t>
  </si>
  <si>
    <t>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</t>
  </si>
  <si>
    <t>CGAGAAGCAATTCCTT</t>
  </si>
  <si>
    <t>TG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</si>
  <si>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CGAGCACAGCGCCTCA</t>
  </si>
  <si>
    <t>TGGGGGGGGTCACAAGAGGCAGCGCTCTCGGGACGTCTCCACCATGGCCTGGGCTCTGCTGCTCCTCACTCTCCTCACTCAGGACACAGGGTCCTGGGCCCAGTCTGCCCTGACTCAGCCTGCCTCCGTGTCTGGGTCTCCTGGACAGTCGATCACCATCTCCTGCACTGGAACCAGCAGTGATGTTGGGAGTTATAACCTTGTCTCCTGGTACCAAAAGCACCCAGGCAAAGCCCCCAAAGTCTTGATTTATGAGGGCAGTAAGCGGCCCTCAGGGGTTTCTAATTGTTTCTTTGGCTCCAAGTCTGGCAACACGGCCTCCCTGACCATCTCTGGGCTCCAGGC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</si>
  <si>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GTAAGCGGCCCTCAGGGGTTTCTAATTGTTTCTTTGGCTCCAAGTCTGGCAACACGGCCTCCCTGACCATCTCTGGGCTCCAGGCTGACGACGAGACTGATTATTACTGCACCTCATATACAAACGACAGCAATTCTCAGGTATTCGGCGGAGGGACCAAGTTGACCGTCCTAG</t>
  </si>
  <si>
    <t>CAGTCTGCCCTGACTCAGCCTGCCTCC...GTGTCTGGGTCTCCTGGACAGTCGATCACCATCTCCTGCACTGGAACCAGCAGTGATGTTGGG.........AGTTATAACCTTGTCTCCTGGTACCAAAAGCACCCAGGCAAAGCCCCCAAAGTCTTGATTTATGAGGGC.....................AGTAAGCGGCCCTCAGGGGTTTCT...AATTGTTTCTTTGGCTCCAAG......TCTGGCAACACGGCCTCCCTGACCATCTCTGGGCTCCAGGCTGACGACGAGACTGATTATTACTGCACCTCATATACAAACGACAGCAATTCTCAGGTATTCGGCGGAGGGACCAAGTTGACCGTCCTAG</t>
  </si>
  <si>
    <t>AAGCGGCCCTCAGGGGTTTCT...AATTGTTTCTTTGGCTCCAAG......TCTGGCAACACGGCCTCCCTGACCATCTCTGGGCTCCAGGCTGACGACGAGACTGATTATTACTGC</t>
  </si>
  <si>
    <t>CGATGGCAGAGCTATA</t>
  </si>
  <si>
    <t>AGTTCGTATATGGGGGCTGGGGTCTCAGGAGGCAGCGCTCTCGGGACGTCTCCACCATGGCCTGGGCTCTGCTATTCCTCACCCTCCTCACTCAGGGCACAGGGTCCTGGGCCCAGTCTGCCCTGACTCAGCCTGCCTCCGTGTCTGGGTCTCCTGGACAGTCGATCACCGTCTCCTGCACTGGAACCAGAAGTGACGTTGGTGGTTATAACTCTGTCTCCTGGTACCAACAAAACCCAGGCAAAGCCCCCAAACTCATGATTTATGATGTCAGTAATCGGCCCTCAGGGATTTCTAATCGCTTCTCTGGCTCCAAGTCTGGCAACACGGCCTCCCTGACCATCTCTGGGCTCCAGGCTGACGACGAG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</si>
  <si>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GTCTCCTGCACTGGAACCAGAAGTGACGTTGGTGGTTATAACTCTGTCTCCTGGTACCAACAAAACCCAGGCAAAGCCCCCAAACTCATGATTTATGATGTCAGTAATCGGCCCTCAGGGATTTCTAATCGCTTCTCTGGCTCCAAGTCTGGCAACACGGCCTCCCTGACCATCTCTGGGCTCCAGGCTGACGACGAGACTGATTATTACTGCACCTCATATACAAACGACACCAATTCTCAGGTATTCGGCGGAGGGACCAAGCTGACCGTCCTAG</t>
  </si>
  <si>
    <t>CAGTCTGCCCTGACTCAGCCTGCCTCC...GTGTCTGGGTCTCCTGGACAGTCGATCACCGTCTCCTGCACTGGAACCAGAAGTGACGTTGGT.........GGTTATAACTCTGTCTCCTGGTACCAACAAAACCCAGGCAAAGCCCCCAAACTCATGATTTATGATGTC.....................AGTAATCGGCCCTCAGGGATTTCT...AATCGCTTCTCTGGCTCCAAG......TCTGGCAACACGGCCTCCCTGACCATCTCTGGGCTCCAGGCTGACGACGAGACTGATTATTACTGCACCTCATATACAAACGACACCAATTCTCAGGTATTCGGCGGAGGGACCAAGCTGACCGTCCTAG</t>
  </si>
  <si>
    <t>CAGTCTGCCCTGACTCAGCCTGCCTCC...GTGTCTGGGTCTCCTGGACAGTCGATCACCGTCTCCTGCACTGGAACC</t>
  </si>
  <si>
    <t>AGAAGTGACGTTGGT.........GGTTATAACTCT</t>
  </si>
  <si>
    <t>CGATGGCTCTGCTTGC</t>
  </si>
  <si>
    <t>CGTTTCTTATATGGGGGGGGTCACAAGAGGCAGCGCTCTCGGGACGTCTCCACCATGGCCTGGGCTCTGCTGCTCCTCACTCTCCTCACTCAGGACACAGGGTCCTGGGCCCAGTCTGCCCTGACTCAGTCTGCCTCCGTGTCTGGGTCTCCTGGACAGTCGATCACCATCTCCTGCACTGGAACCAGCAGTGATGTTGGGAGTTATAACCTTGTCTCCTGGTACCAAAAGCACCCAGGCAAAGCCCCCAAAGTTTTGATTTATGAGGGCAGTAAGCGGCCCTCAGGGGTTTCTAATCGCTTCTCTGGCTCCAAGTCTGGCAACACGGCCTCCCTGACCATCTCTGGGCTCCAGGCTGACGACGAGAGTGATTATTACTGCACCTCATATACAAACGACAGCAATTCTCAC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</si>
  <si>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TCTGCCTCCGTGTCTGGGTCTCCTGGACAGTCGATCACCATCTCCTGCACTGGAACCAGCAGTGATGTTGGGAGTTATAACCTTGTCTCCTGGTACCAAAAGCACCCAGGCAAAGCCCCCAAAGTTTTGATTTATGAGGGCAGTAAGCGGCCCTCAGGGGTTTCTAATCGCTTCTCTGGCTCCAAGTCTGGCAACACGGCCTCCCTGACCATCTCTGGGCTCCAGGCTGACGACGAGAGTGATTATTACTGCACCTCATATACAAACGACAGCAATTCTCACGTATTCGGCGGAGGGACCAAGCTGACCGTCCTAG</t>
  </si>
  <si>
    <t>CAGTCTGCCCTGACTCAGTCTGCCTCC...GTGTCTGGGTCTCCTGGACAGTCGATCACCATCTCCTGCACTGGAACCAGCAGTGATGTTGGG.........AGTTATAACCTTGTCTCCTGGTACCAAAAGCACCCAGGCAAAGCCCCCAAAGTTTTGATTTATGAGGGC.....................AGTAAGCGGCCCTCAGGGGTTTCT...AATCGCTTCTCTGGCTCCAAG......TCTGGCAACACGGCCTCCCTGACCATCTCTGGGCTCCAGGCTGACGACGAGAGTGATTATTACTGCACCTCATATACAAACGACAGCAATTCTCACGTATTCGGCGGAGGGACCAAGCTGACCGTCCTAG</t>
  </si>
  <si>
    <t>TGCACCTCATATACAAACGACAGCAATTCTCACGTATTC</t>
  </si>
  <si>
    <t>GTCTCCTGGTACCAAAAGCACCCAGGCAAAGCCCCCAAAGTTTTGATTTAT</t>
  </si>
  <si>
    <t>ACCTCATATACAAACGACAGCAATTCTCACGTA</t>
  </si>
  <si>
    <t>CTSYTNDSNSHVF</t>
  </si>
  <si>
    <t>CGCGTTTCAACTGCTA</t>
  </si>
  <si>
    <t>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</si>
  <si>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GGGGGATAAGACAGGGCTGGGGGCAGGCCCAGTGCTGGGGTCTCAGGAGGCAGCGCTCTCGGGACGTCTCCACCATGGCCTGGGCTCTGCTATTCCTCACCCTCCTCACTCAGGGCACAGGGTCCTGGGCCCAGTCTGCCCTGACTCAGCCTGCCTCCGTGTCTGGGTCTCCTGGACAGTCGATCACCATCTCCTGCACTGGAACCAGCAGTGACGTTGGTGGTTATAACTATGTCTCCTGGTTCCGACAAAACCCAGGCAAAGCCCCCAAACTCATGATTTATGATGTCAC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</si>
  <si>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TCCGACAAAACCCAGGCAAAGCCCCCAAACTCATGATTTATGATGTCACTAATCGGCCCTCAGGGATTTCTAATCGCTTCTCTGGCTCCAAGTCTGGCAACACGGCCTCCCTGACCATCTCTGGGCTCCAGGCTGACGACGAGGCTGATTATTACTGCACCTCATATACAAACAACAGCAATTCTCAGGTATTCGGCGGAGGGACCAAGCTGACCGTCCTAG</t>
  </si>
  <si>
    <t>CAGTCTGCCCTGACTCAGCCTGCCTCC...GTGTCTGGGTCTCCTGGACAGTCGATCACCATCTCCTGCACTGGAACCAGCAGTGACGTTGGT.........GGTTATAACTATGTCTCCTGGTTCCGACAAAACCCAGGCAAAGCCCCCAAACTCATGATTTATGATGTC.....................ACTAATCGGCCCTCAGGGATTTCT...AATCGCTTCTCTGGCTCCAAG......TCTGGCAACACGGCCTCCCTGACCATCTCTGGGCTCCAGGCTGACGACGAGGCTGATTATTACTGCACCTCATATACAAACAACAGCAATTCTCAGGTATTCGGCGGAGGGACCAAGCTGACCGTCCTAG</t>
  </si>
  <si>
    <t>GTCTCCTGGTTCCGACAAAACCCAGGCAAAGCCCCCAAACTCATGATTTAT</t>
  </si>
  <si>
    <t>CGCTATCGTGGCTCCA</t>
  </si>
  <si>
    <t>AGGCCCAGGTGAGGGTGGGGTGAAGAGAGGAGCTCAAGGTGGAGATTTGCATGCCGGCCCCACCCTCCTCTTT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</si>
  <si>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CGCTGGAAGCTGTTCA</t>
  </si>
  <si>
    <t>TGGGGGCTGGGGTCTCAGGAGGCAGCGCTCTCGGGACGTCTCCACCATGGCCTGGGCTCTGCTATTCCTCACCCTCCTCACTCAGGGCACAGGGTCCTGGGCCCAGTCTGCCCTGACTCAACCTGCCTCCGTGTCTGGGTCTCCTGGACAGTCGATCACCATCTCCTGCACTGGAACCAGCAGTGACGTTGGTGGTTATAACTCTGTCTCCTGGTACCAACAAAACCCAGGCAAAGCCCCCAAACTCATGATTTATGATGTCAGTAATCGGCCCTCAGGTATTTCTAATCGCTTCTCTGGCTCCAAGTCTGGCAACACGGCCTCCCTGACCATCTCTGGGCTCCAGGCTGACGACGAGACTGATTATTACTGCACCTCATATACAAAT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</si>
  <si>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CTGGTACCAACAAAACCCAGGCAAAGCCCCCAAACTCATGATTTATGATGTCAGTAATCGGCCCTCAGGTATTTCTAATCGCTTCTCTGGCTCCAAGTCTGGCAACACGGCCTCCCTGACCATCTCTGGGCTCCAGGCTGACGACGAGACTGATTATTACTGCACCTCATATACAAATGACAGCAATTCTCAGGTATTCGGCGGAGGGACCAAGCTGACCGTCCTAG</t>
  </si>
  <si>
    <t>CAGTCTGCCCTGACTCAACCTGCCTCC...GTGTCTGGGTCTCCTGGACAGTCGATCACCATCTCCTGCACTGGAACCAGCAGTGACGTTGGT.........GGTTATAACTCTGTCTCCTGGTACCAACAAAACCCAGGCAAAGCCCCCAAACTCATGATTTATGATGTC.....................AGTAATCGGCCCTCAGGTATTTCT...AATCGCTTCTCTGGCTCCAAG......TCTGGCAACACGGCCTCCCTGACCATCTCTGGGCTCCAGGCTGACGACGAGACTGATTATTACTGCACCTCATATACAAATGACAGCAATTCTCAGGTATTCGGCGGAGGGACCAAGCTGACCGTCCTAG</t>
  </si>
  <si>
    <t>TGCACCTCATATACAAATGACAGCAATTCTCAGGTATTC</t>
  </si>
  <si>
    <t>AATCGGCCCTCAGGTATTTCT...AATCGCTTCTCTGGCTCCAAG......TCTGGCAACACGGCCTCCCTGACCATCTCTGGGCTCCAGGCTGACGACGAGACTGATTATTACTGC</t>
  </si>
  <si>
    <t>ACCTCATATACAAATGACAGCAATTCTCAGGTA</t>
  </si>
  <si>
    <t>CGCTGGAAGTGCGATG</t>
  </si>
  <si>
    <t>TGGGGGGGGTCACAAGAGGCAGCGCTCTCGGGACGTCTCCACCATGGCCTGGGCTCTGCTGCTCCTCACTCTCCTCACTCAGGACACAGGGTCCTGGGCCCAGTCTGCCCTGACTCAGCCTGCCTCCGTGTCTGGGTCTCCTGGACAGTCGATCACCATCTCCTGCACTGGAACCAGCAGTGATGTTGGGAGTTATAACCTTGTCTCCTGGTACCAAAAGCACCCAGGCAAAGCCCCCAAAGTCTTGATTTATGAGGGCAGTAAGT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</si>
  <si>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GTAAGT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</si>
  <si>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CTTGTCTCCTGGTACCAAAAGCACCCAGGCAAAGCCCCCAAAGTCTTGATTTATGAGGGC.....................AGTAAGTGGCCCTCAGGGGTTTCT...AATCGCTTCTCTGGCTCCAAG......TCTGGCAACACGGCCTCCCTGACCATCTCTGGGCTCCAGGCTGACGACGAGACTGATTATTACTGCACCTCATATACAAACGACAGCAATTCTCAGGTATTCGGCGGAGGGACCAAGCTGACCGTCCTAG</t>
  </si>
  <si>
    <t>AAGTGGCCCTCAGGGGTTTCT...AATCGCTTCTCTGGCTCCAAG......TCTGGCAACACGGCCTCCCTGACCATCTCTGGGCTCCAGGCTGACGACGAGACTGATTATTACTGC</t>
  </si>
  <si>
    <t>CGCTGGAGTAAGTGTA</t>
  </si>
  <si>
    <t>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</t>
  </si>
  <si>
    <t>TCT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</si>
  <si>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CGCTTCACAACTGCTA</t>
  </si>
  <si>
    <t>CGCTTCAGTCCCTACT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</si>
  <si>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AGTCCTGAGAGGGGGCAAGTACGCAGCCACCTCACAGGTGCTGCTGCCTTCCAAGGACGTCAT</t>
  </si>
  <si>
    <t>TGAG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</si>
  <si>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CGCTTCATCCTATTCA</t>
  </si>
  <si>
    <t>CTTGTCTTATCTGGGGGCTGGGGTCTCAGGAGGCAGCGCTCTCGGGACGTCTCCACCATGGCCTGGGCTCTGCTATTCCTCACCCTCCTCACTCAGGGCACAGGGTCCTGGGCCCAGTCTGCCCTGACTCAGCCTGCCTCCGTGTCTGGGTCTCCTGGACAGTCGATCACCATTTCCTGCACTGGAACCAGCAGTGACGTTGGTGGTTATAATTCTGTCTCCTGGTACCAACAAAACCCAGACAAAGCCCCCAAAT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</si>
  <si>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CGGACGTAGGTGCACA</t>
  </si>
  <si>
    <t>GTTGTGTTTTTCTTATATGGGGGCTGGGGTCTCAGGAGGCAGCGCTCTCGGGACGTCTCCACCATGGCCTGGGCTCTGCTATTCCTCACCCTCCTCACTCAGGGCACAGGGTCCTGGGCCCAGTCTGCCCTGACTCAGCCTGCCTCCCTGTCTGGGTCTCCTGGACAGTCGATCACCATCTCCTGCACTGGAACCAGCAGTGACC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</si>
  <si>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CTGTCTGGGTCTCCTGGACAGTCGATCACCATCTCCTGCACTGGAACCAGCAGTGACC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</si>
  <si>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CTGTCTGGGTCTCCTGGACAGTCGATCACCATCTCCTGCACTGGAACCAGCAGTGACC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</si>
  <si>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CAGTCTGCCCTGACTCAGCCTGCCTCC...CTGTCTGGGTCTCCTGGACAGTCGATCACCATCTCCTGCACTGGAACC</t>
  </si>
  <si>
    <t>CGGAGCTTCTTCCTTC</t>
  </si>
  <si>
    <t>G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</si>
  <si>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GCTGATTATCAG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</si>
  <si>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GCTGATTATCAG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</si>
  <si>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GCTGATTATCAGTGCACCTCATATACAAACGACAGCAATTCTCAGGTATTCGGCGGAGGGACCAAGCTGACCGTCCTAG</t>
  </si>
  <si>
    <t>AATCGGCCCTCAGGGATTTCT...AATCGCTTCTCTGGCTCCAAG......TCTGGCAACACGGCCTCCCTGACCATCTCTGGGCTCCAGGCTGACGACGAGGCTGATTATCAGTGC</t>
  </si>
  <si>
    <t>CGGAGTCTCGGATGTT</t>
  </si>
  <si>
    <t>TGGGGGCTGGGGTCTCAGGAGGCAGCGCTCTCGGGACGTCTCCACCATGGCCTGGGCTCTGCTATTCCTCACCCTCCTCACTCAGGGCACAGGGTCCTGGGCCCAGTCTGCCCTGACTCAGCCTGCCTCCGTGTCTGGGTCTCCTGGACAGTCGATCACCATCTCCTGCACTGGAACCAGCAGTGACGTTGGTGATTATAACTCTGTCTCCTGGTACCAACAAAACCCAGGCAAAGCCCCCAAACTCATGATTTATGATGTCACTAATCGGCCCTCAGGGATTTCTAATCGCTTCTCTGGCTCCAAGTCTGC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</si>
  <si>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ATTATAACTCTGTCTCCTGGTACCAACAAAACCCAGGCAAAGCCCCCAAACTCATGATTTATGATGTCACTAATCGGCCCTCAGGGATTTCTAATCGCTTCTCTGGCTCCAAGTCTGCCAACACGGCCTCCCTGACCATCTCTGGGCTCCAGGCTGACGACGAGACTGATTATTACTGCACCTCATATACAAACGACAGCAATTCTCAGGTATTCGGCGGAGGGACCAAGCTGACCGTCCTAG</t>
  </si>
  <si>
    <t>CAGTCTGCCCTGACTCAGCCTGCCTCC...GTGTCTGGGTCTCCTGGACAGTCGATCACCATCTCCTGCACTGGAACCAGCAGTGACGTTGGT.........GATTATAACTCTGTCTCCTGGTACCAACAAAACCCAGGCAAAGCCCCCAAACTCATGATTTATGATGTC.....................ACTAATCGGCCCTCAGGGATTTCT...AATCGCTTCTCTGGCTCCAAG......TCTGCCAACACGGCCTCCCTGACCATCTCTGGGCTCCAGGCTGACGACGAGACTGATTATTACTGCACCTCATATACAAACGACAGCAATTCTCAGGTATTCGGCGGAGGGACCAAGCTGACCGTCCTAG</t>
  </si>
  <si>
    <t>AGCAGTGACGTTGGT.........GATTATAACTCT</t>
  </si>
  <si>
    <t>CGGCTAGCAGGGCATA</t>
  </si>
  <si>
    <t>GAGTCAGACTCAGTCAGGACACAGCTCTAGAGCCACCATGGATTGGACATGGAGATTTCTGTTCGTCGTCGCCGCCGCTACCGGGGGAGTGCAGTCACAGGTGCAGCTGGTGCAGTCAGGAGCCGAGGTGAAGAAACCAGGCAGCTCCGTGAAGGTCAGCTGCAAAGCTTCCGGGGTGACATCTAGTAACTACCCCATCACTTGGGTCCGACAGGCACCTGGACAGGGAT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</si>
  <si>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GGTGCAGCTGGTGCAGTCAGGAGCCGAGGTGAAGAAACCAGGCAGCTCCGTGAAGGTCAGCTGCAAAGCTTCCGGGGTGACATCTAGTAACTACCCCATCACTTGGGTCCGACAGGCACCTGGACAGGGATTGGAATGGATGGGAGGAGTGCTGCCACTGTTCGGAGTCACCAACTACGCCCAGAAGTTTCAGGGAAGGGTGACAATTTCTGCAGACAAAAGTACCAATACAGCCTATATGGAGCTGTCAAGCCTGCGCTCTGAAGATACCGCCGTGTACTATTGTGCTCGGGGAAAGAGACCCGGCTACTGCAGCGGAGGCGTCTGTTCCTCTGACTATTGGGGCCAGGGGACTCTGGTGACCGTCTCCTCAG</t>
  </si>
  <si>
    <t>CAGGTGCAGCTGGTGCAGTCAGGAGCC...GAGGTGAAGAAACCAGGCAGCTCCGTGAAGGTCAGCTGCAAAGCTTCCGGGGTGACATCT............AGTAACTACCCCATCACTTGGGTCCGACAGGCACCTGGACAGGGATTGGAATGGATGGGAGGAGTGCTGCCACTG......TTCGGAGTCACCAACTACGCCCAGAAGTTTCAG...GGAAGGGTGACAATTTCTGCAGACAAAAGTACCAATACAGCCTATATGGAGCTGTCAAGCCTGCGCTCTGAAGATACCGCCGTGTACTATTGTGCTCGGGGAAAGAGACCCGGCTACTGCAGCGGAGGCGTCTGTTCCTCTGACTATTGGGGCCAGGGGACTCTGGTGACCGTCTCCTCAG</t>
  </si>
  <si>
    <t>ATCACTTGGGTCCGACAGGCACCTGGACAGGGATTGGAATGGATGGGAGGA</t>
  </si>
  <si>
    <t>GGGGCTGGGGTCTCAGGAGGCAGCGCTCTCGGGACGTCTCCACCATGGCCTGGGCTCTGCTATTCCTCACCCTCCTCACTCAGGGCACAGGGTCCTGGGCCCAGTCTGCCCTGACTCAGCCTGCCTCCGTGTCTGGGTCTCCTGGACAGTCGATCACCATCTCCTGCACTGGAACCAGCAGTGACGTTGGTGGTTATAACTCTGTCTCCTGGTACCAACAAAATTCAGGCAAAGCCCCCAAACTCATGATTTATGATGTCAGTAATCGGCCCTCAGGGATTTCTAATCGCTTCTCTGGCTCCAAGTCTGGCAACACGGCCTCCCTGACCATCTCTGGGCTCCAGGCTGACGACGAGACTGATTATTAT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</si>
  <si>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CGTTGGTGGTTATAACTCTGTCTCCTGGTACCAACAAAATTCAGGCAAAGCCCCCAAACTCATGATTTATGATGTCAGTAATCGGCCCTCAGGGATTTCTAATCGCTTCTCTGGCTCCAAGTCTGGCAACACGGCCTCCCTGACCATCTCTGGGCTCCAGGCTGACGACGAGACTGATTATTATTGCACCTCATATACAAACGACAGCAATTCTCAGGTATTCGGCGGAGGGACCAAGCTGACCGTCCTAG</t>
  </si>
  <si>
    <t>CAGTCTGCCCTGACTCAGCCTGCCTCC...GTGTCTGGGTCTCCTGGACAGTCGATCACCATCTCCTGCACTGGAACCAGCAGTGACGTTGGT.........GGTTATAACTCTGTCTCCTGGTACCAACAAAATTCAGGCAAAGCCCCCAAACTCATGATTTATGATGTC.....................AGTAATCGGCCCTCAGGGATTTCT...AATCGCTTCTCTGGCTCCAAG......TCTGGCAACACGGCCTCCCTGACCATCTCTGGGCTCCAGGCTGACGACGAGACTGATTATTATTGCACCTCATATACAAACGACAGCAATTCTCAGGTATTCGGCGGAGGGACCAAGCTGACCGTCCTAG</t>
  </si>
  <si>
    <t>GTCTCCTGGTACCAACAAAATTCAGGCAAAGCCCCCAAACTCATGATTTAT</t>
  </si>
  <si>
    <t>AATCGGCCCTCAGGGATTTCT...AATCGCTTCTCTGGCTCCAAG......TCTGGCAACACGGCCTCCCTGACCATCTCTGGGCTCCAGGCTGACGACGAGACTGATTATTATTGC</t>
  </si>
  <si>
    <t>CGTAGCGTCATAGCAC</t>
  </si>
  <si>
    <t>G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G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</si>
  <si>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G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</si>
  <si>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GCAGCAATTCTCAGGTATTCGGCGGAGGGACCAAGCTGACCGTCCTAG</t>
  </si>
  <si>
    <t>TGCACCTCATATACAAACGGCAGCAATTCTCAGGTATTC</t>
  </si>
  <si>
    <t>ACCTCATATACAAACGGCAGCAATTCTCAGGTA</t>
  </si>
  <si>
    <t>CTSYTNGSNSQVF</t>
  </si>
  <si>
    <t>CGTCAGGCAGTCAGAG</t>
  </si>
  <si>
    <t>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AGATTTCTAATCGCTTCTCTGGCTCCAAGTCTGGCAACACGGCCTCCCTGACCATCTCTGGGCTCCAGGCTGACGACGAGACTGATTATTACTA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</si>
  <si>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AGATTTCTAATCGCTTCTCTGGCTCCAAGTCTGGCAACACGGCCTCCCTGACCATCTCTGGGCTCCAGGCTGACGACGAGACTGATTATTACTA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</si>
  <si>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GTAATCGGCCCTCAGAGATTTCT...AATCGCTTCTCTGGCTCCAAG......TCTGGCAACACGGCCTCCCTGACCATCTCTGGGCTCCAGGCTGACGACGAGACTGATTATTACTACACCTCATATACAAACGACAGCAATTCTCAGGTATTCGGCGGAGGGACCAAGCTGACCGTCCTAC</t>
  </si>
  <si>
    <t>CGTCCATGTCAGAATA</t>
  </si>
  <si>
    <t>GGG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ACTCCAAGTCTGGCAACACGGCCTCCCTGACCATCTCTGGGCTCCAGGCTGACGACGAGACTGATTATTACTGCACCTCATATACAAACGACAGCAATTCTCAGGTATTCGGCGGAGGGACCAAA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</si>
  <si>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ACTCCAAGTCTGGCAACACGGCCTCCCTGACCATCTCTGGGCTCCAGGCTGACGACGAGACTGATTATTACTGCACCTCATATACAAACGACAGCAATTCTCAGGTATTCGGCGGAGGGACCAAACTGACCGTCCTAG</t>
  </si>
  <si>
    <t>CAGTCTGCCCTGACTCAGCCTGCCTCC...GTGTCTGGGTCTCCTGGACAGTCGATCACCATCTCCTGCACTGGAACCAGCAGTGACGTTGGT.........GGTTATAACTCTGTCTCCTGGTACCAACAAAACCCAGGCAAAGCCCCCAAACTCATGATTTATGATGTC.....................AGTAATCGGCCCTCAGGGATTTCT...AATCGCTTCTCTGACTCCAAG......TCTGGCAACACGGCCTCCCTGACCATCTCTGGGCTCCAGGCTGACGACGAGACTGATTATTACTGCACCTCATATACAAACGACAGCAATTCTCAGGTATTCGGCGGAGGGACCAAACTGACCGTCCTAG</t>
  </si>
  <si>
    <t>AATCGGCCCTCAGGGATTTCT...AATCGCTTCTCTGACTCCAAG......TCTGGCAACACGGCCTCCCTGACCATCTCTGGGCTCCAGGCTGACGACGAGACTGATTATTACTGC</t>
  </si>
  <si>
    <t>TTCGGCGGAGGGACCAAACTGACCGTCCTAG</t>
  </si>
  <si>
    <t>CGTCCATTCAAAGTAG</t>
  </si>
  <si>
    <t>GAGGAGTCAGACTCAGTCAGGACACAGCTCTAGACCACCATGGGATGGTCATGTATCATCCTTTTTCTAGTAGCAACTGCAACCGGTGTACATTCCCAGGTGCAGCTGGTGCAGTCTGGAGGTCAGATGAAGAAGCCTGGCGAGTCGATGAGAATTTCTTGTCGGGCTTCTGGATATGAATTTATTGATTGTACGCTAAATTGGATTCGTCTGGCCCCT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</si>
  <si>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AGGTGCAGCTGGTGCAGTCTGGAGGTCAGATGAAGAAGCCTGGCGAGTCGATGAGAATTTCTTGTCGGGCTTCTGGATATGAATTTATTGATTGTACGCTAAATTGGATTCGTCTGGCCCCTGGAAAAAGGCCTGAGTGGATGGGATGGCTGAAGCCTCGGGGGGGGGCCGTCAACTACGCACGTCCACTTCAGGGCAGAGTGACCATGACTCGAGACGTTTATTCCGACACAGCCTTTTTGGAGCTGCGCTCGTTGACAGTAGACGACACGGCCGTCTACTTTTGTACTAGGGGAAAAAACTGTGATTACAATTGGGACTTCGAACACTGGGGCCGGGGCACCCCGGTCATCGTCTCATCAG</t>
  </si>
  <si>
    <t>CAGGTGCAGCTGGTGCAGTCTGGAGGT...CAGATGAAGAAGCCTGGCGAGTCGATGAGAATTTCTTGTCGGGCTTCTGGATATGAATTT............ATTGATTGTACGCTAAATTGGATTCGTCTGGCCCCTGGAAAAAGGCCTGAGTGGATGGGATGGCTGAAGCCTCGG......GGGGGGGCCGTCAACTACGCACGTCCACTTCAG...GGCAGAGTGACCATGACTCGAGACGTTTATTCCGACACAGCCTTTTTGGAGCTGCGCTCGTTGACAGTAGACGACACGGCCGTCTACTTTTGTACTAGGGGAAAAAACTGTGATTACAATTGGGACTTCGAACACTGGGGCCGGGGCACCCCGGTCATCGTCTCATCAG</t>
  </si>
  <si>
    <t>CTAAATTGGATTCGTCTGGCCCCTGGAAAAAGGCCTGAGTGGATGGGATGG</t>
  </si>
  <si>
    <t>ATGGGGGCTGGGGTCTCAGGAGGCAGCGCTCTCGGGACGTCTCCACCATGGCCTGGGCTCTGCTATTCCTCACCCTCCTCACTCAGGGCACAGGGTCCTGGGCCCAGTCTGCCCTGACTCAGCCTGCCTCCGTGTCTGGGTCTCCTGGACAGTCGATCACCATCTCCTGCACTGGAACCAGCAGTGACGTTGGTGATTATAACTCTGTCTCCTGGTACCAACAAAACCCAGGCAAAGCCCCCAAACTCATGATTTATGATGTCAGTAATCGGCCCTCAGGGATTTCTAATCGCTTCTCTGGCTCCAAGTCTGGCAACACGGCCTCCCTGACCATCTCTGGGCTCCAGGCTGACGACGAGACTGATG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GAAGCTACAGCTGCCAGGTCACGCATGAAGGGAGCACCGTGGAGAAGACAGTGGCCCCTACAGAATGTTCATAGGTTCTCAACCCTCACCCCCACCACGGGAGACTAGACCTGCAGGATCCCAGGGGAGGGGTCTCTCCTCCCACCCCAAGGCATCAAGCCCTTCTCCCTGCACTCAATAAACCCTCAATAAATAGGCTGACGACGAGACTGATTATTACTACACCTCATATACAAACGACAGCAATTCTCAG</t>
  </si>
  <si>
    <t>CAGTCTGCCCTGACTCAGCCTGCCTCCGTGTCTGGGTCTCCTGGACAGTCGATCACCATCTCCTGCACTGGAACCAGCAGTGACGTTGGTGATTATAACTCTGTCTCCTGGTACCAACAAAACCCAGGCAAAGCCCCCAAACTCATGATTTATGATGTCAGTAATCGGCCCTCAGGGATTTCTAATCGCTTCTCTGGCTCCAAGTCTGGCAACACGGCCTCCCTGACCATCTCTGGGCTCCAGGCTGACGACGAGACTGATGATTACTGCACCTCATATACAAACGACAGCAATTCTCAGGTATTCGGCGGAGGGACCAAGCTGACCGTCCTAG</t>
  </si>
  <si>
    <t>CAGTCTGCCCTGACTCAGCCTGCCTCC...GTGTCTGGGTCTCCTGGACAGTCGATCACCATCTCCTGCACTGGAACCAGCAGTGACGTTGGT.........GATTATAACTCTGTCTCCTGGTACCAACAAAACCCAGGCAAAGCCCCCAAACTCATGATTTATGATGTC.....................AGTAATCGGCCCTCAGGGATTTCT...AATCGCTTCTCTGGCTCCAAG......TCTGGCAACACGGCCTCCCTGACCATCTCTGGGCTCCAGGCTGACGACGAGACTGATGATTACTGCACCTCATATACAAACGACAGCAATTCTCAGGTATTCGGCGGAGGGACCAAGCTGACCGTCCTAG</t>
  </si>
  <si>
    <t>AATCGGCCCTCAGGGATTTCT...AATCGCTTCTCTGGCTCCAAG......TCTGGCAACACGGCCTCCCTGACCATCTCTGGGCTCCAGGCTGACGACGAGACTGATGATTACTGC</t>
  </si>
  <si>
    <t>CGTCCATTCCACTGGG</t>
  </si>
  <si>
    <t>GGGG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T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</si>
  <si>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T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</si>
  <si>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TTGCACCTCATATACAAACGACAGCAATTCTCAGGTATTCGGCGGAGGGACCAAGCTGACCGTCCTAG</t>
  </si>
  <si>
    <t>CGTTCTGTCTTCTGGC</t>
  </si>
  <si>
    <t>CCATGGGGG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</si>
  <si>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C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</si>
  <si>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CCAATTCTCAGGTATTCGGCGGAGGGACCAAGCTGACCGTCCTAG</t>
  </si>
  <si>
    <t>CTACACCAGAAGATTC</t>
  </si>
  <si>
    <t>G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</si>
  <si>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AGGCCATTTTCTTATATGGGGGCTGGGGTCTCAGGAGGCAGCGCTCTCGGGACGTCTCCACCATGGCCTGGGCTCTGCTATTCCTCACCCTCCTCACTCAGGGCACAGGT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</si>
  <si>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CTACACCAGCGCCTTG</t>
  </si>
  <si>
    <t>CTTTCTTATATGGGG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</si>
  <si>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CTCAGAACAGTGGGAT</t>
  </si>
  <si>
    <t>AGCTGGGGGCTGGGGTCTCAGGAGGCAGCGCTCTCGGGACGTCTCCACCATGGCCTGGGCTCTGCTATTCCTCACCCTCCTCACTCAGGGCACAGGGTCCTGGGCCCAGTCTGCCCTGACTCAGCCTGCCTCCGTGTCTGGGTCTCCTGGACAGTCGATCACCATCTCCTGCACTGGAACCAGCAGTGACGTTGGTGGTTATAACTCTGTCTCCTGGTACCAACAAAACCCAGGCAAAGCCCCCAAACTCATGATTTATGATGTCAGTAATCGGCCCTCT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</si>
  <si>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T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</si>
  <si>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TGGGATTTCT...AATCGCTTCTCTGGCTCCAAG......TCTGGCAACACGGCCTCCCTGACCATCTCTGGGCTCCAGGCTGACGACGAGACTGATTATTACTGCACCTCATATACAAACGACAGCAATTCTCAGGTATTCGGCGGAGGGACCAAGCTGACCGTCCTAG</t>
  </si>
  <si>
    <t>AATCGGCCCTCTGGGATTTCT...AATCGCTTCTCTGGCTCCAAG......TCTGGCAACACGGCCTCCCTGACCATCTCTGGGCTCCAGGCTGACGACGAGACTGATTATTACTGC</t>
  </si>
  <si>
    <t>CTCAGAAGTCATATCG</t>
  </si>
  <si>
    <t>CTCAGAATCTAACGGT</t>
  </si>
  <si>
    <t>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</si>
  <si>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CTCCTAGCATCCGCGA</t>
  </si>
  <si>
    <t>ACGGCAT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</si>
  <si>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CTCGAGGCACTAGTAC</t>
  </si>
  <si>
    <t>CTTGTCTTATCTGGGGGCTGGGGTCTCAGGAGGCAGCGCTCTCGGGACGTCTCCACCATGGCCTGGGCTCTGCTATTCCTCACCCTCCTCACTCAGGGCACAGGGTCCTGGGCCCAGTCTGCCCTGACTCAGCCTGCCTCCGTGTCTAGGTCTCCTGGACAGTCGATCACCATGTCCTGCACTGGAACCAGCAGTGACGTTGGTGGTTATAAGTCTGTCTCCTGGTACCAACAAAACCCAGGCAAAGCCCCCAAAC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</si>
  <si>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AGGTCTCCTGGACAGTCGATCACCATGTCCTGCACTGGAACCAGCAGTGACGTTGGTGGTTATAAGTCTGTCTCCTGGTACCAACAAAACCCAGGCAAAGCCCCCAAACTCATGATTTATGATGTCAGTAATCGGCCCTCAGGGATTTCTAATCGCTTCTCTGGCTCCAAGTCTGGCAACACGGCCTCCCTGACCATCTCTGGGCTCCAGGCTGACGACGAGGCTGATTATTACTGCACCTCATATACAAACGACACCAATTCTCAGGTATTCGGCGGAGGGACCAAGCTGACCGTCCTAG</t>
  </si>
  <si>
    <t>CAGTCTGCCCTGACTCAGCCTGCCTCC...GTGTCTAGGTCTCCTGGACAGTCGATCACCATGTCCTGCACTGGAACCAGCAGTGACGTTGGT.........GGTTATAAGTCTGTCTCCTGGTACCAACAAAACCCAGGCAAAGCCCCCAAACTCATGATTTATGATGTC.....................AGTAATCGGCCCTCAGGGATTTCT...AATCGCTTCTCTGGCTCCAAG......TCTGGCAACACGGCCTCCCTGACCATCTCTGGGCTCCAGGCTGACGACGAGGCTGATTATTACTGCACCTCATATACAAACGACACCAATTCTCAGGTATTCGGCGGAGGGACCAAGCTGACCGTCCTAG</t>
  </si>
  <si>
    <t>CAGTCTGCCCTGACTCAGCCTGCCTCC...GTGTCTAGGTCTCCTGGACAGTCGATCACCATGTCCTGCACTGGAACC</t>
  </si>
  <si>
    <t>AGCAGTGACGTTGGT.........GGTTATAAGTCT</t>
  </si>
  <si>
    <t>CTCGGAGCAGAGCCAA</t>
  </si>
  <si>
    <t>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</si>
  <si>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CAGAACATCTTTCTTATATGGGGGCTGGGGTCTCAGGAGGCAGCGCTCTCGGGACGTCTCCACCATGGCCTGGGCTCTGCTATTCCTCACCCTCCTCACTCAGGGCACAGGGTCCTGGGCCCACTCTGCCCTGACTCAGCCTGCCTCCGTGTCTGGGTCTCCTGGACAGTCGATCACCATCTCCTGCAGTGGAACCAGCAGTGACGTTGGTGGTTATAACTATGTCTCCTGGTACCAACAAAACCCAGGCAAAGCCCCCAAACTCATGATTTATGATGTCAGTAATCGGCCCTCAGGGATTTCTAATCGCTTCTCTGGCTCCAAGTCTGGCAAT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</si>
  <si>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CTCTGCCCTGACTCAGCCTGCCTCCGTGTCTGGGTCTCCTGGACAGTCGATCACCATCTCCTGCAGTGGAACCAGCAGTGACGTTGGTGGTTATAACTATGTCTCCTGGTACCAACAAAACCCAGGCAAAGCCCCCAAACTCATGATTTATGATGTCAGTAATCGGCCCTCAGGGATTTCTAATCGCTTCTCTGGCTCCAAGTCTGGCAATACGGCCTCCCTGACCATCTCTGGGCTCCAGGCTGACGACGAGGCTGATTATTACTGCACCTCATATACAAACGACAGCAATTCTCAGGTATTCGGCGGAGGGACCAAGCTGACCGTCCTAG</t>
  </si>
  <si>
    <t>CACTCTGCCCTGACTCAGCCTGCCTCC...GTGTCTGGGTCTCCTGGACAGTCGATCACCATCTCCTGCAGTGGAACCAGCAGTGACGTTGGT.........GGTTATAACTATGTCTCCTGGTACCAACAAAACCCAGGCAAAGCCCCCAAACTCATGATTTATGATGTC.....................AGTAATCGGCCCTCAGGGATTTCT...AATCGCTTCTCTGGCTCCAAG......TCTGGCAATACGGCCTCCCTGACCATCTCTGGGCTCCAGGCTGACGACGAGGCTGATTATTACTGCACCTCATATACAAACGACAGCAATTCTCAGGTATTCGGCGGAGGGACCAAGCTGACCGTCCTAG</t>
  </si>
  <si>
    <t>CACTCTGCCCTGACTCAGCCTGCCTCC...GTGTCTGGGTCTCCTGGACAGTCGATCACCATCTCCTGCAGTGGAACC</t>
  </si>
  <si>
    <t>AATCGGCCCTCAGGGATTTCT...AATCGCTTCTCTGGCTCCAAG......TCTGGCAATACGGCCTCCCTGACCATCTCTGGGCTCCAGGCTGACGACGAGGCTGATTATTACTGC</t>
  </si>
  <si>
    <t>CTCGGGAGTCCATCCT</t>
  </si>
  <si>
    <t>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</si>
  <si>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CTCGTACGTATATGAG</t>
  </si>
  <si>
    <t>G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</t>
  </si>
  <si>
    <t>GTTCTCTGGT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</si>
  <si>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CTCGTACGTCCAAGTT</t>
  </si>
  <si>
    <t>CTCTACGGTACGAAAT</t>
  </si>
  <si>
    <t>TAGATGGGGGCTGGGGTCTCAGGAGGCAGCGCTCTCGGGACGTCTCCACCATGGCCTGGGCTCTGCTATTCCTCACCCTCCTCACTCAGGGCACAGAGTCCTGGGCCCAGTCTGCCCTGACTCAGCCTGCCTCCGTGTCTGGGTCTCCTGGACAGTCGATCACCATCTCCTGCACTGGAACCAGCAGTGACGTTGGTGCTTATAACTATGTCTCCTGGTACCAACAAAACCCAGGCAAAGCCCCCAAACTCATGATTTATGATGTCAGTAATCGGCCCTCAGGGATTTCTAATCGCTTCTCTGGCTCCAAGTCTGGCAACACGGCCTCCCTGACCATCGCTGGGCTCCAGGCTGACGACGAGACTGATTATTACTGCACCTCATATACAAACAACAGCAATTCTCAGGTATTCGGCGGAGGGACT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</si>
  <si>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CTTATAACTATGTCTCCTGGTACCAACAAAACCCAGGCAAAGCCCCCAAACTCATGATTTATGATGTCAGTAATCGGCCCTCAGGGATTTCTAATCGCTTCTCTGGCTCCAAGTCTGGCAACACGGCCTCCCTGACCATCGCTGGGCTCCAGGCTGACGACGAGACTGATTATTACTGCACCTCATATACAAACAACAGCAATTCTCAGGTATTCGGCGGAGGGACTAAGCTGACCGTCCTAG</t>
  </si>
  <si>
    <t>CAGTCTGCCCTGACTCAGCCTGCCTCC...GTGTCTGGGTCTCCTGGACAGTCGATCACCATCTCCTGCACTGGAACCAGCAGTGACGTTGGT.........GCTTATAACTATGTCTCCTGGTACCAACAAAACCCAGGCAAAGCCCCCAAACTCATGATTTATGATGTC.....................AGTAATCGGCCCTCAGGGATTTCT...AATCGCTTCTCTGGCTCCAAG......TCTGGCAACACGGCCTCCCTGACCATCGCTGGGCTCCAGGCTGACGACGAGACTGATTATTACTGCACCTCATATACAAACAACAGCAATTCTCAGGTATTCGGCGGAGGGACTAAGCTGACCGTCCTAG</t>
  </si>
  <si>
    <t>AATCGGCCCTCAGGGATTTCT...AATCGCTTCTCTGGCTCCAAG......TCTGGCAACACGGCCTCCCTGACCATCGCTGGGCTCCAGGCTGACGACGAGACTGATTATTACTGC</t>
  </si>
  <si>
    <t>TTCGGCGGAGGGACTAAGCTGACCGTCCTAG</t>
  </si>
  <si>
    <t>AGCAGTGACGTTGGT.........GCTTATAACTAT</t>
  </si>
  <si>
    <t>CTCTGGTCACAAGCCC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</si>
  <si>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</t>
  </si>
  <si>
    <t>TATCTGGGGGCTGGGGTCTCAGGAGGCAGCGCTCTCGGGACGTCTCCACCATGGCCTGGGCTCTGCTATTCCTCACCCTCCTCACTCAGGGCACAGGGTCCTGGGCCCAGTCTGCCCTGACTCAACCTGCCTCCGTGTCTGGGTCTCCTGGACAGTCGATCACCATCTCCTGCACTGGAACCAGCAGTGACGTTGGTGGTTATAACTATGTCTCCTGGTACCAACAAAAGCCAGACAAAGCCCCCAAACTCATGATTTATGATGTCAGTAATCGGCCCTCAGGGATTTCTAATCGCTTCTCTGGCTCCAAGTCTGGCAACACGGCCTCCCTGACCATCTCTGGGCTCCAGGCTGACGACGAGGCTGATTATTACTGCACCTCATATACAAACGACACCAATTCTCAG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</si>
  <si>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ATGTCTCCTGGTACCAACAAAAGCCAGACAAAGCCCCCAAACTCATGATTTATGATGTCAGTAATCGGCCCTCAGGGATTTCTAATCGCTTCTCTGGCTCCAAGTCTGGCAACACGGCCTCCCTGACCATCTCTGGGCTCCAGGCTGACGACGAGGCTGATTATTACTGCACCTCATATACAAACGACACCAATTCTCAGATATTCGGCGGAGGGACCAAGCTGACCGTCCTAG</t>
  </si>
  <si>
    <t>CAGTCTGCCCTGACTCAACCTGCCTCC...GTGTCTGGGTCTCCTGGACAGTCGATCACCATCTCCTGCACTGGAACCAGCAGTGACGTTGGT.........GGTTATAACTATGTCTCCTGGTACCAACAAAAGCCAGACAAAGCCCCCAAACTCATGATTTATGATGTC.....................AGTAATCGGCCCTCAGGGATTTCT...AATCGCTTCTCTGGCTCCAAG......TCTGGCAACACGGCCTCCCTGACCATCTCTGGGCTCCAGGCTGACGACGAGGCTGATTATTACTGCACCTCATATACAAACGACACCAATTCTCAGATATTCGGCGGAGGGACCAAGCTGACCGTCCTAG</t>
  </si>
  <si>
    <t>TGCACCTCATATACAAACGACACCAATTCTCAGATATTC</t>
  </si>
  <si>
    <t>GTCTCCTGGTACCAACAAAAGCCAGACAAAGCCCCCAAACTCATGATTTAT</t>
  </si>
  <si>
    <t>ACCTCATATACAAACGACACCAATTCTCAGATA</t>
  </si>
  <si>
    <t>CTSYTNDTNSQIF</t>
  </si>
  <si>
    <t>CTGAAACTCTCAACTT</t>
  </si>
  <si>
    <t>G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</si>
  <si>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CTCTTT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</si>
  <si>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CTGATAGCATGTAGTC</t>
  </si>
  <si>
    <t>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ACTCTGAAGATACCGCCGTGTACTATTGTGCTCGGGGAAAGAGACCCGGCTACTGCAGCGGAGGCGTCTGTTCCTCTGACTATTGGGGCCAGGGGACTCTGGTGACCGTCTCCTCAGGGAGTGCATCCGCCCCAACCCTTTTCCCCCTCGTCTCCTGTGAGAATTCCCCGTCGGATACGAGCAGCGTG</t>
  </si>
  <si>
    <t>GCTCCTCTTTGGCAGAGGGGATAAGACAGGGCTGGGGGCAGGCCCAGTGCTGGGGTCTCAGGAGGCAGCGCTCTCGGGACGTCTCCACCATGGCCTGGGCTCTGCTATTCCTCACCCTCCTCACTCAGGGCACAGGGTCCTGGGCCCAGTCTGCCTTGACTCAGACTGCCTCCGTGTCTGGGTCTCCTGGACAGTCGATCACCATCTCCTGCACTGGAACCAGCAGTGACGTTGGTGGTTATAACTATGTCCCCTGGTACCAACAAAACGCAGGCAAAGCCCCCAAACTCATAATTTATGATGTCACTAATCGGCCCTCAGGGATCTCTAATCGCTTCTCTGGCTCCAAGTCTGGCAACACGGCCTCCCTGACCATCTCTGGGCTCCAGGCTGACGACGAGGCTGATTATTACTGCACCTCATATACAAACGACAGCAATTCTCAGGTC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</si>
  <si>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TTGACTCAGACTGCCTCCGTGTCTGGGTCTCCTGGACAGTCGATCACCATCTCCTGCACTGGAACCAGCAGTGACGTTGGTGGTTATAACTATGTCCCCTGGTACCAACAAAACGCAGGCAAAGCCCCCAAACTCATAATTTATGATGTCACTAATCGGCCCTCAGGGATCTCTAATCGCTTCTCTGGCTCCAAGTCTGGCAACACGGCCTCCCTGACCATCTCTGGGCTCCAGGCTGACGACGAGGCTGATTATTACTGCACCTCATATACAAACGACAGCAATTCTCAGGTCTTCGGCGGAGGGACCAAGCTGACCGTCCTAG</t>
  </si>
  <si>
    <t>CAGTCTGCCTTGACTCAGACTGCCTCC...GTGTCTGGGTCTCCTGGACAGTCGATCACCATCTCCTGCACTGGAACCAGCAGTGACGTTGGT.........GGTTATAACTATGTCCCCTGGTACCAACAAAACGCAGGCAAAGCCCCCAAACTCATAATTTATGATGTC.....................ACTAATCGGCCCTCAGGGATCTCT...AATCGCTTCTCTGGCTCCAAG......TCTGGCAACACGGCCTCCCTGACCATCTCTGGGCTCCAGGCTGACGACGAGGCTGATTATTACTGCACCTCATATACAAACGACAGCAATTCTCAGGTCTTCGGCGGAGGGACCAAGCTGACCGTCCTAG</t>
  </si>
  <si>
    <t>CAGTCTGCCTTGACTCAGACTGCCTCC...GTGTCTGGGTCTCCTGGACAGTCGATCACCATCTCCTGCACTGGAACC</t>
  </si>
  <si>
    <t>GTCCCCTGGTACCAACAAAACGCAGGCAAAGCCCCCAAACTCATAATTTAT</t>
  </si>
  <si>
    <t>AATCGGCCCTCAGGGATCTCT...AATCGCTTCTCTGGCTCCAAG......TCTGGCAACACGGCCTCCCTGACCATCTCTGGGCTCCAGGCTGACGACGAGGCTGATTATTACTGC</t>
  </si>
  <si>
    <t>CTGATCCAGGATGGTC</t>
  </si>
  <si>
    <t>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</si>
  <si>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CTCTGGGGGGGGTCACAAGAGGCAGCGCTCTCGGGACGTCTCCACCATGGCCTGGGCTCTGCTGCTCCTCACTCTCCTCACTCAGGACACAGGGTCCTGGGCCCAGTCTGCCCTGACTCAGCCTGCCTCCGTGTCTGGGTCTCCTGGGCAGTCGATCACCATCTCCTGCACTGGAACCAGCAGTGATGTTGGGAGTTATAACCTTGTCTCCTGGTACCAAAACCACCCAGGCAAAGCCCCCAAAGTCTTGATTTATAAGCGGCCCTCAGGGGTTTCTAATCGCTTCTCTGGCTCCAAGTCTGGCAACACGGCCTCCCTGACCATCTCTGGGCTCCAGGCTGACGACGAGGGTGATTATTACTGCACG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</si>
  <si>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GCAGTCGATCACCATCTCCTGCACTGGAACCAGCAGTGATGTTGGGAGTTATAACCTTGTCTCCTGGTACCAAAACCACCCAGGCAAAGCCCCCAAAGTCTTGATTTATAAGCGGCCCTCAGGGGTTTCTAATCGCTTCTCTGGCTCCAAGTCTGGCAACACGGCCTCCCTGACCATCTCTGGGCTCCAGGCTGACGACGAGGGTGATTATTACTGCACGTCATATACAAACGACAGCAATTCTCAGGTATTCGGCGGAGGGACCAAGCTGACCGTCCTAG</t>
  </si>
  <si>
    <t>CAGTCTGCCCTGACTCAGCCTGCCTCC...GTGTCTGGGTCTCCTGGGCAGTCGATCACCATCTCCTGCACTGGAACCAGCAGTGATGTTGGG.........AGTTATAACCTTGTCTCCTGGTACCAAAACCACCCAGGCAAAGCCCCCAAAGTCTTGATTTAT..............................AAGCGGCCCTCAGGGGTTTCT...AATCGCTTCTCTGGCTCCAAG......TCTGGCAACACGGCCTCCCTGACCATCTCTGGGCTCCAGGCTGACGACGAGGGTGATTATTACTGCACGTCATATACAAACGACAGCAATTCTCAGGTATTCGGCGGAGGGACCAAGCTGACCGTCCTAG</t>
  </si>
  <si>
    <t>TGCACGTCATATACAAACGACAGCAATTCTCAGGTATTC</t>
  </si>
  <si>
    <t>CAGTCTGCCCTGACTCAGCCTGCCTCC...GTGTCTGGGTCTCCTGGGCAGTCGATCACCATCTCCTGCACTGGAACC</t>
  </si>
  <si>
    <t>AAGCGGCCCTCAGGGGTTTCT...AATCGCTTCTCTGGCTCCAAG......TCTGGCAACACGGCCTCCCTGACCATCTCTGGGCTCCAGGCTGACGACGAGGGTGATTATTACTGC</t>
  </si>
  <si>
    <t>ACGTCATATACAAACGACAGCAATTCTCAGGTA</t>
  </si>
  <si>
    <t>CTGATCCCATGAGCGA</t>
  </si>
  <si>
    <t>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</si>
  <si>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CTGCCTAAGCCAACAG</t>
  </si>
  <si>
    <t>GAGTC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</si>
  <si>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AAATA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</si>
  <si>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CTGCGGACACGAAGCA</t>
  </si>
  <si>
    <t>TTTTCGAAGTTTCTTATATGGGGGCTGGGGTCTCAGGAGGCAGCGCTCTCGGGACGTCTCCACCATGGCCTGGGCTCTGCTATTCCTCACCCTCCTCACTCAGGGCACAGAGTCCTGGGCCCAGTCTGCCCTGACTCAACCTGCCTCCGTGTCTGGGTCTCCTGGACAGTCGATCACCATCTCCTGCACTGGAACCAGCAGTGACGTTGGTGCTTATAACTATGTCTCCTGGTACCAACAAAACCCAGGCAAAGCCCCCAAAC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</si>
  <si>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ACCTGCCTCCGTGTCTGGGTCTCCTGGACAGTCGATCACCATCTCCTGCACTGGAACCAGCAGTGACGTTGGTGCTTATAACTATGTCTCCTGGTACCAACAAAACCCAGGCAAAGCCCCCAAACTCATGATTTATGATGTCAGTAATCGGCCCTCAGGGATTTCTAATCGCTTCTCTGGCTCCAAGTCTGGCAACACGGCCTCCCTGACCATCTCTGGGCTCCAGGCTGACGACGAGGCTGATTATTACTGCACCTCATATACAAACAACAGCAATTCTCAGGTATTCGGCGGAGGGACCAAGCTGACCGTCCTAG</t>
  </si>
  <si>
    <t>CAGTCTGCCCTGACTCAACCTGCCTCC...GTGTCTGGGTCTCCTGGACAGTCGATCACCATCTCCTGCACTGGAACCAGCAGTGACGTTGGT.........GCTTATAACTATGTCTCCTGGTACCAACAAAACCCAGGCAAAGCCCCCAAACTCATGATTTATGATGTC.....................AGTAATCGGCCCTCAGGGATTTCT...AATCGCTTCTCTGGCTCCAAG......TCTGGCAACACGGCCTCCCTGACCATCTCTGGGCTCCAGGCTGACGACGAGGCTGATTATTACTGCACCTCATATACAAACAACAGCAATTCTCAGGTATTCGGCGGAGGGACCAAGCTGACCGTCCTAG</t>
  </si>
  <si>
    <t>CTGTGCTCAACTTGAC</t>
  </si>
  <si>
    <t>CTGTTTAGTAGAAAGG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</si>
  <si>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</t>
  </si>
  <si>
    <t>CTGTTTAGTATTCTCT</t>
  </si>
  <si>
    <t>T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</t>
  </si>
  <si>
    <t>TGGGGGCTGGGGTCTCAGGAGGCAGCGCTCTCGGGACGTCTCCACCATGGCCTGGGCTCTGCTATTCCTCACCCTCCTCACTCAGGGCACAGGGTCCTGGGCCCAGTCTGCCCTGACTCAGCCTGCCTCCGTGTCTGGGTCTCCTGGACAGTCGATCACCATCTCCTGCACTGGAACCAGCAGTGACGTTGGTGGTTATAACTCTGTCTCCTGGTACCAACAAAACCCAGGCAAAGCCCCCAAACTCATAATTTATGATGTCAGTAATCGGCCCTCAGGGATTTCTAATCGCTTCTCTGGCTCCAAGTCTGGCAACACGGCCTCCCTGACCATCTCTGGGCTCCAGGCTGACGACGAGACTGATTATTACTGCACCTCATATACAAACGACAGCAATTG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</si>
  <si>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AATTTATGATGTCAGTAATCGGCCCTCAGGGATTTCTAATCGCTTCTCTGGCTCCAAGTCTGGCAACACGGCCTCCCTGACCATCTCTGGGCTCCAGGCTGACGACGAGACTGATTATTACTGCACCTCATATACAAACGACAGCAATTGTCAGGTATTCGGCGGAGGGACCAAGCTGACCGTCCTAG</t>
  </si>
  <si>
    <t>CAGTCTGCCCTGACTCAGCCTGCCTCC...GTGTCTGGGTCTCCTGGACAGTCGATCACCATCTCCTGCACTGGAACCAGCAGTGACGTTGGT.........GGTTATAACTCTGTCTCCTGGTACCAACAAAACCCAGGCAAAGCCCCCAAACTCATAATTTATGATGTC.....................AGTAATCGGCCCTCAGGGATTTCT...AATCGCTTCTCTGGCTCCAAG......TCTGGCAACACGGCCTCCCTGACCATCTCTGGGCTCCAGGCTGACGACGAGACTGATTATTACTGCACCTCATATACAAACGACAGCAATTGTCAGGTATTCGGCGGAGGGACCAAGCTGACCGTCCTAG</t>
  </si>
  <si>
    <t>TGCACCTCATATACAAACGACAGCAATTGTCAGGTATTC</t>
  </si>
  <si>
    <t>GTCTCCTGGTACCAACAAAACCCAGGCAAAGCCCCCAAACTCATAATTTAT</t>
  </si>
  <si>
    <t>ACCTCATATACAAACGACAGCAATTGTCAGGTA</t>
  </si>
  <si>
    <t>CTSYTNDSNCQVF</t>
  </si>
  <si>
    <t>GAAACTCCAAAGTGCG</t>
  </si>
  <si>
    <t>TGGGGGCTGGGGTCTCAGGAGGCAGCGCTCTCGGGACGTCTCCACCATGGCCTGGGCTCTGCTATTCCTCACCCTCCTCACTCAGGGCACAGGGTCCTGGGCCCAGTCTGCCCTGACTCAGCCTGCCTCCGTGTCTGGGTCTCCTGGACAGTCGATCACCATCTCCTGCACTGGAACCAGCAGTGACGTTGGTGGTTATAACTCTGTCTCCTGGTACCAACAAAACCCAGGCAAAGCCCCCAAACTCATT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</si>
  <si>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AAACCCAGGCAAAGCCCCCAAACTCATT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</si>
  <si>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TATTTATGATGTC.....................AGTAATCGGCCCTCAGGGATTTCT...AATCGCTTCTCTGGCTCCAAG......TCTGGCAACACGGCCTCCCTGACCATCTCTGGGCTCCAGGCTGACGACGAGACTGATTATTACTGCACCTCATATACAAACGACAGCAATTCTCAGGTATTCGGCGGAGGGACCAAGCTGACCGTCCTAG</t>
  </si>
  <si>
    <t>GTCTCCTGGTACCAACAAAACCCAGGCAAAGCCCCCAAACTCATTATTTAT</t>
  </si>
  <si>
    <t>GAACCTAAGATAGCAT</t>
  </si>
  <si>
    <t>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</si>
  <si>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GAACGGAAGCTCCTCT</t>
  </si>
  <si>
    <t>GACACGCCAGGTGCCT</t>
  </si>
  <si>
    <t>GTTTCTTCTCT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G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</si>
  <si>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GCGACACCAATTCTCAGGTATTCGGCGGAGGGACCAAGCTGACCGTCCTAG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</si>
  <si>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GCTGATTATTACTGCACCTCATATACAAGCGACACCAATTCTCAGGTATTCGGCGGAGGGACCAAGCTGACCGTCCTAG</t>
  </si>
  <si>
    <t>TGCACCTCATATACAAGCGACACCAATTCTCAGGTATTC</t>
  </si>
  <si>
    <t>ACCTCATATACAAGCGACACCAATTCTCAGGTA</t>
  </si>
  <si>
    <t>CTSYTSDTNSQVF</t>
  </si>
  <si>
    <t>GACCAATGTAGTGAAT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</si>
  <si>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</t>
  </si>
  <si>
    <t>ATATGGGGGGGGTCACAGGAGGCAGCGCTCTCGGGACGTCTCCACCATGGCCTGGGCTCTGCTGCTCCTCACTCTCCTCACTCAGGACACAGGGTCCTGGGCCCAGTCTGCCCTGACTCAGCCTGCCTCCGTGTCTGGGTCTCCTGGACAGTCGATCACCATCTCCTGCACTGGAACCAGCAGTGATGTTGGGAGTTATAACATTGTCTCCTGGTACCAAAAG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</si>
  <si>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ATTGTCTCCTGGTACCAAAAG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</si>
  <si>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ATTGTCTCCTGGTACCAAAAGCACCCAGGCAAAGCCCCCAAAGTCTTGATTTATGAGGGC.....................AGTAAGCGGCCCTCAGGGGTTTCT...AATCGCTTCTCTGGCTCCAAG......TCTGGCAACACGGCCTCCCTGACCATCTCTGGGCTCCAGGCTGACGACGAGACTGATTATTACTGCACCTCATATACAAACGACAGCAATTCTCAGGTATTCGGCGGAGGGACCAAGCTGACCGTCCTAG</t>
  </si>
  <si>
    <t>AGCAGTGATGTTGGG.........AGTTATAACATT</t>
  </si>
  <si>
    <t>GACGGCTCAGGTGGAT</t>
  </si>
  <si>
    <t>TTTCTTCTCTGGGGGGGGTCACAAGAGGCAGCGCTCTCGGGACGTCTCCACCATGGCCTGGGCTCTGCTGCTCCTCACTCTCCTCACTCAGGACACAGGGTCCTGGGCCCAGTCTGCCCTGACTCAGCCTGCCTCCGTGTCTGGGTCTCCTGGACAGTCGATCACCATCTCCTGCACTGGAACCAGCAGTGATGTTGGGAGTTATAACCTTGTCTCCTGGTACCAAAAGCACCCAGGCAAAGCCCCCAAAGTCTTGATTTATGAGGGCAGTAAGCGGCCCTCAGGGGTTTCTAATCGCTTCTCTGGCTCCAAGTCTGGCAACACGGCCTCCCTGACCATCTCTGGGCTCCAGA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</si>
  <si>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GTAAGCGGCCCTCAGGGGTTTCTAATCGCTTCTCTGGCTCCAAGTCTGGCAACACGGCCTCCCTGACCATCTCTGGGCTCCAGACTGACGACGAGACTGATTATTACTGCACCTCATATACAAACGACAGCAATTCTCAGGTATTCGGCGGAGGGACCAAGCTGACCGTCCTAG</t>
  </si>
  <si>
    <t>CAGTCTGCCCTGACTCAGCCTGCCTCC...GTGTCTGGGTCTCCTGGACAGTCGATCACCATCTCCTGCACTGGAACCAGCAGTGATGTTGGG.........AGTTATAACCTTGTCTCCTGGTACCAAAAGCACCCAGGCAAAGCCCCCAAAGTCTTGATTTATGAGGGC.....................AGTAAGCGGCCCTCAGGGGTTTCT...AATCGCTTCTCTGGCTCCAAG......TCTGGCAACACGGCCTCCCTGACCATCTCTGGGCTCCAGACTGACGACGAGACTGATTATTACTGCACCTCATATACAAACGACAGCAATTCTCAGGTATTCGGCGGAGGGACCAAGCTGACCGTCCTAG</t>
  </si>
  <si>
    <t>AAGCGGCCCTCAGGGGTTTCT...AATCGCTTCTCTGGCTCCAAG......TCTGGCAACACGGCCTCCCTGACCATCTCTGGGCTCCAGACTGACGACGAGACTGATTATTACTGC</t>
  </si>
  <si>
    <t>GACGTGCCAAGACACG</t>
  </si>
  <si>
    <t>GCACATGCCATTTCTTATAT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</si>
  <si>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GACGTTACAAGCCTAT</t>
  </si>
  <si>
    <t>GGGCAGAGGGGATAAGACAGGGCTGGGGGCAGGCCCAGTGCTGGGGTCTCAGGAGGCAGCGCTCTCGGGACGTCTCCACCATGGCCTGGGCTCTGCTATTCCTCACCCTCCTCACTCAGGGCACAGGGTCCTGGGCCCAGTCTGCCCTGACTCAGCCTGCCTCCGTGTCTGGGTCTCCTGGACAGTCGATCACCATCTCCTGCACTGGAACCAGCAGTGACGTTGGAGATTATAACTATGTCTCCTGGTACCAACAAAACCCAGGCAAAGCCCCCAAACTCATGATTTATGATGTCAGTAATCGGCCCTCAGGGATTTCTAATCGCTTCTCTGGCTCCAAGTCTGGCAACACGGCCTCCCTGACCATCTCTGGGCTCCAGGCTGACGACGAGGCTGATTATTACTGCACCTCATATACAAACAACAGCAATTCTCAT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</si>
  <si>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AGATTATAACTATGTCTCCTGGTACCAACAAAACCCAGGCAAAGCCCCCAAACTCATGATTTATGATGTCAGTAATCGGCCCTCAGGGATTTCTAATCGCTTCTCTGGCTCCAAGTCTGGCAACACGGCCTCCCTGACCATCTCTGGGCTCCAGGCTGACGACGAGGCTGATTATTACTGCACCTCATATACAAACAACAGCAATTCTCATGTATTCGGCGGAGGGACCAAGTTGACCGTCCTAG</t>
  </si>
  <si>
    <t>CAGTCTGCCCTGACTCAGCCTGCCTCC...GTGTCTGGGTCTCCTGGACAGTCGATCACCATCTCCTGCACTGGAACCAGCAGTGACGTTGGA.........GATTATAACTATGTCTCCTGGTACCAACAAAACCCAGGCAAAGCCCCCAAACTCATGATTTATGATGTC.....................AGTAATCGGCCCTCAGGGATTTCT...AATCGCTTCTCTGGCTCCAAG......TCTGGCAACACGGCCTCCCTGACCATCTCTGGGCTCCAGGCTGACGACGAGGCTGATTATTACTGCACCTCATATACAAACAACAGCAATTCTCATGTATTCGGCGGAGGGACCAAGTTGACCGTCCTAG</t>
  </si>
  <si>
    <t>AGCAGTGACGTTGGA.........GATTATAACTAT</t>
  </si>
  <si>
    <t>GACGTTATCGCCAGCA</t>
  </si>
  <si>
    <t>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</t>
  </si>
  <si>
    <t>GATGGGGGCTGGGGTCTCAGGAGGCAGCGCTCTCGGGACGTCTCCACCATGGCCTGGGCTCTGCTATTCCTCACCCTCCTCACTCAGGGCACAGGGTCCTGGGCCCAGTCTGCCCTGACTCAACCTGCCTCCGTGTCTGGGTCTCCTGGACAGTCGGTCACCATCTCCTGCACTGGAACCAGCAGTGACGTTGGTGGTTATAATTCTGTCTCCTGGTACCAACAAAACCCAGGCAAAGCCCCCAAACTCATGATTTATGATGTCAGTAATCGGCCCTCAGGGATTTCTAATCGCTTCTCTGGCTCCAAGTCTGGCAACACGGCCTCCCTGACCATCTCTGGGCTCCAGGCTGACGACGAGACTGATTATTACTGCACCTCATATACAAACGACAGCAATTCTCAGGTATTG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</si>
  <si>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GTCACCATCTCCTGCACTGGAACCAGCAGTGACGTTGGTGGTTATAATTCTGTCTCCTGGTACCAACAAAACCCAGGCAAAGCCCCCAAACTCATGATTTATGATGTCAGTAATCGGCCCTCAGGGATTTCTAATCGCTTCTCTGGCTCCAAGTCTGGCAACACGGCCTCCCTGACCATCTCTGGGCTCCAGGCTGACGACGAGACTGATTATTACTGCACCTCATATACAAACGACAGCAATTCTCAGGTATTGGGCGGAGGGACCAAGCTGACCGTCCTAG</t>
  </si>
  <si>
    <t>CAGTCTGCCCTGACTCAACCTGCCTCC...GTGTCTGGGTCTCCTGGACAGTCGGTCACCATCTCCTGCACTGGAACCAGCAGTGACGTTGGT.........GGTTATAATTCTGTCTCCTGGTACCAACAAAACCCAGGCAAAGCCCCCAAACTCATGATTTATGATGTC.....................AGTAATCGGCCCTCAGGGATTTCT...AATCGCTTCTCTGGCTCCAAG......TCTGGCAACACGGCCTCCCTGACCATCTCTGGGCTCCAGGCTGACGACGAGACTGATTATTACTGCACCTCATATACAAACGACAGCAATTCTCAGGTATTGGGCGGAGGGACCAAGCTGACCGTCCTAG</t>
  </si>
  <si>
    <t>TGCACCTCATATACAAACGACAGCAATTCTCAGGTATTG</t>
  </si>
  <si>
    <t>CAGTCTGCCCTGACTCAACCTGCCTCC...GTGTCTGGGTCTCCTGGACAGTCGGTCACCATCTCCTGCACTGGAACC</t>
  </si>
  <si>
    <t>TTGGGCGGAGGGACCAAGCTGACCGTCCTAG</t>
  </si>
  <si>
    <t>GACTAACGTATGGTTC</t>
  </si>
  <si>
    <t>TTTCTTCTCTGGGGGGGGTCACAAGAGGCAGCGCTCTCGGGACGTCTCCACCATGGCCTGGGCTCTGCTGCTCCTCACTCTCCTCACTCAGGACACAGGGTCCTGGGCCCAGTCTGCCCTGACTCAGCCTGCCTCCGTGTCTGGGTCTCCTGGACAGTCGATCACCATCTCCTGCACTGGAACCAGCAGTGATGTTGGGAGTTATAACCTTGTCTCTTGGTACCAAAAG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</si>
  <si>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TTGGTACCAAAAG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</si>
  <si>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CTTGTCTCTTGGTACCAAAAGCACCCAGGCAAAGCCCCCAAAGTCTTGATTTATGAGGGC.....................AGTAAGCGGCCCTCAGGGGTTTCT...AATCGCTTCTCTGGCTCCAAG......TCTGGCAACACGGCCTCCCTGACCATCTCTGGGCTCCAGGCTGACGACGAGACTGATTATTACTGCACCTCATATACAAACGACAGCAATTCTCAGGTATTCGGCGGAGGGACCAAGCTGACCGTCCTAG</t>
  </si>
  <si>
    <t>GTCTCTTGGTACCAAAAGCACCCAGGCAAAGCCCCCAAAGTCTTGATTTAT</t>
  </si>
  <si>
    <t>GAGCAGAAGCTTTGGT</t>
  </si>
  <si>
    <t>G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</t>
  </si>
  <si>
    <t>CGATGTCTTTCTTATATGGGGGGGGTCACAAGAGGCAGCGCTCTCGGGACGTCTCCACCATGGCCTGGGCTCTGCTGCTCCTCACTCTCCTCACTCAGGACACAGGGTCCTGGGCCCAGTCTGCCCTGACTCAGCCTGCCTCCGTGTCTGGGTCTCCTGGACAGTCGATCACCATCTCCTGCACTGGAACCAGCAGTGATGTTGGGAGTTATAACCTTGTCTCCTGGTACCAAAAGAACCCAGGCAAAGCCCCCAAAGTCTTGATTTATGAGGGCAGTAAGCGGCCCTCAGGGGTTTCTAATCGCTTCTCTGGCTCCAAGTCTGGCAACACGGCCTCCCTGACCATCTCTGGGCTCCAGGT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</si>
  <si>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AACCCAGGCAAAGCCCCCAAAGTCTTGATTTATGAGGGCAGTAAGCGGCCCTCAGGGGTTTCTAATCGCTTCTCTGGCTCCAAGTCTGGCAACACGGCCTCCCTGACCATCTCTGGGCTCCAGGTTGACGACGAGACTGATTATTACTGCACCTCATATACAAACGACAGCAATTCTCAGGTATTCGGCGGAGGGACCAAGCTGACCGTCCTAG</t>
  </si>
  <si>
    <t>CAGTCTGCCCTGACTCAGCCTGCCTCC...GTGTCTGGGTCTCCTGGACAGTCGATCACCATCTCCTGCACTGGAACCAGCAGTGATGTTGGG.........AGTTATAACCTTGTCTCCTGGTACCAAAAGAACCCAGGCAAAGCCCCCAAAGTCTTGATTTATGAGGGC.....................AGTAAGCGGCCCTCAGGGGTTTCT...AATCGCTTCTCTGGCTCCAAG......TCTGGCAACACGGCCTCCCTGACCATCTCTGGGCTCCAGGTTGACGACGAGACTGATTATTACTGCACCTCATATACAAACGACAGCAATTCTCAGGTATTCGGCGGAGGGACCAAGCTGACCGTCCTAG</t>
  </si>
  <si>
    <t>GTCTCCTGGTACCAAAAGAACCCAGGCAAAGCCCCCAAAGTCTTGATTTAT</t>
  </si>
  <si>
    <t>AAGCGGCCCTCAGGGGTTTCT...AATCGCTTCTCTGGCTCCAAG......TCTGGCAACACGGCCTCCCTGACCATCTCTGGGCTCCAGGTTGACGACGAGACTGATTATTACTGC</t>
  </si>
  <si>
    <t>GAGCAGATCTCTTGAT</t>
  </si>
  <si>
    <t>TTGCACCCG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</si>
  <si>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GAGGTGACAACTGCGC</t>
  </si>
  <si>
    <t>TATT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C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</si>
  <si>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C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</si>
  <si>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CCTCCAAG......TCTGGCAACACGGCCTCCCTGACCATCTCTGGGCTCCAGGCTGACGACGAGACTGATTATTACTGCACCTCATATACAAACGACAGCAATTCTCAGGTATTCGGCGGAGGGACCAAGCTGACCGTCCTAG</t>
  </si>
  <si>
    <t>AATCGGCCCTCAGGGATTTCT...AATCGCTTCTCTGCCTCCAAG......TCTGGCAACACGGCCTCCCTGACCATCTCTGGGCTCCAGGCTGACGACGAGACTGATTATTACTGC</t>
  </si>
  <si>
    <t>GAGGTGATCGTGGGAA</t>
  </si>
  <si>
    <t>GGGAGGAGTCAGACTCAGTCAGGACACAGCTCTAGAGCCACCATGGATTGGACATGGAGATTTCTGTTCGTCGTCGCCGCCA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</si>
  <si>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</si>
  <si>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GAGTCCGCAATCGAAA</t>
  </si>
  <si>
    <t>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AGTCCTGAGAGGGGGCAAGTACGCAGCCACCTCACAGGTGCTGCTGCCTTCCAAGGACGTCATG</t>
  </si>
  <si>
    <t>TCTGGGGGGGGTCACAAGAGGCAGCGCTCTCGGGACGTCTCCACCATGGCCTGGGCTCTGCTGCTCCTCACTCTCCTCACTCAGGACACAGGGTCCTGGGCCCAGTCTGCCCTGACTCAGCCTGCCTCCGTGTCTGGGTCTCCTGGACAGTCGATCACCATCTCCTGCACTGGAACCAGCAGTGATGTTGGGAGTTATAACCTTGTCTCCTGGTACCAAAACCACCCAGGCAAAGCCCCCAAAGTCTTGATTTATGAGGACAGTAAGCGGCCCTCAGGGGTTTCTAATCGCTTCTCTGGCTCCAAGTCTGGCAACACGGCCTCCCTGACCATCTCTGGGCTCCAGGCTGACGACGAGAT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</si>
  <si>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CCACCCAGGCAAAGCCCCCAAAGTCTTGATTTATGAGGACAGTAAGCGGCCCTCAGGGGTTTCTAATCGCTTCTCTGGCTCCAAGTCTGGCAACACGGCCTCCCTGACCATCTCTGGGCTCCAGGCTGACGACGAGATTGATTATTACTGCACCTCATATACAAACGACAGCAATTCTCAGGTATTCGGCGGAGGGACCAAGCTGACCGTCCTAG</t>
  </si>
  <si>
    <t>CAGTCTGCCCTGACTCAGCCTGCCTCC...GTGTCTGGGTCTCCTGGACAGTCGATCACCATCTCCTGCACTGGAACCAGCAGTGATGTTGGG.........AGTTATAACCTTGTCTCCTGGTACCAAAACCACCCAGGCAAAGCCCCCAAAGTCTTGATTTATGAGGAC.....................AGTAAGCGGCCCTCAGGGGTTTCT...AATCGCTTCTCTGGCTCCAAG......TCTGGCAACACGGCCTCCCTGACCATCTCTGGGCTCCAGGCTGACGACGAGATTGATTATTACTGCACCTCATATACAAACGACAGCAATTCTCAGGTATTCGGCGGAGGGACCAAGCTGACCGTCCTAG</t>
  </si>
  <si>
    <t>AAGCGGCCCTCAGGGGTTTCT...AATCGCTTCTCTGGCTCCAAG......TCTGGCAACACGGCCTCCCTGACCATCTCTGGGCTCCAGGCTGACGACGAGATTGATTATTACTGC</t>
  </si>
  <si>
    <t>GAGGAC.....................AGT</t>
  </si>
  <si>
    <t>GAGTCCGCACATCCAA</t>
  </si>
  <si>
    <t>GAGTCCGGTTATCCGA</t>
  </si>
  <si>
    <t>GGGGGCTGGGGTCTCAGGAGGCAGCGCTCTCGGGACGTCTCCACCATGGCCTGGGCTCTGCTATTCCTCACCCTCCTCACTCAGGGCACAGGGTCCTGGGCCCAGTCTGCCCTGACTCAGCCTGCCTCCGTGTCTGGGTCTCCTGGACAGTCGATCACCATCTCCTCCACTGGAACCAGTAGTGACGTTGGTGGTTATAACTCTGTCTCCTGGTACCAACAAAACCCACC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</si>
  <si>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CCACTGGAACCAGTAGTGACGTTGGTGGTTATAACTCTGTCTCCTGGTACCAACAAAACCCACC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</si>
  <si>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CCACTGGAACCAGTAGTGACGTTGGT.........GGTTATAACTCTGTCTCCTGGTACCAACAAAACCCACC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</si>
  <si>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CAGTCTGCCCTGACTCAGCCTGCCTCC...GTGTCTGGGTCTCCTGGACAGTCGATCACCATCTCCTCCACTGGAACC</t>
  </si>
  <si>
    <t>GTCTCCTGGTACCAACAAAACCCACCCAAAGCCCCCAAACTCATGATTTAT</t>
  </si>
  <si>
    <t>GAGTCCGGTTTACTCT</t>
  </si>
  <si>
    <t>TGGGGGCTGGGGTCTCAGGAGGCAGCGCTCTCGGGACGTCTCCACCATGGCCTGGGCTCTGCTATTCCTCACCCTCCTCACTCAGGGCACAGGGTCCTGGGCCCAGTCTGCCCTGACTCAGCCTGCCTCCGTGTCTGGGTCTCCTGGACAGTCGATCACCATCTCCTGCAGTGGAACCAGCAGTGACGTTGGTGA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</si>
  <si>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GTGGAACCAGCAGTGACGTTGGTGA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</si>
  <si>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GTGGAACCAGCAGTGACGTTGGT.........GA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</si>
  <si>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GATCGTATCCTTCAAT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</si>
  <si>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</t>
  </si>
  <si>
    <t>TCTTATCTGGGGGCTGGGGTCTCAGGAGGCAGCGCTCTCGGGACGTCTCCACCATGGCCTGGGCTCTGCTATTCCTCACCCTCCTCACTCAGGGCACAGGGTCCTGGGCCCAGTCTGCCCTGACTCAGCCTGCCTCCGTGTCTGGGTCTCCTGGACAGTCGATCACCATCTCCTGCACTGGAACCAGCAGTGACGTTGGTGGTTATAACTATGTCTCCTGGTACCAACAAAATGCAGGCAAAGCCCCCAAACTCATGATTTATGATGTCAGTAATCGGCCCTCAGGGATTTCTAATCGCTTCTCTGGCTCCAAGTCTGGCAACACGGCCTCCCTGACCATCTCTGGGCTCCAGACTGACGACGAGGCTGATTATTACTGCACCTCATATACAAACAACAGT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</si>
  <si>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TGCAGGCAAAGCCCCCAAACTCATGATTTATGATGTCAGTAATCGGCCCTCAGGGATTTCTAATCGCTTCTCTGGCTCCAAGTCTGGCAACACGGCCTCCCTGACCATCTCTGGGCTCCAGACTGACGACGAGGCTGATTATTACTGCACCTCATATACAAACAACAGTAATTCTCAGGTATTCGGCGGAGGGACCAAGCTGACCGTCCTAG</t>
  </si>
  <si>
    <t>CAGTCTGCCCTGACTCAGCCTGCCTCC...GTGTCTGGGTCTCCTGGACAGTCGATCACCATCTCCTGCACTGGAACCAGCAGTGACGTTGGT.........GGTTATAACTATGTCTCCTGGTACCAACAAAATGCAGGCAAAGCCCCCAAACTCATGATTTATGATGTC.....................AGTAATCGGCCCTCAGGGATTTCT...AATCGCTTCTCTGGCTCCAAG......TCTGGCAACACGGCCTCCCTGACCATCTCTGGGCTCCAGACTGACGACGAGGCTGATTATTACTGCACCTCATATACAAACAACAGTAATTCTCAGGTATTCGGCGGAGGGACCAAGCTGACCGTCCTAG</t>
  </si>
  <si>
    <t>TGCACCTCATATACAAACAACAGTAATTCTCAGGTATTC</t>
  </si>
  <si>
    <t>GTCTCCTGGTACCAACAAAATGCAGGCAAAGCCCCCAAACTCATGATTTAT</t>
  </si>
  <si>
    <t>AATCGGCCCTCAGGGATTTCT...AATCGCTTCTCTGGCTCCAAG......TCTGGCAACACGGCCTCCCTGACCATCTCTGGGCTCCAGACTGACGACGAGGCTGATTATTACTGC</t>
  </si>
  <si>
    <t>ACCTCATATACAAACAACAGTAATTCTCAGGTA</t>
  </si>
  <si>
    <t>GATGAAATCACAATGC</t>
  </si>
  <si>
    <t>TGGGGGCTGGGGTCTCAGGAGGCAGCGCTCTCGGGACGTCTCCACCATGGCCTGGGCTCTGCTATTCCTCACCCTCCTCACTCAGGGCACAGGGTCCTGGGCCCAGTCTGCCCTGACTCAGCCTGCCTCCGTGTCTGGGTCTCCTGGACAGTCGATCACCATCTCCTGCACTGGAACCAGCAGTGACGTTGGTGCTTATAACTCTGTCTCCTGGTACCAACAAAACCCAGGCAAAGCCCCCAAACTCATGATTTATGATGTCAGTAATCGGCCCTCAGGGATTTCTAATCGCTTCTCTGA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</si>
  <si>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CTTATAACTCTGTCTCCTGGTACCAACAAAACCCAGGCAAAGCCCCCAAACTCATGATTTATGATGTCAGTAATCGGCCCTCAGGGATTTCTAATCGCTTCTCTGACTCCAAGTCTGGCAACACGGCCTCCCTGACCATCTCTGGGCTCCAGGCTGACGACGAGACTGATTATTACTGCACCTCATATACAAACGACAGCAATTCTCAGGTATTCGGCGGAGGGACCAAGCTGACCGTCCTAG</t>
  </si>
  <si>
    <t>CAGTCTGCCCTGACTCAGCCTGCCTCC...GTGTCTGGGTCTCCTGGACAGTCGATCACCATCTCCTGCACTGGAACCAGCAGTGACGTTGGT.........GCTTATAACTCTGTCTCCTGGTACCAACAAAACCCAGGCAAAGCCCCCAAACTCATGATTTATGATGTC.....................AGTAATCGGCCCTCAGGGATTTCT...AATCGCTTCTCTGACTCCAAG......TCTGGCAACACGGCCTCCCTGACCATCTCTGGGCTCCAGGCTGACGACGAGACTGATTATTACTGCACCTCATATACAAACGACAGCAATTCTCAGGTATTCGGCGGAGGGACCAAGCTGACCGTCCTAG</t>
  </si>
  <si>
    <t>GATGAAATCCAAATGC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</si>
  <si>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</t>
  </si>
  <si>
    <t>GCAAACTAGGAGTTGC</t>
  </si>
  <si>
    <t>T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</t>
  </si>
  <si>
    <t>ATCCTGACAATTTCTTATATGGGGGCTGGGGTCTCAGGAGGCAGCGCTCTCGGGACGTCTCCACCATGGCCTGGGCTCTGCTATTCCTCACCCTCCTCACTCAGGGCACAGGGTCCTGGGCCCAGTCTGCCCTGACTCAGCCTGCCTCCGTGTCTGGGTCTCCTGGACAGTCGATCACCATCTCCTGCACTGGAACCAGCAGTGACGTTGGCGGTTATAACTCTGTCTCCTGGTACCAACAAAACCCAGGCAAAGCCCCCAAACTCATGATTTATGATGTCAA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AAAGCTACAGCTGCCAGGTCACGCATGAAGGGAGCACCGTGGAGAAGACAGT</t>
  </si>
  <si>
    <t>CAGTCTGCCCTGACTCAGCCTGCCTCCGTGTCTGGGTCTCCTGGACAGTCGATCACCATCTCCTGCACTGGAACCAGCAGTGACGTTGGCGGTTATAACTCTGTCTCCTGGTACCAACAAAACCCAGGCAAAGCCCCCAAACTCATGATTTATGATGTCAA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</si>
  <si>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C.........GGTTATAACTCTGTCTCCTGGTACCAACAAAACCCAGGCAAAGCCCCCAAACTCATGATTTATGATGTC.....................AATAATCGGCCCTCAGGGATTTCT...AATCGCTTCTCTGGCTCCAAG......TCTGGCAACACGGCCTCCCTGACCATCTCTGGGCTCCAGGCTGACGACGAGACTGATTATTACTGCACCTCATATACAAACGACAGCAATTCTCAGGTATTCGGCGGAGGGACCAAGCTGACCGTCCTAG</t>
  </si>
  <si>
    <t>AGCAGTGACGTTGGC.........GGTTATAACTCT</t>
  </si>
  <si>
    <t>GCAAACTTCAACCATG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</si>
  <si>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</t>
  </si>
  <si>
    <t>TATCTGGGGGCTGGGGTCTCAGGAGGCAGCGCTCTCGGGACGTCTCCACCATGGCCTGGGCTCTGCTATTCCTCACCCTCCTCACTCAGGGCACAGGGTCCTGGGCCCAGTCTGCCCTGACTCAGCCTGCCTCCGTGTCTGGGTCTCCTGGACAGTCGATCACCATCTCCTGTAGTGGAACCAGCAGTGACGTTGGTGGTTATAACTCTGTCTCCTGGTACCAACAAAACCCAGGCAAAGCCCCCAAACTCATGATTTATGATGTCAGTAATCGGCCCTCAGGGATTTCTAATCGCTTCTCTGGCTCCAAGTCTGGCAACACGGCCTCCCTGACCATCTCTGGGCTCCAGGCTGACGACGAC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</si>
  <si>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TAGTGGAACCAGCAGTGACGTTGGTGGTTATAACTCTGTCTCCTGGTACCAACAAAACCCAGGCAAAGCCCCCAAACTCATGATTTATGATGTCAGTAATCGGCCCTCAGGGATTTCTAATCGCTTCTCTGGCTCCAAGTCTGGCAACACGGCCTCCCTGACCATCTCTGGGCTCCAGGCTGACGACGACACTGATTATTACTGCACCTCATATACAAACGACACCAATTCTCAGGTATTCGGCGGAGGGACCAAGCTGACCGTCCTAG</t>
  </si>
  <si>
    <t>CAGTCTGCCCTGACTCAGCCTGCCTCC...GTGTCTGGGTCTCCTGGACAGTCGATCACCATCTCCTGTAGTGGAACCAGCAGTGACGTTGGT.........GGTTATAACTCTGTCTCCTGGTACCAACAAAACCCAGGCAAAGCCCCCAAACTCATGATTTATGATGTC.....................AGTAATCGGCCCTCAGGGATTTCT...AATCGCTTCTCTGGCTCCAAG......TCTGGCAACACGGCCTCCCTGACCATCTCTGGGCTCCAGGCTGACGACGACACTGATTATTACTGCACCTCATATACAAACGACACCAATTCTCAGGTATTCGGCGGAGGGACCAAGCTGACCGTCCTAG</t>
  </si>
  <si>
    <t>CAGTCTGCCCTGACTCAGCCTGCCTCC...GTGTCTGGGTCTCCTGGACAGTCGATCACCATCTCCTGTAGTGGAACC</t>
  </si>
  <si>
    <t>AATCGGCCCTCAGGGATTTCT...AATCGCTTCTCTGGCTCCAAG......TCTGGCAACACGGCCTCCCTGACCATCTCTGGGCTCCAGGCTGACGACGACACTGATTATTACTGC</t>
  </si>
  <si>
    <t>GCAATCAAGTTAGGTA</t>
  </si>
  <si>
    <t>GGGG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</si>
  <si>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GCATGATGTAGTAGTA</t>
  </si>
  <si>
    <t>TT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</si>
  <si>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GCATGCGCACCAGTTA</t>
  </si>
  <si>
    <t>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</si>
  <si>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GCATGCGGTGCGCTTG</t>
  </si>
  <si>
    <t>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</si>
  <si>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GCATGTAGTAACGTTC</t>
  </si>
  <si>
    <t>GACGGCAAGAGGCGAGGGGCGGCGACT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</si>
  <si>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ACGTTCCGACATCTC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</si>
  <si>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GCATGTATCGAACTGT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</si>
  <si>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TTGTGATTACAATTGGGACTTCGAACACTGGGGCCGGGGCACCCCGGTCATCGTCTCATCAGGGAGTGCATCCGCCCCAACCCTTTTCCCCCTCGTCTCCTGTGAGAATTCCCCGTCGGATACGAGCAGCGTG</t>
  </si>
  <si>
    <t>IGHD5-12</t>
  </si>
  <si>
    <t>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TTGTGATTACAATTGGGACTTCGAACACTGGGGCCGGGGCACCCCGGTCATCGTCTCATCAG</t>
  </si>
  <si>
    <t>CAGGTGCAGCTGGTGCAGTCTGGAGGT...CAGATGAAGAAGCCTGGCGAGTCGATGAGAATTTCTTGTCGGGCTTCTGGATATGAATTT............ATTGATTGTACGCTAAATTGGATTCGTCTGGCCCCCGGAAAAAGGCCTGAGTGGATGGGATGGCTGAAGCCTCGG......GGGGGGGCCGTCAACTACGCACGTCCACTTCAG...GGCAGAGTGACCATGACTCGAGACGTTTATTCCGACACAGCCTTTTTGGAGCTGCGCTCGTTGACAGTAGACGACACGGCCGTCTACTTTTGTACTAGGGGAAAAAATTGTGATTACAATTGGGACTTCGAACACTGGGGCCGGGGCACCCCGGTCATCGTCTCATCAG</t>
  </si>
  <si>
    <t>TGTACTAGGGGAAAAAATTGTGATTACAATTGGGACTTCGAACACTGG</t>
  </si>
  <si>
    <t>ACTAGGGGAAAAAATTGTGATTACAATTGGGACTTCGAACAC</t>
  </si>
  <si>
    <t>GATGATCCATTTTCTTATATGGGGGCTGGGGTCTCAGGAGGCAGCGCTCTCGGGACGTCTCCACCATGGCCTGGGCTCTGCTATTCCTCACCCTCCTCACTCAGGGCACAGGGTCCTGGGCCCAGTCTGCCCTGACTCAACCTGCCTCCGTGTCTGGGTCTCCTGGACAGTCGATCACCATCTCCTGCACTGGAACCAGCAGTGACGTTGGTGGTTATAACTCTGTCTCCTGGTACCAACAAAACCCAGGGAAAGCCCCCAAACTCATGATTTATGATGTCACTAATCGGCCCTCAGGGATTTCTAATCGCTTCTCTGA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</si>
  <si>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CTGGTACCAACAAAACCCAGGGAAAGCCCCCAAACTCATGATTTATGATGTCACTAATCGGCCCTCAGGGATTTCTAATCGCTTCTCTGACTCCAAGTCTGGCAACACGGCCTCCCTGACCATCTCTGGGCTCCAGGCTGACGACGAGACTGATTATTACTGCACCTCATATACAAACGACAGCAATTCTCAGGTATTCGGCGGAGGGACCAAGCTGACCGTCCTAG</t>
  </si>
  <si>
    <t>CAGTCTGCCCTGACTCAACCTGCCTCC...GTGTCTGGGTCTCCTGGACAGTCGATCACCATCTCCTGCACTGGAACCAGCAGTGACGTTGGT.........GGTTATAACTCTGTCTCCTGGTACCAACAAAACCCAGGGAAAGCCCCCAAACTCATGATTTATGATGTC.....................ACTAATCGGCCCTCAGGGATTTCT...AATCGCTTCTCTGACTCCAAG......TCTGGCAACACGGCCTCCCTGACCATCTCTGGGCTCCAGGCTGACGACGAGACTGATTATTACTGCACCTCATATACAAACGACAGCAATTCTCAGGTATTCGGCGGAGGGACCAAGCTGACCGTCCTAG</t>
  </si>
  <si>
    <t>GTCTCCTGGTACCAACAAAACCCAGGGAAAGCCCCCAAACTCATGATTTAT</t>
  </si>
  <si>
    <t>GCGACCAGTTATGTGC</t>
  </si>
  <si>
    <t>GGG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TAGGCAGATAGCAGCCCCGTCAAGGCGGGAGTGGAGACCACCACACCCTCCAAACAAAGCAACAACAAGTACGCGGCCAGCAGCTACCTGAGCCTGACGCCTGAGCAGTGGAAGTCCCACA</t>
  </si>
  <si>
    <t>GCGAGAACAGGTTTCA</t>
  </si>
  <si>
    <t>TCTTATCTGGGGGCTGGGGTCTCAGGAGGCAGCGCTCTCGGGACGTCTCCACCATGGCCTGGGCTCTGCTATTCCTCACCCTCCTCACTCAGGGCACAGGGTCCTGGGCCCAGTCTGCCCTGACTCAGCCTGCCTCCGTGTCTGGGTCTCCTGGACAGTCGATCACCATGTCCTGCACTGGAACCAGCAGTGACGTTGGTGGTTATAACTATGTCTCCTGGTACCAACAAAACCCAGGCAAAGCCCCCAAACTCATGACTTATGATGTCAGTAATCGGCCCTCAGGGATTTCTAATCGCTTCTCTGGCTCCAAGTCTGGCAACACGGCCTCCCTGACCATCTCTGGGCTCCAGGCTGACGACGAGGCTGATTATTACTGCACCTCATATACAAACA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</si>
  <si>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GTCCTGCACTGGAACCAGCAGTGACGTTGGTGGTTATAACTATGTCTCCTGGTACCAACAAAACCCAGGCAAAGCCCCCAAACTCATGACTTATGATGTCAGTAATCGGCCCTCAGGGATTTCTAATCGCTTCTCTGGCTCCAAGTCTGGCAACACGGCCTCCCTGACCATCTCTGGGCTCCAGGCTGACGACGAGGCTGATTATTACTGCACCTCATATACAAACAACACCAATTCTCAGGTATTCGGCGGAGGGACCAAGCTGACCGTCCTAG</t>
  </si>
  <si>
    <t>CAGTCTGCCCTGACTCAGCCTGCCTCC...GTGTCTGGGTCTCCTGGACAGTCGATCACCATGTCCTGCACTGGAACCAGCAGTGACGTTGGT.........GGTTATAACTATGTCTCCTGGTACCAACAAAACCCAGGCAAAGCCCCCAAACTCATGACTTATGATGTC.....................AGTAATCGGCCCTCAGGGATTTCT...AATCGCTTCTCTGGCTCCAAG......TCTGGCAACACGGCCTCCCTGACCATCTCTGGGCTCCAGGCTGACGACGAGGCTGATTATTACTGCACCTCATATACAAACAACACCAATTCTCAGGTATTCGGCGGAGGGACCAAGCTGACCGTCCTAG</t>
  </si>
  <si>
    <t>TGCACCTCATATACAAACAACACCAATTCTCAGGTATTC</t>
  </si>
  <si>
    <t>CAGTCTGCCCTGACTCAGCCTGCCTCC...GTGTCTGGGTCTCCTGGACAGTCGATCACCATGTCCTGCACTGGAACC</t>
  </si>
  <si>
    <t>GTCTCCTGGTACCAACAAAACCCAGGCAAAGCCCCCAAACTCATGACTTAT</t>
  </si>
  <si>
    <t>ACCTCATATACAAACAACACCAATTCTCAGGTA</t>
  </si>
  <si>
    <t>CTSYTNNTNSQVF</t>
  </si>
  <si>
    <t>GCGCAACGTCAAACTC</t>
  </si>
  <si>
    <t>TATCTGGGGGCTGGGGTCTCAGGAGGCAGCGCTCTCGGGACGTCTCCACCATGGCCTGGGCTCTGCTATTCCTCACCCTCCTCACTCAGGGCACAGGGTCCTGGGCCCAGTCTGCCCTGACTCAGCCTGCCTCCGTGTCTGGGTCTCCTGGACAGTCGATCACCATCTCCTGCAGTGGAACCAGCAGTGACGTTGGTGGTTATAACTCTGTCTCCTGGTACCAACAAAACCCAGGCAAAGCCCCCAAACTCATGATTTATGATGTCAGTAATCGGCCCTCAGGGATTTCTAATCGCTTCTCTGGCTCCAAGTCTGGCAACACGGCCTCCCTGACCATCTCTGGGCTCCAGGCTGACGACGAGAG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</si>
  <si>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GTGGAACCAGCAGTGACGTTGGTGGTTATAACTCTGTCTCCTGGTACCAACAAAACCCAGGCAAAGCCCCCAAACTCATGATTTATGATGTCAGTAATCGGCCCTCAGGGATTTCTAATCGCTTCTCTGGCTCCAAGTCTGGCAACACGGCCTCCCTGACCATCTCTGGGCTCCAGGCTGACGACGAGAGTGATTATTACTGCACCTCATATACAAACGACAGCAATTCTCAGGTATTCGGCGGAGGGACCAAGCTGACCGTCCTAC</t>
  </si>
  <si>
    <t>CAGTCTGCCCTGACTCAGCCTGCCTCC...GTGTCTGGGTCTCCTGGACAGTCGATCACCATCTCCTGCAGTGGAACCAGCAGTGACGTTGGT.........GGTTATAACTCTGTCTCCTGGTACCAACAAAACCCAGGCAAAGCCCCCAAACTCATGATTTATGATGTC.....................AGTAATCGGCCCTCAGGGATTTCT...AATCGCTTCTCTGGCTCCAAG......TCTGGCAACACGGCCTCCCTGACCATCTCTGGGCTCCAGGCTGACGACGAGAGTGATTATTACTGCACCTCATATACAAACGACAGCAATTCTCAGGTATTCGGCGGAGGGACCAAGCTGACCGTCCTAC</t>
  </si>
  <si>
    <t>AATCGGCCCTCAGGGATTTCT...AATCGCTTCTCTGGCTCCAAG......TCTGGCAACACGGCCTCCCTGACCATCTCTGGGCTCCAGGCTGACGACGAGAGTGATTATTACTGC</t>
  </si>
  <si>
    <t>GCGGGTTAGACACGAC</t>
  </si>
  <si>
    <t>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</si>
  <si>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AGGGCTGGGGGCAGGCCCAGTGCTGGGGTCTCAGGAGGCAGCGCTCTCGGGACGTCTCCACCATGGCCTGGGCTCTGCTATTCCTCACCCTCCTCACTCAGGGCACAGGGTCCTGGGCCCAGTCTGCCCTGACTCAGCCTGCCTCCGTGTCTGGGTCTCCTGGACAGTCGATCACCATCTCCTGCACTGGAACCAGCAGTGACGTTGGTGGTTATAACTCTGTCTCCTGGTACCAACAAAACCCAGGCAAAGCCCCCAAACTCATGATTTATGATGTCAC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</si>
  <si>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C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</si>
  <si>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CTAATCGGCCCTCAGGGATTTCT...AATCGCTTCTCTGGCTCCAAG......TCTGGCAACACGGCCTCCCTGACCATCTCTGGGCTCCAGGCTGACGACGAGACTGATTATTACTGCACCTCATATACAAACGACAGCAATTCTCAGGTATTCGGCGGAGGGACCAAGCTGACCGTCCTAC</t>
  </si>
  <si>
    <t>GCTCCTATCACCGTAA</t>
  </si>
  <si>
    <t>GAAGCTCTTTCTTATATGGGGGCTGGGGTCTCAGGAGGCAGCGCTCTCGGGACGTCTCCACCATGGCCTGGGCTCTGCTATTCCTCACCCTCCTCACTCAGGGCACAGAGTCCTGGGCCCAGTCTGCCCTGACTCAGCCTGCCTCCGTGTCTGGGTCTCCTGGACAGTCGATCACCATCTCCTGCACTGGAACCAGCAGTGACATTGGTGCTTATAACTATGTCTCCTGGTACCAACAAAACCCAGGCAAAGCCCCCAAAC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</si>
  <si>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ATTGGTGCTTATAACTATGTCTCCTGGTACCAACAAAACCCAGGCAAAGCCCCCAAACTCATGATTTATGATGTCAGTAATCGGCCCTCAGGGATTTCTAATCGCTTCTCTGGCTCCAAGTCTGGCAACACGGCCTCCCTGACCATCTCTGGGCTCCAGGCTGACGACGAGGCTGATTATTACTGCACCTCATATACAAACAACAGCAATTCTCAGGTATTCGGCGGAGGGACCAAGCTGACCGTCCTAG</t>
  </si>
  <si>
    <t>CAGTCTGCCCTGACTCAGCCTGCCTCC...GTGTCTGGGTCTCCTGGACAGTCGATCACCATCTCCTGCACTGGAACCAGCAGTGACATTGGT.........GCTTATAACTATGTCTCCTGGTACCAACAAAACCCAGGCAAAGCCCCCAAACTCATGATTTATGATGTC.....................AGTAATCGGCCCTCAGGGATTTCT...AATCGCTTCTCTGGCTCCAAG......TCTGGCAACACGGCCTCCCTGACCATCTCTGGGCTCCAGGCTGACGACGAGGCTGATTATTACTGCACCTCATATACAAACAACAGCAATTCTCAGGTATTCGGCGGAGGGACCAAGCTGACCGTCCTAG</t>
  </si>
  <si>
    <t>AGCAGTGACATTGGT.........GCTTATAACTAT</t>
  </si>
  <si>
    <t>GCTGCTTAGCGATATA</t>
  </si>
  <si>
    <t>ACAGTTCTAGATTTCTTATATGGGGGCTGGGGTCTCAGGAGGCAGCGCTCTCGGGACGTCTCCACCATGGCCTGGGCTCTGCTATTCCTCACCCTCCTCACTCAGGGCACAGGGTCCTGGGCCCAGTCTGCCCTGACTCAC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</si>
  <si>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C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</si>
  <si>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C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</si>
  <si>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GCTGCTTGTCCGACGT</t>
  </si>
  <si>
    <t>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</t>
  </si>
  <si>
    <t>AGTAGCACA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G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</si>
  <si>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G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</si>
  <si>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GTCAGGTATTCGGCGGAGGGACCAAGCTGACCGTCCTAG</t>
  </si>
  <si>
    <t>GCTGCTTTCGTGGGAA</t>
  </si>
  <si>
    <t>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</t>
  </si>
  <si>
    <t>GAAGACAGGGCTGGGGGCAGGCCCAGTGCTGGGGTCTCAGGAGGCAGCGCTCTCGGGACGTCTCCACCATGGCCTGGGCTCTACTATTCCTCACCCTCCTCACTCAGGGCACAGGGTCCTGGGCCCAGTCTGCCCTGACTCAGCCTGCCTCCGTGTCTGGGTCTCATGGACAGTCGATCACCATCTCCTGCAGTGGAACCAGCAGTGACATTGGTGGTTATAACTCTGTCTCCTGGTACCAACAAAACCCAGGCAAAGCCCCCAAACTCATGATTTATGATGTCA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</si>
  <si>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ATGGACAGTCGATCACCATCTCCTGCAGTGGAACCAGCAGTGACATTGGTGGTTATAACTCTGTCTCCTGGTACCAACAAAACCCAGGCAAAGCCCCCAAACTCATGATTTATGATGTCACAGGGATTTCTAATCGCTTCTCTGGCTCCAAGTCTGGCAACACGGCCTCCCTGACCATCTCTGGGCTCCAGGCTGACGACGAGACTGATTATTACTGCACCTCATATACAAACGACAGCAATTCTCAGGTATTCGGCGGAGGGACCAAGCTGACCGTCCTAG</t>
  </si>
  <si>
    <t>CAGTCTGCCCTGACTCAGCCTGCCTCC...GTGTCTGGGTCTCATGGACAGTCGATCACCATCTCCTGCAGTGGAACCAGCAGTGACATTGGT.........GGTTATAACTCTGTCTCCTGGTACCAACAAAACCCAGGCAAAGCCCCCAAACTCATGATTTATGATGTC.................................ACAGGGATTTCT...AATCGCTTCTCTGGCTCCAAG......TCTGGCAACACGGCCTCCCTGACCATCTCTGGGCTCCAGGCTGACGACGAGACTGATTATTACTGCACCTCATATACAAACGACAGCAATTCTCAGGTATTCGGCGGAGGGACCAAGCTGACCGTCCTAG</t>
  </si>
  <si>
    <t>CAGTCTGCCCTGACTCAGCCTGCCTCC...GTGTCTGGGTCTCATGGACAGTCGATCACCATCTCCTGCAGTGGAACC</t>
  </si>
  <si>
    <t>.........ACAGGGATTTCT...AATCGCTTCTCTGGCTCCAAG......TCTGGCAACACGGCCTCCCTGACCATCTCTGGGCTCCAGGCTGACGACGAGACTGATTATTACTGC</t>
  </si>
  <si>
    <t>GATGTC........................</t>
  </si>
  <si>
    <t>GCTGCTTTCTTTCCTC</t>
  </si>
  <si>
    <t>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</si>
  <si>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GCTGGGTCAAGACGTG</t>
  </si>
  <si>
    <t>G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</si>
  <si>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T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</si>
  <si>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T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</si>
  <si>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TCTGACGACGAGACTGATTATTACTGCACCTCATATACAAACGACAGCAATTCTCAGGTATTCGGCGGAGGGACCAAGCTGACCGTCCTAG</t>
  </si>
  <si>
    <t>AATCGGCCCTCAGGGATTTCT...AATCGCTTCTCTGGCTCCAAG......TCTGGCAACACGGCCTCCCTGACCATCTCTGGGCTCCAGTCTGACGACGAGACTGATTATTACTGC</t>
  </si>
  <si>
    <t>GCTTCCATCCAGTATG</t>
  </si>
  <si>
    <t>CCCCCCCTGGGGGGGGTCACAAGAGGCAGCGCTCTCGGGACGTCTCCACCATGGCCTGGGCTCTGCTGCTCCTCACTCTCCTCACTCAGGACACAGGGTCCTGGGCC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</si>
  <si>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GCTTCCATCGAACGGA</t>
  </si>
  <si>
    <t>TAGATGGGGGCTGGGGTCTCAGGAGGCAGCGCTCTCGGGACGTCTCCACCATGGCCTGGGCTCTGCTATTCCTCACCCTCCTCACTCAGGGCACAGGGTCCTGGGCCCAGTCTGCCCTGACTCAGCCTGCCTCCGTGTCTGGGTCTCCTGGACAGTCGATCACCATCTCCTGCACTGGAACCAGCAGTGACGTTGGTGGTTATG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</si>
  <si>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G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</si>
  <si>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G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</si>
  <si>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AGCAGTGACGTTGGT.........GGTTATGACTCT</t>
  </si>
  <si>
    <t>GCTTGAAAGCTGTTCA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</si>
  <si>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</t>
  </si>
  <si>
    <t>CTGGGGGGGGTCACAAGAGGCAGCGCTCTCGGGACGTCTCCACCATGGCCTGGGCTCTGCTGCTCCTCACTCTCCTCACTCAGGACACAGGGTCCTGGGCCCAGTCTGCCCTGACTCAGCCTGCCTCCGTGTCTGGGTCTCCTGGACAGTCGATCACCATCTCCTGCACTGGAACCAGCAGTGATGTTGGGAGTTATAACCTTGTCTCCTGGTACCAAAAGCACCCAGGCAAAGCCCCCAAAGTCTTGATTTATGAGGGCAATAAGCGGCCCTCAGGGG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</si>
  <si>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ATAAGCGGCCCTCAGGGGTTTCTAATCGCTTCTCTGGCTCCAAGTCTGGCAACACGGCCTCCCTGACCATCTCTGGGCTCCAGGCTGACGACGAGACTGATTATTACTGCACCTCATATACAAACGACAGCAATTCTCAGGTATTCGGCGGAGGGACCAAGCTGACCGTCCTAC</t>
  </si>
  <si>
    <t>CAGTCTGCCCTGACTCAGCCTGCCTCC...GTGTCTGGGTCTCCTGGACAGTCGATCACCATCTCCTGCACTGGAACCAGCAGTGATGTTGGG.........AGTTATAACCTTGTCTCCTGGTACCAAAAGCACCCAGGCAAAGCCCCCAAAGTCTTGATTTATGAGGGC.....................AATAAGCGGCCCTCAGGGGTTTCT...AATCGCTTCTCTGGCTCCAAG......TCTGGCAACACGGCCTCCCTGACCATCTCTGGGCTCCAGGCTGACGACGAGACTGATTATTACTGCACCTCATATACAAACGACAGCAATTCTCAGGTATTCGGCGGAGGGACCAAGCTGACCGTCCTAC</t>
  </si>
  <si>
    <t>GAGGGC.....................AAT</t>
  </si>
  <si>
    <t>GGAAAGCTCTTTACAC</t>
  </si>
  <si>
    <t>GGCAGGCCCAGTGCTGGGGTCTCAGGAGGCAGCGCTCTCGGGACGTCTCCACCATGGCCTGGGCTCTGCTATTCCTCACCCTCCTCACTCAGGGCACAGGGTCCTGGGCCCAGTCTGCCCTGACTCACCCTGCCTCCGTGTCTGGGTCTCCTGGACAGTCGATCACCATCTCCTGCACTGGAACCAGCAGTGACGTTGGTGCTTATAACTCTGTCTCCTGGTACCAACAAAACCCAGGCAAAGCCCCCAAACTCATGATTTATGATGTCAC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</si>
  <si>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CCCTGCCTCCGTGTCTGGGTCTCCTGGACAGTCGATCACCATCTCCTGCACTGGAACCAGCAGTGACGTTGGTGCTTATAACTCTGTCTCCTGGTACCAACAAAACCCAGGCAAAGCCCCCAAACTCATGATTTATGATGTCACTAATCGGCCCTCAGGGATTTCTAATCGCTTCTCTGGCTCCAAGTCTGGCAACACGGCCTCCCTGACCATCTCTGGGCTCCAGGCTGACGACGAGACTGATTATTACTGCACCTCATATACAAACGACAGCAATTCTCAGGTATTCGGCGGAGGGACCAAGCTGACCGTCCTAC</t>
  </si>
  <si>
    <t>CAGTCTGCCCTGACTCACCCTGCCTCC...GTGTCTGGGTCTCCTGGACAGTCGATCACCATCTCCTGCACTGGAACCAGCAGTGACGTTGGT.........GCTTATAACTCTGTCTCCTGGTACCAACAAAACCCAGGCAAAGCCCCCAAACTCATGATTTATGATGTC.....................ACTAATCGGCCCTCAGGGATTTCT...AATCGCTTCTCTGGCTCCAAG......TCTGGCAACACGGCCTCCCTGACCATCTCTGGGCTCCAGGCTGACGACGAGACTGATTATTACTGCACCTCATATACAAACGACAGCAATTCTCAGGTATTCGGCGGAGGGACCAAGCTGACCGTCCTAC</t>
  </si>
  <si>
    <t>GGAACTTGTTAGATGA</t>
  </si>
  <si>
    <t>GGACAAGCAGGCTGAA</t>
  </si>
  <si>
    <t>TGGCGGTATTTCTTATATGGGGGCTGGGGTCTCAGGAGGCAGCGCTCTCGGGACGTCTCCACCATGGCCTGGGCTCTGCTATTCCTCACCCTCCTCACTCAGGGCACAGGGTCCTGGGCCCAGTCTGCCCTGACTCAGCCTGCCTCCGTGTCTGGGTCTCCTGGACAGTCGATCACCATCTCCTGCACTGGAACCAGCAGTGACGTTGGTGGTTATAACTCTGTCTCCTGGTACCAG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</si>
  <si>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G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</si>
  <si>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GCAAAACCCAGGCAAAGCCCCCAAACTCATGATTTATGATGTC.....................AGTAATCGGCCCTCAGGGATTTCT...AATCGCTTCTCTGGCTCCAAG......TCTGGCAACACGGCCTCCCTGACCATCTCTGGGCTCCAGGCTGACGACGAGACTGATTATTACTGCACCTCATATACAAACGACAGCAATTCTCAGGTATTCGGCGGAGGGACCAAGCTGACCGTCCTAG</t>
  </si>
  <si>
    <t>GTCTCCTGGTACCAGCAAAACCCAGGCAAAGCCCCCAAACTCATGATTTAT</t>
  </si>
  <si>
    <t>GGACAAGGTGACTCAT</t>
  </si>
  <si>
    <t>TG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</si>
  <si>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ATTTTGCGTATTTTTCTTATTGGGGGCTGGGGTCTCAGGAGGCAGCGCTCTCGGGACGTCTCCACCATGGCCTGGGCTCTGCTATTCCTCACCCTCCTCACTCAGGGCACAGGGTCCTGGGCCCAGTCTGCCCTGACTCAACCTGCCTCCGTGTCTGGGTCTCCTGGACAGTCGATCACCATCTCCTGCACTGGAACCAGCAGTGACGTGGGTTGTTATAAGTATGTCTCCTGGTACCAGCTAAACCCAGACAAAGCCCCCAAAC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</si>
  <si>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GGGTTGTTATAAGTATGTCTCCTGGTACCAGCTAAACCCAGACAAAGCCCCCAAACTCATGATTTATGATGTCAGTAATCGGCCCTCAGGGATTTCTAATCGCTTCTCTGGCTCCAAGTCTGGCAACACGGCCTCCCTGACCATCTCTGGGCTCCAGGCTGACGACGAGGCTGATTATTACTGCACCTCATATACAAACGACACCAATTCTCAGGTATTCGGCGGAGGGACCAAGCTGACCGTCCTAG</t>
  </si>
  <si>
    <t>CAGTCTGCCCTGACTCAACCTGCCTCC...GTGTCTGGGTCTCCTGGACAGTCGATCACCATCTCCTGCACTGGAACCAGCAGTGACGTGGGT.........TGTTATAAGTATGTCTCCTGGTACCAGCTAAACCCAGACAAAGCCCCCAAACTCATGATTTATGATGTC.....................AGTAATCGGCCCTCAGGGATTTCT...AATCGCTTCTCTGGCTCCAAG......TCTGGCAACACGGCCTCCCTGACCATCTCTGGGCTCCAGGCTGACGACGAGGCTGATTATTACTGCACCTCATATACAAACGACACCAATTCTCAGGTATTCGGCGGAGGGACCAAGCTGACCGTCCTAG</t>
  </si>
  <si>
    <t>GTCTCCTGGTACCAGCTAAACCCAGACAAAGCCCCCAAACTCATGATTTAT</t>
  </si>
  <si>
    <t>AGCAGTGACGTGGGT.........TGTTATAAGTAT</t>
  </si>
  <si>
    <t>GGACAGAAGCTTTGGT</t>
  </si>
  <si>
    <t>TC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</si>
  <si>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GGACATTCACTATCTT</t>
  </si>
  <si>
    <t>G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</si>
  <si>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GGACATTGTCATATCG</t>
  </si>
  <si>
    <t>AGGGGGGGGGGTCACAAGAGGCAGCGCTCTCGGGACGTCTCCACCATGGCCTGGGCTCTGCTGCTCCTCACTCTCCTCACTCAGGACACAGGGTCCTGGGCCCAGTCTGCCCTGACTCAGCCTGCCTCCGTGTCTGGGTCTCATGGACAGTCGATCACCATCTCCTGCACTGGAACCAACAGTGATGTTGGGAGTTATAACCTTGTCTCCTGGTACCAAAAGCACCCAGGCAAAGCCCCCAAAGTCTTGATTTATGAGGGCAGTAAGCGGCCCTCAGGGGTTTCTAATCGCTTCTCTGGCTCCAAGTCTGGCAACACGGCCTCCCTGACCATCTCTGGGCTCCAGGCTGACGACGAGGCTGATTATTACTGCACCTCATATACAAACGACACCAATTCTCAC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</si>
  <si>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ATGGACAGTCGATCACCATCTCCTGCACTGGAACCAACAGTGATGTTGGGAGTTATAACCTTGTCTCCTGGTACCAAAAGCACCCAGGCAAAGCCCCCAAAGTCTTGATTTATGAGGGCAGTAAGCGGCCCTCAGGGGTTTCTAATCGCTTCTCTGGCTCCAAGTCTGGCAACACGGCCTCCCTGACCATCTCTGGGCTCCAGGCTGACGACGAGGCTGATTATTACTGCACCTCATATACAAACGACACCAATTCTCACATATTCGGCGGAGGGACCAAGCTGACCGTCCTAG</t>
  </si>
  <si>
    <t>CAGTCTGCCCTGACTCAGCCTGCCTCC...GTGTCTGGGTCTCATGGACAGTCGATCACCATCTCCTGCACTGGAACCAACAGTGATGTTGGG.........AGTTATAACCTTGTCTCCTGGTACCAAAAGCACCCAGGCAAAGCCCCCAAAGTCTTGATTTATGAGGGC.....................AGTAAGCGGCCCTCAGGGGTTTCT...AATCGCTTCTCTGGCTCCAAG......TCTGGCAACACGGCCTCCCTGACCATCTCTGGGCTCCAGGCTGACGACGAGGCTGATTATTACTGCACCTCATATACAAACGACACCAATTCTCACATATTCGGCGGAGGGACCAAGCTGACCGTCCTAG</t>
  </si>
  <si>
    <t>TGCACCTCATATACAAACGACACCAATTCTCACATATTC</t>
  </si>
  <si>
    <t>CAGTCTGCCCTGACTCAGCCTGCCTCC...GTGTCTGGGTCTCATGGACAGTCGATCACCATCTCCTGCACTGGAACC</t>
  </si>
  <si>
    <t>AAGCGGCCCTCAGGGGTTTCT...AATCGCTTCTCTGGCTCCAAG......TCTGGCAACACGGCCTCCCTGACCATCTCTGGGCTCCAGGCTGACGACGAGGCTGATTATTACTGC</t>
  </si>
  <si>
    <t>ACCTCATATACAAACGACACCAATTCTCACATA</t>
  </si>
  <si>
    <t>CTSYTNDTNSHIF</t>
  </si>
  <si>
    <t>GGACGTCCAGTAAGCG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</si>
  <si>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TTCGGGGAAAGAGACCCGGCTACTGCAGCGGAGGCGTCTGTTCCTCTGACTATTGGGGCCAGGGGACTCTGGTGACCGTCTCCTCAGGGAGTGCATCCGCCCCAACCCTTTTCCCCCTCGTCTCCTGTGAGAATTCCCCGTCGGATACGAGCAGCGTG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</si>
  <si>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T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</si>
  <si>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GCCTGCGCTCTGAAGATACCGCCGTGTACTATTGTGTTCGGGGAAAGAGACCCGGCTACTGCAGCGGAGGCGTCTGTTCCTCTGACTATTGGGGCCAGGGGACTCTGGTGACCGTCTCCTCAG</t>
  </si>
  <si>
    <t>TGTGTTCGGGGAAAGAGACCCGGCTACTGCAGCGGAGGCGTCTGTTCCTCTGACTATTGG</t>
  </si>
  <si>
    <t>GTTCGGGGAAAGAGACCCGGCTACTGCAGCGGAGGCGTCTGTTCCTCTGACTAT</t>
  </si>
  <si>
    <t>ATTAAGTTCCTGCCATCAGCATGCACAAACAAGAACATTCATCTCTTCAGCTGAGCCCTGCTGTCCAGGGAAGCAAAAGTCTCTGAGCCCAGGCCCACGTGAGGGTGGGGTGAGGAGAGGAGCCCAGGATGCTGATTTTCATGGAGGCCCCGCCCTCCTCTGAGGCAAAGGGGATAAGACAGGGCTGGGGCAGGGCCAGTGCTGGGGTCACAAGAGGCAGCGCTCTCGGGACGTCTCCACCATGGCCTGGGCTCTGCTATTCCTCACCCTCCTCACTCAGGGCACAGGGTCCTGGGCCCAGTCTGCCCTGACTCAACCTGCCTCCGTGTCTGGGTCTCCTGGACAGTCGATCACCATCTCCTGCACTGGAACCAGTAGTGATGTTGGGACTTATAACCTTGTCTCCTGGTACCAAAAGCACCCAGGCAAAGCCCCCAAAGTCTTGATTTATGAGGGCAGTAAGCGGCCCTCAGGGAATCGCTTCTCTGGCTCCAAGTCTGGCAACACGGCCTCCCTGACCATCTCTGGGCTCCAGGCTGACGACGAGGCTGATTATTACTGCACCTCATATACAAACGACAA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</si>
  <si>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TAGTGATGTTGGGACTTATAACCTTGTCTCCTGGTACCAAAAGCACCCAGGCAAAGCCCCCAAAGTCTTGATTTATGAGGGCAGTAAGCGGCCCTCAGGGAATCGCTTCTCTGGCTCCAAGTCTGGCAACACGGCCTCCCTGACCATCTCTGGGCTCCAGGCTGACGACGAGGCTGATTATTACTGCACCTCATATACAAACGACAACAATTCTCAGGTATTCGGCGGAGGGACCAAGCTGACCGTCCTAG</t>
  </si>
  <si>
    <t>CAGTCTGCCCTGACTCAACCTGCCTCC...GTGTCTGGGTCTCCTGGACAGTCGATCACCATCTCCTGCACTGGAACCAGTAGTGATGTTGGG.........ACTTATAACCTTGTCTCCTGGTACCAAAAGCACCCAGGCAAAGCCCCCAAAGTCTTGATTTATGAGGGC.....................AGTAAGCGGCCCTCAGGG.........AATCGCTTCTCTGGCTCCAAG......TCTGGCAACACGGCCTCCCTGACCATCTCTGGGCTCCAGGCTGACGACGAGGCTGATTATTACTGCACCTCATATACAAACGACAACAATTCTCAGGTATTCGGCGGAGGGACCAAGCTGACCGTCCTAG</t>
  </si>
  <si>
    <t>TGCACCTCATATACAAACGACAACAATTCTCAGGTATTC</t>
  </si>
  <si>
    <t>AAGCGGCCCTCAGGG.........AATCGCTTCTCTGGCTCCAAG......TCTGGCAACACGGCCTCCCTGACCATCTCTGGGCTCCAGGCTGACGACGAGGCTGATTATTACTGC</t>
  </si>
  <si>
    <t>AGTAGTGATGTTGGG.........ACTTATAACCTT</t>
  </si>
  <si>
    <t>ACCTCATATACAAACGACAACAATTCTCAGGTA</t>
  </si>
  <si>
    <t>CTSYTNDNNSQVF</t>
  </si>
  <si>
    <t>GGACGTCTCCACGACG</t>
  </si>
  <si>
    <t>GAGAGGGGATAAGACAGGGCTGGGGGCAGGCCCAGTGCTGGGGTCTCAGGAGGCAGCGCTCTCGGGACGTCTCCACCATGGCCTGGGCTCTGCTATTCCTCACCCTCCTCACTCAGGGCACAGGGTCCTGGGCCCAGTCTGCCCTGACTCAGCCTGCCTCCGTGTCTGGGTCTCCTGGACAGTCGATCACCATCTCTTGCACCA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</si>
  <si>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CAGTCTGCCCTGACTCAGCCTGCCTCCGTGTCTGGGTCTCCTGGACAGTCGATCACCATCTCTTGCACCAAATCGGCCCTCAGGGATTTCTAATCGCTTCTCTGGCTCCAAGTCTGGCAACACGGCCTCCCTGACCATCTCTGGGCTCCAGGCTGACGACGAGACTGATTATTACTGCACCTCATATACAAACGACAGCAATTCTCAGGTATTCGGCGGAGGGACCAAGCTGACCGTCCTAG</t>
  </si>
  <si>
    <t>CAGTCTGCCCTGACTCAGCCTGCCTCC...GTGTCTGGGTCTCCTGGACAGTCGATCACCATCTCTTGCAC..........................................................................................................................CAAATCGGCCCTCAGGGATTTCT...AATCGCTTCTCTGGCTCCAAG......TCTGGCAACACGGCCTCCCTGACCATCTCTGGGCTCCAGGCTGACGACGAGACTGATTATTACTGCACCTCATATACAAACGACAGCAATTCTCAGGTATTCGGCGGAGGGACCAAGCTGACCGTCCTAG</t>
  </si>
  <si>
    <t>CAGTCTGCCCTGACTCAGCCTGCCTCC...GTGTCTGGGTCTCCTGGACAGTCGATCACCATCTCTTGCAC.......</t>
  </si>
  <si>
    <t>............................CA</t>
  </si>
  <si>
    <t>GGAGCAAAGCGTAATA</t>
  </si>
  <si>
    <t>GGCCAGTGCTGGGGTCACAA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</si>
  <si>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GGATTACTCACCGGGT</t>
  </si>
  <si>
    <t>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</si>
  <si>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TGTTTGGAGTTATAACCTTGTCTCCTGGTACCAAAAGCACCCAGGCAAAGCCCCCAAAGTCTTGATTTATGAGGGCAGTAAGCGGCCCTCAGGGG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</si>
  <si>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TGGAGTTATAACCTTGTCTCCTGGTACCAAAAGCACCCAGGCAAAGCCCCCAAAGTCTTGATTTATGAGGGCAGTAAGCGGCCCTCAGGGGTTTCTAATCGCTTCTCTGGCTCCAAGTCTGGCAACACGGCCTCCCTGACCATCTCTGGGCTCCAGGCTGACGACGAGACTGATTATTACTGCACCTCATATACAAACGACAGCAATTCTCAGGTATTCGGCGGAGGGACCAAGCTGACCGTCCTAC</t>
  </si>
  <si>
    <t>CAGTCTGCCCTGACTCAGCCTGCCTCC...GTGTCTGGGTCTCCTGGACAGTCGATCACCATCTCCTGCACTGGAACCAGCAGTGATGTTTGG.........AGTTATAACCTTGTCTCCTGGTACCAAAAGCACCCAGGCAAAGCCCCCAAAGTCTTGATTTATGAGGGC.....................AGTAAGCGGCCCTCAGGGGTTTCT...AATCGCTTCTCTGGCTCCAAG......TCTGGCAACACGGCCTCCCTGACCATCTCTGGGCTCCAGGCTGACGACGAGACTGATTATTACTGCACCTCATATACAAACGACAGCAATTCTCAGGTATTCGGCGGAGGGACCAAGCTGACCGTCCTAC</t>
  </si>
  <si>
    <t>AGCAGTGATGTTTGG.........AGTTATAACCTT</t>
  </si>
  <si>
    <t>GGCAATTGTAGAAGGA</t>
  </si>
  <si>
    <t>TGGCCACGTTTCTTATATGGGGCTGGGGTCTCAGGAGGCAGCGCTCTCGGGACGTCTCCACCATGGCCTGGGCTCTGCTATTCCTCACCCTCCTCACTCAGGGCACAGGGTCCTGGGCCCAGTCTGCCCTGACTCAGCCTGCCTCCGTGTCTGGGTCTCCTGGACAGTCGATCACCATCTCCTGCACTGGAACCAGCAGTGACGTTGGTGGTTATAACTATGTCTCCTGGTACCGACAAAACCCAGGCAAAGCCCCCAAACTCATGATTTATGATGTCAGTAATCGGCCCTCAGGGATTTCTAATCGCTTCTCTGGCTCCAAGTCTGGCAACACGGCCTCCCTGACCATCTCTGGGCTCCAGGCTGACGACGAGGCTGATTATTT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</si>
  <si>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GACAAAACCCAGGCAAAGCCCCCAAACTCATGATTTATGATGTCAGTAATCGGCCCTCAGGGATTTCTAATCGCTTCTCTGGCTCCAAGTCTGGCAACACGGCCTCCCTGACCATCTCTGGGCTCCAGGCTGACGACGAGGCTGATTATTTCTGCACCTCATATACAAACAACAGCAATTCTCAGGTATTCGGCGGAGGGACCAAGCTGACCGTCCTAG</t>
  </si>
  <si>
    <t>CAGTCTGCCCTGACTCAGCCTGCCTCC...GTGTCTGGGTCTCCTGGACAGTCGATCACCATCTCCTGCACTGGAACCAGCAGTGACGTTGGT.........GGTTATAACTATGTCTCCTGGTACCGACAAAACCCAGGCAAAGCCCCCAAACTCATGATTTATGATGTC.....................AGTAATCGGCCCTCAGGGATTTCT...AATCGCTTCTCTGGCTCCAAG......TCTGGCAACACGGCCTCCCTGACCATCTCTGGGCTCCAGGCTGACGACGAGGCTGATTATTTCTGCACCTCATATACAAACAACAGCAATTCTCAGGTATTCGGCGGAGGGACCAAGCTGACCGTCCTAG</t>
  </si>
  <si>
    <t>AATCGGCCCTCAGGGATTTCT...AATCGCTTCTCTGGCTCCAAG......TCTGGCAACACGGCCTCCCTGACCATCTCTGGGCTCCAGGCTGACGACGAGGCTGATTATTTCTGC</t>
  </si>
  <si>
    <t>GGCAATTGTTTGTTTC</t>
  </si>
  <si>
    <t>AGAGGGGATAAGACAGGGCTGGGGGCAGGCCCAGTGCTGGGGTCTCAGGAGGCAGCGCTCTCGGGACGTCTCCACCATGGCCTGGGCTCTGCTATTCCTCACCCTCCTCACTCAGGGCACAGGGTCCTGGGCCCAGTCTGCCCTGACTCACCCTGCCTCCGTGTCTGGGTCTCCTGGACAGTCGATCACCATCTCCTGCACTGGAACCACCAGTGACGTTGGTGATTATAACTCTGTCTCCTGGTACCAACAAAACCCAGGCAAAGCCCCCAAACTCATGATTTATGATGTCAGTAATCGGCCCTCAGGGATTTCTAATCGCTTCTCTGGCTCCAAGTCTGGCAACACGGCCTCCCTGACCATCTCTGGGCTCCAGGCTGACGACCAGACTGATTATTACTGCACCTCATATACAAACGACAGCT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</si>
  <si>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CCCTGCCTCCGTGTCTGGGTCTCCTGGACAGTCGATCACCATCTCCTGCACTGGAACCACCAGTGACGTTGGTGATTATAACTCTGTCTCCTGGTACCAACAAAACCCAGGCAAAGCCCCCAAACTCATGATTTATGATGTCAGTAATCGGCCCTCAGGGATTTCTAATCGCTTCTCTGGCTCCAAGTCTGGCAACACGGCCTCCCTGACCATCTCTGGGCTCCAGGCTGACGACCAGACTGATTATTACTGCACCTCATATACAAACGACAGCTATTCTCAGGTATTCGGCGGAGGGACCAAGCTGACCGTCCTAG</t>
  </si>
  <si>
    <t>CAGTCTGCCCTGACTCACCCTGCCTCC...GTGTCTGGGTCTCCTGGACAGTCGATCACCATCTCCTGCACTGGAACCACCAGTGACGTTGGT.........GATTATAACTCTGTCTCCTGGTACCAACAAAACCCAGGCAAAGCCCCCAAACTCATGATTTATGATGTC.....................AGTAATCGGCCCTCAGGGATTTCT...AATCGCTTCTCTGGCTCCAAG......TCTGGCAACACGGCCTCCCTGACCATCTCTGGGCTCCAGGCTGACGACCAGACTGATTATTACTGCACCTCATATACAAACGACAGCTATTCTCAGGTATTCGGCGGAGGGACCAAGCTGACCGTCCTAG</t>
  </si>
  <si>
    <t>TGCACCTCATATACAAACGACAGCTATTCTCAGGTATTC</t>
  </si>
  <si>
    <t>AATCGGCCCTCAGGGATTTCT...AATCGCTTCTCTGGCTCCAAG......TCTGGCAACACGGCCTCCCTGACCATCTCTGGGCTCCAGGCTGACGACCAGACTGATTATTACTGC</t>
  </si>
  <si>
    <t>ACCAGTGACGTTGGT.........GATTATAACTCT</t>
  </si>
  <si>
    <t>ACCTCATATACAAACGACAGCTATTCTCAGGTA</t>
  </si>
  <si>
    <t>CTSYTNDSYSQVF</t>
  </si>
  <si>
    <t>GGCGACTCACCGAATT</t>
  </si>
  <si>
    <t>TTTCTTATATGGGGGCTGGGGTCTCAGGAGGCAGCGCTCTCGGGACGTCTCCACCATGGCCTGGGCTCTGCTATTCCTCACCCTCCTCACTCAGGGCACAGGGTCATGGGCCCAGTCTGCCCTGACTCAGCCTGCCTCCGTGTCTGGGTCTCCTGGACAGTCGATCACCATCTCCTACACTGGAACCAGCAGTGACGTTGGTGGTTATAACTCTGTCTCCTGGTACCAACAAAACCCAGGCAAAGCCCCCAAACTCATGATTTATGATGTCAGTAATCGGCCCTCAGGGATTTCTAATCGCTTCTCTGGCTCCAAGTCTGGCAACACGGCCTCCCTGAGCATCTCTGGGCTCCAGGCTGACGACGAGACTGATC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</si>
  <si>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ACACTGGAACCAGCAGTGACGTTGGTGGTTATAACTCTGTCTCCTGGTACCAACAAAACCCAGGCAAAGCCCCCAAACTCATGATTTATGATGTCAGTAATCGGCCCTCAGGGATTTCTAATCGCTTCTCTGGCTCCAAGTCTGGCAACACGGCCTCCCTGAGCATCTCTGGGCTCCAGGCTGACGACGAGACTGATCATTACTGCACCTCATATACAAACGACAGCAATTCTCAGGTATTCGGCGGAGGGACCAAGCTGACCGTCCTAG</t>
  </si>
  <si>
    <t>CAGTCTGCCCTGACTCAGCCTGCCTCC...GTGTCTGGGTCTCCTGGACAGTCGATCACCATCTCCTACACTGGAACCAGCAGTGACGTTGGT.........GGTTATAACTCTGTCTCCTGGTACCAACAAAACCCAGGCAAAGCCCCCAAACTCATGATTTATGATGTC.....................AGTAATCGGCCCTCAGGGATTTCT...AATCGCTTCTCTGGCTCCAAG......TCTGGCAACACGGCCTCCCTGAGCATCTCTGGGCTCCAGGCTGACGACGAGACTGATCATTACTGCACCTCATATACAAACGACAGCAATTCTCAGGTATTCGGCGGAGGGACCAAGCTGACCGTCCTAG</t>
  </si>
  <si>
    <t>AATCGGCCCTCAGGGATTTCT...AATCGCTTCTCTGGCTCCAAG......TCTGGCAACACGGCCTCCCTGAGCATCTCTGGGCTCCAGGCTGACGACGAGACTGATCATTACTGC</t>
  </si>
  <si>
    <t>GGCGACTCAGTCCTTC</t>
  </si>
  <si>
    <t>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</si>
  <si>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GGCTCGATCGGTTAAC</t>
  </si>
  <si>
    <t>TATCTGGGGGCTGGGGTCTCAGGAGGCAGCGCTCTCGGGACGTCTCCACCATGGCCTGGGCTCTGCTATTCCTCACCCTCCTCACTCAGGGCACAGGGTCCTGGGCCCAGTCTGCCCTAACTCAACCTGCCTCCGTGTCTGGGTCTCCTGGACAGTCGATCACCATCTCCTGCACTGGAACCAGCAGTGACGTTGGTGGTTATAACTCTGTCTCCTGGTACCAACAAAACCCAGGCAAAGCCCCCAAACTCATT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</si>
  <si>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AACTCAACCTGCCTCCGTGTCTGGGTCTCCTGGACAGTCGATCACCATCTCCTGCACTGGAACCAGCAGTGACGTTGGTGGTTATAACTCTGTCTCCTGGTACCAACAAAACCCAGGCAAAGCCCCCAAACTCATTATTTATGATGTCAGTAATCGGCCCTCAGGGATTTCTAATCGCTTCTCTGGCTCCAAGTCTGGCAACACGGCCTCCCTGACCATCTCTGGGCTCCAGGCTGACGACGAGACTGATTATTACTGCACCTCATATACAAACGACAGCAATTCTCAGGTATTCGGCGGAGGGACCAAGCTGACCGTCCTAG</t>
  </si>
  <si>
    <t>CAGTCTGCCCTAACTCAACCTGCCTCC...GTGTCTGGGTCTCCTGGACAGTCGATCACCATCTCCTGCACTGGAACCAGCAGTGACGTTGGT.........GGTTATAACTCTGTCTCCTGGTACCAACAAAACCCAGGCAAAGCCCCCAAACTCATTATTTATGATGTC.....................AGTAATCGGCCCTCAGGGATTTCT...AATCGCTTCTCTGGCTCCAAG......TCTGGCAACACGGCCTCCCTGACCATCTCTGGGCTCCAGGCTGACGACGAGACTGATTATTACTGCACCTCATATACAAACGACAGCAATTCTCAGGTATTCGGCGGAGGGACCAAGCTGACCGTCCTAG</t>
  </si>
  <si>
    <t>CAGTCTGCCCTAACTCAACCTGCCTCC...GTGTCTGGGTCTCCTGGACAGTCGATCACCATCTCCTGCACTGGAACC</t>
  </si>
  <si>
    <t>GGCTGGTCATCCTAGA</t>
  </si>
  <si>
    <t>ACGACTGCTTTCTTATAT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</si>
  <si>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CTGGGGGCTGGGGTCTCAGGAGGCAGCGCTCTCGGGACGTCTCCACCATGGCCTGGGCTCTGCTATTCCTCACCCTCCTCACTCAGGGCACAGGGTCCTGGGCCCAGTCTGCCCTGACTCAGCCTGCCTCCGTGTCTGGGTCTCCTGGACAGTCGATCACCATCTCCTGCACTGGAAG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</si>
  <si>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GCAGC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</si>
  <si>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G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</si>
  <si>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CAGTCTGCCCTGACTCAGCCTGCCTCC...GTGTCTGGGTCTCCTGGACAGTCGATCACCATCTCCTGCACTGGAAGC</t>
  </si>
  <si>
    <t>GGGAATGGTCTAGAGG</t>
  </si>
  <si>
    <t>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</si>
  <si>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</si>
  <si>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GGGACCTTCGTATCAG</t>
  </si>
  <si>
    <t>GGGAGATGTCACCCAG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</si>
  <si>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TCCAAGGACGTCATG</t>
  </si>
  <si>
    <t>GCAATATCGTTTTCTTATATGGGGGCTGGGGTCTCAGGAGGCAGCGCTCTCGGGACGTCTCCACCATGGCCTGGGCTCTGCTATTCCTCACCCTCCTCACTCAGGGCACAGGGTCCTGGGCCCAGTCTGCCCTGACTCAGCCTGCCTCCGTGTCTGGGTCTCCTGGACAGTCGATCACCATCTCCTGCACTGGAACCAGCAGTGACGTTGGTGGTTATAAT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</si>
  <si>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T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</si>
  <si>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CAGTGACGTTGGT.........GGTTATAAT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</si>
  <si>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GGGCATCTCTTGTCAT</t>
  </si>
  <si>
    <t>GGGTCTGAGGGTCGAT</t>
  </si>
  <si>
    <t>TCTGGGGGCTGGGGTCTCAGGAGGCAGCGCTCTCGGGACGTCTCCACCATGGCCTGGGCTCTGCTATTCCTCACCCTCCTCACTCAGGGCACAGGGTCCTGGGCCCAGTCTGCCCTGACTCAGCCTGCCTCCGTGTCTGGGTCTCCTGGACAGTCGATCACCATCTCCTGCACTGGAACCAGCAGTGACGTTGGTGATTATAACTCTGTCTCCTGGTACCAACAAAACCCAGGCAAAGCCCCCAAACTCATGATTTATGATGTCAGTAATG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</si>
  <si>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ATTATAACTCTGTCTCCTGGTACCAACAAAACCCAGGCAAAGCCCCCAAACTCATGATTTATGATGTCAGTAATG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</si>
  <si>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ATTATAACTCTGTCTCCTGGTACCAACAAAACCCAGGCAAAGCCCCCAAACTCATGATTTATGATGTC.....................AGTAATGGGCCCTCAGGGATTTCT...AATCGCTTCTCTGGCTCCAAG......TCTGGCAACACGGCCTCCCTGACCATCTCTGGGCTCCAGGCTGACGACGAGACTGATTATTACTGCACCTCATATACAAACGACAGCAATTCTCAGGTATTCGGCGGAGGGACCAAGCTGACCGTCCTAG</t>
  </si>
  <si>
    <t>AATGGGCCCTCAGGGATTTCT...AATCGCTTCTCTGGCTCCAAG......TCTGGCAACACGGCCTCCCTGACCATCTCTGGGCTCCAGGCTGACGACGAGACTGATTATTACTGC</t>
  </si>
  <si>
    <t>GGGTCTGGTGAGTATA</t>
  </si>
  <si>
    <t>TGAGTATACCGACAGCC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</si>
  <si>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GGTATTGAGACCGGAT</t>
  </si>
  <si>
    <t>CTGGT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</t>
  </si>
  <si>
    <t>TGATGTTGTTTCTTATATGGGGGCTGGGGTCTCAGGAGGCAGCGCTCTCGGGACGTCTCCACCATGGCCTGGGCTCTGCTATTCCTCACCCTCCTCACTCAGGGCACAGAGTCCTGGGCCCAGTCTGCCCTGACTCAGCCTGCCTCCGTGTCTGGGTCTCCTGGACAGTCGATCACCATCTCCTGCACTGGAACCAGCAGTGACGTTGGTGCTTATAACTATGTCTCCTGGTACCAACAAAACCCAGGCAAAGCCCCCAAAG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</si>
  <si>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CTTATAACTATGTCTCCTGGTACCAACAAAACCCAGGCAAAGCCCCCAAAGTCATGATTTATGATGTCAGTAATCGGCCCTCAGGGATTTCTAATCGCTTCTCTGGCTCCAAGTCTGGCAACACGGCCTCCCTGACCATCTCTGGGCTCCAGGCTGACGACGAGGCTGATTATTACTGCACCTCATATACAAACAACAGCAATTCTCAGGTATTCGGCGGAGGGACCAAGCTGACCGTCCTAG</t>
  </si>
  <si>
    <t>CAGTCTGCCCTGACTCAGCCTGCCTCC...GTGTCTGGGTCTCCTGGACAGTCGATCACCATCTCCTGCACTGGAACCAGCAGTGACGTTGGT.........GCTTATAACTATGTCTCCTGGTACCAACAAAACCCAGGCAAAGCCCCCAAAGTCATGATTTATGATGTC.....................AGTAATCGGCCCTCAGGGATTTCT...AATCGCTTCTCTGGCTCCAAG......TCTGGCAACACGGCCTCCCTGACCATCTCTGGGCTCCAGGCTGACGACGAGGCTGATTATTACTGCACCTCATATACAAACAACAGCAATTCTCAGGTATTCGGCGGAGGGACCAAGCTGACCGTCCTAG</t>
  </si>
  <si>
    <t>GGTATTGAGAGGGCTT</t>
  </si>
  <si>
    <t>TG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</si>
  <si>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C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</si>
  <si>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C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</si>
  <si>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CTTCGGCGGAGGGACCAAGCTGACCGTCCTAG</t>
  </si>
  <si>
    <t>GGTATTGAGCCAGTTT</t>
  </si>
  <si>
    <t>GGTATTGCAAGTCTGT</t>
  </si>
  <si>
    <t>TCTGGGG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</si>
  <si>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GGTGAAGCAATAGCAA</t>
  </si>
  <si>
    <t>TGA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</si>
  <si>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GGTGTTACAACCGCCA</t>
  </si>
  <si>
    <t>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</si>
  <si>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GGCTAAGTTTCTTATATGGGGGCTGGGGTCTCAGGAGGCAGCGCTCTCGGGACGTCTCCACCATGGCCTGGGCTCTGCTATTCCTCACCCTCCTCACTCAGGGCACAGGGTCCTGGGCCCAGTCTGCCCTGACTCAGCCTGCCTCCGTGTCTGGGTCTCCTGGACAGTCGATCACCATCTCCTGCACTGGAACCAACAGTGACGTTGTTGGTTATAACTATGTCTCCTGGTACCAACAAAACCCAGGCAAAGCCCCCAAACTCATGATTTCTGATGTCAATAATCGGCCCTCAGGGATTTCTAATCGCTTCTCTGGCTCCAAGTCTGGCAACACGGCCTCCCTGACCATCTCTGGACTCCAGGCTGACGACGAGGCTGATTATTGCTGCACCTCATATACAAACAACAGCAATTCTCATATATTCCC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</si>
  <si>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ACAGTGACGTTGTTGGTTATAACTATGTCTCCTGGTACCAACAAAACCCAGGCAAAGCCCCCAAACTCATGATTTCTGATGTCAATAATCGGCCCTCAGGGATTTCTAATCGCTTCTCTGGCTCCAAGTCTGGCAACACGGCCTCCCTGACCATCTCTGGACTCCAGGCTGACGACGAGGCTGATTATTGCTGCACCTCATATACAAACAACAGCAATTCTCATATATTCCCCGGAGGGACCAAGCTGACCGTCCTAG</t>
  </si>
  <si>
    <t>CAGTCTGCCCTGACTCAGCCTGCCTCC...GTGTCTGGGTCTCCTGGACAGTCGATCACCATCTCCTGCACTGGAACCAACAGTGACGTTGTT.........GGTTATAACTATGTCTCCTGGTACCAACAAAACCCAGGCAAAGCCCCCAAACTCATGATTTCTGATGTC.....................AATAATCGGCCCTCAGGGATTTCT...AATCGCTTCTCTGGCTCCAAG......TCTGGCAACACGGCCTCCCTGACCATCTCTGGACTCCAGGCTGACGACGAGGCTGATTATTGCTGCACCTCATATACAAACAACAGCAATTCTCATATATTCCCCGGAGGGACCAAGCTGACCGTCCTAG</t>
  </si>
  <si>
    <t>TGCACCTCATATACAAACAACAGCAATTCTCATATATTC</t>
  </si>
  <si>
    <t>AATCGGCCCTCAGGGATTTCT...AATCGCTTCTCTGGCTCCAAG......TCTGGCAACACGGCCTCCCTGACCATCTCTGGACTCCAGGCTGACGACGAGGCTGATTATTGCTGC</t>
  </si>
  <si>
    <t>TTCCCCGGAGGGACCAAGCTGACCGTCCTAG</t>
  </si>
  <si>
    <t>AACAGTGACGTTGTT.........GGTTATAACTAT</t>
  </si>
  <si>
    <t>ACCTCATATACAAACAACAGCAATTCTCATATA</t>
  </si>
  <si>
    <t>CTSYTNNSNSHIF</t>
  </si>
  <si>
    <t>GTAACTGCAGACGCAA</t>
  </si>
  <si>
    <t>GTAACTGGTTCAGGCC</t>
  </si>
  <si>
    <t>ACACACTTT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</si>
  <si>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TAATC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</si>
  <si>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GTACGTACAAACAACA</t>
  </si>
  <si>
    <t>CTCGGCG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</si>
  <si>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GTACTTTCATATACCG</t>
  </si>
  <si>
    <t>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</t>
  </si>
  <si>
    <t>TGGGGGCTGGGGTCTCAGGAGGCAGCGCTCTCGGGACGTCTCCACCATGGCCTGGGCTCTGCTATTCCTCACCCTCCTCACTCAGGGCACAGGGTCCTGGGCCCAGTCTGCCCTGACTCAGCCTGCCTCCGTGTCTGGGTCTCCTGGACAGTCGATCACCATCTCCTGCACTGGAACCAGCAGTGACGTTGGTAATTATAACTCTGTCTCCTGGTACCAACAAAACCCAGGCAAAGCCCCCAAACTCATGATTTATGATGTCAGTAATCGGCCCTCAGGGATTTCTAATCGCTGTCAGTAATCGGCCCTCAGGAATTTCTAATCGCTTCTCTGGCTCCAAGTCTGACAACACGGCCTCCCTGACCATCTCTGGGCTCCAGGCTGACGACGAGACTGATTATTACTGCACCTCATATACAAACGACAGCAATTCTCAGC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</si>
  <si>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AATTATAACTCTGTCTCCTGGTACCAACAAAACCCAGGCAAAGCCCCCAAACTCATGATTTATGATGTCAGTAATCGGCCCTCAGGGATTTCTAATCGCTTCTCTGGCTCCAAGTCTGACAACACGGCCTCCCTGACCATCTCTGGGCTCCAGGCTGACGACGAGACTGATTATTACTGCACCTCATATACAAACGACAGCAATTCTCAGCTATTCGGCGGAGGGACCAAGCTGACCGTCCTAG</t>
  </si>
  <si>
    <t>CAGTCTGCCCTGACTCAGCCTGCCTCC...GTGTCTGGGTCTCCTGGACAGTCGATCACCATCTCCTGCACTGGAACCAGCAGTGACGTTGGT.........AATTATAACTCTGTCTCCTGGTACCAACAAAACCCAGGCAAAGCCCCCAAACTCATGATTTATGATGTC.....................AGTAATCGGCCCTCAGGGATTTCT...AATCGCTTCTCTGGCTCCAAG......TCTGACAACACGGCCTCCCTGACCATCTCTGGGCTCCAGGCTGACGACGAGACTGATTATTACTGCACCTCATATACAAACGACAGCAATTCTCAGCTATTCGGCGGAGGGACCAAGCTGACCGTCCTAG</t>
  </si>
  <si>
    <t>TGCACCTCATATACAAACGACAGCAATTCTCAGCTATTC</t>
  </si>
  <si>
    <t>AGCAGTGACGTTGGT.........AATTATAACTCT</t>
  </si>
  <si>
    <t>ACCTCATATACAAACGACAGCAATTCTCAGCTA</t>
  </si>
  <si>
    <t>GTACTTTTCTGGCGAC</t>
  </si>
  <si>
    <t>GTAGTCATCCTCAACC</t>
  </si>
  <si>
    <t>CATACCGGGAA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</t>
  </si>
  <si>
    <t>GTAGTCATCCTGTAGA</t>
  </si>
  <si>
    <t>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</t>
  </si>
  <si>
    <t>G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AGATTTCTAATCGCTTCTCTGGCTCCAAGTCTGGCAACACGGCCTCCCTGACCATCTCTGGGCTCCAGGCTGACGACGAGACTGATTATTACTACACCTCATATACTAACGACAGCAATTCTCAGGTATTCGGCGGAGGGACCAAGCTGC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</si>
  <si>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AGATTTCTAATCGCTTCTCTGGCTCCAAGTCTGGCAACACGGCCTCCCTGACCATCTCTGGGCTCCAGGCTGACGACGAGACTGATTATTACTACACCTCATATACTAACGACAGCAATTCTCAGGTATTCGGCGGAGGGACCAAGCTGCCCGTCCTAC</t>
  </si>
  <si>
    <t>CAGTCTGCCCTGACTCAGCCTGCCTCC...GTGTCTGGGTCTCCTGGACAGTCGATCACCATCTCCTGCACTGGAACCAGCAGTGACGTTGGT.........GGTTATAACTCTGTCTCCTGGTACCAACAAAACCCAGGCAAAGCCCCCAAACTCATGATTTATGATGTC.....................AGTAATCGGCCCTCAGAGATTTCT...AATCGCTTCTCTGGCTCCAAG......TCTGGCAACACGGCCTCCCTGACCATCTCTGGGCTCCAGGCTGACGACGAGACTGATTATTACTACACCTCATATACTAACGACAGCAATTCTCAGGTATTCGGCGGAGGGACCAAGCTGCCCGTCCTAC</t>
  </si>
  <si>
    <t>GTATCTTTCACGAAGG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</si>
  <si>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TCCCCCTCGTCTCCTGTGAGAATTCCCCGTCGGATACGAGCAGCGTG</t>
  </si>
  <si>
    <t>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</si>
  <si>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G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</si>
  <si>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GCTGATTATTACTGCACCTCATATACAAACGACAGCAATTCTCAGGTATTCGGCGGAGGGACCAAGCTGACCGTCCTAG</t>
  </si>
  <si>
    <t>GTATCTTTCGATAGAA</t>
  </si>
  <si>
    <t>GTCAAGTGTGTTCGAT</t>
  </si>
  <si>
    <t>GTCAAGTTCTTGCATT</t>
  </si>
  <si>
    <t>GTCCTCAGTCGAACAG</t>
  </si>
  <si>
    <t>CTATGTAGGGAAGCAGAAGCCTCTGAGCCCAGGCCCAGGTGAGGGTGGGGTGAAGAGAGGAGCTCAAGGTGGAGATTTGCATGCCGGCCCCACCCTCCTCTTTGGCAGAGGGGATAAGACAGGGCTGGGGGCAGGCCCAGTGCTGGGGTCTCAGGAGGCAGCGCTCTCGGGACGTCTCCACCATGGCCTGGGCTCTGCTATTCCTCACCCTCCTCACTCAGGGCACAGGGTCCTGGGCCCAGTCTGCCCTGACTCAGCCTGCCTCCGTGTCTGGGTCTCCTGGACAGTCGATCACCATCTCCTGCACTGGAAGCAGCAGTGACGTTGGTGGTTATAACTCTGTCTCCTGGTACCAACAAAACCCAGGCAAAGCCCCCAAACTCATGATTTATGATGTCACTAATCGGCCCTCAGGGATTTCTAATCGCTTCTCTGCCTCCAAGTCTGGCAACACGGCCTCCCTGACCATCTCTGGGCTCCAGGCTGACGACGAGACTGATTATTACTGCACCTCATATACAAACGACAGCAATACTCAGGTATTCGGCGGAGGGACCAAGG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</si>
  <si>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GCAGCAGTGACGTTGGTGGTTATAACTCTGTCTCCTGGTACCAACAAAACCCAGGCAAAGCCCCCAAACTCATGATTTATGATGTCACTAATCGGCCCTCAGGGATTTCTAATCGCTTCTCTGCCTCCAAGTCTGGCAACACGGCCTCCCTGACCATCTCTGGGCTCCAGGCTGACGACGAGACTGATTATTACTGCACCTCATATACAAACGACAGCAATACTCAGGTATTCGGCGGAGGGACCAAGGTGACCGTCCTAG</t>
  </si>
  <si>
    <t>CAGTCTGCCCTGACTCAGCCTGCCTCC...GTGTCTGGGTCTCCTGGACAGTCGATCACCATCTCCTGCACTGGAAGCAGCAGTGACGTTGGT.........GGTTATAACTCTGTCTCCTGGTACCAACAAAACCCAGGCAAAGCCCCCAAACTCATGATTTATGATGTC.....................ACTAATCGGCCCTCAGGGATTTCT...AATCGCTTCTCTGCCTCCAAG......TCTGGCAACACGGCCTCCCTGACCATCTCTGGGCTCCAGGCTGACGACGAGACTGATTATTACTGCACCTCATATACAAACGACAGCAATACTCAGGTATTCGGCGGAGGGACCAAGGTGACCGTCCTAG</t>
  </si>
  <si>
    <t>TGCACCTCATATACAAACGACAGCAATACTCAGGTATTC</t>
  </si>
  <si>
    <t>TTCGGCGGAGGGACCAAGGTGACCGTCCTAG</t>
  </si>
  <si>
    <t>ACCTCATATACAAACGACAGCAATACTCAGGTA</t>
  </si>
  <si>
    <t>CTSYTNDSNTQVF</t>
  </si>
  <si>
    <t>GTCGGGTCATGAGCGA</t>
  </si>
  <si>
    <t>TGAGCGAGCTCCTGGA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C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</si>
  <si>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CCAATTCTCAGG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</si>
  <si>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CCAATTCTCAGGTATTCGGCGGAGGGACCAAGCTGACCGTCCTAC</t>
  </si>
  <si>
    <t>GTCGTAACAGTATGCT</t>
  </si>
  <si>
    <t>TGGGGGGGGTCACAAGAGGCAGCGCTCTCGGGACGTCTCCACCATGGCCTGGGCTCTGCTGCTCCTCACTCTCCTCACTCAGGACACAGGGTCCTGGGCCCAGTCTGCCCTGACTCAGCCTGCCTCCGTGTCTGGGTCTCCTGGACAGTCGATCACCATCTCCTGCACTGGAACCAGCAGTGATGTTGGGACTTATAACCTTGTCTCCTGGTACCAAAAGCACCCAGGCAAAGCCCCCAAAGTCTTGATTTATGAGGGCAGTAAGCGGCCCTCAGGG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</si>
  <si>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TGTTGGGACTTATAACCTTGTCTCCTGGTACCAAAAGCACCCAGGCAAAGCCCCCAAAGTCTTGATTTATGAGGGCAGTAAGCGGCCCTCAGGGAATCGCTTCTCTGGCTCCAAGTCTGGCAACACGGCCTCCCTGACCATCTCTGGGCTCCAGGCTGACGACGAGGCTGATTATTACTGCACCTCATATACAAACGACAGCAATTCTCAGGTATTCGGCGGAGGGACCAAGCTGACCGTCCTAG</t>
  </si>
  <si>
    <t>CAGTCTGCCCTGACTCAGCCTGCCTCC...GTGTCTGGGTCTCCTGGACAGTCGATCACCATCTCCTGCACTGGAACCAGCAGTGATGTTGGG.........ACTTATAACCTTGTCTCCTGGTACCAAAAGCACCCAGGCAAAGCCCCCAAAGTCTTGATTTATGAGGGC.....................AGTAAGCGGCCCTCAGGG.........AATCGCTTCTCTGGCTCCAAG......TCTGGCAACACGGCCTCCCTGACCATCTCTGGGCTCCAGGCTGACGACGAGGCTGATTATTACTGCACCTCATATACAAACGACAGCAATTCTCAGGTATTCGGCGGAGGGACCAAGCTGACCGTCCTAG</t>
  </si>
  <si>
    <t>AGCAGTGATGTTGGG.........ACTTATAACCTT</t>
  </si>
  <si>
    <t>GTCTTCGGTGCACGAA</t>
  </si>
  <si>
    <t>AGTTCACGGGTTTTCTTATATGGGGGCTGGGGTCTCAGGAGGCAGCGCTCTCGGGACGTCTCCACCATGGCCTGGGCTCTGCTATTCCTCACCCTCCTCACTCAGGGCACAGGGTCCTGGGCCCAGTCTGCCCTGACTCAGCCTGCCTCCGTGTCTGGGTCTCCTGGACAGTCGATCACCATCTCCTGCACTGGAACCAGCAGTGACGTTGGTGGTTATAACTCTGTCTCCTGGTACCAACAAAACCCAGGCAAAGCCCCCAAACTCATGATTTATGATGTCAA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</si>
  <si>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GTGCGGTAGTGTTGAA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</si>
  <si>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CTAATCGGCCCTCAGGGATTTCTAATCGCTTCTCTGGCTCCAAGTCTGGCAACACGGCCTCCCTGACCATCTCTGGGCTCCAGGCTGACGACGAGACTGATTATTACTGCACCTCATATACAAACGACAA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</si>
  <si>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CTAATCGGCCCTCAGGGATTTCTAATCGCTTCTCTGGCTCCAAGTCTGGCAACACGGCCTCCCTGACCATCTCTGGGCTCCAGGCTGACGACGAGACTGATTATTACTGCACCTCATATACAAACGACAACAATTCTCAGGTATTCGGCGGAGGGACCAAGCTGACCGTCCTAG</t>
  </si>
  <si>
    <t>CAGTCTGCCCTGACTCAGCCTGCCTCC...GTGTCTGGGTCTCCTGGACAGTCGATCACCATCTCCTGCACTGGAACCAGCAGTGACGTTGGT.........GGTTATAACTCTGTCTCCTGGTACCAACAAAACCCAGGCAAAGCCCCCAAACTCATGATTTATGATGTC.....................ACTAATCGGCCCTCAGGGATTTCT...AATCGCTTCTCTGGCTCCAAG......TCTGGCAACACGGCCTCCCTGACCATCTCTGGGCTCCAGGCTGACGACGAGACTGATTATTACTGCACCTCATATACAAACGACAACAATTCTCAGGTATTCGGCGGAGGGACCAAGCTGACCGTCCTAG</t>
  </si>
  <si>
    <t>GTGCTTCTCTCGTATT</t>
  </si>
  <si>
    <t>GGGCAGAGGGGATAAGACAGGGCTGGGGGCAGGCCCAGTGCTGGGGTCTCAGGAGGCAGCGCTCTCGGGACGTCTCCACCATGGCCTGGGCTCTGCTATTCCTCACCCTCCTCACTCAGGGCACAGGGTCCTGGGCCCAGTCTGCCCTGACTCAGCCTGCCTCCGTGTCTGGGTCTCCTGGACAGTCGATCACCATCTCCTGCACTGGAACCAGCAGTGACGTTGGTGGTTATAACTCTGTCTCTTGGTACCAACAAAACCCAGGCAAAGCCCCCAAACTCATGATTTATGATGTCAGTAATCGGCCCTCAGGGATTTCTAATCGCTTCTCTGGCTCCAAGTCTGGCAACACGGCCTCCCTGACCATCTCTGGGCTCCAGGCTGACGACGAGACTGATTATTACTGCACCTCATATACAAACGACAGCAATTCTCAGGTATTCGGCGGAGGGACCAAGG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</si>
  <si>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TTGGTACCAACAAAACCCAGGCAAAGCCCCCAAACTCATGATTTATGATGTCAGTAATCGGCCCTCAGGGATTTCTAATCGCTTCTCTGGCTCCAAGTCTGGCAACACGGCCTCCCTGACCATCTCTGGGCTCCAGGCTGACGACGAGACTGATTATTACTGCACCTCATATACAAACGACAGCAATTCTCAGGTATTCGGCGGAGGGACCAAGGTGACCGTCCTAG</t>
  </si>
  <si>
    <t>CAGTCTGCCCTGACTCAGCCTGCCTCC...GTGTCTGGGTCTCCTGGACAGTCGATCACCATCTCCTGCACTGGAACCAGCAGTGACGTTGGT.........GGTTATAACTCTGTCTCTTGGTACCAACAAAACCCAGGCAAAGCCCCCAAACTCATGATTTATGATGTC.....................AGTAATCGGCCCTCAGGGATTTCT...AATCGCTTCTCTGGCTCCAAG......TCTGGCAACACGGCCTCCCTGACCATCTCTGGGCTCCAGGCTGACGACGAGACTGATTATTACTGCACCTCATATACAAACGACAGCAATTCTCAGGTATTCGGCGGAGGGACCAAGGTGACCGTCCTAG</t>
  </si>
  <si>
    <t>GTCTCTTGGTACCAACAAAACCCAGGCAAAGCCCCCAAACTCATGATTTAT</t>
  </si>
  <si>
    <t>GTGGGTCAGTGTACTC</t>
  </si>
  <si>
    <t>CTACTTTTTCTTATATGGGGGCTGGGGTCTCAGGAGGCAGCGCTCTCGGGACGTCTCCACCATGGCCTGGGCTCTGCTATTCCTCACCCTCCTCACTCAGGGCACAGGGTCCTGGGCCCAGTCTGCCCTGACTCAGCCTGCCTCCGTGTCTGGGTCTCCTGGACAGTCGATCACCATCTCCTGCACTGGAACCAGCAGTGACGTTGGTGGTTATAACTCTGTCTCCTGGTACCAACAAAACCCAGGCAAAGCCCCCAAAG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</si>
  <si>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G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</si>
  <si>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GTCATGATTTATGATGTC.....................AGTAATCGGCCCTCAGGGATTTCT...AATCGCTTCTCTGGCTCCAAG......TCTGGCAACACGGCCTCCCTGACCATCTCTGGGCTCCAGGCTGACGACGAGACTGATTATTACTGCACCTCATATACAAACGACAGCAATTCTCAGGTATTCGGCGGAGGGACCAAGCTGACCGTCCTAG</t>
  </si>
  <si>
    <t>GTGGGTCGTAAATACG</t>
  </si>
  <si>
    <t>GCTGGTC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AGAT</t>
  </si>
  <si>
    <t>AACTCCTTTCTTATATGGGGGCTGGGGTCTCAGGAGGCAGCGCTCTCGGGACGTCTCCACCATGGCCTGGGCTCTGCTATTCCTCACCCTCCTCACTCAGGGCACAGGGTCCTGGGCCCAGTCTGCCCTGACTCAGCCTGCCTCCGTGTCTGGGTCTCCTGGACAGTCGATCACCATCTCCTGCACTGGAACCAGCAGTGACGTTGGCGGTTATAACTCTGTCTCCTGGTACCAACAAAACCCAGGCAAAGCCCCCAAACTCATGATTTCTGATGTCAGTAATCGGCCCTCAGGGATTTCTAATCGCTTCTCTGGCTCCGAGTCTGGCAACACGGCCTCCCTGACCG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</si>
  <si>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CGGTTATAACTCTGTCTCCTGGTACCAACAAAACCCAGGCAAAGCCCCCAAACTCATGATTTCTGATGTCAGTAATCGGCCCTCAGGGATTTCTAATCGCTTCTCTGGCTCCGAGTCTGGCAACACGGCCTCCCTGACCGTCTCTGGGCTCCAGGCTGACGACGAGACTGATTATTACTGCACCTCATATACAAACGACAGCAATTCTCAGGTATTCGGCGGAGGGACCAAGCTGACCGTCCTAC</t>
  </si>
  <si>
    <t>CAGTCTGCCCTGACTCAGCCTGCCTCC...GTGTCTGGGTCTCCTGGACAGTCGATCACCATCTCCTGCACTGGAACCAGCAGTGACGTTGGC.........GGTTATAACTCTGTCTCCTGGTACCAACAAAACCCAGGCAAAGCCCCCAAACTCATGATTTCTGATGTC.....................AGTAATCGGCCCTCAGGGATTTCT...AATCGCTTCTCTGGCTCCGAG......TCTGGCAACACGGCCTCCCTGACCGTCTCTGGGCTCCAGGCTGACGACGAGACTGATTATTACTGCACCTCATATACAAACGACAGCAATTCTCAGGTATTCGGCGGAGGGACCAAGCTGACCGTCCTAC</t>
  </si>
  <si>
    <t>AATCGGCCCTCAGGGATTTCT...AATCGCTTCTCTGGCTCCGAG......TCTGGCAACACGGCCTCCCTGACCGTCTCTGGGCTCCAGGCTGACGACGAGACTGATTATTACTGC</t>
  </si>
  <si>
    <t>GTTAAGCTCACCATAG</t>
  </si>
  <si>
    <t>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</t>
  </si>
  <si>
    <t>AGCTGTTCCTT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</si>
  <si>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GTTCATTGTCTACCTC</t>
  </si>
  <si>
    <t>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</t>
  </si>
  <si>
    <t>GTTCGGGGTTTGTTGG</t>
  </si>
  <si>
    <t>CAGGGATTTTCTTATAT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</si>
  <si>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CTTATAACTCTGTCTCCTGTTACCAACAAAACCCAGGCAAAGCCCCCAAACTCATGATTTATGATGTCAA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</si>
  <si>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TTACCAACAAAACCCAGGCAAAGCCCCCAAACTCATGATTTATGATGTCAA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</si>
  <si>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TTACCAACAAAACCCAGGCAAAGCCCCCAAACTCATGATTTATGATGTC.....................AATAATCGGCCCTCAGGGATTTCT...AATCGCTTCTCTGGCTCCAAG......TCTGGCAACACGGCCTCCCTGACCATCTCTGGGCTCCAGGCTGACGACGAGACTGATTATTACTGCACCTCATATACAAACGACAGCAATTCTCAGGTATTCGGCGGAGGGACCAAGCTGACCGTCCTAG</t>
  </si>
  <si>
    <t>GTCTCCTGTTACCAACAAAACCCAGGCAAAGCCCCCAAACTCATGATTTAT</t>
  </si>
  <si>
    <t>GTTCGGGTCTGTTTGT</t>
  </si>
  <si>
    <t>CAGTTGCCGTTTTCTTATATGGGGGCTGGGGTCTCAGGAGGCAGCGCTCTCGGGACGTCTCCACCATGGCCTGGGCTCTGCTATTCCTCACCCTCCTCACTCAGGGCACAGAGTCCTGGGCCCAGTCTGCCCTGACTCAGCCTGCCTCCGTGTCTGGGTCTCCTGGACAGTCGATCACCATCTCCTGCACTGGAACCAGCAGTGACGTTGGTGGTTATAACTCTGTCTCCTGGTACCAACAAAACCCAGGCAAAGCCCCCAAACTCATGATTTATGATGTCAGTAATCGGCCCTCAGGGATTTCTAATCGCTTCTCTGACTCCAAGTCTGGCAACACGGCCTCCCTGACCATCTCTGGGCTCCAGGCTGACGACGAGACTGATTATTACTGCACCTCATATACAAACGACAGCAATTCTCAGGTATTCGGCGGAGGGACCAAT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</si>
  <si>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ACTCCAAGTCTGGCAACACGGCCTCCCTGACCATCTCTGGGCTCCAGGCTGACGACGAGACTGATTATTACTGCACCTCATATACAAACGACAGCAATTCTCAGGTATTCGGCGGAGGGACCAATCTGACCGTCCTAG</t>
  </si>
  <si>
    <t>CAGTCTGCCCTGACTCAGCCTGCCTCC...GTGTCTGGGTCTCCTGGACAGTCGATCACCATCTCCTGCACTGGAACCAGCAGTGACGTTGGT.........GGTTATAACTCTGTCTCCTGGTACCAACAAAACCCAGGCAAAGCCCCCAAACTCATGATTTATGATGTC.....................AGTAATCGGCCCTCAGGGATTTCT...AATCGCTTCTCTGACTCCAAG......TCTGGCAACACGGCCTCCCTGACCATCTCTGGGCTCCAGGCTGACGACGAGACTGATTATTACTGCACCTCATATACAAACGACAGCAATTCTCAGGTATTCGGCGGAGGGACCAATCTGACCGTCCTAG</t>
  </si>
  <si>
    <t>GTTCTCGGTAGAGGAA</t>
  </si>
  <si>
    <t>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AATACAAGAACAACTCTGACATCAGCAGCACCCGGGGCTTCCCATCAGTCCTGAGAGGGGGCAAGTACGCAGCCACCTCACAGGTGCTGCTGCCTTCCAAGGACGTCATG</t>
  </si>
  <si>
    <t>TCTTATCTGGGGGCTGGGGTCTCAGGAGGCAGCGCTCTCGGGACGTCTCCACCATGGCCTGGGCTCTGCTATTCCTCACCCTCCTCACTCAGGGCACAGGGTCCTGGGCCCAGTCTGCCCTGACTCAGCCTGCCTCCGTGTCTGGGTCTCCTGGACAGTCGATCACCATCTCCTGCACTGGAACCAGCAGTGACGTTGGTGGTTATAACTCTGTCTCCTGGTACCAACAAAACCCAGGCAAAGCCCCCAAAGTCATGATTTATGATGTCAGTAATCGGCCCTCAGGCATTTCTAATCGCTTCTCTGGCTCCAAGTCTGGCAACACGGCCTCCCTGACCATCTCTGGGCTCCAGGCTGACGACGAGACTGATTATTACTGCACCTCATATAT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</si>
  <si>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GTCATGATTTATGATGTCAGTAATCGGCCCTCAGGCATTTCTAATCGCTTCTCTGGCTCCAAGTCTGGCAACACGGCCTCCCTGACCATCTCTGGGCTCCAGGCTGACGACGAGACTGATTATTACTGCACCTCATATATAAACGACAGCAATTCTCAGGTATTCGGCGGAGGGACCAAGCTGACCGTCCTAC</t>
  </si>
  <si>
    <t>CAGTCTGCCCTGACTCAGCCTGCCTCC...GTGTCTGGGTCTCCTGGACAGTCGATCACCATCTCCTGCACTGGAACCAGCAGTGACGTTGGT.........GGTTATAACTCTGTCTCCTGGTACCAACAAAACCCAGGCAAAGCCCCCAAAGTCATGATTTATGATGTC.....................AGTAATCGGCCCTCAGGCATTTCT...AATCGCTTCTCTGGCTCCAAG......TCTGGCAACACGGCCTCCCTGACCATCTCTGGGCTCCAGGCTGACGACGAGACTGATTATTACTGCACCTCATATATAAACGACAGCAATTCTCAGGTATTCGGCGGAGGGACCAAGCTGACCGTCCTAC</t>
  </si>
  <si>
    <t>TGCACCTCATATATAAACGACAGCAATTCTCAGGTATTC</t>
  </si>
  <si>
    <t>AATCGGCCCTCAGGCATTTCT...AATCGCTTCTCTGGCTCCAAG......TCTGGCAACACGGCCTCCCTGACCATCTCTGGGCTCCAGGCTGACGACGAGACTGATTATTACTGC</t>
  </si>
  <si>
    <t>ACCTCATATATAAACGACAGCAATTCTCAGGTA</t>
  </si>
  <si>
    <t>CTSYINDSNSQVF</t>
  </si>
  <si>
    <t>TAAACCGGTCCGAGTC</t>
  </si>
  <si>
    <t>TAAACCGGTGCAGTAG</t>
  </si>
  <si>
    <t>G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</si>
  <si>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</si>
  <si>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TAAGAGATCTGATACG</t>
  </si>
  <si>
    <t>TTCG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</si>
  <si>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TACACGATCTGATACG</t>
  </si>
  <si>
    <t>ACTTTGTGCAGGAGTCAGACTCAGTCAGGACACAGCTCTAGACCACCATGGGATGGTCATGTATCATCCTTTTTCTAGTAGCAACTGCAACCGGTGTACATTCCCAGGTGCAGCTGGTGCAGTCTGGAGGTCAGATGAAGAAGCCTGGCGAGTCGATGAGAATTTCTTGTCGT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</t>
  </si>
  <si>
    <t>CAGGTGCAGCTGGTGCAGTCTGGAGGTCAGATGAAGAAGCCTGGCGAGTCGATGAGAATTTCTTGTCGT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</t>
  </si>
  <si>
    <t>CAGGTGCAGCTGGTGCAGTCTGGAGGT...CAGATGAAGAAGCCTGGCGAGTCGATGAGAATTTCTTGTCGTGCTTCTGGATATGAATTT............ATTGATTGTACGCTAAATTGGATTCGTCTGGCCCCCGGAAAAAGGCCTGAGTGGATGGGATGGCTGAAGCCTCGG......GGGGGGGCCGTCAACTACGCACGTCCACTTCAG...GGCAGAGTGACCATGACTCGAGACGTTTATTCCGACACAGCCTTTTTGGAGCTGCGCTCGTTGACAGTAGACGACACGGCCGTCTACTTTTGTACTAGGGGAAAAAACTGTGATTACAATTGGGACTTCGAACACTGGGGCCGGGGCACCCCGGTCATCGTCTCATCAG</t>
  </si>
  <si>
    <t>CAGGTGCAGCTGGTGCAGTCTGGAGGT...CAGATGAAGAAGCCTGGCGAGTCGATGAGAATTTCTTGTCGTGCTTCT</t>
  </si>
  <si>
    <t>ATGCACCT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TCAAACAAAGCAACAACAAGTACGCGGCCAGCAGCTACCTGAGCCTGACGCCTGAGCAGTGGAAGTCCCACA</t>
  </si>
  <si>
    <t>TACAGTGCAATCCGAT</t>
  </si>
  <si>
    <t>TACAGTGCAGCGAACA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</si>
  <si>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CCGTCGGATACGAGCAGCGTG</t>
  </si>
  <si>
    <t>TACGGGCGTAAGTGTA</t>
  </si>
  <si>
    <t>GGGGGCTGGGGTCTCAGGAGGCAGCGCTCTCGGGACGTCTCCACCATGGCCTGGGCTCTGCTGCTCCTCACTCTCCTCACTCAGGA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</si>
  <si>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TACGGGCTCTGCCAGG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</si>
  <si>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</t>
  </si>
  <si>
    <t>TATCTGGGGGCTGGGGTCTCAGGAGGCAGCGCTCTCGGGACGTCTCCACCATGGCCTGGGCTCTGCTATTCCTCACCCTCCTCACTCAGGGCACAGGGTCCTGGGCCCAGTCTGCCCTGACTCAGTATGCCTCCGTGTCTGGGTCTCCTGGACAGTCGATCACCATCTCCTGCACTGGAACCAGCAGTGACGTTGGTGGTTATAACTATGTCTCCTGGTACCAACAAAACCCAGGCAAAGCCCCCAAACTCATGATTTATGATGTCACTAATCGGCCCTCAGGGATTTCTAATCGCTTCTCTGGCTCCAAGTCTGGCAACACGGCCTCCCTGACCATCTCTGGGCTCCAGGCTGACGACGAGGGTGATTATTACTGCACCTCATATAGAAACAACAGCAATTCTCAGA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</si>
  <si>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TATGCCTCCGTGTCTGGGTCTCCTGGACAGTCGATCACCATCTCCTGCACTGGAACCAGCAGTGACGTTGGTGGTTATAACTATGTCTCCTGGTACCAACAAAACCCAGGCAAAGCCCCCAAACTCATGATTTATGATGTCACTAATCGGCCCTCAGGGATTTCTAATCGCTTCTCTGGCTCCAAGTCTGGCAACACGGCCTCCCTGACCATCTCTGGGCTCCAGGCTGACGACGAGGGTGATTATTACTGCACCTCATATAGAAACAACAGCAATTCTCAGATATTCGGCGGAGGGACCAAGCTGACCGTCCTAG</t>
  </si>
  <si>
    <t>CAGTCTGCCCTGACTCAGTATGCCTCC...GTGTCTGGGTCTCCTGGACAGTCGATCACCATCTCCTGCACTGGAACCAGCAGTGACGTTGGT.........GGTTATAACTATGTCTCCTGGTACCAACAAAACCCAGGCAAAGCCCCCAAACTCATGATTTATGATGTC.....................ACTAATCGGCCCTCAGGGATTTCT...AATCGCTTCTCTGGCTCCAAG......TCTGGCAACACGGCCTCCCTGACCATCTCTGGGCTCCAGGCTGACGACGAGGGTGATTATTACTGCACCTCATATAGAAACAACAGCAATTCTCAGATATTCGGCGGAGGGACCAAGCTGACCGTCCTAG</t>
  </si>
  <si>
    <t>TGCACCTCATATAGAAACAACAGCAATTCTCAGATATTC</t>
  </si>
  <si>
    <t>CAGTCTGCCCTGACTCAGTATGCCTCC...GTGTCTGGGTCTCCTGGACAGTCGATCACCATCTCCTGCACTGGAACC</t>
  </si>
  <si>
    <t>AATCGGCCCTCAGGGATTTCT...AATCGCTTCTCTGGCTCCAAG......TCTGGCAACACGGCCTCCCTGACCATCTCTGGGCTCCAGGCTGACGACGAGGGTGATTATTACTGC</t>
  </si>
  <si>
    <t>ACCTCATATAGAAACAACAGCAATTCTCAGATA</t>
  </si>
  <si>
    <t>CTSYRNNSNSQIF</t>
  </si>
  <si>
    <t>TACTTACGTTTGGGCC</t>
  </si>
  <si>
    <t>A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</si>
  <si>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TACTTGTAGGTTCCTA</t>
  </si>
  <si>
    <t>G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</t>
  </si>
  <si>
    <t>TACTTGTGTATATGGA</t>
  </si>
  <si>
    <t>GTTTGGCAGAGGGGATAAGACAGGGCTGGGGGCAGGCCCAGTGCTGGGGTCTCAGGAGGCAGCGCTCTCGGGACGTCTCCACCATGGCCTGGGCTCTGCTATTCCTCACCCTCCTCACTCAGGGCACAGAGTCCTGGGCCCAGTCTGCCCTGACTCAGCCTGCCTCCGTGTCTGGGTCTCCTGGACAGTCGATCACCATCTCCTGCACTGGAACCAGCAGTGACGTTGGTGGTGGTTATAACTCTGTCTCCTGGTACCAACAAAACCCAGGCAAAGCCCCCAAACTCATGATTTATGATGTCACTAATCGGCCCTCAGGGATTTCTAATCGCTTCTCTGACTCCAAGTGTGGCAACACGGCCTCCCTGACCATCTCTGGGCTCCAGGCTGACGACGAGACTGATTATTACTGCACCTCATATACAAACGACAGCAATTCTCACGTATTCGGCGGAGGGACCAAT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</si>
  <si>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CTAATCGGCCCTCAGGGATTTCTAATCGCTTCTCTGACTCCAAGTGTGGCAACACGGCCTCCCTGACCATCTCTGGGCTCCAGGCTGACGACGAGACTGATTATTACTGCACCTCATATACAAACGACAGCAATTCTCACGTATTCGGCGGAGGGACCAATCTGACCGTCCTAG</t>
  </si>
  <si>
    <t>CAGTCTGCCCTGACTCAGCCTGCCTCC...GTGTCTGGGTCTCCTGGACAGTCGATCACCATCTCCTGCACTGGAACCAGCAGTGACGTTGGT.........GGTTATAACTCTGTCTCCTGGTACCAACAAAACCCAGGCAAAGCCCCCAAACTCATGATTTATGATGTC.....................ACTAATCGGCCCTCAGGGATTTCT...AATCGCTTCTCTGACTCCAAG......TGTGGCAACACGGCCTCCCTGACCATCTCTGGGCTCCAGGCTGACGACGAGACTGATTATTACTGCACCTCATATACAAACGACAGCAATTCTCACGTATTCGGCGGAGGGACCAATCTGACCGTCCTAG</t>
  </si>
  <si>
    <t>AATCGGCCCTCAGGGATTTCT...AATCGCTTCTCTGACTCCAAG......TGTGGCAACACGGCCTCCCTGACCATCTCTGGGCTCCAGGCTGACGACGAGACTGATTATTACTGC</t>
  </si>
  <si>
    <t>TACTTGTGTGAGGGAG</t>
  </si>
  <si>
    <t>GTC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</si>
  <si>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TGGGGGCTGGGGTCTCAGGAGGCAGCGCTCTCGGGACGTCTCCACCATGGCCTGGGCTCTGCTATTCCTCACCCTCCTCACTCAGGGCACAGGGT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</si>
  <si>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TGGGGGCTGGGGTCTCAGGAGGCAGCGCTCTCGGGACGTCTCCACCATGGCCTGGGCTCTGCTATTCCTCACCCTCCTCACTCAGGGCACAGGGTCAAACTCATGATTTATGATGTCAGTAATCGGCCCTCAGGGATTTCTAATCGCTTCTCTGGCTCCAAGTCTGGCAACACGGCCTCCCTGACCATCTCTGGGCTCCAGGCTGACGACGAGACTGATTATTACTGCACCTCATATACAAACGACAGCAATTCTCAGGTATTCGGCGGAGGGACCAAGCTGACCGTCCTAG</t>
  </si>
  <si>
    <t>............................................CTGGGGGCTGGGGTCTCAGGAGGCAGCGCTCTCGGGACGTCTCCACCAT.........GGCCTGGGCTCTGCTATTCCTCACCCTCCTCACTCAGGGCACAGGGTCAAACTCATGATTTATGATGTC.....................AGTAATCGGCCCTCAGGGATTTCT...AATCGCTTCTCTGGCTCCAAG......TCTGGCAACACGGCCTCCCTGACCATCTCTGGGCTCCAGGCTGACGACGAGACTGATTATTACTGCACCTCATATACAAACGACAGCAATTCTCAGGTATTCGGCGGAGGGACCAAGCTGACCGTCCTAG</t>
  </si>
  <si>
    <t>............................................CTGGGGGCTGGGGTCTCAGGAGGCAGCGCTCTCG</t>
  </si>
  <si>
    <t>GCTATTCCTCACCCTCCTCACTCAGGGCACAGGGTCAAACTCATGATTTAT</t>
  </si>
  <si>
    <t>GGACGTCTCCACCAT.........GGCCTGGGCTCT</t>
  </si>
  <si>
    <t>TAGCCGGAGACATAAC</t>
  </si>
  <si>
    <t>TGGGGGGGGTCACAAGAGGCAGCGCTCTCGGGACGTCTCCACCATGGCCTGGGCTCTGCTGCTCCTCACTCTCCTCACTCAGGACACAGGGTCCTGGGCCCAGTCTGCCCTGACTCAGCCTGCCTCCGTGTCTGGGTCTCCTGGACAGTCGATCACCATCTCCTGCACTGGAACCAGCAGTGATGTTGGGAGTTATAACCTTGTCTCCTGGTACCAAAAGTACGCAGGCAAAGCCCCCAAAGTCTTGATTTATGAGGGCAGTAAGCGGCCCTCAGGGG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</si>
  <si>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TGTTGGGAGTTATAACCTTGTCTCCTGGTACCAAAAGTACGCAGGCAAAGCCCCCAAAGTCTTGATTTATGAGGGCAGTAAGCGGCCCTCAGGGGTTTCTAATCGCTTCTCTGGCTCCAAGTCTGGCAACACGGCCTCCCTGACCATCTCTGGGCTCCAGGCTGACGACGAGGCTGATTATTACTGCACCTCATATACAAACGACAGCAATTCTCAGGTATTCGGCGGAGGGACCAAGCTGACCGTCCTAG</t>
  </si>
  <si>
    <t>CAGTCTGCCCTGACTCAGCCTGCCTCC...GTGTCTGGGTCTCCTGGACAGTCGATCACCATCTCCTGCACTGGAACCAGCAGTGATGTTGGG.........AGTTATAACCTTGTCTCCTGGTACCAAAAGTACGCAGGCAAAGCCCCCAAAGTCTTGATTTATGAGGGC.....................AGTAAGCGGCCCTCAGGGGTTTCT...AATCGCTTCTCTGGCTCCAAG......TCTGGCAACACGGCCTCCCTGACCATCTCTGGGCTCCAGGCTGACGACGAGGCTGATTATTACTGCACCTCATATACAAACGACAGCAATTCTCAGGTATTCGGCGGAGGGACCAAGCTGACCGTCCTAG</t>
  </si>
  <si>
    <t>GTCTCCTGGTACCAAAAGTACGCAGGCAAAGCCCCCAAAGTCTTGATTTAT</t>
  </si>
  <si>
    <t>TAGCCGGAGCTCTCGG</t>
  </si>
  <si>
    <t>TTACTGCATTTCTTATA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</si>
  <si>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CACCCAGGCAAAGCCCCCAAACTCATGATTTATGATGTCAGTAATCGGCCCTCAGGGATTTCTAATCGCTTCTCTGGCTCCAAGTCTGGCAACACGGCCTCCCTGACCATCTCTGGGCTCCAGGCTGACGACGAGGCTGATTATTACTGCACCTCATATACAAACAACAGCAATTCTCAGGTATTCGGCGGAGGGACCAAGCTGACCGTCCTAG</t>
  </si>
  <si>
    <t>CAGTCTGCCCTGACTCAGCCTGCCTCC...GTGTCTGGGTCTCCTGGACAGTCGATCACCATCTCCTGCACTGGAACCAGCAGTGACGTTGGT.........GGTTATAACTATGTCTCCTGGTACCAACAACACCCAGGCAAAGCCCCCAAACTCATGATTTATGATGTC.....................AGTAATCGGCCCTCAGGGATTTCT...AATCGCTTCTCTGGCTCCAAG......TCTGGCAACACGGCCTCCCTGACCATCTCTGGGCTCCAGGCTGACGACGAGGCTGATTATTACTGCACCTCATATACAAACAACAGCAATTCTCAGGTATTCGGCGGAGGGACCAAGCTGACCGTCCTAG</t>
  </si>
  <si>
    <t>GTCTCCTGGTACCAACAACACCCAGGCAAAGCCCCCAAACTCATGATTTAT</t>
  </si>
  <si>
    <t>TAGGCATCATATGGTC</t>
  </si>
  <si>
    <t>TTGGGGGCTGGGGTCTCAGGAGGCAGCGCTCTCGGGACGTCTCCACCATGGCCTGGGCTCTGCTATTCCTCACCCTCCTCACTCAGGGCACAGGGTCCTGGGCCCAGTCTGCCCTGACTCAGCCTGCCTCCGTGTCTGGGTCTCCTGGACAGTCGATCACCATCTCCTGCACTGGAACCAGCAGTGACGTTGGTGGTTATGACTCTGTCTCCTGGTACCAACAAAACCCAGGCAAAGCCCCCAAACTCATGATTTATGATGTCAGTAATCGGCCCTCAGAGATTTCTAATCGCTTCTCTGGCTCCAAGTCTGGCAACACGGCCTCCCTGACCATCTCTGGGCTCCAGGCTGACGACGAGACTGATTATTACTACACCTCATATACTAACGACAGCAATTCTCAGGTATTCGGCGGAGGGACCAAGCTGC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</si>
  <si>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GACTCTGTCTCCTGGTACCAACAAAACCCAGGCAAAGCCCCCAAACTCATGATTTATGATGTCAGTAATCGGCCCTCAGAGATTTCTAATCGCTTCTCTGGCTCCAAGTCTGGCAACACGGCCTCCCTGACCATCTCTGGGCTCCAGGCTGACGACGAGACTGATTATTACTACACCTCATATACTAACGACAGCAATTCTCAGGTATTCGGCGGAGGGACCAAGCTGCCCGTCCTAC</t>
  </si>
  <si>
    <t>CAGTCTGCCCTGACTCAGCCTGCCTCC...GTGTCTGGGTCTCCTGGACAGTCGATCACCATCTCCTGCACTGGAACCAGCAGTGACGTTGGT.........GGTTATGACTCTGTCTCCTGGTACCAACAAAACCCAGGCAAAGCCCCCAAACTCATGATTTATGATGTC.....................AGTAATCGGCCCTCAGAGATTTCT...AATCGCTTCTCTGGCTCCAAG......TCTGGCAACACGGCCTCCCTGACCATCTCTGGGCTCCAGGCTGACGACGAGACTGATTATTACTACACCTCATATACTAACGACAGCAATTCTCAGGTATTCGGCGGAGGGACCAAGCTGCCCGTCCTAC</t>
  </si>
  <si>
    <t>TAGGCATTCTCTTATG</t>
  </si>
  <si>
    <t>TA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C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</si>
  <si>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TAGTTGGTCCGAAGAG</t>
  </si>
  <si>
    <t>TATCAGGGTATCAGTC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</si>
  <si>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</t>
  </si>
  <si>
    <t>GATGGGGGCTGGGGTCTCAGGAGGCAGCGCTCTCGGGACGTCTCCACCATGGCCTGGGCTCTGCTGCTCCTCACTCTCCTCACTCAGGACACAGGGTCCTGGGCCCAGTCTGCCCTGACTCAGCCTGCCTCCGTGTCTGGGTCTCCTGGACAGTCGATCACCATCTCCTGCACTGGAACCAGCAGTGACGTTGGTGGTTATAACTCTGTCTCCTGGTACCAACAAAACCCAGGCAAAGCCCCCAAACTCATGATTTATGATGTCAGTAATCGGCCCTCAGGGATTTCTAATCGCTTCTCTGGCTCCAAGTCTGA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</si>
  <si>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A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</si>
  <si>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ACAACACGGCCTCCCTGACCATCTCTGGGCTCCAGGCTGACGACGAGACTGATTATTACTGCACCTCATATACAAACGACAGCAATTCTCAGGTATTCGGCGGAGGGACCAAGCTGACCGTCCTAG</t>
  </si>
  <si>
    <t>TATCTCACAGTCAGCC</t>
  </si>
  <si>
    <t>GCACTATCCAGGGAAGCAGAAGCCTCTGAGCCCAGGCCCAGGTGAGGGTGGGGTGAAGAGAGGAGCTCAAGGTGGAGATTTGCATGCCGGCCCCACCCTCCTCTTT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C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</si>
  <si>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TATTACCAGAGACGAA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</si>
  <si>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</t>
  </si>
  <si>
    <t>TTTCTGAG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G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</si>
  <si>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G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</si>
  <si>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GATCGCTTCTCTGGCTCCAAG......TCTGGCAACACGGCCTCCCTGACCATCTCTGGGCTCCAGGCTGACGACGAGACTGATTATTACTGCACCTCATATACAAACGACAGCAATTCTCAGGTATTCGGCGGAGGGACCAAGCTGACCGTCCTAG</t>
  </si>
  <si>
    <t>AATCGGCCCTCAGGGATTTCT...GATCGCTTCTCTGGCTCCAAG......TCTGGCAACACGGCCTCCCTGACCATCTCTGGGCTCCAGGCTGACGACGAGACTGATTATTACTGC</t>
  </si>
  <si>
    <t>TATTACCCATTCTCAT</t>
  </si>
  <si>
    <t>TCTGGGGGCTGGGGTCTCAGGAGGCAGCGCTCTCGGGACGTCTCCACCATGGCCTGGGCTCTGCTATTCCTCACCCTCCTCACTCAGGGCACAGGGTCCTGGGCCCAGTCTGCCCTGACTCAGCCTGCCTCCGTGTCTGGGTCTCCTGGACAGTCGATCACCATCTCCTGTACTGGAACCAGCAGTGACGTTGGTGGTTATAACTCTGTCTCCTGGTACCAACAAAACCCAGGCAAAGCCCCCAAACTCATGATTTATGATGTCAGTAATCGGCCCTCAGGGATTTCTAATCGCTTCTCTGGCTCCAAGTCTGGCAACACGGCCTCCCTGACCATCTCTGGGCTCCAGGCTGACGACGAGACTGATTATTACTGCACCTCATATACAAACGACAGCAATTCTCAGGTATTCGGCGGAGGGACCAAGG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</si>
  <si>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TACTGGAACCAGCAGTGACGTTGGTGGTTATAACTCTGTCTCCTGGTACCAACAAAACCCAGGCAAAGCCCCCAAACTCATGATTTATGATGTCAGTAATCGGCCCTCAGGGATTTCTAATCGCTTCTCTGGCTCCAAGTCTGGCAACACGGCCTCCCTGACCATCTCTGGGCTCCAGGCTGACGACGAGACTGATTATTACTGCACCTCATATACAAACGACAGCAATTCTCAGGTATTCGGCGGAGGGACCAAGGTGACCGTCCTAC</t>
  </si>
  <si>
    <t>CAGTCTGCCCTGACTCAGCCTGCCTCC...GTGTCTGGGTCTCCTGGACAGTCGATCACCATCTCCTGTACTGGAACCAG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GTGACCGTCCTAC</t>
  </si>
  <si>
    <t>CAGTCTGCCCTGACTCAGCCTGCCTCC...GTGTCTGGGTCTCCTGGACAGTCGATCACCATCTCCTGTACTGGAACC</t>
  </si>
  <si>
    <t>TTCGGCGGAGGGACCAAGGTGACCGTCCTAC</t>
  </si>
  <si>
    <t>TCAACGACAGGGTTAG</t>
  </si>
  <si>
    <t>TCATTTCTTATAT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</si>
  <si>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</si>
  <si>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</si>
  <si>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TCACAAGCACGCGAAA</t>
  </si>
  <si>
    <t>AT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</si>
  <si>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CATAGCACTTTTCTTATATGGGGGCTGGGGTCTCAGGAGGCAGCGCTCTCGGGACGTCTCCACCATGGCCTGGGCTCTGCTATTCCTCACCCTCCTCACTCAGGGCACAGGGTCCTGGGCCCGGTCTGCCCTAACTCAGCCTGCCTCCGTGTCTGGGTCTCCTGGACAGTCGATCACCATCTCCTGCACTGGAACCAGCAGTGACGTTGGTGGTTATAATTATGTCTCCTGGTACCAACAAAACCCAGTCAAAGCCCCCAAACTCATAATTTCTGATGTCAGTAATCGGCCCTCAGGGATTTCTAATCGCTTCTCTGGCTCCAAGTCTGGCAAG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</si>
  <si>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GGTCTGCCCTAACTCAGCCTGCCTCCGTGTCTGGGTCTCCTGGACAGTCGATCACCATCTCCTGCACTGGAACCAGCAGTGACGTTGGTGGTTATAATTATGTCTCCTGGTACCAACAAAACCCAGTCAAAGCCCCCAAACTCATAATTTCTGATGTCAGTAATCGGCCCTCAGGGATTTCTAATCGCTTCTCTGGCTCCAAGTCTGGCAAGACGGCCTCCCTGACCATCTCTGGGCTCCAGGCTGACGACGAGGCTGATTATTACTGCACCTCATATACAAACGACAGCAATTCTCAGGTATTCGGCGGAGGGACCAAGCTGACCGTCCTAG</t>
  </si>
  <si>
    <t>CGGTCTGCCCTAACTCAGCCTGCCTCC...GTGTCTGGGTCTCCTGGACAGTCGATCACCATCTCCTGCACTGGAACCAGCAGTGACGTTGGT.........GGTTATAATTATGTCTCCTGGTACCAACAAAACCCAGTCAAAGCCCCCAAACTCATAATTTCTGATGTC.....................AGTAATCGGCCCTCAGGGATTTCT...AATCGCTTCTCTGGCTCCAAG......TCTGGCAAGACGGCCTCCCTGACCATCTCTGGGCTCCAGGCTGACGACGAGGCTGATTATTACTGCACCTCATATACAAACGACAGCAATTCTCAGGTATTCGGCGGAGGGACCAAGCTGACCGTCCTAG</t>
  </si>
  <si>
    <t>CGGTCTGCCCTAACTCAGCCTGCCTCC...GTGTCTGGGTCTCCTGGACAGTCGATCACCATCTCCTGCACTGGAACC</t>
  </si>
  <si>
    <t>GTCTCCTGGTACCAACAAAACCCAGTCAAAGCCCCCAAACTCATAATTTCT</t>
  </si>
  <si>
    <t>AATCGGCCCTCAGGGATTTCT...AATCGCTTCTCTGGCTCCAAG......TCTGGCAAGACGGCCTCCCTGACCATCTCTGGGCTCCAGGCTGACGACGAGGCTGATTATTACTGC</t>
  </si>
  <si>
    <t>AGCAGTGACGTTGGT.........GGTTATAATTAT</t>
  </si>
  <si>
    <t>TCACAAGCATCTATGG</t>
  </si>
  <si>
    <t>TGGG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</si>
  <si>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TCAGATGAGCGAAGGG</t>
  </si>
  <si>
    <t>TATATG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</si>
  <si>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GCTATGGGTTTCTTATATGGGGGGGGTCACAAGAGGCAGCGCTCTCGGGACGTCTCCACCATGGCCTGGGCTCTGCTGCTCCTCACTCTCCTCACTCAGGACACAGGGTCCTGGGCCCAGTCTGCCCTGACTCAGCCT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</si>
  <si>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GCACCCAGGCAAAGCCCCCAAAGTCTTGATTTATGAGGGCAGTAAGCGGCCCTCAGGGGTTTCTAATCGCTTCTCTGGCTCCAAGTCTGGCAACACGGCCTCCCTGACCATCTCTGGGCTCCAGGCTGACGACGAGACTGATTATTACTGCACCTCATATACAAACGACAGCAATTCTCAGGTATTCGGCGGAGGGACCAAGCTGACCGTCCTAC</t>
  </si>
  <si>
    <t>CAGTCTGCCCTGACTCAGCCTGCCTCC...GTGTCTGGGTCTCCTGGACAGTCGATCACCATCTCCTGCACTGGAACCAGCAGTGATGTTGGG.........AGTTATAACCTTGTCTCCTGGTACCAAAAGCACCCAGGCAAAGCCCCCAAAGTCTTGATTTATGAGGGC.....................AGTAAGCGGCCCTCAGGGGTTTCT...AATCGCTTCTCTGGCTCCAAG......TCTGGCAACACGGCCTCCCTGACCATCTCTGGGCTCCAGGCTGACGACGAGACTGATTATTACTGCACCTCATATACAAACGACAGCAATTCTCAGGTATTCGGCGGAGGGACCAAGCTGACCGTCCTAC</t>
  </si>
  <si>
    <t>TCAGATGGTGCCTGTG</t>
  </si>
  <si>
    <t>G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</si>
  <si>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TCAGGATCACGGCCAT</t>
  </si>
  <si>
    <t>G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</si>
  <si>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TCAGGATTCAACGCTA</t>
  </si>
  <si>
    <t>GG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</si>
  <si>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TCAGGTATCTGGCGAC</t>
  </si>
  <si>
    <t>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G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</si>
  <si>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TCATTACAGTCAAGCG</t>
  </si>
  <si>
    <t>CATCTACC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</si>
  <si>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TCATTACCAGATTGCT</t>
  </si>
  <si>
    <t>TCCCGATAGATCGATA</t>
  </si>
  <si>
    <t>GAGGGCTGGGGGC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</si>
  <si>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TCCCGATAGCCTATGT</t>
  </si>
  <si>
    <t>TGGGGGCTGGGGTCTCAGGAGGCAGCGCTCTCGGGACGTCTCCACCATGGCCTGGGCTCTGCTATTCCTCACCCTCCTCACTCAGGGCACAGGGTCCTGGGCCCAGTCTGCCCTGACTCAGCCTGCCTCCGTGTCTGGGTCTCCTGGACAGTCGATCACCATCTCCTGCACTGGAAG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</si>
  <si>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TCCCGATCACAGGCCT</t>
  </si>
  <si>
    <t>TCCCGATGTGGTTTCA</t>
  </si>
  <si>
    <t>AGGACTCGGCTTGCTGAAGCGCGCACGGCAAGAGGCGAGGGGCGGCGACT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</si>
  <si>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TCCCGATTCTCCCTGA</t>
  </si>
  <si>
    <t>TTTGGGGGGGGTCACAAGAGGCAGCGCTCTCGGGACGTCTCCACCATGGCCTGGGCTCTGCTGCTCCTCACTCTCCTCACTCAGGACACAGGGTCCTGGGCC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</si>
  <si>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TCGCGAGAGTTAGCGG</t>
  </si>
  <si>
    <t>CACGA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</si>
  <si>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TCGCGAGCAAACCCAT</t>
  </si>
  <si>
    <t>GGCTCCACTATCCAGGGAAGCAGAAGCCTCTGAGCCCAGGCCCAGGTGAGGGTGGGGTGAAGAGAGGAGCTCAAGGTGGAGATTTGCATGCCGGCCCCACCCTCCTCTTTGGCAGAGGGGATAAGACAGGGCTGGGGGCAGGCCCAGTGCTGGGGTCTCAGGAGGCAGCGCTCTCGGGACGTCTCCACCATGGCCTGGGCTCTGCTATTCCTCACCCTCCTCACTCAGGGCACAGGGTCCTGGGCCCAGTCTGCCCTGACTCAACCTGCCTCCGTGTCTGGGTCTCCTGGACAGTCGATCACCATCTCCTGCACTGGAACCAGCAGTGACGTTGGTGGTTATAACTCTGTCTCTTGGTATCAACAAAACCCAGGCAAAGCCCCCAAACTCATGATTTATGATGTCAGTAATCGCTTCTCTGGCTCCAAGTCTGGCAACACGGCCTCCCTGACCATCTCTGGGCTCCAGGCTGACGACGAGACTGATTATTACTGCATCTCATATACAAACGACAC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</si>
  <si>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TTGGTATCAACAAAACCCAGGCAAAGCCCCCAAACTCATGATTTATGATGTCAGTAATCGCTTCTCTGGCTCCAAGTCTGGCAACACGGCCTCCCTGACCATCTCTGGGCTCCAGGCTGACGACGAGACTGATTATTACTGCATCTCATATACAAACGACACCAATTCTCAGGTATTCGGCGGAGGGACCAAGTTGACCGTCCTAG</t>
  </si>
  <si>
    <t>CAGTCTGCCCTGACTCAACCTGCCTCC...GTGTCTGGGTCTCCTGGACAGTCGATCACCATCTCCTGCACTGGAACCAGCAGTGACGTTGGT.........GGTTATAACTCTGTCTCTTGGTATCAACAAAACCCAGGCAAAGCCCCCAAACTCATGATTTATGATGTC.....................AGT........................AATCGCTTCTCTGGCTCCAAG......TCTGGCAACACGGCCTCCCTGACCATCTCTGGGCTCCAGGCTGACGACGAGACTGATTATTACTGCATCTCATATACAAACGACACCAATTCTCAGGTATTCGGCGGAGGGACCAAGTTGACCGTCCTAG</t>
  </si>
  <si>
    <t>TGCATCTCATATACAAACGACACCAATTCTCAGGTATTC</t>
  </si>
  <si>
    <t>GTCTCTTGGTATCAACAAAACCCAGGCAAAGCCCCCAAACTCATGATTTAT</t>
  </si>
  <si>
    <t>........................AATCGCTTCTCTGGCTCCAAG......TCTGGCAACACGGCCTCCCTGACCATCTCTGGGCTCCAGGCTGACGACGAGACTGATTATTACTGC</t>
  </si>
  <si>
    <t>ATCTCATATACAAACGACACCAATTCTCAGGTA</t>
  </si>
  <si>
    <t>CISYTNDTNSQVF</t>
  </si>
  <si>
    <t>TCGCGTTCAATGGAAT</t>
  </si>
  <si>
    <t>TATGGGGGCTGGGGTCTCAGGAGGCAGCGCTCTCGGGACGTCTCCACCATGGCCTGGGCTCTGCTATTCCTCACCCTCCTCACTCAGGGCACAGGTTCCTGGGCCCAGTCTGCCCTGACTCAGCCTGCCTCCGTGTCTGGGTCTCCTGGACAGTCGATCACCATCTCCTGCACTGGAACCAGCAGTGACGTTGGTGGTTATAACTCTGTCTCCTGGTACCAACAAAACCCAGGCAAAGCCCCCAAACTCATGATTTATGATGTCAGTAATCGGCCCTCAGGGATTTCTAATCGCTTCTCTGGCTCCAACTCTGGCAACACGGCCTCCCTGACCATCTCTGGGCTCCAGGC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</si>
  <si>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CTCTGGCAACACGGCCTCCCTGACCATCTCTGGGCTCCAGGCTGACGACGAGACTGATTATTACTGCACCTCATATACAAACGACAGCAATTCTCAGGTATTCGGCGGAGGGACCAAGTTGACCGTCCTAG</t>
  </si>
  <si>
    <t>CAGTCTGCCCTGACTCAGCCTGCCTCC...GTGTCTGGGTCTCCTGGACAGTCGATCACCATCTCCTGCACTGGAACCAGCAGTGACGTTGGT.........GGTTATAACTCTGTCTCCTGGTACCAACAAAACCCAGGCAAAGCCCCCAAACTCATGATTTATGATGTC.....................AGTAATCGGCCCTCAGGGATTTCT...AATCGCTTCTCTGGCTCCAAC......TCTGGCAACACGGCCTCCCTGACCATCTCTGGGCTCCAGGCTGACGACGAGACTGATTATTACTGCACCTCATATACAAACGACAGCAATTCTCAGGTATTCGGCGGAGGGACCAAGTTGACCGTCCTAG</t>
  </si>
  <si>
    <t>AATCGGCCCTCAGGGATTTCT...AATCGCTTCTCTGGCTCCAAC......TCTGGCAACACGGCCTCCCTGACCATCTCTGGGCTCCAGGCTGACGACGAGACTGATTATTACTGC</t>
  </si>
  <si>
    <t>TCGCGTTGTCCGAACC</t>
  </si>
  <si>
    <t>CCGAACCGAGGCTCCGGTTTCTTATATGGGGCTGGGGTCTCAGGAGGCAGCGCTCTCGGGACGTCTCCACCATGGCCTGGGCTCTGCTATTCCTCACCCTCCTCACTCAGGGCGCAGATGATGCCTCCAGGGAAGGGGCTTCGGGGACCTCTGGGCTGATCCTTCGTCTCCTGCTCCTCAGGCTCACCAGGGCCCAGCACTGACTCACTGGCATGTATTTCTCACTCTTTCCAGGGTCCTGGGCCCAGTCTGCCCTGACTCAGCCTGCCTCCGTGTCTGGGTCTCCTGGACAGTCGATCACCATCTCCTGCACTGGAACCAGCAGTGACGTTGGTGGTTATAACTCTGTCTCCTGGTACCAACAAAACCCAGGCAAAGCCCCCAAACTCATGATTTATGATGTCAATAATCGGCCCTCAGGGATTTCTAATCGCTTCTCTGGGTCCAAGTCTGGCAACACGGCCTCCCTGACCATCTCTGGGCTCCAGGCTGACGACGAGACTT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</si>
  <si>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CGTTGGTGGTTATAACTCTGTCTCCTGGTACCAACAAAACCCAGGCAAAGCCCCCAAACTCATGATTTATGATGTCAATAATCGGCCCTCAGGGATTTCTAATCGCTTCTCTGGGTCCAAGTCTGGCAACACGGCCTCCCTGACCATCTCTGGGCTCCAGGCTGACGACGAGACTTATTATT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</si>
  <si>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ATAATCGGCCCTCAGGGATTTCT...AATCGCTTCTCTGGGTCCAAG......TCTGGCAACACGGCCTCCCTGACCATCTCTGGGCTCCAGGCTGACGACGAGACTTATTATTACTGCACCTCATATACAAACGACAGCAATTCTCAGGTATTCGGCGGAGGGACCAAGCTGACCGTCCTAG</t>
  </si>
  <si>
    <t>AATCGGCCCTCAGGGATTTCT...AATCGCTTCTCTGGGTCCAAG......TCTGGCAACACGGCCTCCCTGACCATCTCTGGGCTCCAGGCTGACGACGAGACTTATTATTACTGC</t>
  </si>
  <si>
    <t>TCGGGACAGACTAGGC</t>
  </si>
  <si>
    <t>GGGGGGCAGGCCCAGTGCTGGGGTCTCAGGAGGCAGCGCTCTCGGGACGTCTCCACCATGGCCTGGGCTCTGCTATTCCTCACCCTCCTCACTCAGGGCACAGGGTCCTGGGCCCAGTCTGCCCTGACTCAGCCTGCCTCCGTGTCTGGGTCTCCTGGACAGTCGATCACCATCTCCTGCACTGGAACCAGCAGTGACGTTGGTGGTTATAACTCTGTCTCCTGGTACCAG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</si>
  <si>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TCGGTAATCGTCACGG</t>
  </si>
  <si>
    <t>GGGGGCTGGGGTCTCAGGAGGCAGCGCTCTCGGGACGTCTCCACCATGGCCTGGGCTCTGCTATTCCTCACCCTCCTCACTCAGGGCACAGGGTCCTGGGCCCAGTCTGCCCTGACTCAGCCTGCCTCCGTGTCTGGGTCTCCTGGACAGTCGATCACCATCTCCTGCACTGGAACCAGCAGTGACGTTGGTGGTTATAAGTCTGTCTCCTGGAACCAACAAAACCCAGGCAAAGCCCCCAAACTCATGATTTATGATGTCACTAATCGGCCCTCAGGGATTTCTAATCGCTTCTCTGGGTCCAAGTCTGGCAACACGGCCTCCCTGACCATCTCTGGGCTCCAGGCTGACGACGAGACTGATTATTAT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</si>
  <si>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GTCTGTCTCCTGGAACCAACAAAACCCAGGCAAAGCCCCCAAACTCATGATTTATGATGTCACTAATCGGCCCTCAGGGATTTCTAATCGCTTCTCTGGGTCCAAGTCTGGCAACACGGCCTCCCTGACCATCTCTGGGCTCCAGGCTGACGACGAGACTGATTATTATTGCACCTCATATACAAACGACAGCAATTCTCAGGTATTCGGCGGAGGGACCAAGCTGACCGTCCTAG</t>
  </si>
  <si>
    <t>CAGTCTGCCCTGACTCAGCCTGCCTCC...GTGTCTGGGTCTCCTGGACAGTCGATCACCATCTCCTGCACTGGAACCAGCAGTGACGTTGGT.........GGTTATAAGTCTGTCTCCTGGAACCAACAAAACCCAGGCAAAGCCCCCAAACTCATGATTTATGATGTC.....................ACTAATCGGCCCTCAGGGATTTCT...AATCGCTTCTCTGGGTCCAAG......TCTGGCAACACGGCCTCCCTGACCATCTCTGGGCTCCAGGCTGACGACGAGACTGATTATTATTGCACCTCATATACAAACGACAGCAATTCTCAGGTATTCGGCGGAGGGACCAAGCTGACCGTCCTAG</t>
  </si>
  <si>
    <t>GTCTCCTGGAACCAACAAAACCCAGGCAAAGCCCCCAAACTCATGATTTAT</t>
  </si>
  <si>
    <t>AATCGGCCCTCAGGGATTTCT...AATCGCTTCTCTGGGTCCAAG......TCTGGCAACACGGCCTCCCTGACCATCTCTGGGCTCCAGGCTGACGACGAGACTGATTATTATTGC</t>
  </si>
  <si>
    <t>TCGTAGATCTTGAGGT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</si>
  <si>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</t>
  </si>
  <si>
    <t>TCTATTGCATTTGCCC</t>
  </si>
  <si>
    <t>GGCTGGGGTCACAAGAGGCAGCGCTCTCGGGACGTCTCCACCATGGCCTGGGCTCTGCTGCTCCTCACTCTCCTCACTCAGGA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</si>
  <si>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TCTCTAATCACGAAGG</t>
  </si>
  <si>
    <t>TGTTGTTTCTTATATGGGGGCTGGGGTCTCAGGAGGCAGCGCTCTCGGGACGTCTCCACCATGGCCTGGGCTCTGCTATTCCTCACCCTCCTCACTCAGGGCACAGGGTCCTGGGCCCAGTCTGCCCTGACTCAGCCTGCCTCCGTGTCTGGGTCTCCTGGACAGTCGATCACCATCTCCTGCACTGGAACCACC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</si>
  <si>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CC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</si>
  <si>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CC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</si>
  <si>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TCTGAGATCACATAGC</t>
  </si>
  <si>
    <t>TCTGGAAGTGAGTATA</t>
  </si>
  <si>
    <t>ATAAAGCACAATATTTCTTATATGGGGGCTGGGGTCTCAGGAGGCAGCGCTCTCGGGACGTCTCCACCATGGCCTGGGCTCTGCTATTCCTCACCCTCCTCACTCAGGGCACAGGGTCCTGGGCCCAGTCTGCCCTGACTCAGCCTGCCTCCGTGTCTGGGTCTCCTGGACAGTCGATCACCATCTCCTGCAATAACTCTGTCTCCTGGTACCAACAAAACCCAGGCAAAGCCCCCAAACTCATGATTTATGATGTCAGTAATCGGCCCTCAGGGATTTCTAATCGCTTCTCTGGCTCCAAGTCTGT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</si>
  <si>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ATAACTCTGTCTCCTGGTACCAACAAAACCCAGGCAAAGCCCCCAAACTCATGATTTATGATGTCAGTAATCGGCCCTCAGGGATTTCTAATCGCTTCTCTGGCTCCAAGTCTGTCAACACGGCCTCCCTGACCATCTCTGGGCTCCAGGCTGACGACGAGACTGATTATTACTGCACCTCATATACAAACGACAGCAATTCTCAGGTATTCGGCGGAGGGACCAAGCTGACCGTCCTAC</t>
  </si>
  <si>
    <t>CAGTCTGCCCTGACTCAGCCTGCCTCC...GTGTCTGGGTCTCCTGGACAGTCGATCACCATCTCCTGC....................................AATAACTCTGTCTCCTGGTACCAACAAAACCCAGGCAAAGCCCCCAAACTCATGATTTATGATGTC.....................AGTAATCGGCCCTCAGGGATTTCT...AATCGCTTCTCTGGCTCCAAG......TCTGTCAACACGGCCTCCCTGACCATCTCTGGGCTCCAGGCTGACGACGAGACTGATTATTACTGCACCTCATATACAAACGACAGCAATTCTCAGGTATTCGGCGGAGGGACCAAGCTGACCGTCCTAC</t>
  </si>
  <si>
    <t>CAGTCTGCCCTGACTCAGCCTGCCTCC...GTGTCTGGGTCTCCTGGACAGTCGATCACCATCTCCTGC.........</t>
  </si>
  <si>
    <t>...........................AATAACTCT</t>
  </si>
  <si>
    <t>TCTTCGGCAGGTGCCT</t>
  </si>
  <si>
    <t>TGGGGGCTGGGGTCTCAGGAGGCAGCGCTCTCGGGACGTCTCCACCATGGCCTGGGCTCTGCTATTCCTCACCCTCCTCACTCAGGGCACAGGGTCCTGGGCCCAGTCTGCCCTGACTCAGCCTGCCTCCGTGTCTGGGTCTCCTGGACAGTCGATCACCATCTCCTGCACTGGAACCAACAGTGATGTTGGGAGTTATAACCTTGTCTCCTGGTACCAAAAC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</si>
  <si>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TCTTCGGCATCCAACA</t>
  </si>
  <si>
    <t>A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</si>
  <si>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TCTTTCCTCACGCGGT</t>
  </si>
  <si>
    <t>TCTGGGGGCTGGGGTCTCAGGAGGCAGCGCTCTCGGGACGTCTCCACCATGGCCTGGGCTCTGCTATTCCTCACCCTCCTCACTCAGGGCACAGGGTCCTGGGCCCAGTCTGCCCTGACTCAGCCTGCCTCCGTGTCTGGGTCTCCTGGACAGTCGATCACCATCTCCTGCACTGGAACCAGCAGTGACGTTGGTGA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</si>
  <si>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A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</si>
  <si>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A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</si>
  <si>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TCTTTCCTCATACGGT</t>
  </si>
  <si>
    <t>TGACAACAGCTACCTA</t>
  </si>
  <si>
    <t>TAG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</si>
  <si>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TGACAACAGTCATGCT</t>
  </si>
  <si>
    <t>GACACTTTGTGC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</t>
  </si>
  <si>
    <t>GTCCACTATCCAGGGAAGCAGAAGCCTCTGAGCCCAGGCCCAGGTGAGGGTGGGGTGAAGAGAGGAGCTCAAGGTGGAGATTTGCATGCCGGCCCCACCCTCCTCTTTGGCAGAGGGGATAAGACAGGGCTGGGGGCAGGCCCAGTGCTGGGGTCTCAGGAGGCAGCGCTCTCGGGACGTCTCCACCATGGCCTGGGCTCTGCTATTCCTCACCCTCCTCACTCAGGGCACAGGGTCCTGGGCCCAGTCTGCCCTGACTCAGCCTGCCTCCGTGTCTGGGTCTCCTGGACAGTCGATCACCATCTCCTGCACTGGAACCAGCAGTGACGTTGGTGGTTATAACTCTGTCTCCTGGTACCAACAAAACCCAGGCAAAGCCCCCAAACTCATGATTTATGATGTCACTAATCGGCCCTCAGGGATTTCTAATCGCTTCTCTGGCTGCAAGTCTGGCAACACGGCCTCCCTGACCATCTCTGGGTTCCAGGCTGACGACGAGACTGATTATC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</si>
  <si>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CTAATCGGCCCTCAGGGATTTCTAATCGCTTCTCTGGCTGCAAGTCTGGCAACACGGCCTCCCTGACCATCTCTGGGTTCCAGGCTGACGACGAGACTGATTATCACTG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</si>
  <si>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CTAATCGGCCCTCAGGGATTTCT...AATCGCTTCTCTGGCTGCAAG......TCTGGCAACACGGCCTCCCTGACCATCTCTGGGTTCCAGGCTGACGACGAGACTGATTATCACTGCACCTCATATACAAACGACAGCAATTCTCAGGTATTCGGCGGAGGGACCAAGCTGACCGTCCTAG</t>
  </si>
  <si>
    <t>AATCGGCCCTCAGGGATTTCT...AATCGCTTCTCTGGCTGCAAG......TCTGGCAACACGGCCTCCCTGACCATCTCTGGGTTCCAGGCTGACGACGAGACTGATTATCACTGC</t>
  </si>
  <si>
    <t>TGACAACTCAACGCTA</t>
  </si>
  <si>
    <t>GG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</t>
  </si>
  <si>
    <t>TGAGAGGGTGCACCAC</t>
  </si>
  <si>
    <t>TGAGCATAGGGTCGAT</t>
  </si>
  <si>
    <t>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ACTGCGCTCGTTGACAGTAGACGACACGGCCGTCTACTTTTGTACTAGGGGAAAAAACTGTGATTACAATTGGGACTTCGAACACTGGGGCCGGGGCACCCCGGTCATCGTCTCATCAGGGAGTGCATCCGCCCCAACCCTTTTCCCCCTCGTCTCCTGTGAGAATTCCCCGTCGGATACGAGCAGCGTGGCCGTTGGCTGCCTCGCACAGGACTTCCTTCC</t>
  </si>
  <si>
    <t>CAGGTGCAGCTGGTGCAGTCTGGAGGTCAGATGAAGAAGCCTGGCGAGTCGATGAGAATTTCTTGTCGGGCTTCTGGATATGAATTTATTGATTGTACGCTAAATTGGATTCGTCTGGCCCCCGGAAAAAGGCCTGAGTGGATGGGATGGCTGAAGCCTCGGGGGGGGGCCGTCAACTACGCACGTCCACTTCAGGGCAGAGTGACCATGACTCGAGACGTTTATTCCGACACAGCCTTTTTGGAACTGCGCTCGTTGACAGTAGACGACACGGCCGTCTACTTTTGTACTAGGGGAAAAAACTGTGATTACAATTGGGACTTCGAACACTGGGGCCGGGGCACCCCGGTCATCGTCTCATCAG</t>
  </si>
  <si>
    <t>CAGGTGCAGCTGGTGCAGTCTGGAGGT...CAGATGAAGAAGCCTGGCGAGTCGATGAGAATTTCTTGTCGGGCTTCTGGATATGAATTT............ATTGATTGTACGCTAAATTGGATTCGTCTGGCCCCCGGAAAAAGGCCTGAGTGGATGGGATGGCTGAAGCCTCGG......GGGGGGGCCGTCAACTACGCACGTCCACTTCAG...GGCAGAGTGACCATGACTCGAGACGTTTATTCCGACACAGCCTTTTTGGAACTGCGCTCGTTGACAGTAGACGACACGGCCGTCTACTTTTGTACTAGGGGAAAAAACTGTGATTACAATTGGGACTTCGAACACTGGGGCCGGGGCACCCCGGTCATCGTCTCATCAG</t>
  </si>
  <si>
    <t>AACTACGCACGTCCACTTCAG...GGCAGAGTGACCATGACTCGAGACGTTTATTCCGACACAGCCTTTTTGGAACTGCGCTCGTTGACAGTAGACGACACGGCCGTCTACTTTTGT</t>
  </si>
  <si>
    <t>TATTTGGGGGCTGGGGTCTCAGGAGGCAGCGCTCTCGGGACGTCTCCACCATGGCCTGGGCTCTGCTATTCCTCACCCTCCTCACTCAGGGCACAGGGTCCTGGGCCCAGTCTGCCCTGACTCAGCCTGCCTCCGTGTCTGGGTCTCCTGGACAGTCGATCACCATCTCCTGCACTGGAACCAGCAGTGACGTTGGTGGTTATAAGTCTGTCTCCTT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</si>
  <si>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GTCTGTCTCCTT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</si>
  <si>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GGTTATAAGTCTGTCTCCTT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</si>
  <si>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GTCTCCTTGTACCAACAAAACCCAGGCAAAGCCCCCAAACTCATGATTTAT</t>
  </si>
  <si>
    <t>TGAGGGAGTACTTAGC</t>
  </si>
  <si>
    <t>GGGGCTGGGGTCTCAGGAGGCAGCGCTCTCGGGACGTCTCCACCATGGCCTGGGCTCTGCTATTCCTCACCCTCCTCACTCAGGGCACAGGGTCCTGGGCCCAGTCTGCCCTGACTCAGCCTGCCTCCGTGTCTGGGTCTCCTGGACAGTCGATCACCATCTCCTGCACTGGAACCAGCAGTGACGTTGGTGGTTATGACTCTGTCTCCTGGTACCAACAAAACCCAGGCAAAGCCCCCAAACTCATGATTTATGATGTCAGTAATCGGCCCTCAGGGATTTCTAATCGCTTCTCTGGCTCCAAGTCTGGCAACACGGCCTCCCTGACCATCTCTGGGCTCCAGGCTGACGACGAGACTGATTATTACTGCACCTCATATACAAACGACATCAATTCTCACGTATTCGGCGGAGGGACCAAGCTGACCGTCCTAGGTCAGCCCAAGGCTGCCCCCTCGGTCACTCTGTTCCCGCCCTCCTCTGAGGAGCTTCAAGCCAACAAGGCCACACTGGTGTGTCTCATAAGTGACTTCTACCCGGGAGCCGTGACAGTGGCCTGGAAGGCAGATAGCAGCCCCGTCAAGGCGGGAGTGGAGACCACCACACCCTCCAAACAAAGCAACAACAAGTACGCGGCCAGCAGCTACC</t>
  </si>
  <si>
    <t>CAGTCTGCCCTGACTCAGCCTGCCTCCGTGTCTGGGTCTCCTGGACAGTCGATCACCATCTCCTGCACTGGAACCAGCAGTGACGTTGGTGGTTATGACTCTGTCTCCTGGTACCAACAAAACCCAGGCAAAGCCCCCAAACTCATGATTTATGATGTCAGTAATCGGCCCTCAGGGATTTCTAATCGCTTCTCTGGCTCCAAGTCTGGCAACACGGCCTCCCTGACCATCTCTGGGCTCCAGGCTGACGACGAGACTGATTATTACTGCACCTCATATACAAACGACATCAATTCTCACGTATTCGGCGGAGGGACCAAGCTGACCGTCCTAG</t>
  </si>
  <si>
    <t>CAGTCTGCCCTGACTCAGCCTGCCTCC...GTGTCTGGGTCTCCTGGACAGTCGATCACCATCTCCTGCACTGGAACCAGCAGTGACGTTGGT.........GGTTATGACTCTGTCTCCTGGTACCAACAAAACCCAGGCAAAGCCCCCAAACTCATGATTTATGATGTC.....................AGTAATCGGCCCTCAGGGATTTCT...AATCGCTTCTCTGGCTCCAAG......TCTGGCAACACGGCCTCCCTGACCATCTCTGGGCTCCAGGCTGACGACGAGACTGATTATTACTGCACCTCATATACAAACGACATCAATTCTCACGTATTCGGCGGAGGGACCAAGCTGACCGTCCTAG</t>
  </si>
  <si>
    <t>TGCACCTCATATACAAACGACATCAATTCTCACGTATTC</t>
  </si>
  <si>
    <t>ACCTCATATACAAACGACATCAATTCTCACGTA</t>
  </si>
  <si>
    <t>CTSYTNDINSHVF</t>
  </si>
  <si>
    <t>TGCACCTCAGTCCTTC</t>
  </si>
  <si>
    <t>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GTGATTATTGCTGCACCTCATATACAAACA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</si>
  <si>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GGTGATTATTGCTGCACCTCATATACAAACAACAGCAATTCTCAGGTATTCGGCGGAGGGACCAAGCTGACCGTCCTAG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</si>
  <si>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GGTGATTATTGCTGCACCTCATATACAAACAACAGCAATTCTCAGGTATTCGGCGGAGGGACCAAGCTGACCGTCCTAG</t>
  </si>
  <si>
    <t>AATCGGCCCTCAGGGATTTCT...AATCGCTTCTCTGGCTCCAAG......TCTGGCAACACGGCCTCCCTGACCATCTCTGGGCTCCAGGCTGACGACGAGGGTGATTATTGCTGC</t>
  </si>
  <si>
    <t>TGCCAAAAGATGGGTC</t>
  </si>
  <si>
    <t>GG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</si>
  <si>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TGGGGGCTGGGGTCTCAGGAGGCAGCGCTCTCGGGACGTCTCCACCATGGCCTGGGCTCTGCTATTCCTCACCCTCCTCACTCAGGGCACAGGGTCCTGGGCCCAGTCTGCCCTGACTCAGCCTGCCTCCGTGTGTGGGTCTCCTGGACAGTCGATCACCATCTCCTGCACTGGAACCAGCAGTGACGTTGGTGGTTATAACTCTGTCTCCTGGTACCAACAAAACCCAGGCAAAGCCCCCAAACTCATGATTTATGATGTCAGTAATCGGCCCTCAGGGATTTCTAATCGCTTCTCTGGCTCGAAGTCTGGCAACACGGCCTCCCTGACCATCTCTGGGCTCCAGGCTGACGACGAGACC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</si>
  <si>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GTGGGTCTCCTGGACAGTCGATCACCATCTCCTGCACTGGAACCAGCAGTGACGTTGGTGGTTATAACTCTGTCTCCTGGTACCAACAAAACCCAGGCAAAGCCCCCAAACTCATGATTTATGATGTCAGTAATCGGCCCTCAGGGATTTCTAATCGCTTCTCTGGCTCGAAGTCTGGCAACACGGCCTCCCTGACCATCTCTGGGCTCCAGGCTGACGACGAGACCGATTATTACTGCACCTCATATACAAACGACAGCAATTCTCAGGTATTCGGCGGAGGGACCAAGCTGACCGTCCTAG</t>
  </si>
  <si>
    <t>CAGTCTGCCCTGACTCAGCCTGCCTCC...GTGTGTGGGTCTCCTGGACAGTCGATCACCATCTCCTGCACTGGAACCAGCAGTGACGTTGGT.........GGTTATAACTCTGTCTCCTGGTACCAACAAAACCCAGGCAAAGCCCCCAAACTCATGATTTATGATGTC.....................AGTAATCGGCCCTCAGGGATTTCT...AATCGCTTCTCTGGCTCGAAG......TCTGGCAACACGGCCTCCCTGACCATCTCTGGGCTCCAGGCTGACGACGAGACCGATTATTACTGCACCTCATATACAAACGACAGCAATTCTCAGGTATTCGGCGGAGGGACCAAGCTGACCGTCCTAG</t>
  </si>
  <si>
    <t>CAGTCTGCCCTGACTCAGCCTGCCTCC...GTGTGTGGGTCTCCTGGACAGTCGATCACCATCTCCTGCACTGGAACC</t>
  </si>
  <si>
    <t>AATCGGCCCTCAGGGATTTCT...AATCGCTTCTCTGGCTCGAAG......TCTGGCAACACGGCCTCCCTGACCATCTCTGGGCTCCAGGCTGACGACGAGACCGATTATTACTGC</t>
  </si>
  <si>
    <t>TGCCAAAGTGGTCCGT</t>
  </si>
  <si>
    <t>G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</si>
  <si>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GGCAGAGGGGATAAGACAGGGCTGGGGGCAGGCCCAGTGCTGGGGTCTCAGGAGGCAGCGCTCTCGGGACGTCTCCACCATGGCCTGGGCTCTGGTATTCCTCACCCTCCTCACTCAGGGCACAGGGTCCTGGGCCCAGTCTGCCCTGACTCAGCCTGCCTCCGTGTCTGGGTCTCCTGGACAGTCGATCACCATCTCCTGCACTGGAACCAGCAGTGACGTTGGTGGTTATAACTATGTCTCCTGGTACCAACAAAACCCAGGCAAAGCCCCCAAAGTCATGATTTATGATGTCAGTAATCGGCCCTCAGGGATTTCT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</si>
  <si>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GTCATGATTTATGATGTCAGTAATCGGCCCTCAGGGATTTCTAATCGCTTCTCTGGCTCCAAGTCTGGCAACACGGCCTCCCTGACCATCTCTGGGCTCCAGGCTGACGACGAGGCTGATTATTACTGCACCTCATATACAAACGACAGCAATTCTCAGGTATTCGGCGGAGGGACCAAGCTGACCGTCCTAG</t>
  </si>
  <si>
    <t>CAGTCTGCCCTGACTCAGCCTGCCTCC...GTGTCTGGGTCTCCTGGACAGTCGATCACCATCTCCTGCACTGGAACCAGCAGTGACGTTGGT.........GGTTATAACTATGTCTCCTGGTACCAACAAAACCCAGGCAAAGCCCCCAAAGTCATGATTTATGATGTC.....................AGTAATCGGCCCTCAGGGATTTCT...AATCGCTTCTCTGGCTCCAAG......TCTGGCAACACGGCCTCCCTGACCATCTCTGGGCTCCAGGCTGACGACGAGGCTGATTATTACTGCACCTCATATACAAACGACAGCAATTCTCAGGTATTCGGCGGAGGGACCAAGCTGACCGTCCTAG</t>
  </si>
  <si>
    <t>TGCCCATAGTACTTGC</t>
  </si>
  <si>
    <t>GTCGAAGTTTTCTTATATGGGGGCTGGGGTCTCAGGAGGCAGCGCTCTCGGGACGTCTCCACCATGGCCTGGGCTCTGCTATTCCTCACCCTCCTCACTCAGGGCACAGGGTCCTGGGCCCAGTCTGCCCTGACTCAGCCTGCCTCCGTGTCTGGGTCTCCTGGACAGTCGATCACCATCTCCTGCACTGGAACCAGCAGTGACGTTGGTGGTTATAACTCTGTCTCCTGGTACCAACAAAACCCAGGCAAAGACCCCAAACTCATGATTTATGATGTCAGTAATCGGCCCTCAGGGATTTCTAATCGCTTCTCTGGCTCCAAGTCTGGCAACACGGCCTCCCTGACCATCTCTGGGCTCCAGGT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</si>
  <si>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TGCCCATGTCTCTTTA</t>
  </si>
  <si>
    <t>TGCCCATTCTCGAGTA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</si>
  <si>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T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</si>
  <si>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T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</si>
  <si>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TTCAGGTATTCGGCGGAGGGACCAAGCTGACCGTCCTAG</t>
  </si>
  <si>
    <t>TGCACCTCATATACAAACGACAGCAATTTTCAGGTATTC</t>
  </si>
  <si>
    <t>ACCTCATATACAAACGACAGCAATTTTCAGGTA</t>
  </si>
  <si>
    <t>CTSYTNDSNFQVF</t>
  </si>
  <si>
    <t>TGCGCAGGTCAGATAA</t>
  </si>
  <si>
    <t>TTATATGGGGGCTGGGGTCTCAGGAGGCAGCGCTCTCGGGACGTCTCCACCATGGCCTGGGCTCTGCTATTCCTCACCCTCCTCACTCAGGGCACAGGGTCCTGGGCCCAGTCTGCCCTGACTCAGCCTGCCTCCGTGTCTGGGTCTCCTGGACAGTCGATCACCATCTCCTGCACTGGAACCAGCAGTGACGTTGGTGCTTATAACTCTGTCTCCTGGTACCAACAAAACCCAGGCAAAGCCCCCAAACTCATGATTTATGATGTCAGTAATCGGCCCTCAGAGATTTCTAATCGCTTCTCTGCCTCCAAGTCTGGCAACACGGCCTCCCTGACCATCTCTGGGCTCCAGGCTGACGACGAGACTAATTATTACTACACCTCATATACAAACGACAGCAATTCTCAGGTATTCGGCGGAGGGACCAAGCTGACCGTCCTAC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</si>
  <si>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CTTATAACTCTGTCTCCTGGTACCAACAAAACCCAGGCAAAGCCCCCAAACTCATGATTTATGATGTCAGTAATCGGCCCTCAGAGATTTCTAATCGCTTCTCTGCCTCCAAGTCTGGCAACACGGCCTCCCTGACCATCTCTGGGCTCCAGGCTGACGACGAGACTAATTATTACTACACCTCATATACAAACGACAGCAATTCTCAGGTATTCGGCGGAGGGACCAAGCTGACCGTCCTAC</t>
  </si>
  <si>
    <t>CAGTCTGCCCTGACTCAGCCTGCCTCC...GTGTCTGGGTCTCCTGGACAGTCGATCACCATCTCCTGCACTGGAACCAGCAGTGACGTTGGT.........GCTTATAACTCTGTCTCCTGGTACCAACAAAACCCAGGCAAAGCCCCCAAACTCATGATTTATGATGTC.....................AGTAATCGGCCCTCAGAGATTTCT...AATCGCTTCTCTGCCTCCAAG......TCTGGCAACACGGCCTCCCTGACCATCTCTGGGCTCCAGGCTGACGACGAGACTAATTATTACTACACCTCATATACAAACGACAGCAATTCTCAGGTATTCGGCGGAGGGACCAAGCTGACCGTCCTAC</t>
  </si>
  <si>
    <t>AATCGGCCCTCAGAGATTTCT...AATCGCTTCTCTGCCTCCAAG......TCTGGCAACACGGCCTCCCTGACCATCTCTGGGCTCCAGGCTGACGACGAGACTAATTATTACTAC</t>
  </si>
  <si>
    <t>TGCGCAGGTTAAGATG</t>
  </si>
  <si>
    <t>GG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</t>
  </si>
  <si>
    <t>TATCTGGGGGGGGTCACAAGAGGCAGCGCTCTCGGGACGTCTCCACCATGGCCTGGGCTCTGCTGCTCCTCACTCTCCTCACTCAGGACACAGGGTCCTGGGCCCAGTCTGCCCTGACTCAGCCTGCCTCCGTGTCTGGGTCTCCTGGACAGTCGATCACCATCTCCTGCACTGGAACCAACAGTGATGTTGGGAGTTATAACCTTGTCTCCTGGCCCTCAGGGGTTTCTAATCGCTTCTCTGGCTCCAAGTCTGGCAACACGGCCTCCCTGACCATCTCTGGGCTCCAGGCTGACGACGAGACTGATTATTACTGCACCTCATATACAAACGACAGCAATTCTCAGGTATTCGGCGGAGGGACCAAGT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</si>
  <si>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CAGTCTGCCCTGACTCAGCCTGCCTCCGTGTCTGGGTCTCCTGGACAGTCGATCACCATCTCCTGCACTGGAACCAACAGTGATGTTGGGAGTTATAACCTTGTCTCCTGGCCCTCAGGGGTTTCTAATCGCTTCTCTGGCTCCAAGTCTGGCAACACGGCCTCCCTGACCATCTCTGGGCTCCAGGCTGACGACGAGACTGATTATTACTGCACCTCATATACAAACGACAGCAATTCTCAGGTATTCGGCGGAGGGACCAAGTTGACCGTCCTAG</t>
  </si>
  <si>
    <t>CAGTCTGCCCTGACTCAGCCTGCCTCC...GTGTCTGGGTCTCCTGGACAGTCGATCACCATCTCCTGCACTGGAACCAACAGTGATGTTGGG.........AGTTATAACCTTGTCTCCTGG..............................................................................CCCTCAGGGGTTTCT...AATCGCTTCTCTGGCTCCAAG......TCTGGCAACACGGCCTCCCTGACCATCTCTGGGCTCCAGGCTGACGACGAGACTGATTATTACTGCACCTCATATACAAACGACAGCAATTCTCAGGTATTCGGCGGAGGGACCAAGTTGACCGTCCTAG</t>
  </si>
  <si>
    <t>GTCTCCTGG..........................................</t>
  </si>
  <si>
    <t>......CCCTCAGGGGTTTCT...AATCGCTTCTCTGGCTCCAAG......TCTGGCAACACGGCCTCCCTGACCATCTCTGGGCTCCAGGCTGACGACGAGACTGATTATTACTGC</t>
  </si>
  <si>
    <t>TGCGGGTAGAGCCCAA</t>
  </si>
  <si>
    <t>G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</t>
  </si>
  <si>
    <t>CAACCTTACATA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GCATCTCTGGGCTCCAGGCTGACGACGAGACTGATTATTACTGCACCTCATATACAAACGACAGCAATTCTCACGTATTCGGCGGAA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</si>
  <si>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GCATCTCTGGGCTCCAGGCTGACGACGAGACTGATTATTACTGCACCTCATATACAAACGACAGCAATTCTCACGTATTCGGCGGAA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</si>
  <si>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GCATCTCTGGGCTCCAGGCTGACGACGAGACTGATTATTACTGCACCTCATATACAAACGACAGCAATTCTCACGTATTCGGCGGAAGGACCAAGCTGACCGTCCTAG</t>
  </si>
  <si>
    <t>AATCGGCCCTCAGGGATTTCT...AATCGCTTCTCTGGCTCCAAG......TCTGGCAACACGGCCTCCCTGAGCATCTCTGGGCTCCAGGCTGACGACGAGACTGATTATTACTGC</t>
  </si>
  <si>
    <t>TTCGGCGGAAGGACCAAGCTGACCGTCCTAG</t>
  </si>
  <si>
    <t>TGCGTGGGTGTAAGTA</t>
  </si>
  <si>
    <t>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A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</si>
  <si>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TGCTACCAGCAGGTCA</t>
  </si>
  <si>
    <t>GAGGAGTCAGACTCAGTCAGGACACAGCTCTAGACCACCATGGGATGGTCATGTACCATCCTTTTTCTAGTAGCAAA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</t>
  </si>
  <si>
    <t>CAGCAACGGTTT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T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</si>
  <si>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TCACCTCATATACAAACGACAG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</si>
  <si>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TCACCTCATATACAAACGACAGCAATTCTCAGGTATTCGGCGGAGGGACCAAGCTGACCGTCCTAG</t>
  </si>
  <si>
    <t>TTCACCTCATATACAAACGACAGCAATTCTCAGGTATTC</t>
  </si>
  <si>
    <t>AATCGGCCCTCAGGGATTTCT...AATCGCTTCTCTGGCTCCAAG......TCTGGCAACACGGCCTCCCTGACCATCTCTGGGCTCCAGGCTGACGACGAGACTGATTATTACTTC</t>
  </si>
  <si>
    <t>TGCTACCTCTGTCCGT</t>
  </si>
  <si>
    <t>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</t>
  </si>
  <si>
    <t>GTCGC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C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</si>
  <si>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CCTG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</si>
  <si>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CCTGCACCTCATATACAAACGACAGCAATTCTCAGGTATTCGGCGGAGGGACCAAGCTGACCGTCCTAC</t>
  </si>
  <si>
    <t>AATCGGCCCTCAGGGATTTCT...AATCGCTTCTCTGGCTCCAAG......TCTGGCAACACGGCCTCCCTGACCATCTCTGGGCTCCAGGCTGACGACGAGACTGATTATTCCTGC</t>
  </si>
  <si>
    <t>TGCTGCTAGAGACTAT</t>
  </si>
  <si>
    <t>ATTGCGTTATTTTCTTATATGGGGGCTGGGGTCTCAGGAGGCAGCGCTCTCGGGACGTCTCCACCATGGCCTGGGCTCTGCTATTCCTCACCCTCCTCACTCAGGGCACAGGGTCCTGGGCCCAGTCTGCCCTGACTCAGCCTGCCTCCGTGTCTGGGTCTCCTGGACAGTCGATCACCATCTCCTGCACTGGAACCAGCAGTGACCTTGGTGCTTATAACTCTGTCTCCTGGTACCAACAAAACCCAGGCAAAGCCCCCAAACTCATGATTTATGATGTCAGTAATCGGCCCTCAGGGATTTCTAATCGCTTCTCTGGCTCCAAGTCTGGCAACACGGCCTCCCTGACCATCTCTGGGCTCCAGGCTGACGACGAGACTGATTATTACTGCACCTCATATACAAACGACAGCAATTCTCAGGTATTCGGCGGAGGGACCAAGCTGACCA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</si>
  <si>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CTTGGTGCTTATAACTCTGTCTCCTGGTACCAACAAAACCCAGGCAAAGCCCCCAAACTCATGATTTATGATGTCAGTAATCGGCCCTCAGGGATTTCTAATCGCTTCTCTGGCTCCAAGTCTGGCAACACGGCCTCCCTGACCATCTCTGGGCTCCAGGCTGACGACGAGACTGATTATTACTGCACCTCATATACAAACGACAGCAATTCTCAGGTATTCGGCGGAGGGACCAAGCTGACCATCCTAG</t>
  </si>
  <si>
    <t>CAGTCTGCCCTGACTCAGCCTGCCTCC...GTGTCTGGGTCTCCTGGACAGTCGATCACCATCTCCTGCACTGGAACCAGCAGTGACCTTGGT.........GCTTATAACTCTGTCTCCTGGTACCAACAAAACCCAGGCAAAGCCCCCAAACTCATGATTTATGATGTC.....................AGTAATCGGCCCTCAGGGATTTCT...AATCGCTTCTCTGGCTCCAAG......TCTGGCAACACGGCCTCCCTGACCATCTCTGGGCTCCAGGCTGACGACGAGACTGATTATTACTGCACCTCATATACAAACGACAGCAATTCTCAGGTATTCGGCGGAGGGACCAAGCTGACCATCCTAG</t>
  </si>
  <si>
    <t>TTCGGCGGAGGGACCAAGCTGACCATCCTAG</t>
  </si>
  <si>
    <t>AGCAGTGACCTTGGT.........GCTTATAACTCT</t>
  </si>
  <si>
    <t>TGCTGCTGTGCTGTAT</t>
  </si>
  <si>
    <t>TGCTGCTGTGTGACGA</t>
  </si>
  <si>
    <t>GGGG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GTCATCGTCTCATCAGGGAGTGCATCCGCCCCAACCCTTTTCCCCCTCGTCTCCTGTGAGAATTCCCCGTCGGATACGAGCAGCGTGGCCGTTGGCTGCCTCGCACAGGACTTCCTTCCCGACTCCATCACTTTCTCCTGGA</t>
  </si>
  <si>
    <t>TGCTGCTGTGTGACGACCGGCCTCAATTTCATATGGGGGCTGGGGTCTCAGGAGGCAGCGCTCTCGGGACGTCTCCACCATGGCCTGGGCTCTGCTATTCCTCACCCTCCTCACTCAGGGCACAGGGTCCTGGGCCCAGTCTGCCCTGACTCAGCCTGCCTCCGTGTCTGGGTCTCCTGGACAGTCGATCACCATCTCCTGCACTGGAACCAGCAGTGACGTTGGTGGTTACAAGTCTGTCTCCTGGTACCAACAAAACCCAGGCAAAGCCGCCAAACTCATGATTTATGATGTCAGTAATCGGCCCTCAGGGATTTCTAATCGCTTCTCTGGCTCCAAGTCTGGCAACACGGCCTCCCTGACCATCTCTGGGCTCCAGGCTGACGACGAGACTGATTATTACTGG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</si>
  <si>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CAAGTCTGTCTCCTGGTACCAACAAAACCCAGGCAAAGCCGCCAAACTCATGATTTATGATGTCAGTAATCGGCCCTCAGGGATTTCTAATCGCTTCTCTGGCTCCAAGTCTGGCAACACGGCCTCCCTGACCATCTCTGGGCTCCAGGCTGACGACGAGACTGATTATTACTGGACCTCATATACAAACGACAGCAATTCTCAGGTATTCGGCGGAGGGACCAAGCTGACCGTCCTAC</t>
  </si>
  <si>
    <t>CAGTCTGCCCTGACTCAGCCTGCCTCC...GTGTCTGGGTCTCCTGGACAGTCGATCACCATCTCCTGCACTGGAACCAGCAGTGACGTTGGT.........GGTTACAAGTCTGTCTCCTGGTACCAACAAAACCCAGGCAAAGCCGCCAAACTCATGATTTATGATGTC.....................AGTAATCGGCCCTCAGGGATTTCT...AATCGCTTCTCTGGCTCCAAG......TCTGGCAACACGGCCTCCCTGACCATCTCTGGGCTCCAGGCTGACGACGAGACTGATTATTACTGGACCTCATATACAAACGACAGCAATTCTCAGGTATTCGGCGGAGGGACCAAGCTGACCGTCCTAC</t>
  </si>
  <si>
    <t>TGGACCTCATATACAAACGACAGCAATTCTCAGGTATTC</t>
  </si>
  <si>
    <t>GTCTCCTGGTACCAACAAAACCCAGGCAAAGCCGCCAAACTCATGATTTAT</t>
  </si>
  <si>
    <t>AATCGGCCCTCAGGGATTTCT...AATCGCTTCTCTGGCTCCAAG......TCTGGCAACACGGCCTCCCTGACCATCTCTGGGCTCCAGGCTGACGACGAGACTGATTATTACTGG</t>
  </si>
  <si>
    <t>AGCAGTGACGTTGGT.........GGTTACAAGTCT</t>
  </si>
  <si>
    <t>TGCTGCTTCGTAGGAG</t>
  </si>
  <si>
    <t>TGGGGGCTGGGGTCTCAGGAGGCAGCGCTCTCGGGACGTCTCCACCATGGCCTGGGCTCTGCTATTCCTCACCCTCCTCACTCAGGGCACAGGGTCCTGGGCCCAGTCTGCCCTGACTCAGCCTGCCTCCGTGTCTGGGTCTCCTGGACAGTCGATCACCATCTCCTGCAATGGAACCAGCAGTGACATTGGTGGTTATAAGTCTGTCTCCTGGTACCAACAAAACCCAGGCAAAGCCCCCAAAGTCAAGATTTATGATGTCAGTAATCGGCCCTCAGGGATTTCTAATCGCTTCTCTGGCTCCAAGTCTGGCAACACGGCCTCCCTGACCATCTCTGGGCTCCAGGCTGACGACGAGACTGATTATTACTGCACCTCATATACAAACGACAA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</si>
  <si>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ATGGAACCAGCAGTGACATTGGTGGTTATAAGTCTGTCTCCTGGTACCAACAAAACCCAGGCAAAGCCCCCAAAGTCAAGATTTATGATGTCAGTAATCGGCCCTCAGGGATTTCTAATCGCTTCTCTGGCTCCAAGTCTGGCAACACGGCCTCCCTGACCATCTCTGGGCTCCAGGCTGACGACGAGACTGATTATTACTGCACCTCATATACAAACGACAACAATTCTCAGGTATTCGGCGGAGGGACCAAGCTGACCGTCCTAC</t>
  </si>
  <si>
    <t>CAGTCTGCCCTGACTCAGCCTGCCTCC...GTGTCTGGGTCTCCTGGACAGTCGATCACCATCTCCTGCAATGGAACCAGCAGTGACATTGGT.........GGTTATAAGTCTGTCTCCTGGTACCAACAAAACCCAGGCAAAGCCCCCAAAGTCAAGATTTATGATGTC.....................AGTAATCGGCCCTCAGGGATTTCT...AATCGCTTCTCTGGCTCCAAG......TCTGGCAACACGGCCTCCCTGACCATCTCTGGGCTCCAGGCTGACGACGAGACTGATTATTACTGCACCTCATATACAAACGACAACAATTCTCAGGTATTCGGCGGAGGGACCAAGCTGACCGTCCTAC</t>
  </si>
  <si>
    <t>CAGTCTGCCCTGACTCAGCCTGCCTCC...GTGTCTGGGTCTCCTGGACAGTCGATCACCATCTCCTGCAATGGAACC</t>
  </si>
  <si>
    <t>GTCTCCTGGTACCAACAAAACCCAGGCAAAGCCCCCAAAGTCAAGATTTAT</t>
  </si>
  <si>
    <t>AGCAGTGACATTGGT.........GGTTATAAGTCT</t>
  </si>
  <si>
    <t>TGGCGCAGTAAGTGGC</t>
  </si>
  <si>
    <t>GATATGGGGGCTGGGGTCTCAGGAGGCAGCGCTCTCGGGACGTCTCCACCATGGCCTGGGCTCTGCTATTCCTCACCCTCCTCACTCAGGGCACAGGGTCCTGGGCCCAGTCTGCCCTGACTCAGCCTGCCTCCGTGTCTGGGTCTCCTGGGCAGTCGATCACCATCTCCTGCACTGGAACCAGCAGTGACATTGGTGGTTATAACTCTGTCTCCTGGTACCAACAAAACCCAGGCAAAGCCCCCAAAGTCATGATTTATGATGTCAGTAATCGGCCCTCAGGGATTTCTAATCGCTTCTCTGGCTCCG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</si>
  <si>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GCAGTCGATCACCATCTCCTGCACTGGAACCAGCAGTGACATTGGTGGTTATAACTCTGTCTCCTGGTACCAACAAAACCCAGGCAAAGCCCCCAAAGTCATGATTTATGATGTCAGTAATCGGCCCTCAGGGATTTCTAATCGCTTCTCTGGCTCCGAGTCTGGCAACACGGCCTCCCTGACCATCTCTGGGCTCCAGGCTGACGACGAGACTGATTATTACTGCACCTCATATACAAACGACAGCAATTCTCAGGTATTCGGCGGAGGGACCAAGCTGACCGTCCTAG</t>
  </si>
  <si>
    <t>CAGTCTGCCCTGACTCAGCCTGCCTCC...GTGTCTGGGTCTCCTGGGCAGTCGATCACCATCTCCTGCACTGGAACCAGCAGTGACATTGGT.........GGTTATAACTCTGTCTCCTGGTACCAACAAAACCCAGGCAAAGCCCCCAAAGTCATGATTTATGATGTC.....................AGTAATCGGCCCTCAGGGATTTCT...AATCGCTTCTCTGGCTCCGAG......TCTGGCAACACGGCCTCCCTGACCATCTCTGGGCTCCAGGCTGACGACGAGACTGATTATTACTGCACCTCATATACAAACGACAGCAATTCTCAGGTATTCGGCGGAGGGACCAAGCTGACCGTCCTAG</t>
  </si>
  <si>
    <t>AATCGGCCCTCAGGGATTTCT...AATCGCTTCTCTGGCTCCGAG......TCTGGCAACACGGCCTCCCTGACCATCTCTGGGCTCCAGGCTGACGACGAGACTGATTATTACTGC</t>
  </si>
  <si>
    <t>TGGCGCAGTCAGAGGT</t>
  </si>
  <si>
    <t>TGGGGGCTGGGGTCTCAGGAGGCAGCGCTCTCGGGACGTCTCCACCATGGCCTGGGCTCTGCTATTCCTCACCCTCCTCACTCAGGGCACAGGGTCCTGGGCCCAGTCTGCCCTGACTCACCCTGCCTCCGTGTCTGGGTCTCCTGGACAGTCGATCACCATCTCCTGCACTGGAACCAGCAGTGACGTTGGTGGTTATAACTCTGTCTCCTGGTACCAACAAAACCCAGGCAAAGCCCCCAAACTCATAATTTATGATGTCAC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</si>
  <si>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CCCTGCCTCCGTGTCTGGGTCTCCTGGACAGTCGATCACCATCTCCTGCACTGGAACCAGCAGTGACGTTGGTGGTTATAACTCTGTCTCCTGGTACCAACAAAACCCAGGCAAAGCCCCCAAACTCATAATTTATGATGTCACTAATCGGCCCTCAGGGATTTCTAATCGCTTCTCTGGCTCCAAGTCTGGCAACACGGCCTCCCTGACCATCTCTGGGCTCCAGGCTGACGACGAGACTGATTATTACTGCACCTCATATACAAACGACAGCAATTCTCAGGTATTCGGCGGAGGGACCAAGCTGACCGTCCTAG</t>
  </si>
  <si>
    <t>CAGTCTGCCCTGACTCACCCTGCCTCC...GTGTCTGGGTCTCCTGGACAGTCGATCACCATCTCCTGCACTGGAACCAGCAGTGACGTTGGT.........GGTTATAACTCTGTCTCCTGGTACCAACAAAACCCAGGCAAAGCCCCCAAACTCATAATTTATGATGTC.....................ACTAATCGGCCCTCAGGGATTTCT...AATCGCTTCTCTGGCTCCAAG......TCTGGCAACACGGCCTCCCTGACCATCTCTGGGCTCCAGGCTGACGACGAGACTGATTATTACTGCACCTCATATACAAACGACAGCAATTCTCAGGTATTCGGCGGAGGGACCAAGCTGACCGTCCTAG</t>
  </si>
  <si>
    <t>TGGCGCATCGCCTGAG</t>
  </si>
  <si>
    <t>GGTTTGTCTTTTCTTATAT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</si>
  <si>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TGGCTGGAGGATATAC</t>
  </si>
  <si>
    <t>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GTGATTATTACTGCACCTCATATACAAACGACTA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</si>
  <si>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GTGATTATTACTGCACCTCATATACAAACGACTA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</si>
  <si>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GTGATTATTACTGCACCTCATATACAAACGACTACAATTCTCAGGTATTCGGCGGAGGGACCAAGCTGACCGTCCTAG</t>
  </si>
  <si>
    <t>TGCACCTCATATACAAACGACTACAATTCTCAGGTATTC</t>
  </si>
  <si>
    <t>ACCTCATATACAAACGACTACAATTCTCAGGTA</t>
  </si>
  <si>
    <t>CTSYTNDYNSQVF</t>
  </si>
  <si>
    <t>TGGCTGGAGTTAGCGG</t>
  </si>
  <si>
    <t>TCTGGGGGCTGGGGTCTCAGGAGGCAGCGCTCTCGGGACGTCTCCACCATGGCCTGGGCTCTGCTATTCCTCACCCTCCTCACTCAGGGCACAGGGTCCTGGGCCCAGTCTGCCCTGACTCAGCCTGCCTCCGTGTCTGGGTCTCCTGGACAGTCGATCACCATCTCCTGCACTGGAGCCAGCAGTGACGTTGGTGATTATAACTCTGTCTCCTGGTACCAACAAAACCCAGGCAAAGCCCCCAAACTCATCATTTATGATGTCACTAATCGGCCCTCAGGGATTTCTAATCGCTTCTCTGGCTCCAAGTCTGGCAACACGGCCTCCCTGACCATCTCTGGGCTCCAGGCTGACGACGAGACTGATTATTACTGCG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</si>
  <si>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GCCAGCAGTGACGTTGGTGATTATAACTCTGTCTCCTGGTACCAACAAAACCCAGGCAAAGCCCCCAAACTCATCATTTATGATGTCACTAATCGGCCCTCAGGGATTTCTAATCGCTTCTCTGGCTCCAAGTCTGGCAACACGGCCTCCCTGACCATCTCTGGGCTCCAGGCTGACGACGAGACTGATTATTACTGCGCCTCATATACAAACGACAGCAATTCTCAGGTATTCGGCGGAGGGACCAAGCTGACCGTCCTAG</t>
  </si>
  <si>
    <t>CAGTCTGCCCTGACTCAGCCTGCCTCC...GTGTCTGGGTCTCCTGGACAGTCGATCACCATCTCCTGCACTGGAGCCAGCAGTGACGTTGGT.........GATTATAACTCTGTCTCCTGGTACCAACAAAACCCAGGCAAAGCCCCCAAACTCATCATTTATGATGTC.....................ACTAATCGGCCCTCAGGGATTTCT...AATCGCTTCTCTGGCTCCAAG......TCTGGCAACACGGCCTCCCTGACCATCTCTGGGCTCCAGGCTGACGACGAGACTGATTATTACTGCGCCTCATATACAAACGACAGCAATTCTCAGGTATTCGGCGGAGGGACCAAGCTGACCGTCCTAG</t>
  </si>
  <si>
    <t>TGCGCCTCATATACAAACGACAGCAATTCTCAGGTATTC</t>
  </si>
  <si>
    <t>CAGTCTGCCCTGACTCAGCCTGCCTCC...GTGTCTGGGTCTCCTGGACAGTCGATCACCATCTCCTGCACTGGAGCC</t>
  </si>
  <si>
    <t>GCCTCATATACAAACGACAGCAATTCTCAGGTA</t>
  </si>
  <si>
    <t>CASYTNDSNSQVF</t>
  </si>
  <si>
    <t>TGGCTGGTCCTAGTGA</t>
  </si>
  <si>
    <t>ATCTGGGGGGGGTCACAAGAGGCAGCGCTCTCGGGACGTCTCCACCATGGCCTGGGCTCTGCTGCTCCTCACTCTCCTCACTCAGGACACAGGGTCCTGGGCCCAGTCTGCCCTGACTCACCCTGCCTCCGTGTCTGGGTCTCCTGGACAGTCGATCACCATCTCCTGCACTGGAACCAGCAGTGACGTTGGTGGTTATAACTATGTCTCCTGGTACCAACAAAACCCAGGCAAAGCCCCCAAACTCATGATTTATGATGTCAGTAATCGGCCCTCAGGGATTTCTAATCGCTTCTCTGGCTCCAAGTCTGTCAACACGGCCTCCCTGACCATCTCTGGGCTCCAGGCTGACGACGAGGCTGATTATTACTGCACCTCATATACAAACAACAGCAATTCTCAT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</si>
  <si>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CCCTGCCTCCGTGTCTGGGTCTCCTGGACAGTCGATCACCATCTCCTGCACTGGAACCAGCAGTGACGTTGGTGGTTATAACTATGTCTCCTGGTACCAACAAAACCCAGGCAAAGCCCCCAAACTCATGATTTATGATGTCAGTAATCGGCCCTCAGGGATTTCTAATCGCTTCTCTGGCTCCAAGTCTGTCAACACGGCCTCCCTGACCATCTCTGGGCTCCAGGCTGACGACGAGGCTGATTATTACTGCACCTCATATACAAACAACAGCAATTCTCATGTATTCGGCGGAGGGACCAAGCTGACCGTCCTAG</t>
  </si>
  <si>
    <t>CAGTCTGCCCTGACTCACCCTGCCTCC...GTGTCTGGGTCTCCTGGACAGTCGATCACCATCTCCTGCACTGGAACCAGCAGTGACGTTGGT.........GGTTATAACTATGTCTCCTGGTACCAACAAAACCCAGGCAAAGCCCCCAAACTCATGATTTATGATGTC.....................AGTAATCGGCCCTCAGGGATTTCT...AATCGCTTCTCTGGCTCCAAG......TCTGTCAACACGGCCTCCCTGACCATCTCTGGGCTCCAGGCTGACGACGAGGCTGATTATTACTGCACCTCATATACAAACAACAGCAATTCTCATGTATTCGGCGGAGGGACCAAGCTGACCGTCCTAG</t>
  </si>
  <si>
    <t>AATCGGCCCTCAGGGATTTCT...AATCGCTTCTCTGGCTCCAAG......TCTGTCAACACGGCCTCCCTGACCATCTCTGGGCTCCAGGCTGACGACGAGGCTGATTATTACTGC</t>
  </si>
  <si>
    <t>TGTCCCACATGACGGA</t>
  </si>
  <si>
    <t>TGTGGTACACATTTCT</t>
  </si>
  <si>
    <t>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AGGACTTCCTTCCCGACTCCATCACTTTCTCCTGGAAATACAAGAACAACTCTGACATCAGCAGCACCCGGGGCTTCCCATCAGTCCTGAGAGGGGGCAAGTACGCAGCCACCTCACAGGTGCTGCTGCCTTCCAAGGACGTCATG</t>
  </si>
  <si>
    <t>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A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</si>
  <si>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ACAATTCTCAGGTATTCGGCGGAGGGACCAAGCTGACCGTCCTAG</t>
  </si>
  <si>
    <t>CAGTCTGCCCTGACTCAG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ACAATTCTCAGGTATTCGGCGGAGGGACCAAGCTGACCGTCCTAG</t>
  </si>
  <si>
    <t>TGTTCCGCACCGAAAG</t>
  </si>
  <si>
    <t>TTAGTTCCAGGAATGC</t>
  </si>
  <si>
    <t>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</t>
  </si>
  <si>
    <t>GGCAGAGGGGATAAGACAGGGCTGGGGGCAGGCCCAGTGCTGGGGTCTCC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AACAGCAATTCTCATGTATTCGGCGGAGGGACCAAGCTGACCGTCCTAA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</si>
  <si>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AACAGCAATTCTCATGTATTCGGCGGAGGGACCAAGCTGACCGTCCTAA</t>
  </si>
  <si>
    <t>CAGTCTGCCCTGACTCAGCCTGCCTCC...GTGTCTGGGTCTCCTGGACAGTCGATCACCATCTCCTGCACTGGAACCAGCAGTGACGTTGGT.........GGTTATAACTATGTCTCCTGGTACCAACAAAACCCAGGCAAAGCCCCCAAACTCATGATTTATGATGTC.....................AGTAATCGGCCCTCAGGGATTTCT...AATCGCTTCTCTGGCTCCAAG......TCTGGCAACACGGCCTCCCTGACCATCTCTGGGCTCCAGGCTGACGACGAGGCTGATTATTACTGCACCTCATATACAAACAACAGCAATTCTCATGTATTCGGCGGAGGGACCAAGCTGACCGTCCTAA</t>
  </si>
  <si>
    <t>TTCGGCGGAGGGACCAAGCTGACCGTCCTAA</t>
  </si>
  <si>
    <t>TTATGCTAGCAAATCA</t>
  </si>
  <si>
    <t>TTATGCTAGGAGTACC</t>
  </si>
  <si>
    <t>GGGAAGGTGGAGATTTGCATGCCGGCCCCACCCTCCTCTTTGGCAGAGGGGATAAGACAGGGCTGGGGGCAGGCCCAGT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</si>
  <si>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TTCCCAGAGATCACGG</t>
  </si>
  <si>
    <t>GGGGAGTCTTTTTTCTTATAT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</t>
  </si>
  <si>
    <t>TTCCCAGAGTGGTAGC</t>
  </si>
  <si>
    <t>TTTGGGGGGGGTCACAAGAGGCAGCGCTCTCGGGACGTCTCCACCATGGCCTGGGCTCTGCTGCTCCTCACTCTCCTCACTCAGGACACAGGGTCCTGGGCCCAGTCTGCCCTGACTCAGCCTGCCTCCGTGTCTGGGTCTCCTGGACAGTCGATCACCATCTCCTGCACTGGAACCAGCAGTGATGTTGGGAGTTATAACCTTGTCTCCTGGTACCAAATGCACCCAGGCAAAGCCCCCAAAGTCTTGATTTATGAGGGCAGTAAGCGGCCCTCAGGGG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</si>
  <si>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TGCACCCAGGCAAAGCCCCCAAAGTCTTGATTTATGAGGGCAGTAAGCGGCCCTCAGGGGTTTCTAATCGCTTCTCTGGCTCCAAGTCTGGCAACACGGCCTCCCTGACCATCTCTGGGCTCCAGGCTGACGACGAGACTGATTATTACTGCACCTCATATACAAACGACAGCAATTCTCAGGTATTCGGCGGAGGGACCAAGCTGACCGTCCTAG</t>
  </si>
  <si>
    <t>CAGTCTGCCCTGACTCAGCCTGCCTCC...GTGTCTGGGTCTCCTGGACAGTCGATCACCATCTCCTGCACTGGAACCAGCAGTGATGTTGGG.........AGTTATAACCTTGTCTCCTGGTACCAAATGCACCCAGGCAAAGCCCCCAAAGTCTTGATTTATGAGGGC.....................AGTAAGCGGCCCTCAGGGGTTTCT...AATCGCTTCTCTGGCTCCAAG......TCTGGCAACACGGCCTCCCTGACCATCTCTGGGCTCCAGGCTGACGACGAGACTGATTATTACTGCACCTCATATACAAACGACAGCAATTCTCAGGTATTCGGCGGAGGGACCAAGCTGACCGTCCTAG</t>
  </si>
  <si>
    <t>GTCTCCTGGTACCAAATGCACCCAGGCAAAGCCCCCAAAGTCTTGATTTAT</t>
  </si>
  <si>
    <t>TTCCCAGCACTTCTGC</t>
  </si>
  <si>
    <t>GCCATGTATGGCTCTTATATGGGGGTGC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</t>
  </si>
  <si>
    <t>TTATTTACTTTCTTATATGGGGGCTGGGGTCTCAGGAGGCAGCGCTCTCGGGACGTCTCCACCATGGCCTGGGCTCTGCTATTCCTCACCCTCCTCACTCAGGGCACAGAGTCCTGGGCCCAGTCTGCCCTGACTCAGCCTGCCTCCGTGTCTGGGTCTCCTGGACAGTCGATCACCATCTCCTGCACTGGAACCAGCAGTGACGTTGGTGCTTATAACTATGTCTCCTGGTACCAACAAAACCCAGTCAAAGCCCCCAAACTCATGATTTATGATGTCAGTAATCGGCCCTCAGGGATTTCTAATCGCTTCTCTGGCTCCAAGTCTGGCAACACGGCCTCCCTGACCATCTCTGGGCTCCAGGCTGACGACGAGGCTGATTATTACTGCACCTCATATACAAACA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</si>
  <si>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CTTATAACTATGTCTCCTGGTACCAACAAAACCCAGTCAAAGCCCCCAAACTCATGATTTATGATGTCAGTAATCGGCCCTCAGGGATTTCTAATCGCTTCTCTGGCTCCAAGTCTGGCAACACGGCCTCCCTGACCATCTCTGGGCTCCAGGCTGACGACGAGGCTGATTATTACTGCACCTCATATACAAACAACAGCAATTCTCAGGTATTCGGCGGAGGGACCAAGCTGACCGTCCTAG</t>
  </si>
  <si>
    <t>CAGTCTGCCCTGACTCAGCCTGCCTCC...GTGTCTGGGTCTCCTGGACAGTCGATCACCATCTCCTGCACTGGAACCAGCAGTGACGTTGGT.........GCTTATAACTATGTCTCCTGGTACCAACAAAACCCAGTCAAAGCCCCCAAACTCATGATTTATGATGTC.....................AGTAATCGGCCCTCAGGGATTTCT...AATCGCTTCTCTGGCTCCAAG......TCTGGCAACACGGCCTCCCTGACCATCTCTGGGCTCCAGGCTGACGACGAGGCTGATTATTACTGCACCTCATATACAAACAACAGCAATTCTCAGGTATTCGGCGGAGGGACCAAGCTGACCGTCCTAG</t>
  </si>
  <si>
    <t>TTCGAAGAGACTAAGT</t>
  </si>
  <si>
    <t>CACAAAGTCCTTTCTTATATGGGGGCTGGGGTCTCAGGAGGCAGCGCTCTCGGGACGTCTCCACCATGGCCTGGGCTCTGCTATTCCTCACCCTCCTCACTCAGGGCACAGGGTCCTGGGCCCAGTCTGCCCTGACTCAGCCTGCCTCCGTGTCTGGGTCTCCTGGACAGTCGATCACCATCTCCTGCACTGGAACC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</si>
  <si>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</si>
  <si>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..............................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</si>
  <si>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..............................AACTCT</t>
  </si>
  <si>
    <t>TTCGAAGAGCTCCCAG</t>
  </si>
  <si>
    <t>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ACGCCGTGTACTATTGTGCTCGGGGAAAGAGACCCGGCTACTGCAGCGGAGGCGTCTGTTCCTCTGACTATTGGGGCCAGGGGACTCTGGTGACCGTCTCCTCAGGGAGTGCATCCGCCCCAACCCTTTTCCCCCTCGTCTCCTGTGAGAATTCCCCGTCGGATACGAGCAGCGTGG</t>
  </si>
  <si>
    <t>CAGGTGCAGCTGGTGCAGTCAGGAGCCGAGGTGAAGAAACCAGGCAGCTCCGTGAAGGTCAGCTGCAAAGCTTCCGGGGTGACATCTAGTAACTACCCCATCACTTGGGTCCGACAGGCACCTGGACAGGGACTGGAATGGATGGGAGGAGTGCTGCCACTGTTCGGAGTCACCAACTACGCCCAGAAGTTTCAGGGAAGGGTGACAATTTCTGCAGACAAAAGTACCAATACAGCCTATATGGAGCTGTCAAGCCTGCGCTCTGAAGATAACGCCGTGTACTATTGTGCTCGGGGAAAGAGACCCGGCTACTGCAGCGGAGGCGTCTGTTCCTCTGACTATTGGGGCCAGGGGACTCTGGTGACCGTCTCCTCAG</t>
  </si>
  <si>
    <t>CAGGTGCAGCTGGTGCAGTCAGGAGCC...GAGGTGAAGAAACCAGGCAGCTCCGTGAAGGTCAGCTGCAAAGCTTCCGGGGTGACATCT............AGTAACTACCCCATCACTTGGGTCCGACAGGCACCTGGACAGGGACTGGAATGGATGGGAGGAGTGCTGCCACTG......TTCGGAGTCACCAACTACGCCCAGAAGTTTCAG...GGAAGGGTGACAATTTCTGCAGACAAAAGTACCAATACAGCCTATATGGAGCTGTCAAGCCTGCGCTCTGAAGATAACGCCGTGTACTATTGTGCTCGGGGAAAGAGACCCGGCTACTGCAGCGGAGGCGTCTGTTCCTCTGACTATTGGGGCCAGGGGACTCTGGTGACCGTCTCCTCAG</t>
  </si>
  <si>
    <t>AACTACGCCCAGAAGTTTCAG...GGAAGGGTGACAATTTCTGCAGACAAAAGTACCAATACAGCCTATATGGAGCTGTCAAGCCTGCGCTCTGAAGATAACGCCGTGTACTATTGT</t>
  </si>
  <si>
    <t>CTCCCAGGTTAGTTTGTTTTCTTATATGGGAGCTCCCAGGCGGCAATGCTTTCTTATATGGGGGCTGGGGTCTCAGGAGGCAGCGCTCTCGGGACGTCTCCACCATGGCCTGGGCTCTGCTATTCCTCACCCTCCTCACTCAGGGCACAGGGTCCTGGGCCCAGTCTGCCCTGACTCAGCCTGCCTCCGTGTCTGGGTCTCCTGGACAGTCGATCACCATCTCCTGCACTGGAACCAGCAGTGACGTTGGTGGTTATAACTATGTCTCCTGGTACCAACAAAACCCAGGCAAAGCCCCCAAACTCATGATTTATGATGTCAGTAATCGGCCCTCAGGGATTTCTAATCGCTTCTCTGGCTCCAAGTCTGGCAACACGGCCTCCCTGACCATCTCTGGGCTCCAGGCTGACGACGAGGCTGATTATTACTGCACCTCATATACAAACGACAC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</si>
  <si>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TTCGGTCCACGAGGTA</t>
  </si>
  <si>
    <t>TACGTGGTTTCTTATA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</si>
  <si>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TTCTACAAGGAGTAGA</t>
  </si>
  <si>
    <t>TTATGGGGGGGGTCACAAGAGGCAGCGCTCTCGGGACGTCTCCACCATGGCCTGGGCTCTGCTGCTCCTCACTCTCCTCACTCAGGACACAGGGTCCTGGGCC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G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</si>
  <si>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TGTTGGGAGTTATAACCTTGTCTCCTGGTACCAAAACCACCCAGGCAAAGCCCCCAAAGTCTTGATTTATGAGGGCAGTAAGCGGCCCTCAGGGGTTTCTAATCGCTTCTCTGGCTCCAAGTCTGGCAACACGGCCTCCCTGACCATCTCTGGGCTCCAGGCTGACGACGAGACTGATTATTACTGCACCTCATATACAAACGACAGCAATTCTCAGGTATTCGGCGGAGGGACCAAGCTGACCGTCCTGG</t>
  </si>
  <si>
    <t>CAGTCTGCCCTGACTCAGCCTGCCTCC...GTGTCTGGGTCTCCTGGACAGTCGATCACCATCTCCTGCACTGGAACCAGCAGTGATGTTGGG.........AGTTATAACCTTGTCTCCTGGTACCAAAACCACCCAGGCAAAGCCCCCAAAGTCTTGATTTATGAGGGC.....................AGTAAGCGGCCCTCAGGGGTTTCT...AATCGCTTCTCTGGCTCCAAG......TCTGGCAACACGGCCTCCCTGACCATCTCTGGGCTCCAGGCTGACGACGAGACTGATTATTACTGCACCTCATATACAAACGACAGCAATTCTCAGGTATTCGGCGGAGGGACCAAGCTGACCGTCCTGG</t>
  </si>
  <si>
    <t>TTCGGCGGAGGGACCAAGCTGACCGTCCTGG</t>
  </si>
  <si>
    <t>TTCTACATCCCAACGG</t>
  </si>
  <si>
    <t>TGGGGGCTGGGGTCTCAGGAGGCAGCGCTCTCGGGACGTCTCCACCATGGCCTGGGCTCTGCTATTCCTCACCCTCCTCACTCAGGGCACAGGGTCCTGGGCCCAGTCTGCCCTGACTCAGCCTGCCTCCGTGTCTGGGTCTCCTGGACAGTCGATCACCATCTCCTGCACTGGAACCAGTAGTGACGTTGGTGGTTATAACTCTGTCTCCTGGTACCAACAAAACCCAGGCAAAGCCCCCAAACTCATGATTTATGATGTCAGTAATCGGCCCTCAGGGATTTCTAATCGCTTCTCTGGCTCCAAGTCTGGCAACACGGCCTCCCTGACCATCTCTGGGCTCCAGGCTGACGACGAGACTGATTATTACTG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</si>
  <si>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TAGTGACGTTGGTGGTTATAACTCTGTCTCCTGGTACCAACAAAACCCAGGCAAAGCCCCCAAACTCATGATTTATGATGTCAGTAATCGGCCCTCAGGGATTTCTAATCGCTTCTCTGGCTCCAAGTCTGGCAACACGGCCTCCCTGACCATCTCTGGGCTCCAGGCTGACGACGAGACTGATTATTACTGCACCTCATATACAAACGACAGCAATTCTCAGGTATTCGGCGGAGGGACCAAGCTGACCGTCCTAC</t>
  </si>
  <si>
    <t>CAGTCTGCCCTGACTCAGCCTGCCTCC...GTGTCTGGGTCTCCTGGACAGTCGATCACCATCTCCTGCACTGGAACCAGT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C</t>
  </si>
  <si>
    <t>TTCTCAACAGACAAAT</t>
  </si>
  <si>
    <t>GGAGGAGTCAGACTCAGTCAGGACACAGCTCTAGAGCCACCATGGATTGGACATGGAGATTTCTGTTCGTCGTCGCCGCCGCTACCGGGGGAGTGCAGTCACAGGTGCAGCTGGTGCAGTCAGGAGCCGAGGTGAAGAAACCAGGCAGCTCCGTGAAGGTCAGCTGCAAAGCTTCCGGGGTGACATCTAGTAACTACCCCATCACTTGGGTCCGACAGGCACCTGGACAGGGACTGGAATGGATGGGAGGAGTGCTGCCACTGTTCGGAGTCACCAACTACGCCCAGAAGTTTCAGGGAAGGGTGACAATTTCTGCAGACAAAAGTACCAATACAGCCTATATGGAGCTGTCAAGCCTGCGCTCTGAAGATACCGCCGTGTACTATTGTGCTCGGGGAAAGAGACCCGGCTACTGCAGCGGAGGCGTCTGTTCCTCTGACTATTGGGGCCAGGGGACTCTGGTGACCGTCTCCTCAGGGAGTGCATCCGCCCCAACCCTTTTCCCCCTCGTCTCCTGTGAGAATTCCCCGTCGGATACGAGCAGCGTGGCCGTTGGCTGCCTCGCAC</t>
  </si>
  <si>
    <t>ATCTGGGGGGGGTCACAAGAGGCAGCGCTCTCGGGACGTCTCCACCATGGCCTGGGCTCTGCTGCTCCTCACTCTCCTCACTCAGGACACAGGGTCCTGGGCCCAGTCTGCCCTGACTCAGCCTGCCTCCGTGTCTGGGTCTCCTGGACAGTCGATCACCATCTCCTGCACTGGAACCAGCAGTGATGTTGGGACTTATAACCTTGTCTCCTGGTACCAAAAGCACCCAGGCAAAGCCCCCAAAGTCTTGATTTATGAGGGCAGTAAGCGGCCCTCAGGGAATCGCTTCTCTGGCTCCAAGTCTGGCAACACGGCCTCCCTGACCATCTCTGGGCTCCAGGCTGACGACGAGG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</si>
  <si>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TTGACTTGTTAGTGGG</t>
  </si>
  <si>
    <t>TTGCCGTGTACATCCA</t>
  </si>
  <si>
    <t>TCTCTGGGG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GCCTCCAAACAAAGCAACAACAAGTACGCGGCCAGCAGCTACCTGAGCCTGACGCCTGAGCAGTGGAAGTCCCACA</t>
  </si>
  <si>
    <t>TTGGAACTCTTTACAC</t>
  </si>
  <si>
    <t>GGGCCCAGTGCTGGGGTCTCAGGAGGCAGCGCTCTCGGGACGTCTCCACCATGGCCTGGGCTCTGCTATTCCTCACCCTCCTCACTCAGGG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</si>
  <si>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TTGGCAAAGTAACCCT</t>
  </si>
  <si>
    <t>GAGGAGTCAGACTCAGTCAGGACACAGCTCTAGACCACCATGGGATGGTCATGTATCATCCTTTTTCTAGTAGCAACTGCAACCGGTGTACATTCC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CTCATCGTCTCATCAGGGAGTGCATCCGCCCCAACCCTTTTCCCCCTCGTCTCCTGTGAGAATTCCCCGTCGGATACGAGCAGCGTG</t>
  </si>
  <si>
    <t>CAGGTGCAGCTGGTGCAGTCTGGAGGTCAGATGAAGAAGCCTGGCGAGTCGATGAGAATTTCTTGTCGGGCTTCTGGATATGAATTTATTGATTGTACGCTAAATTGGATTCGTCTGGCCCCCGGAAAAAGGCCTGAGTGGATGGGATGGCTGAAGCCTCGGGGGGGGGCCGTCAACTACGCACGTCCACTTCAGGGCAGAGTGACCATGACTCGAGACGTTTATTCCGACACAGCCTTTTTGGAGCTGCGCTCGTTGACAGTAGACGACACGGCCGTCTACTTTTGTACTAGGGGAAAAAACTGTGATTACAATTGGGACTTCGAACACTGGGGCCGGGGCACCCCGCTCATCGTCTCATCAG</t>
  </si>
  <si>
    <t>CAGGTGCAGCTGGTGCAGTCTGGAGGT...CAGATGAAGAAGCCTGGCGAGTCGATGAGAATTTCTTGTCGGGCTTCTGGATATGAATTT............ATTGATTGTACGCTAAATTGGATTCGTCTGGCCCCCGGAAAAAGGCCTGAGTGGATGGGATGGCTGAAGCCTCGG......GGGGGGGCCGTCAACTACGCACGTCCACTTCAG...GGCAGAGTGACCATGACTCGAGACGTTTATTCCGACACAGCCTTTTTGGAGCTGCGCTCGTTGACAGTAGACGACACGGCCGTCTACTTTTGTACTAGGGGAAAAAACTGTGATTACAATTGGGACTTCGAACACTGGGGCCGGGGCACCCCGCTCATCGTCTCATCAG</t>
  </si>
  <si>
    <t>TGGGGCCGGGGCACCCCGCTCATCGTCTCATCAG</t>
  </si>
  <si>
    <t>TCTGGGGGCTGGGGTCTCAGGAGGCAGCGCTCTCGGGACGTCTCCACCATGGCCTGGGCTCTGCTATTCCTCACCCTCCTCACTCAGGGCACAGGGTCCTGGGCCCAGTCTGCCCTGACTCAGCCTGCCTCCGTGTCTGGGTCTCCTGGACAGTCGATCACCATCTCCTGCAGTGGAACCAGT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</si>
  <si>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GTGGAACCAGTAGTGACGTTGGTG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</si>
  <si>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GTGGAACCAGTAGTGACGTTGGT.........G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</si>
  <si>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TTGTAGGGTGTTGGGA</t>
  </si>
  <si>
    <t>TTTATGCAGAAGGTTT</t>
  </si>
  <si>
    <t>TGGGGGCTGGGGTCTCAGGAGGCAGCGCTCTCGGGACGTCTCCACCATGGCCTGGGCTCTGCTATTCCTCACCCTCCTCACTCAGGGCACAGAGTCCTGGGCCCAGTCTGCCCTGACTCAGCCTGCCTCCGTGTCTGGGTCTCCTGGACAGTCGATCACCATCTCCTGCACTGGAACCAGCAGTGACGTTGGTGCTTATAACTATGTCTCCTGGTACCAACAAAACCCAGGCAAAGCCCCCAAACTCATGATTTATGATGTCAGTAATCGGCCCTCAGGGATTTCTAATCGCTTCTCTGGCTCCAAGTCTGGCAACACGGCCTCCCTGACCATCTCTGGGCTCCAGGCTGACGACGAGGCTGATTATTACTGCACCTCATATACAAACAACAGCAATTCTCATGTATTCGGCGGAGGGACCAAGCTGACCGTCCTAGGTCAGCCCAAGGCTGCCCCCTCGGTCACTCTGTTCCCGCCCTCCTCTGAGGAGCTTCAAGCCAACAAGGCCACACTGGTGTGTCTCATAAGTGACTTCTACCCGGGAGCCGTGACAGTGGCCTGGAAGGCAGATAGCAGCCCCGTCAAGGCGGGAGTGGAGACCACCACACCCTCCAAACAAAGCAACAACAAGTACGCGGCCAGCAGCTACCTGAGCCTGACGCCTGAGCAGTGGAAGTCCCAC</t>
  </si>
  <si>
    <t>CAGTCTGCCCTGACTCAGCCTGCCTCCGTGTCTGGGTCTCCTGGACAGTCGATCACCATCTCCTGCACTGGAACCAGCAGTGACGTTGGTGCTTATAACTATGTCTCCTGGTACCAACAAAACCCAGGCAAAGCCCCCAAACTCATGATTTATGATGTCAGTAATCGGCCCTCAGGGATTTCTAATCGCTTCTCTGGCTCCAAGTCTGGCAACACGGCCTCCCTGACCATCTCTGGGCTCCAGGCTGACGACGAGGCTGATTATTACTGCACCTCATATACAAACAACAGCAATTCTCATGTATTCGGCGGAGGGACCAAGCTGACCGTCCTAG</t>
  </si>
  <si>
    <t>CAGTCTGCCCTGACTCAGCCTGCCTCC...GTGTCTGGGTCTCCTGGACAGTCGATCACCATCTCCTGCACTGGAACCAGCAGTGACGTTGGT.........GCTTATAACTATGTCTCCTGGTACCAACAAAACCCAGGCAAAGCCCCCAAACTCATGATTTATGATGTC.....................AGTAATCGGCCCTCAGGGATTTCT...AATCGCTTCTCTGGCTCCAAG......TCTGGCAACACGGCCTCCCTGACCATCTCTGGGCTCCAGGCTGACGACGAGGCTGATTATTACTGCACCTCATATACAAACAACAGCAATTCTCATGTATTCGGCGGAGGGACCAAGCTGACCGTCCTAG</t>
  </si>
  <si>
    <t>TTTCCTCAGGACCACA</t>
  </si>
  <si>
    <t>ACTTGTGTGTTTCTTATATGGGGGCTGGGGTCTCAGGAGGCAGCGCTCTCGGGACGTCTCCACCATGGCCTGGGCTCTGCTATTCCTCACCCTCCTCACTCAGGGCACAGGGTCCTGGGCC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A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</si>
  <si>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A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AGGCGGAGGGACCAAGCTGACCGTCCTAG</t>
  </si>
  <si>
    <t>CAGTCTGCCCTGACTCAACCTGCCTCC...GTGTCTGGGTCTCCTGGACAGTCGATCACCATCTCCTGCACTGGAACCAGCAGTGACGTTGGT.........GGTTATAACTCTGTCTCCTGGTACCAACAAAACCCAGGCAAAGCCCCCAAACTCATGATTTATGATGTC.....................AGTAATCGGCCCTCAGGGATTTCT...AATCGCTTCTCTGGCTCCAAG......TCTGGCAACACGGCCTCCCTGACCATCTCTGGGCTCCAGGCTGACGACGAGACTGATTATTACTGCACCTCATATACAAACGACAGCAATTCTCAGGTATTAGGCGGAGGGACCAAGCTGACCGTCCTAG</t>
  </si>
  <si>
    <t>TTAGGCGGAGGGACCAAGCTGACCGTCCTAG</t>
  </si>
  <si>
    <t>TTTGCGCCACACGCTG</t>
  </si>
  <si>
    <t>TGGGGGCTGGGGTCTCAGGAGGCAGCGCTCTCGGGACGTCTCCACCATGGCCTGGGCTCTGCTGCTCCTCACTCTCCTCACTCAGGACACAGGGTCCTGGGCCCAGTCTGCCCTGACTCAGCCTGCCTCCGTGTCTGGGTCTCCTGGACAGTCGATCACCATCTCCTGCACTGGAACCAGCAGTGACGTTGGTG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</si>
  <si>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TTTGGTTGTGAGGGAG</t>
  </si>
  <si>
    <t>TGTAGTTTTCTTATATGGGGGCTGGGGTCTCAGGAGGCAGCGCTCTCGGGACGTCTCCACCATGGCCTGGGCTCTGCTATTCCTCACCCTCCTCACTCAGGGCACAGGGTCCTGGGCCCAGTCTGCCCTGACTCAGCCTGCCTCCGTGTCTGGGTCTCCTGGACAGTCGATCACCATCTCCTGCACTGGAACCAGCAGTGACGTTGGTAGTTATAACTCTGTCTCCTGGTACCAACAAAACCCAGGCAAAGCCCCCAAACTCATGATTTATGATGTCAGTAATCGGCCCTCAGGGATTTCTAATCGCTTCTCTGGCTCCAAGTCTGGCAACACGGCCTCCCTGACCATCTCTGGGCTCCAGGCTGACGACGAGACTGATTATTACTGCACCTCATATACAAACGACAGCAATTCTCAGGTATTCGGCGGAGGGACCAAGCTGACCGTCCTAG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</si>
  <si>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AGTTATAACTCTGTCTCCTGGTACCAACAAAACCCAGGCAAAGCCCCCAAACTCATGATTTATGATGTCAGTAATCGGCCCTCAGGGATTTCTAATCGCTTCTCTGGCTCCAAGTCTGGCAACACGGCCTCCCTGACCATCTCTGGGCTCCAGGCTGACGACGAGACTGATTATTACTGCACCTCATATACAAACGACAGCAATTCTCAGGTATTCGGCGGAGGGACCAAGCTGACCGTCCTAG</t>
  </si>
  <si>
    <t>CAGTCTGCCCTGACTCAGCCTGCCTCC...GTGTCTGGGTCTCCTGGACAGTCGATCACCATCTCCTGCACTGGAACCAGCAGTGACGTTGGT.........AGTTATAACTCTGTCTCCTGGTACCAACAAAACCCAGGCAAAGCCCCCAAACTCATGATTTATGATGTC.....................AGTAATCGGCCCTCAGGGATTTCT...AATCGCTTCTCTGGCTCCAAG......TCTGGCAACACGGCCTCCCTGACCATCTCTGGGCTCCAGGCTGACGACGAGACTGATTATTACTGCACCTCATATACAAACGACAGCAATTCTCAGGTATTCGGCGGAGGGACCAAGCTGACCGTCCTAG</t>
  </si>
  <si>
    <t>AGCAGTGACGTTGGT.........AGTTATAACTCT</t>
  </si>
  <si>
    <t>TTTGTCAAGTCTCGGC</t>
  </si>
  <si>
    <t>TCGGCATATAGCAGATTTCTTATATGGGGGCTGGGGTCTCAGGAGGCAGCGCTCTCGGGACGTCTCCACCATGGCCTGGGCTCTGCTATTCCTCACCCTCCTCACTCAGGGCACAGGGTCCTGGGCCCAGTCTGCCCTGACTCAGCCTGCCTCCGTGTCTGGGTCTCCTGGACAGTCGATCACCATCTCCTGCACTGGAACCAGCAGTGACGTTGGTGGTTATAACTCTGTCTCCTGGTACCAACAAAACCCAGGCAAAGCCCCCAAACTCATGATTTATGATGTCAATAATCGGCCCTCAGAGATTTCTAATCGCTTCTCTGGCTCCAAGTCTGGCAACACGGCCTCCCTGACCATCTCTGGGCTCCAGGCTGACGACGAGACTAATTATTACTACACCTCATATACAAACGACAGCAATTCTCAGGTATTCGGCGGAGGGACCAAGCTGACCGTCCTACGTCAGCCCAAGGCTGCCCCCTCGGTCACTCTGTTCCCGCCCTCCTCTGAGGAGCTTCAAGCCAACAAGGCCACACTGGTGTGTCTCATAAGTGACTTCTACCCGGGAGCCGTGACAGTGGCCTGGAAGGCAGATAGCAGCCCCGTCAAGGCGGGAGTGGAGACCACCACACCCTCCAAACAAAGCAACAACAAGTACGCGGCCAGCAGCTACCTGAGCCTGACGCCTGAGCAGTGGAAGTCCCACA</t>
  </si>
  <si>
    <t>CAGTCTGCCCTGACTCAGCCTGCCTCCGTGTCTGGGTCTCCTGGACAGTCGATCACCATCTCCTGCACTGGAACCAGCAGTGACGTTGGTGGTTATAACTCTGTCTCCTGGTACCAACAAAACCCAGGCAAAGCCCCCAAACTCATGATTTATGATGTCAATAATCGGCCCTCAGAGATTTCTAATCGCTTCTCTGGCTCCAAGTCTGGCAACACGGCCTCCCTGACCATCTCTGGGCTCCAGGCTGACGACGAGACTAATTATTACTACACCTCATATACAAACGACAGCAATTCTCAGGTATTCGGCGGAGGGACCAAGCTGACCGTCCTAC</t>
  </si>
  <si>
    <t>CAGTCTGCCCTGACTCAGCCTGCCTCC...GTGTCTGGGTCTCCTGGACAGTCGATCACCATCTCCTGCACTGGAACCAGCAGTGACGTTGGT.........GGTTATAACTCTGTCTCCTGGTACCAACAAAACCCAGGCAAAGCCCCCAAACTCATGATTTATGATGTC.....................AATAATCGGCCCTCAGAGATTTCT...AATCGCTTCTCTGGCTCCAAG......TCTGGCAACACGGCCTCCCTGACCATCTCTGGGCTCCAGGCTGACGACGAGACTAATTATTACTACACCTCATATACAAACGACAGCAATTCTCAGGTATTCGGCGGAGGGACCAAGCTGACCGTCCTAC</t>
  </si>
  <si>
    <t>VRC01</t>
  </si>
  <si>
    <t>FE53</t>
  </si>
  <si>
    <t>FLU_HA_NC99+1</t>
  </si>
  <si>
    <t>HIV_BG505_D279K+1</t>
  </si>
  <si>
    <t>HIV_BG505_D368R+1</t>
  </si>
  <si>
    <t>HIV_BG505_K169E+1</t>
  </si>
  <si>
    <t>HIV_BG505_N160K+1</t>
  </si>
  <si>
    <t>HIV_BG505_N332T+1</t>
  </si>
  <si>
    <t>HIV_BG505_DKO+1</t>
  </si>
  <si>
    <t>HIV_BG505_T332N+1</t>
  </si>
  <si>
    <t>Geomean</t>
  </si>
  <si>
    <t>FLU_HA_NC99_CLR</t>
  </si>
  <si>
    <t>HIV_BG505_D279K_CLR</t>
  </si>
  <si>
    <t>HIV_BG505_D368R_CLR</t>
  </si>
  <si>
    <t>HIV_BG505_K169E_CLR</t>
  </si>
  <si>
    <t>HIV_BG505_N160K_CLR</t>
  </si>
  <si>
    <t>HIV_BG505_N332TCLR</t>
  </si>
  <si>
    <t>HIV_BG505_DKO_CLR</t>
  </si>
  <si>
    <t>HIV_BG505_T332N_CLR</t>
  </si>
  <si>
    <t>FLU_HA_NC99.UMI</t>
  </si>
  <si>
    <t>HIV_BG505_D279K.UMI</t>
  </si>
  <si>
    <t>HIV_BG505_D368R.UMI</t>
  </si>
  <si>
    <t>HIV_BG505_K169E.UMI</t>
  </si>
  <si>
    <t>HIV_BG505_N160K.UMI</t>
  </si>
  <si>
    <t>HIV_BG505_N332T.UMI</t>
  </si>
  <si>
    <t>HIV_BG505_DKO.UMI</t>
  </si>
  <si>
    <t>HIV_BG505_T332N.UMI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</si>
</sst>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81"/>
  <sheetViews>
    <sheetView tabSelected="1" topLeftCell="BA1" zoomScale="97" workbookViewId="0">
      <pane ySplit="1" topLeftCell="A2" activePane="bottomLeft" state="frozen"/>
      <selection activeCell="CE1" sqref="CE1"/>
      <selection pane="bottomLeft" activeCell="BJ2" sqref="BJ2"/>
    </sheetView>
  </sheetViews>
  <sheetFormatPr defaultRowHeight="14.5" x14ac:dyDescent="0.35"/>
  <cols>
    <col min="11" max="11" width="67.1796875" customWidth="1"/>
    <col min="69" max="69" width="8.81640625" style="2"/>
    <col min="77" max="77" width="8.81640625" style="2"/>
    <col min="78" max="85" width="0" hidden="1" customWidth="1"/>
    <col min="93" max="93" width="8.81640625" style="2"/>
  </cols>
  <sheetData>
    <row r="1" spans="1:10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1845</v>
      </c>
      <c r="BK1" t="s">
        <v>1846</v>
      </c>
      <c r="BL1" t="s">
        <v>1847</v>
      </c>
      <c r="BM1" t="s">
        <v>1848</v>
      </c>
      <c r="BN1" t="s">
        <v>1849</v>
      </c>
      <c r="BO1" t="s">
        <v>1850</v>
      </c>
      <c r="BP1" t="s">
        <v>1851</v>
      </c>
      <c r="BQ1" s="2" t="s">
        <v>1852</v>
      </c>
      <c r="BR1" t="s">
        <v>1828</v>
      </c>
      <c r="BS1" t="s">
        <v>1829</v>
      </c>
      <c r="BT1" t="s">
        <v>1830</v>
      </c>
      <c r="BU1" t="s">
        <v>1831</v>
      </c>
      <c r="BV1" t="s">
        <v>1832</v>
      </c>
      <c r="BW1" t="s">
        <v>1833</v>
      </c>
      <c r="BX1" t="s">
        <v>1834</v>
      </c>
      <c r="BY1" s="2" t="s">
        <v>1835</v>
      </c>
      <c r="BZ1" t="s">
        <v>1836</v>
      </c>
      <c r="CA1" t="s">
        <v>1836</v>
      </c>
      <c r="CB1" t="s">
        <v>1836</v>
      </c>
      <c r="CC1" t="s">
        <v>1836</v>
      </c>
      <c r="CD1" t="s">
        <v>1836</v>
      </c>
      <c r="CE1" t="s">
        <v>1836</v>
      </c>
      <c r="CF1" t="s">
        <v>1836</v>
      </c>
      <c r="CG1" t="s">
        <v>1836</v>
      </c>
      <c r="CH1" t="s">
        <v>1837</v>
      </c>
      <c r="CI1" t="s">
        <v>1838</v>
      </c>
      <c r="CJ1" t="s">
        <v>1839</v>
      </c>
      <c r="CK1" t="s">
        <v>1840</v>
      </c>
      <c r="CL1" t="s">
        <v>1841</v>
      </c>
      <c r="CM1" t="s">
        <v>1842</v>
      </c>
      <c r="CN1" t="s">
        <v>1843</v>
      </c>
      <c r="CO1" s="2" t="s">
        <v>1844</v>
      </c>
      <c r="CP1" t="s">
        <v>61</v>
      </c>
      <c r="CQ1" t="s">
        <v>62</v>
      </c>
      <c r="CR1" t="s">
        <v>63</v>
      </c>
      <c r="CS1" t="s">
        <v>64</v>
      </c>
      <c r="CT1" t="s">
        <v>65</v>
      </c>
      <c r="CU1" t="s">
        <v>66</v>
      </c>
      <c r="CV1" t="s">
        <v>67</v>
      </c>
      <c r="CW1" t="s">
        <v>68</v>
      </c>
    </row>
    <row r="2" spans="1:102" x14ac:dyDescent="0.35">
      <c r="A2" t="s">
        <v>719</v>
      </c>
      <c r="B2" t="s">
        <v>231</v>
      </c>
      <c r="C2" t="s">
        <v>301</v>
      </c>
      <c r="D2" t="s">
        <v>72</v>
      </c>
      <c r="E2" t="s">
        <v>72</v>
      </c>
      <c r="F2" t="s">
        <v>72</v>
      </c>
      <c r="G2" t="s">
        <v>73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>
        <v>48</v>
      </c>
      <c r="O2" t="s">
        <v>80</v>
      </c>
      <c r="P2">
        <v>621</v>
      </c>
      <c r="Q2">
        <v>0.68400000000000005</v>
      </c>
      <c r="R2">
        <v>175</v>
      </c>
      <c r="S2">
        <v>0.81130000000000002</v>
      </c>
      <c r="T2" t="s">
        <v>115</v>
      </c>
      <c r="U2" t="s">
        <v>116</v>
      </c>
      <c r="V2" t="s">
        <v>117</v>
      </c>
      <c r="W2" t="s">
        <v>118</v>
      </c>
      <c r="X2" t="s">
        <v>119</v>
      </c>
      <c r="Y2" t="s">
        <v>120</v>
      </c>
      <c r="Z2" t="s">
        <v>121</v>
      </c>
      <c r="AA2" t="s">
        <v>88</v>
      </c>
      <c r="AB2">
        <v>394</v>
      </c>
      <c r="AC2">
        <v>9</v>
      </c>
      <c r="AE2">
        <v>1</v>
      </c>
      <c r="AF2" t="s">
        <v>89</v>
      </c>
      <c r="AG2" t="s">
        <v>720</v>
      </c>
      <c r="AH2" t="s">
        <v>72</v>
      </c>
      <c r="AI2" t="s">
        <v>72</v>
      </c>
      <c r="AJ2" t="s">
        <v>91</v>
      </c>
      <c r="AK2" t="s">
        <v>92</v>
      </c>
      <c r="AL2" t="s">
        <v>93</v>
      </c>
      <c r="AM2" t="s">
        <v>94</v>
      </c>
      <c r="AN2" t="s">
        <v>721</v>
      </c>
      <c r="AO2" t="s">
        <v>722</v>
      </c>
      <c r="AP2" t="s">
        <v>723</v>
      </c>
      <c r="AQ2">
        <v>39</v>
      </c>
      <c r="AR2" t="s">
        <v>80</v>
      </c>
      <c r="AS2">
        <v>1332</v>
      </c>
      <c r="AT2">
        <v>0.95830000000000004</v>
      </c>
      <c r="AU2">
        <v>172</v>
      </c>
      <c r="AV2">
        <v>0.94740000000000002</v>
      </c>
      <c r="AW2" t="s">
        <v>98</v>
      </c>
      <c r="AX2" t="s">
        <v>293</v>
      </c>
      <c r="AY2" t="s">
        <v>724</v>
      </c>
      <c r="AZ2" t="s">
        <v>101</v>
      </c>
      <c r="BA2" t="s">
        <v>128</v>
      </c>
      <c r="BB2" t="s">
        <v>103</v>
      </c>
      <c r="BC2" t="s">
        <v>725</v>
      </c>
      <c r="BD2" t="s">
        <v>105</v>
      </c>
      <c r="BE2">
        <v>60838</v>
      </c>
      <c r="BF2" t="s">
        <v>726</v>
      </c>
      <c r="BG2">
        <v>725</v>
      </c>
      <c r="BH2" t="s">
        <v>80</v>
      </c>
      <c r="BI2">
        <v>1</v>
      </c>
      <c r="BJ2">
        <v>74</v>
      </c>
      <c r="BK2">
        <v>0</v>
      </c>
      <c r="BL2">
        <v>52</v>
      </c>
      <c r="BM2">
        <v>2686</v>
      </c>
      <c r="BN2">
        <v>3500</v>
      </c>
      <c r="BO2">
        <v>4513</v>
      </c>
      <c r="BP2">
        <v>27</v>
      </c>
      <c r="BQ2" s="2">
        <v>2644</v>
      </c>
      <c r="BR2">
        <f t="shared" ref="BR2:BR65" si="0">BJ2+1</f>
        <v>75</v>
      </c>
      <c r="BS2">
        <f t="shared" ref="BS2:BS65" si="1">BK2+1</f>
        <v>1</v>
      </c>
      <c r="BT2">
        <f t="shared" ref="BT2:BT65" si="2">BL2+1</f>
        <v>53</v>
      </c>
      <c r="BU2">
        <f t="shared" ref="BU2:BU65" si="3">BM2+1</f>
        <v>2687</v>
      </c>
      <c r="BV2">
        <f t="shared" ref="BV2:BV65" si="4">BN2+1</f>
        <v>3501</v>
      </c>
      <c r="BW2">
        <f t="shared" ref="BW2:BW65" si="5">BO2+1</f>
        <v>4514</v>
      </c>
      <c r="BX2">
        <f t="shared" ref="BX2:BX65" si="6">BP2+1</f>
        <v>28</v>
      </c>
      <c r="BY2" s="2">
        <f t="shared" ref="BY2:BY65" si="7">BQ2+1</f>
        <v>2645</v>
      </c>
      <c r="BZ2">
        <f t="shared" ref="BZ2:BZ65" si="8">GEOMEAN(BR2:BY2)</f>
        <v>243.84719913228255</v>
      </c>
      <c r="CA2">
        <v>243.84719913228255</v>
      </c>
      <c r="CB2">
        <v>243.84719913228255</v>
      </c>
      <c r="CC2">
        <v>243.84719913228255</v>
      </c>
      <c r="CD2">
        <v>243.84719913228255</v>
      </c>
      <c r="CE2">
        <v>243.84719913228255</v>
      </c>
      <c r="CF2">
        <v>243.84719913228255</v>
      </c>
      <c r="CG2">
        <v>243.84719913228255</v>
      </c>
      <c r="CH2">
        <f>LOG(BR2/BZ2)</f>
        <v>-0.51205650818903214</v>
      </c>
      <c r="CI2">
        <f t="shared" ref="CI2:CI65" si="9">LOG(BS2/CA2)</f>
        <v>-2.3871177715807321</v>
      </c>
      <c r="CJ2">
        <f t="shared" ref="CJ2:CJ65" si="10">LOG(BT2/CB2)</f>
        <v>-0.66284190197994319</v>
      </c>
      <c r="CK2">
        <f t="shared" ref="CK2:CK65" si="11">LOG(BU2/CC2)</f>
        <v>1.0421498948524364</v>
      </c>
      <c r="CL2">
        <f t="shared" ref="CL2:CL65" si="12">LOG(BV2/CD2)</f>
        <v>1.1570743391843004</v>
      </c>
      <c r="CM2">
        <f t="shared" ref="CM2:CM65" si="13">LOG(BW2/CE2)</f>
        <v>1.267443783161011</v>
      </c>
      <c r="CN2">
        <f t="shared" ref="CN2:CN65" si="14">LOG(BX2/CF2)</f>
        <v>-0.93995974023851292</v>
      </c>
      <c r="CO2" s="2">
        <f t="shared" ref="CO2:CO65" si="15">LOG(BY2/CG2)</f>
        <v>1.0353079047904723</v>
      </c>
      <c r="CP2">
        <v>-1.2922295843595799</v>
      </c>
      <c r="CQ2">
        <v>-2.2527165794045199</v>
      </c>
      <c r="CR2">
        <v>-0.466351586772146</v>
      </c>
      <c r="CS2">
        <v>1.4252671701503601</v>
      </c>
      <c r="CT2">
        <v>1.3334535278761299</v>
      </c>
      <c r="CU2">
        <v>1.23292307471747</v>
      </c>
      <c r="CV2">
        <v>0.155332142066268</v>
      </c>
      <c r="CW2">
        <v>1.35926035432431</v>
      </c>
      <c r="CX2" t="s">
        <v>1826</v>
      </c>
    </row>
    <row r="3" spans="1:102" x14ac:dyDescent="0.35">
      <c r="A3" t="s">
        <v>1582</v>
      </c>
      <c r="B3" t="s">
        <v>148</v>
      </c>
      <c r="C3" t="s">
        <v>108</v>
      </c>
      <c r="D3" t="s">
        <v>72</v>
      </c>
      <c r="E3" t="s">
        <v>72</v>
      </c>
      <c r="F3" t="s">
        <v>72</v>
      </c>
      <c r="G3" t="s">
        <v>73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>
        <v>48</v>
      </c>
      <c r="O3" t="s">
        <v>80</v>
      </c>
      <c r="P3">
        <v>621</v>
      </c>
      <c r="Q3">
        <v>0.68400000000000005</v>
      </c>
      <c r="R3">
        <v>175</v>
      </c>
      <c r="S3">
        <v>0.81130000000000002</v>
      </c>
      <c r="T3" t="s">
        <v>115</v>
      </c>
      <c r="U3" t="s">
        <v>116</v>
      </c>
      <c r="V3" t="s">
        <v>117</v>
      </c>
      <c r="W3" t="s">
        <v>118</v>
      </c>
      <c r="X3" t="s">
        <v>119</v>
      </c>
      <c r="Y3" t="s">
        <v>120</v>
      </c>
      <c r="Z3" t="s">
        <v>121</v>
      </c>
      <c r="AA3" t="s">
        <v>88</v>
      </c>
      <c r="AB3">
        <v>366</v>
      </c>
      <c r="AC3">
        <v>6</v>
      </c>
      <c r="AE3">
        <v>1</v>
      </c>
      <c r="AF3" t="s">
        <v>89</v>
      </c>
      <c r="AG3" t="s">
        <v>1583</v>
      </c>
      <c r="AH3" t="s">
        <v>72</v>
      </c>
      <c r="AI3" t="s">
        <v>72</v>
      </c>
      <c r="AJ3" t="s">
        <v>72</v>
      </c>
      <c r="AK3" t="s">
        <v>92</v>
      </c>
      <c r="AL3" t="s">
        <v>93</v>
      </c>
      <c r="AM3" t="s">
        <v>94</v>
      </c>
      <c r="AN3" t="s">
        <v>1584</v>
      </c>
      <c r="AO3" t="s">
        <v>1585</v>
      </c>
      <c r="AP3" t="s">
        <v>97</v>
      </c>
      <c r="AQ3">
        <v>39</v>
      </c>
      <c r="AR3" t="s">
        <v>80</v>
      </c>
      <c r="AS3">
        <v>1206</v>
      </c>
      <c r="AT3">
        <v>0.95789999999999997</v>
      </c>
      <c r="AU3">
        <v>163</v>
      </c>
      <c r="AV3">
        <v>0.92110000000000003</v>
      </c>
      <c r="AW3" t="s">
        <v>1586</v>
      </c>
      <c r="AX3" t="s">
        <v>146</v>
      </c>
      <c r="AY3" t="s">
        <v>785</v>
      </c>
      <c r="AZ3" t="s">
        <v>136</v>
      </c>
      <c r="BA3" t="s">
        <v>1587</v>
      </c>
      <c r="BB3" t="s">
        <v>103</v>
      </c>
      <c r="BC3" t="s">
        <v>104</v>
      </c>
      <c r="BD3" t="s">
        <v>105</v>
      </c>
      <c r="BE3">
        <v>64789</v>
      </c>
      <c r="BF3" t="s">
        <v>106</v>
      </c>
      <c r="BG3">
        <v>701</v>
      </c>
      <c r="BH3" t="s">
        <v>80</v>
      </c>
      <c r="BI3">
        <v>1</v>
      </c>
      <c r="BJ3">
        <v>42</v>
      </c>
      <c r="BK3">
        <v>0</v>
      </c>
      <c r="BL3">
        <v>27</v>
      </c>
      <c r="BM3">
        <v>884</v>
      </c>
      <c r="BN3">
        <v>1103</v>
      </c>
      <c r="BO3">
        <v>1666</v>
      </c>
      <c r="BP3">
        <v>0</v>
      </c>
      <c r="BQ3" s="2">
        <v>837</v>
      </c>
      <c r="BR3">
        <f t="shared" si="0"/>
        <v>43</v>
      </c>
      <c r="BS3">
        <f t="shared" si="1"/>
        <v>1</v>
      </c>
      <c r="BT3">
        <f t="shared" si="2"/>
        <v>28</v>
      </c>
      <c r="BU3">
        <f t="shared" si="3"/>
        <v>885</v>
      </c>
      <c r="BV3">
        <f t="shared" si="4"/>
        <v>1104</v>
      </c>
      <c r="BW3">
        <f t="shared" si="5"/>
        <v>1667</v>
      </c>
      <c r="BX3">
        <f t="shared" si="6"/>
        <v>1</v>
      </c>
      <c r="BY3" s="2">
        <f t="shared" si="7"/>
        <v>838</v>
      </c>
      <c r="BZ3">
        <f t="shared" si="8"/>
        <v>79.793002298706455</v>
      </c>
      <c r="CA3">
        <v>79.793002298706455</v>
      </c>
      <c r="CB3">
        <v>79.793002298706455</v>
      </c>
      <c r="CC3">
        <v>79.793002298706455</v>
      </c>
      <c r="CD3">
        <v>79.793002298706455</v>
      </c>
      <c r="CE3">
        <v>79.793002298706455</v>
      </c>
      <c r="CF3">
        <v>79.793002298706455</v>
      </c>
      <c r="CG3">
        <v>79.793002298706455</v>
      </c>
      <c r="CH3">
        <f t="shared" ref="CH3:CH65" si="16">LOG(BR3/BZ3)</f>
        <v>-0.2684963506043001</v>
      </c>
      <c r="CI3">
        <f t="shared" si="9"/>
        <v>-1.9019648061838867</v>
      </c>
      <c r="CJ3">
        <f t="shared" si="10"/>
        <v>-0.45480677484166748</v>
      </c>
      <c r="CK3">
        <f t="shared" si="11"/>
        <v>1.0449784645139388</v>
      </c>
      <c r="CL3">
        <f t="shared" si="12"/>
        <v>1.1410042672092935</v>
      </c>
      <c r="CM3">
        <f t="shared" si="13"/>
        <v>1.3199707936441187</v>
      </c>
      <c r="CN3">
        <f t="shared" si="14"/>
        <v>-1.9019648061838867</v>
      </c>
      <c r="CO3" s="2">
        <f t="shared" si="15"/>
        <v>1.0212792124463899</v>
      </c>
      <c r="CP3">
        <v>-0.99960853248602499</v>
      </c>
      <c r="CQ3">
        <v>-2.2527165794045199</v>
      </c>
      <c r="CR3">
        <v>0.463123872679361</v>
      </c>
      <c r="CS3">
        <v>1.4336014089575699</v>
      </c>
      <c r="CT3">
        <v>1.28872063248394</v>
      </c>
      <c r="CU3">
        <v>1.3846102589720499</v>
      </c>
      <c r="CV3">
        <v>-2.6172399890044602</v>
      </c>
      <c r="CW3">
        <v>1.32072839904113</v>
      </c>
      <c r="CX3" t="s">
        <v>1826</v>
      </c>
    </row>
    <row r="4" spans="1:102" x14ac:dyDescent="0.35">
      <c r="A4" t="s">
        <v>896</v>
      </c>
      <c r="B4" t="s">
        <v>178</v>
      </c>
      <c r="C4" t="s">
        <v>897</v>
      </c>
      <c r="D4" t="s">
        <v>72</v>
      </c>
      <c r="E4" t="s">
        <v>72</v>
      </c>
      <c r="F4" t="s">
        <v>72</v>
      </c>
      <c r="G4" t="s">
        <v>73</v>
      </c>
      <c r="H4" t="s">
        <v>109</v>
      </c>
      <c r="I4" t="s">
        <v>110</v>
      </c>
      <c r="J4" t="s">
        <v>111</v>
      </c>
      <c r="K4" t="s">
        <v>898</v>
      </c>
      <c r="L4" t="s">
        <v>899</v>
      </c>
      <c r="M4" t="s">
        <v>114</v>
      </c>
      <c r="N4">
        <v>48</v>
      </c>
      <c r="O4" t="s">
        <v>80</v>
      </c>
      <c r="P4">
        <v>630</v>
      </c>
      <c r="Q4">
        <v>0.6875</v>
      </c>
      <c r="R4">
        <v>175</v>
      </c>
      <c r="S4">
        <v>0.81130000000000002</v>
      </c>
      <c r="T4" t="s">
        <v>115</v>
      </c>
      <c r="U4" t="s">
        <v>900</v>
      </c>
      <c r="V4" t="s">
        <v>117</v>
      </c>
      <c r="W4" t="s">
        <v>118</v>
      </c>
      <c r="X4" t="s">
        <v>119</v>
      </c>
      <c r="Y4" t="s">
        <v>120</v>
      </c>
      <c r="Z4" t="s">
        <v>121</v>
      </c>
      <c r="AA4" t="s">
        <v>88</v>
      </c>
      <c r="AB4">
        <v>734</v>
      </c>
      <c r="AC4">
        <v>11</v>
      </c>
      <c r="AE4">
        <v>1</v>
      </c>
      <c r="AF4" t="s">
        <v>89</v>
      </c>
      <c r="AG4" t="s">
        <v>901</v>
      </c>
      <c r="AH4" t="s">
        <v>72</v>
      </c>
      <c r="AI4" t="s">
        <v>72</v>
      </c>
      <c r="AJ4" t="s">
        <v>91</v>
      </c>
      <c r="AK4" t="s">
        <v>92</v>
      </c>
      <c r="AL4" t="s">
        <v>93</v>
      </c>
      <c r="AM4" t="s">
        <v>94</v>
      </c>
      <c r="AN4" t="s">
        <v>902</v>
      </c>
      <c r="AO4" t="s">
        <v>903</v>
      </c>
      <c r="AP4" t="s">
        <v>97</v>
      </c>
      <c r="AQ4">
        <v>39</v>
      </c>
      <c r="AR4" t="s">
        <v>80</v>
      </c>
      <c r="AS4">
        <v>1341</v>
      </c>
      <c r="AT4">
        <v>0.96179999999999999</v>
      </c>
      <c r="AU4">
        <v>172</v>
      </c>
      <c r="AV4">
        <v>0.94740000000000002</v>
      </c>
      <c r="AW4" t="s">
        <v>98</v>
      </c>
      <c r="AX4" t="s">
        <v>146</v>
      </c>
      <c r="AY4" t="s">
        <v>904</v>
      </c>
      <c r="AZ4" t="s">
        <v>101</v>
      </c>
      <c r="BA4" t="s">
        <v>868</v>
      </c>
      <c r="BB4" t="s">
        <v>103</v>
      </c>
      <c r="BC4" t="s">
        <v>104</v>
      </c>
      <c r="BD4" t="s">
        <v>105</v>
      </c>
      <c r="BE4">
        <v>61076</v>
      </c>
      <c r="BF4" t="s">
        <v>106</v>
      </c>
      <c r="BG4">
        <v>1015</v>
      </c>
      <c r="BH4" t="s">
        <v>80</v>
      </c>
      <c r="BI4">
        <v>1</v>
      </c>
      <c r="BJ4">
        <v>29</v>
      </c>
      <c r="BK4">
        <v>0</v>
      </c>
      <c r="BL4">
        <v>28</v>
      </c>
      <c r="BM4">
        <v>730</v>
      </c>
      <c r="BN4">
        <v>899</v>
      </c>
      <c r="BO4">
        <v>1413</v>
      </c>
      <c r="BP4">
        <v>0</v>
      </c>
      <c r="BQ4" s="2">
        <v>729</v>
      </c>
      <c r="BR4">
        <f t="shared" si="0"/>
        <v>30</v>
      </c>
      <c r="BS4">
        <f t="shared" si="1"/>
        <v>1</v>
      </c>
      <c r="BT4">
        <f t="shared" si="2"/>
        <v>29</v>
      </c>
      <c r="BU4">
        <f t="shared" si="3"/>
        <v>731</v>
      </c>
      <c r="BV4">
        <f t="shared" si="4"/>
        <v>900</v>
      </c>
      <c r="BW4">
        <f t="shared" si="5"/>
        <v>1414</v>
      </c>
      <c r="BX4">
        <f t="shared" si="6"/>
        <v>1</v>
      </c>
      <c r="BY4" s="2">
        <f t="shared" si="7"/>
        <v>730</v>
      </c>
      <c r="BZ4">
        <f t="shared" si="8"/>
        <v>70.215246700489416</v>
      </c>
      <c r="CA4">
        <v>70.215246700489416</v>
      </c>
      <c r="CB4">
        <v>70.215246700489416</v>
      </c>
      <c r="CC4">
        <v>70.215246700489416</v>
      </c>
      <c r="CD4">
        <v>70.215246700489416</v>
      </c>
      <c r="CE4">
        <v>70.215246700489416</v>
      </c>
      <c r="CF4">
        <v>70.215246700489416</v>
      </c>
      <c r="CG4">
        <v>70.215246700489416</v>
      </c>
      <c r="CH4">
        <f t="shared" si="16"/>
        <v>-0.36931017135498007</v>
      </c>
      <c r="CI4">
        <f t="shared" si="9"/>
        <v>-1.8464314260746426</v>
      </c>
      <c r="CJ4">
        <f t="shared" si="10"/>
        <v>-0.38403342817568648</v>
      </c>
      <c r="CK4">
        <f t="shared" si="11"/>
        <v>1.0174859508832179</v>
      </c>
      <c r="CL4">
        <f t="shared" si="12"/>
        <v>1.1078110833646824</v>
      </c>
      <c r="CM4">
        <f t="shared" si="13"/>
        <v>1.304017983386238</v>
      </c>
      <c r="CN4">
        <f t="shared" si="14"/>
        <v>-1.8464314260746426</v>
      </c>
      <c r="CO4" s="2">
        <f t="shared" si="15"/>
        <v>1.0168914340458135</v>
      </c>
      <c r="CP4">
        <v>-1.12072951780643</v>
      </c>
      <c r="CQ4">
        <v>-2.2527165794045199</v>
      </c>
      <c r="CR4">
        <v>0.77933051438540202</v>
      </c>
      <c r="CS4">
        <v>1.35259609481326</v>
      </c>
      <c r="CT4">
        <v>1.1963235839228501</v>
      </c>
      <c r="CU4">
        <v>1.3385418296685501</v>
      </c>
      <c r="CV4">
        <v>-2.6172399890044602</v>
      </c>
      <c r="CW4">
        <v>1.3086766926541999</v>
      </c>
      <c r="CX4" t="s">
        <v>1826</v>
      </c>
    </row>
    <row r="5" spans="1:102" x14ac:dyDescent="0.35">
      <c r="A5" t="s">
        <v>890</v>
      </c>
      <c r="B5" t="s">
        <v>211</v>
      </c>
      <c r="C5" t="s">
        <v>108</v>
      </c>
      <c r="D5" t="s">
        <v>72</v>
      </c>
      <c r="E5" t="s">
        <v>72</v>
      </c>
      <c r="F5" t="s">
        <v>72</v>
      </c>
      <c r="G5" t="s">
        <v>73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>
        <v>48</v>
      </c>
      <c r="O5" t="s">
        <v>80</v>
      </c>
      <c r="P5">
        <v>621</v>
      </c>
      <c r="Q5">
        <v>0.68400000000000005</v>
      </c>
      <c r="R5">
        <v>175</v>
      </c>
      <c r="S5">
        <v>0.81130000000000002</v>
      </c>
      <c r="T5" t="s">
        <v>115</v>
      </c>
      <c r="U5" t="s">
        <v>116</v>
      </c>
      <c r="V5" t="s">
        <v>117</v>
      </c>
      <c r="W5" t="s">
        <v>118</v>
      </c>
      <c r="X5" t="s">
        <v>119</v>
      </c>
      <c r="Y5" t="s">
        <v>120</v>
      </c>
      <c r="Z5" t="s">
        <v>121</v>
      </c>
      <c r="AA5" t="s">
        <v>88</v>
      </c>
      <c r="AB5">
        <v>288</v>
      </c>
      <c r="AC5">
        <v>6</v>
      </c>
      <c r="AE5">
        <v>1</v>
      </c>
      <c r="AF5" t="s">
        <v>89</v>
      </c>
      <c r="AG5" t="s">
        <v>891</v>
      </c>
      <c r="AH5" t="s">
        <v>72</v>
      </c>
      <c r="AI5" t="s">
        <v>72</v>
      </c>
      <c r="AJ5" t="s">
        <v>91</v>
      </c>
      <c r="AK5" t="s">
        <v>92</v>
      </c>
      <c r="AL5" t="s">
        <v>93</v>
      </c>
      <c r="AM5" t="s">
        <v>94</v>
      </c>
      <c r="AN5" t="s">
        <v>892</v>
      </c>
      <c r="AO5" t="s">
        <v>893</v>
      </c>
      <c r="AP5" t="s">
        <v>97</v>
      </c>
      <c r="AQ5">
        <v>39</v>
      </c>
      <c r="AR5" t="s">
        <v>80</v>
      </c>
      <c r="AS5">
        <v>1350</v>
      </c>
      <c r="AT5">
        <v>0.96530000000000005</v>
      </c>
      <c r="AU5">
        <v>163</v>
      </c>
      <c r="AV5">
        <v>0.92110000000000003</v>
      </c>
      <c r="AW5" t="s">
        <v>98</v>
      </c>
      <c r="AX5" t="s">
        <v>146</v>
      </c>
      <c r="AY5" t="s">
        <v>894</v>
      </c>
      <c r="AZ5" t="s">
        <v>895</v>
      </c>
      <c r="BA5" t="s">
        <v>128</v>
      </c>
      <c r="BB5" t="s">
        <v>103</v>
      </c>
      <c r="BC5" t="s">
        <v>104</v>
      </c>
      <c r="BD5" t="s">
        <v>105</v>
      </c>
      <c r="BE5">
        <v>36292</v>
      </c>
      <c r="BF5" t="s">
        <v>106</v>
      </c>
      <c r="BG5">
        <v>682</v>
      </c>
      <c r="BH5" t="s">
        <v>80</v>
      </c>
      <c r="BI5">
        <v>1</v>
      </c>
      <c r="BJ5">
        <v>33</v>
      </c>
      <c r="BK5">
        <v>0</v>
      </c>
      <c r="BL5">
        <v>16</v>
      </c>
      <c r="BM5">
        <v>869</v>
      </c>
      <c r="BN5">
        <v>1149</v>
      </c>
      <c r="BO5">
        <v>1535</v>
      </c>
      <c r="BP5">
        <v>6</v>
      </c>
      <c r="BQ5" s="2">
        <v>920</v>
      </c>
      <c r="BR5">
        <f t="shared" si="0"/>
        <v>34</v>
      </c>
      <c r="BS5">
        <f t="shared" si="1"/>
        <v>1</v>
      </c>
      <c r="BT5">
        <f t="shared" si="2"/>
        <v>17</v>
      </c>
      <c r="BU5">
        <f t="shared" si="3"/>
        <v>870</v>
      </c>
      <c r="BV5">
        <f t="shared" si="4"/>
        <v>1150</v>
      </c>
      <c r="BW5">
        <f t="shared" si="5"/>
        <v>1536</v>
      </c>
      <c r="BX5">
        <f t="shared" si="6"/>
        <v>7</v>
      </c>
      <c r="BY5" s="2">
        <f t="shared" si="7"/>
        <v>921</v>
      </c>
      <c r="BZ5">
        <f t="shared" si="8"/>
        <v>93.268872591539392</v>
      </c>
      <c r="CA5">
        <v>93.268872591539392</v>
      </c>
      <c r="CB5">
        <v>93.268872591539392</v>
      </c>
      <c r="CC5">
        <v>93.268872591539392</v>
      </c>
      <c r="CD5">
        <v>93.268872591539392</v>
      </c>
      <c r="CE5">
        <v>93.268872591539392</v>
      </c>
      <c r="CF5">
        <v>93.268872591539392</v>
      </c>
      <c r="CG5">
        <v>93.268872591539392</v>
      </c>
      <c r="CH5">
        <f t="shared" si="16"/>
        <v>-0.43825781012016474</v>
      </c>
      <c r="CI5">
        <f t="shared" si="9"/>
        <v>-1.9697367271624198</v>
      </c>
      <c r="CJ5">
        <f t="shared" si="10"/>
        <v>-0.73928780578414588</v>
      </c>
      <c r="CK5">
        <f t="shared" si="11"/>
        <v>0.9697825254561987</v>
      </c>
      <c r="CL5">
        <f t="shared" si="12"/>
        <v>1.0909611131911918</v>
      </c>
      <c r="CM5">
        <f t="shared" si="13"/>
        <v>1.2166544885330735</v>
      </c>
      <c r="CN5">
        <f t="shared" si="14"/>
        <v>-1.1246386871481631</v>
      </c>
      <c r="CO5" s="2">
        <f t="shared" si="15"/>
        <v>0.99452290303442914</v>
      </c>
      <c r="CP5">
        <v>-1.20356544129957</v>
      </c>
      <c r="CQ5">
        <v>-2.2527165794045199</v>
      </c>
      <c r="CR5">
        <v>-0.80790251876628405</v>
      </c>
      <c r="CS5">
        <v>1.2120403415496701</v>
      </c>
      <c r="CT5">
        <v>1.1494197521102301</v>
      </c>
      <c r="CU5">
        <v>1.08625405583497</v>
      </c>
      <c r="CV5">
        <v>-0.33997195354487197</v>
      </c>
      <c r="CW5">
        <v>1.24723809128344</v>
      </c>
      <c r="CX5" t="s">
        <v>1826</v>
      </c>
    </row>
    <row r="6" spans="1:102" x14ac:dyDescent="0.35">
      <c r="A6" t="s">
        <v>707</v>
      </c>
      <c r="B6" t="s">
        <v>178</v>
      </c>
      <c r="C6" t="s">
        <v>708</v>
      </c>
      <c r="D6" t="s">
        <v>72</v>
      </c>
      <c r="E6" t="s">
        <v>72</v>
      </c>
      <c r="F6" t="s">
        <v>72</v>
      </c>
      <c r="G6" t="s">
        <v>73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>
        <v>48</v>
      </c>
      <c r="O6" t="s">
        <v>80</v>
      </c>
      <c r="P6">
        <v>621</v>
      </c>
      <c r="Q6">
        <v>0.68400000000000005</v>
      </c>
      <c r="R6">
        <v>175</v>
      </c>
      <c r="S6">
        <v>0.81130000000000002</v>
      </c>
      <c r="T6" t="s">
        <v>115</v>
      </c>
      <c r="U6" t="s">
        <v>116</v>
      </c>
      <c r="V6" t="s">
        <v>117</v>
      </c>
      <c r="W6" t="s">
        <v>118</v>
      </c>
      <c r="X6" t="s">
        <v>119</v>
      </c>
      <c r="Y6" t="s">
        <v>120</v>
      </c>
      <c r="Z6" t="s">
        <v>121</v>
      </c>
      <c r="AA6" t="s">
        <v>88</v>
      </c>
      <c r="AB6">
        <v>473</v>
      </c>
      <c r="AC6">
        <v>10</v>
      </c>
      <c r="AE6">
        <v>1</v>
      </c>
      <c r="AF6" t="s">
        <v>89</v>
      </c>
      <c r="AG6" t="s">
        <v>709</v>
      </c>
      <c r="AH6" t="s">
        <v>72</v>
      </c>
      <c r="AI6" t="s">
        <v>72</v>
      </c>
      <c r="AJ6" t="s">
        <v>91</v>
      </c>
      <c r="AK6" t="s">
        <v>92</v>
      </c>
      <c r="AL6" t="s">
        <v>93</v>
      </c>
      <c r="AM6" t="s">
        <v>94</v>
      </c>
      <c r="AN6" t="s">
        <v>710</v>
      </c>
      <c r="AO6" t="s">
        <v>711</v>
      </c>
      <c r="AP6" t="s">
        <v>97</v>
      </c>
      <c r="AQ6">
        <v>39</v>
      </c>
      <c r="AR6" t="s">
        <v>80</v>
      </c>
      <c r="AS6">
        <v>1332</v>
      </c>
      <c r="AT6">
        <v>0.95830000000000004</v>
      </c>
      <c r="AU6">
        <v>163</v>
      </c>
      <c r="AV6">
        <v>0.92110000000000003</v>
      </c>
      <c r="AW6" t="s">
        <v>98</v>
      </c>
      <c r="AX6" t="s">
        <v>712</v>
      </c>
      <c r="AY6" t="s">
        <v>127</v>
      </c>
      <c r="AZ6" t="s">
        <v>136</v>
      </c>
      <c r="BA6" t="s">
        <v>713</v>
      </c>
      <c r="BB6" t="s">
        <v>103</v>
      </c>
      <c r="BC6" t="s">
        <v>104</v>
      </c>
      <c r="BD6" t="s">
        <v>105</v>
      </c>
      <c r="BE6">
        <v>83186</v>
      </c>
      <c r="BF6" t="s">
        <v>106</v>
      </c>
      <c r="BG6">
        <v>1034</v>
      </c>
      <c r="BH6" t="s">
        <v>80</v>
      </c>
      <c r="BI6">
        <v>1</v>
      </c>
      <c r="BJ6">
        <v>103</v>
      </c>
      <c r="BK6">
        <v>0</v>
      </c>
      <c r="BL6">
        <v>57</v>
      </c>
      <c r="BM6">
        <v>2088</v>
      </c>
      <c r="BN6">
        <v>2686</v>
      </c>
      <c r="BO6">
        <v>3806</v>
      </c>
      <c r="BP6">
        <v>22</v>
      </c>
      <c r="BQ6" s="2">
        <v>2126</v>
      </c>
      <c r="BR6">
        <f t="shared" si="0"/>
        <v>104</v>
      </c>
      <c r="BS6">
        <f t="shared" si="1"/>
        <v>1</v>
      </c>
      <c r="BT6">
        <f t="shared" si="2"/>
        <v>58</v>
      </c>
      <c r="BU6">
        <f t="shared" si="3"/>
        <v>2089</v>
      </c>
      <c r="BV6">
        <f t="shared" si="4"/>
        <v>2687</v>
      </c>
      <c r="BW6">
        <f t="shared" si="5"/>
        <v>3807</v>
      </c>
      <c r="BX6">
        <f t="shared" si="6"/>
        <v>23</v>
      </c>
      <c r="BY6" s="2">
        <f t="shared" si="7"/>
        <v>2127</v>
      </c>
      <c r="BZ6">
        <f t="shared" si="8"/>
        <v>223.8557247536674</v>
      </c>
      <c r="CA6">
        <v>223.8557247536674</v>
      </c>
      <c r="CB6">
        <v>223.8557247536674</v>
      </c>
      <c r="CC6">
        <v>223.8557247536674</v>
      </c>
      <c r="CD6">
        <v>223.8557247536674</v>
      </c>
      <c r="CE6">
        <v>223.8557247536674</v>
      </c>
      <c r="CF6">
        <v>223.8557247536674</v>
      </c>
      <c r="CG6">
        <v>223.8557247536674</v>
      </c>
      <c r="CH6">
        <f t="shared" si="16"/>
        <v>-0.33293486595245508</v>
      </c>
      <c r="CI6">
        <f t="shared" si="9"/>
        <v>-2.3499682052512356</v>
      </c>
      <c r="CJ6">
        <f t="shared" si="10"/>
        <v>-0.58654021168829817</v>
      </c>
      <c r="CK6">
        <f t="shared" si="11"/>
        <v>0.96997023472907318</v>
      </c>
      <c r="CL6">
        <f t="shared" si="12"/>
        <v>1.0792994611819331</v>
      </c>
      <c r="CM6">
        <f t="shared" si="13"/>
        <v>1.2306146715631316</v>
      </c>
      <c r="CN6">
        <f t="shared" si="14"/>
        <v>-0.98824036923364256</v>
      </c>
      <c r="CO6" s="2">
        <f t="shared" si="15"/>
        <v>0.97779928465149357</v>
      </c>
      <c r="CP6">
        <v>-1.07702704924728</v>
      </c>
      <c r="CQ6">
        <v>-2.2527165794045199</v>
      </c>
      <c r="CR6">
        <v>-0.12544498308297999</v>
      </c>
      <c r="CS6">
        <v>1.2125934175186801</v>
      </c>
      <c r="CT6">
        <v>1.11695820120731</v>
      </c>
      <c r="CU6">
        <v>1.1265681882409899</v>
      </c>
      <c r="CV6">
        <v>2.5844760422983601E-2</v>
      </c>
      <c r="CW6">
        <v>1.20130410827923</v>
      </c>
      <c r="CX6" t="s">
        <v>1826</v>
      </c>
    </row>
    <row r="7" spans="1:102" x14ac:dyDescent="0.35">
      <c r="A7" t="s">
        <v>656</v>
      </c>
      <c r="B7" t="s">
        <v>148</v>
      </c>
      <c r="C7" t="s">
        <v>548</v>
      </c>
      <c r="D7" t="s">
        <v>72</v>
      </c>
      <c r="E7" t="s">
        <v>72</v>
      </c>
      <c r="F7" t="s">
        <v>72</v>
      </c>
      <c r="G7" t="s">
        <v>73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>
        <v>48</v>
      </c>
      <c r="O7" t="s">
        <v>80</v>
      </c>
      <c r="P7">
        <v>621</v>
      </c>
      <c r="Q7">
        <v>0.68400000000000005</v>
      </c>
      <c r="R7">
        <v>175</v>
      </c>
      <c r="S7">
        <v>0.81130000000000002</v>
      </c>
      <c r="T7" t="s">
        <v>115</v>
      </c>
      <c r="U7" t="s">
        <v>116</v>
      </c>
      <c r="V7" t="s">
        <v>117</v>
      </c>
      <c r="W7" t="s">
        <v>118</v>
      </c>
      <c r="X7" t="s">
        <v>119</v>
      </c>
      <c r="Y7" t="s">
        <v>120</v>
      </c>
      <c r="Z7" t="s">
        <v>121</v>
      </c>
      <c r="AA7" t="s">
        <v>88</v>
      </c>
      <c r="AB7">
        <v>151</v>
      </c>
      <c r="AC7">
        <v>2</v>
      </c>
      <c r="AE7">
        <v>1</v>
      </c>
      <c r="AF7" t="s">
        <v>89</v>
      </c>
      <c r="AG7" t="s">
        <v>657</v>
      </c>
      <c r="AH7" t="s">
        <v>72</v>
      </c>
      <c r="AI7" t="s">
        <v>72</v>
      </c>
      <c r="AJ7" t="s">
        <v>91</v>
      </c>
      <c r="AK7" t="s">
        <v>92</v>
      </c>
      <c r="AL7" t="s">
        <v>93</v>
      </c>
      <c r="AM7" t="s">
        <v>94</v>
      </c>
      <c r="AN7" t="s">
        <v>658</v>
      </c>
      <c r="AO7" t="s">
        <v>659</v>
      </c>
      <c r="AP7" t="s">
        <v>97</v>
      </c>
      <c r="AQ7">
        <v>39</v>
      </c>
      <c r="AR7" t="s">
        <v>80</v>
      </c>
      <c r="AS7">
        <v>1341</v>
      </c>
      <c r="AT7">
        <v>0.96179999999999999</v>
      </c>
      <c r="AU7">
        <v>172</v>
      </c>
      <c r="AV7">
        <v>0.94740000000000002</v>
      </c>
      <c r="AW7" t="s">
        <v>644</v>
      </c>
      <c r="AX7" t="s">
        <v>146</v>
      </c>
      <c r="AY7" t="s">
        <v>127</v>
      </c>
      <c r="AZ7" t="s">
        <v>101</v>
      </c>
      <c r="BA7" t="s">
        <v>128</v>
      </c>
      <c r="BB7" t="s">
        <v>450</v>
      </c>
      <c r="BC7" t="s">
        <v>104</v>
      </c>
      <c r="BD7" t="s">
        <v>105</v>
      </c>
      <c r="BE7">
        <v>29149</v>
      </c>
      <c r="BF7" t="s">
        <v>106</v>
      </c>
      <c r="BG7">
        <v>363</v>
      </c>
      <c r="BH7" t="s">
        <v>80</v>
      </c>
      <c r="BI7">
        <v>1</v>
      </c>
      <c r="BJ7">
        <v>24</v>
      </c>
      <c r="BK7">
        <v>0</v>
      </c>
      <c r="BL7">
        <v>31</v>
      </c>
      <c r="BM7">
        <v>894</v>
      </c>
      <c r="BN7">
        <v>1212</v>
      </c>
      <c r="BO7">
        <v>1680</v>
      </c>
      <c r="BP7">
        <v>4</v>
      </c>
      <c r="BQ7" s="2">
        <v>875</v>
      </c>
      <c r="BR7">
        <f t="shared" si="0"/>
        <v>25</v>
      </c>
      <c r="BS7">
        <f t="shared" si="1"/>
        <v>1</v>
      </c>
      <c r="BT7">
        <f t="shared" si="2"/>
        <v>32</v>
      </c>
      <c r="BU7">
        <f t="shared" si="3"/>
        <v>895</v>
      </c>
      <c r="BV7">
        <f t="shared" si="4"/>
        <v>1213</v>
      </c>
      <c r="BW7">
        <f t="shared" si="5"/>
        <v>1681</v>
      </c>
      <c r="BX7">
        <f t="shared" si="6"/>
        <v>5</v>
      </c>
      <c r="BY7" s="2">
        <f t="shared" si="7"/>
        <v>876</v>
      </c>
      <c r="BZ7">
        <f t="shared" si="8"/>
        <v>94.564244212856337</v>
      </c>
      <c r="CA7">
        <v>94.564244212856337</v>
      </c>
      <c r="CB7">
        <v>94.564244212856337</v>
      </c>
      <c r="CC7">
        <v>94.564244212856337</v>
      </c>
      <c r="CD7">
        <v>94.564244212856337</v>
      </c>
      <c r="CE7">
        <v>94.564244212856337</v>
      </c>
      <c r="CF7">
        <v>94.564244212856337</v>
      </c>
      <c r="CG7">
        <v>94.564244212856337</v>
      </c>
      <c r="CH7">
        <f t="shared" si="16"/>
        <v>-0.57778694721771229</v>
      </c>
      <c r="CI7">
        <f t="shared" si="9"/>
        <v>-1.9757269558897499</v>
      </c>
      <c r="CJ7">
        <f t="shared" si="10"/>
        <v>-0.4705769775698439</v>
      </c>
      <c r="CK7">
        <f t="shared" si="11"/>
        <v>0.97609607942616217</v>
      </c>
      <c r="CL7">
        <f t="shared" si="12"/>
        <v>1.108133844976823</v>
      </c>
      <c r="CM7">
        <f t="shared" si="13"/>
        <v>1.2498407575497212</v>
      </c>
      <c r="CN7">
        <f t="shared" si="14"/>
        <v>-1.2767569515537311</v>
      </c>
      <c r="CO7" s="2">
        <f t="shared" si="15"/>
        <v>0.96677715027833089</v>
      </c>
      <c r="CP7">
        <v>-1.37120026002106</v>
      </c>
      <c r="CQ7">
        <v>-2.2527165794045199</v>
      </c>
      <c r="CR7">
        <v>0.392664539065608</v>
      </c>
      <c r="CS7">
        <v>1.23064291203753</v>
      </c>
      <c r="CT7">
        <v>1.1972220280278301</v>
      </c>
      <c r="CU7">
        <v>1.1820891634634401</v>
      </c>
      <c r="CV7">
        <v>-0.74794915201891798</v>
      </c>
      <c r="CW7">
        <v>1.17103012561747</v>
      </c>
      <c r="CX7" t="s">
        <v>1826</v>
      </c>
    </row>
    <row r="8" spans="1:102" x14ac:dyDescent="0.35">
      <c r="A8" t="s">
        <v>1385</v>
      </c>
      <c r="B8" t="s">
        <v>211</v>
      </c>
      <c r="C8" t="s">
        <v>301</v>
      </c>
      <c r="D8" t="s">
        <v>72</v>
      </c>
      <c r="E8" t="s">
        <v>72</v>
      </c>
      <c r="F8" t="s">
        <v>72</v>
      </c>
      <c r="G8" t="s">
        <v>73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>
        <v>48</v>
      </c>
      <c r="O8" t="s">
        <v>80</v>
      </c>
      <c r="P8">
        <v>621</v>
      </c>
      <c r="Q8">
        <v>0.68400000000000005</v>
      </c>
      <c r="R8">
        <v>175</v>
      </c>
      <c r="S8">
        <v>0.81130000000000002</v>
      </c>
      <c r="T8" t="s">
        <v>115</v>
      </c>
      <c r="U8" t="s">
        <v>116</v>
      </c>
      <c r="V8" t="s">
        <v>117</v>
      </c>
      <c r="W8" t="s">
        <v>118</v>
      </c>
      <c r="X8" t="s">
        <v>119</v>
      </c>
      <c r="Y8" t="s">
        <v>120</v>
      </c>
      <c r="Z8" t="s">
        <v>121</v>
      </c>
      <c r="AA8" t="s">
        <v>88</v>
      </c>
      <c r="AB8">
        <v>1192</v>
      </c>
      <c r="AC8">
        <v>18</v>
      </c>
      <c r="AE8">
        <v>1</v>
      </c>
      <c r="AF8" t="s">
        <v>89</v>
      </c>
      <c r="AG8" t="s">
        <v>1386</v>
      </c>
      <c r="AH8" t="s">
        <v>72</v>
      </c>
      <c r="AI8" t="s">
        <v>72</v>
      </c>
      <c r="AJ8" t="s">
        <v>91</v>
      </c>
      <c r="AK8" t="s">
        <v>92</v>
      </c>
      <c r="AL8" t="s">
        <v>93</v>
      </c>
      <c r="AM8" t="s">
        <v>94</v>
      </c>
      <c r="AN8" t="s">
        <v>1387</v>
      </c>
      <c r="AO8" t="s">
        <v>1388</v>
      </c>
      <c r="AP8" t="s">
        <v>97</v>
      </c>
      <c r="AQ8">
        <v>39</v>
      </c>
      <c r="AR8" t="s">
        <v>80</v>
      </c>
      <c r="AS8">
        <v>1350</v>
      </c>
      <c r="AT8">
        <v>0.96530000000000005</v>
      </c>
      <c r="AU8">
        <v>163</v>
      </c>
      <c r="AV8">
        <v>0.92110000000000003</v>
      </c>
      <c r="AW8" t="s">
        <v>98</v>
      </c>
      <c r="AX8" t="s">
        <v>1389</v>
      </c>
      <c r="AY8" t="s">
        <v>127</v>
      </c>
      <c r="AZ8" t="s">
        <v>1367</v>
      </c>
      <c r="BA8" t="s">
        <v>128</v>
      </c>
      <c r="BB8" t="s">
        <v>103</v>
      </c>
      <c r="BC8" t="s">
        <v>104</v>
      </c>
      <c r="BD8" t="s">
        <v>105</v>
      </c>
      <c r="BE8">
        <v>92248</v>
      </c>
      <c r="BF8" t="s">
        <v>106</v>
      </c>
      <c r="BG8">
        <v>1130</v>
      </c>
      <c r="BH8" t="s">
        <v>80</v>
      </c>
      <c r="BI8">
        <v>1</v>
      </c>
      <c r="BJ8">
        <v>30</v>
      </c>
      <c r="BK8">
        <v>0</v>
      </c>
      <c r="BL8">
        <v>41</v>
      </c>
      <c r="BM8">
        <v>1312</v>
      </c>
      <c r="BN8">
        <v>1832</v>
      </c>
      <c r="BO8">
        <v>2675</v>
      </c>
      <c r="BP8">
        <v>20</v>
      </c>
      <c r="BQ8" s="2">
        <v>1368</v>
      </c>
      <c r="BR8">
        <f t="shared" si="0"/>
        <v>31</v>
      </c>
      <c r="BS8">
        <f t="shared" si="1"/>
        <v>1</v>
      </c>
      <c r="BT8">
        <f t="shared" si="2"/>
        <v>42</v>
      </c>
      <c r="BU8">
        <f t="shared" si="3"/>
        <v>1313</v>
      </c>
      <c r="BV8">
        <f t="shared" si="4"/>
        <v>1833</v>
      </c>
      <c r="BW8">
        <f t="shared" si="5"/>
        <v>2676</v>
      </c>
      <c r="BX8">
        <f t="shared" si="6"/>
        <v>21</v>
      </c>
      <c r="BY8" s="2">
        <f t="shared" si="7"/>
        <v>1369</v>
      </c>
      <c r="BZ8">
        <f t="shared" si="8"/>
        <v>148.85669708848013</v>
      </c>
      <c r="CA8">
        <v>148.85669708848013</v>
      </c>
      <c r="CB8">
        <v>148.85669708848013</v>
      </c>
      <c r="CC8">
        <v>148.85669708848013</v>
      </c>
      <c r="CD8">
        <v>148.85669708848013</v>
      </c>
      <c r="CE8">
        <v>148.85669708848013</v>
      </c>
      <c r="CF8">
        <v>148.85669708848013</v>
      </c>
      <c r="CG8">
        <v>148.85669708848013</v>
      </c>
      <c r="CH8">
        <f t="shared" si="16"/>
        <v>-0.68140668457167286</v>
      </c>
      <c r="CI8">
        <f t="shared" si="9"/>
        <v>-2.1727683784059453</v>
      </c>
      <c r="CJ8">
        <f t="shared" si="10"/>
        <v>-0.54951908800804505</v>
      </c>
      <c r="CK8">
        <f t="shared" si="11"/>
        <v>0.94549634768353386</v>
      </c>
      <c r="CL8">
        <f t="shared" si="12"/>
        <v>1.0903940865562711</v>
      </c>
      <c r="CM8">
        <f t="shared" si="13"/>
        <v>1.25471773068984</v>
      </c>
      <c r="CN8">
        <f t="shared" si="14"/>
        <v>-0.8505490836720262</v>
      </c>
      <c r="CO8" s="2">
        <f t="shared" si="15"/>
        <v>0.96363506972804447</v>
      </c>
      <c r="CP8">
        <v>-1.4956923643129101</v>
      </c>
      <c r="CQ8">
        <v>-2.2527165794045199</v>
      </c>
      <c r="CR8">
        <v>3.9960861667664598E-2</v>
      </c>
      <c r="CS8">
        <v>1.14048233538609</v>
      </c>
      <c r="CT8">
        <v>1.1478413681935999</v>
      </c>
      <c r="CU8">
        <v>1.19617285710041</v>
      </c>
      <c r="CV8">
        <v>0.39512917973471201</v>
      </c>
      <c r="CW8">
        <v>1.1623999194449901</v>
      </c>
      <c r="CX8" t="s">
        <v>1826</v>
      </c>
    </row>
    <row r="9" spans="1:102" x14ac:dyDescent="0.35">
      <c r="A9" t="s">
        <v>385</v>
      </c>
      <c r="B9" t="s">
        <v>231</v>
      </c>
      <c r="C9" t="s">
        <v>152</v>
      </c>
      <c r="D9" t="s">
        <v>72</v>
      </c>
      <c r="E9" t="s">
        <v>72</v>
      </c>
      <c r="F9" t="s">
        <v>72</v>
      </c>
      <c r="G9" t="s">
        <v>73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>
        <v>48</v>
      </c>
      <c r="O9" t="s">
        <v>80</v>
      </c>
      <c r="P9">
        <v>621</v>
      </c>
      <c r="Q9">
        <v>0.68400000000000005</v>
      </c>
      <c r="R9">
        <v>175</v>
      </c>
      <c r="S9">
        <v>0.81130000000000002</v>
      </c>
      <c r="T9" t="s">
        <v>115</v>
      </c>
      <c r="U9" t="s">
        <v>116</v>
      </c>
      <c r="V9" t="s">
        <v>117</v>
      </c>
      <c r="W9" t="s">
        <v>118</v>
      </c>
      <c r="X9" t="s">
        <v>119</v>
      </c>
      <c r="Y9" t="s">
        <v>120</v>
      </c>
      <c r="Z9" t="s">
        <v>121</v>
      </c>
      <c r="AA9" t="s">
        <v>88</v>
      </c>
      <c r="AB9">
        <v>777</v>
      </c>
      <c r="AC9">
        <v>5</v>
      </c>
      <c r="AE9">
        <v>1</v>
      </c>
      <c r="AF9" t="s">
        <v>89</v>
      </c>
      <c r="AG9" t="s">
        <v>386</v>
      </c>
      <c r="AH9" t="s">
        <v>72</v>
      </c>
      <c r="AI9" t="s">
        <v>72</v>
      </c>
      <c r="AJ9" t="s">
        <v>72</v>
      </c>
      <c r="AK9" t="s">
        <v>92</v>
      </c>
      <c r="AL9" t="s">
        <v>93</v>
      </c>
      <c r="AM9" t="s">
        <v>94</v>
      </c>
      <c r="AN9" t="s">
        <v>387</v>
      </c>
      <c r="AO9" t="s">
        <v>388</v>
      </c>
      <c r="AP9" t="s">
        <v>97</v>
      </c>
      <c r="AQ9">
        <v>39</v>
      </c>
      <c r="AR9" t="s">
        <v>80</v>
      </c>
      <c r="AS9">
        <v>1319</v>
      </c>
      <c r="AT9">
        <v>0.96789999999999998</v>
      </c>
      <c r="AU9">
        <v>163</v>
      </c>
      <c r="AV9">
        <v>0.92110000000000003</v>
      </c>
      <c r="AW9" t="s">
        <v>98</v>
      </c>
      <c r="AX9" t="s">
        <v>389</v>
      </c>
      <c r="AY9" t="s">
        <v>127</v>
      </c>
      <c r="AZ9" t="s">
        <v>390</v>
      </c>
      <c r="BA9" t="s">
        <v>128</v>
      </c>
      <c r="BB9" t="s">
        <v>391</v>
      </c>
      <c r="BC9" t="s">
        <v>104</v>
      </c>
      <c r="BD9" t="s">
        <v>105</v>
      </c>
      <c r="BE9">
        <v>24729</v>
      </c>
      <c r="BG9">
        <v>310</v>
      </c>
      <c r="BH9" t="s">
        <v>80</v>
      </c>
      <c r="BI9">
        <v>1</v>
      </c>
      <c r="BJ9">
        <v>62</v>
      </c>
      <c r="BK9">
        <v>0</v>
      </c>
      <c r="BL9">
        <v>48</v>
      </c>
      <c r="BM9">
        <v>1505</v>
      </c>
      <c r="BN9">
        <v>2000</v>
      </c>
      <c r="BO9">
        <v>2671</v>
      </c>
      <c r="BP9">
        <v>9</v>
      </c>
      <c r="BQ9" s="2">
        <v>1431</v>
      </c>
      <c r="BR9">
        <f t="shared" si="0"/>
        <v>63</v>
      </c>
      <c r="BS9">
        <f t="shared" si="1"/>
        <v>1</v>
      </c>
      <c r="BT9">
        <f t="shared" si="2"/>
        <v>49</v>
      </c>
      <c r="BU9">
        <f t="shared" si="3"/>
        <v>1506</v>
      </c>
      <c r="BV9">
        <f t="shared" si="4"/>
        <v>2001</v>
      </c>
      <c r="BW9">
        <f t="shared" si="5"/>
        <v>2672</v>
      </c>
      <c r="BX9">
        <f t="shared" si="6"/>
        <v>10</v>
      </c>
      <c r="BY9" s="2">
        <f t="shared" si="7"/>
        <v>1432</v>
      </c>
      <c r="BZ9">
        <f t="shared" si="8"/>
        <v>156.2872394698916</v>
      </c>
      <c r="CA9">
        <v>156.2872394698916</v>
      </c>
      <c r="CB9">
        <v>156.2872394698916</v>
      </c>
      <c r="CC9">
        <v>156.2872394698916</v>
      </c>
      <c r="CD9">
        <v>156.2872394698916</v>
      </c>
      <c r="CE9">
        <v>156.2872394698916</v>
      </c>
      <c r="CF9">
        <v>156.2872394698916</v>
      </c>
      <c r="CG9">
        <v>156.2872394698916</v>
      </c>
      <c r="CH9">
        <f t="shared" si="16"/>
        <v>-0.39458297076620996</v>
      </c>
      <c r="CI9">
        <f t="shared" si="9"/>
        <v>-2.1939235202197915</v>
      </c>
      <c r="CJ9">
        <f t="shared" si="10"/>
        <v>-0.50372744019127802</v>
      </c>
      <c r="CK9">
        <f t="shared" si="11"/>
        <v>0.98390145164489007</v>
      </c>
      <c r="CL9">
        <f t="shared" si="12"/>
        <v>1.1073235684164198</v>
      </c>
      <c r="CM9">
        <f t="shared" si="13"/>
        <v>1.2329129335837163</v>
      </c>
      <c r="CN9">
        <f t="shared" si="14"/>
        <v>-1.1939235202197918</v>
      </c>
      <c r="CO9" s="2">
        <f t="shared" si="15"/>
        <v>0.96201949775204509</v>
      </c>
      <c r="CP9">
        <v>-1.15109307652983</v>
      </c>
      <c r="CQ9">
        <v>-2.2527165794045199</v>
      </c>
      <c r="CR9">
        <v>0.24455233368979701</v>
      </c>
      <c r="CS9">
        <v>1.25364105026105</v>
      </c>
      <c r="CT9">
        <v>1.1949665299397301</v>
      </c>
      <c r="CU9">
        <v>1.13320509545073</v>
      </c>
      <c r="CV9">
        <v>-0.525792060050573</v>
      </c>
      <c r="CW9">
        <v>1.15796250321195</v>
      </c>
      <c r="CX9" t="s">
        <v>1826</v>
      </c>
    </row>
    <row r="10" spans="1:102" x14ac:dyDescent="0.35">
      <c r="A10" t="s">
        <v>266</v>
      </c>
      <c r="B10" t="s">
        <v>148</v>
      </c>
      <c r="C10" t="s">
        <v>108</v>
      </c>
      <c r="D10" t="s">
        <v>72</v>
      </c>
      <c r="E10" t="s">
        <v>72</v>
      </c>
      <c r="F10" t="s">
        <v>72</v>
      </c>
      <c r="G10" t="s">
        <v>73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>
        <v>48</v>
      </c>
      <c r="O10" t="s">
        <v>80</v>
      </c>
      <c r="P10">
        <v>621</v>
      </c>
      <c r="Q10">
        <v>0.68400000000000005</v>
      </c>
      <c r="R10">
        <v>175</v>
      </c>
      <c r="S10">
        <v>0.81130000000000002</v>
      </c>
      <c r="T10" t="s">
        <v>115</v>
      </c>
      <c r="U10" t="s">
        <v>116</v>
      </c>
      <c r="V10" t="s">
        <v>117</v>
      </c>
      <c r="W10" t="s">
        <v>118</v>
      </c>
      <c r="X10" t="s">
        <v>119</v>
      </c>
      <c r="Y10" t="s">
        <v>120</v>
      </c>
      <c r="Z10" t="s">
        <v>121</v>
      </c>
      <c r="AA10" t="s">
        <v>88</v>
      </c>
      <c r="AB10">
        <v>563</v>
      </c>
      <c r="AC10">
        <v>7</v>
      </c>
      <c r="AE10">
        <v>1</v>
      </c>
      <c r="AF10" t="s">
        <v>89</v>
      </c>
      <c r="AG10" t="s">
        <v>267</v>
      </c>
      <c r="AH10" t="s">
        <v>72</v>
      </c>
      <c r="AI10" t="s">
        <v>72</v>
      </c>
      <c r="AJ10" t="s">
        <v>91</v>
      </c>
      <c r="AK10" t="s">
        <v>92</v>
      </c>
      <c r="AL10" t="s">
        <v>93</v>
      </c>
      <c r="AM10" t="s">
        <v>94</v>
      </c>
      <c r="AN10" t="s">
        <v>268</v>
      </c>
      <c r="AO10" t="s">
        <v>269</v>
      </c>
      <c r="AP10" t="s">
        <v>243</v>
      </c>
      <c r="AQ10">
        <v>39</v>
      </c>
      <c r="AR10" t="s">
        <v>80</v>
      </c>
      <c r="AS10">
        <v>1350</v>
      </c>
      <c r="AT10">
        <v>0.96530000000000005</v>
      </c>
      <c r="AU10">
        <v>172</v>
      </c>
      <c r="AV10">
        <v>0.94740000000000002</v>
      </c>
      <c r="AW10" t="s">
        <v>98</v>
      </c>
      <c r="AX10" t="s">
        <v>146</v>
      </c>
      <c r="AY10" t="s">
        <v>270</v>
      </c>
      <c r="AZ10" t="s">
        <v>101</v>
      </c>
      <c r="BA10" t="s">
        <v>128</v>
      </c>
      <c r="BB10" t="s">
        <v>103</v>
      </c>
      <c r="BC10" t="s">
        <v>246</v>
      </c>
      <c r="BD10" t="s">
        <v>105</v>
      </c>
      <c r="BE10">
        <v>113727</v>
      </c>
      <c r="BF10" t="s">
        <v>247</v>
      </c>
      <c r="BG10">
        <v>1252</v>
      </c>
      <c r="BH10" t="s">
        <v>80</v>
      </c>
      <c r="BI10">
        <v>1</v>
      </c>
      <c r="BJ10">
        <v>87</v>
      </c>
      <c r="BK10">
        <v>0</v>
      </c>
      <c r="BL10">
        <v>49</v>
      </c>
      <c r="BM10">
        <v>1433</v>
      </c>
      <c r="BN10">
        <v>1915</v>
      </c>
      <c r="BO10">
        <v>2690</v>
      </c>
      <c r="BP10">
        <v>9</v>
      </c>
      <c r="BQ10" s="2">
        <v>1483</v>
      </c>
      <c r="BR10">
        <f t="shared" si="0"/>
        <v>88</v>
      </c>
      <c r="BS10">
        <f t="shared" si="1"/>
        <v>1</v>
      </c>
      <c r="BT10">
        <f t="shared" si="2"/>
        <v>50</v>
      </c>
      <c r="BU10">
        <f t="shared" si="3"/>
        <v>1434</v>
      </c>
      <c r="BV10">
        <f t="shared" si="4"/>
        <v>1916</v>
      </c>
      <c r="BW10">
        <f t="shared" si="5"/>
        <v>2691</v>
      </c>
      <c r="BX10">
        <f t="shared" si="6"/>
        <v>10</v>
      </c>
      <c r="BY10" s="2">
        <f t="shared" si="7"/>
        <v>1484</v>
      </c>
      <c r="BZ10">
        <f t="shared" si="8"/>
        <v>162.35591530269878</v>
      </c>
      <c r="CA10">
        <v>162.35591530269878</v>
      </c>
      <c r="CB10">
        <v>162.35591530269878</v>
      </c>
      <c r="CC10">
        <v>162.35591530269878</v>
      </c>
      <c r="CD10">
        <v>162.35591530269878</v>
      </c>
      <c r="CE10">
        <v>162.35591530269878</v>
      </c>
      <c r="CF10">
        <v>162.35591530269878</v>
      </c>
      <c r="CG10">
        <v>162.35591530269878</v>
      </c>
      <c r="CH10">
        <f t="shared" si="16"/>
        <v>-0.2659854442582385</v>
      </c>
      <c r="CI10">
        <f t="shared" si="9"/>
        <v>-2.210468116408407</v>
      </c>
      <c r="CJ10">
        <f t="shared" si="10"/>
        <v>-0.51149811207238838</v>
      </c>
      <c r="CK10">
        <f t="shared" si="11"/>
        <v>0.94608103492337414</v>
      </c>
      <c r="CL10">
        <f t="shared" si="12"/>
        <v>1.0719273883341185</v>
      </c>
      <c r="CM10">
        <f t="shared" si="13"/>
        <v>1.2194455813553473</v>
      </c>
      <c r="CN10">
        <f t="shared" si="14"/>
        <v>-1.2104681164084072</v>
      </c>
      <c r="CO10" s="2">
        <f t="shared" si="15"/>
        <v>0.96096578453460113</v>
      </c>
      <c r="CP10">
        <v>-0.99659184838043602</v>
      </c>
      <c r="CQ10">
        <v>-2.2527165794045199</v>
      </c>
      <c r="CR10">
        <v>0.20983392379288901</v>
      </c>
      <c r="CS10">
        <v>1.1422050870477101</v>
      </c>
      <c r="CT10">
        <v>1.09643718773346</v>
      </c>
      <c r="CU10">
        <v>1.09431415686318</v>
      </c>
      <c r="CV10">
        <v>-0.57016423343351197</v>
      </c>
      <c r="CW10">
        <v>1.15506831823875</v>
      </c>
      <c r="CX10" t="s">
        <v>1826</v>
      </c>
    </row>
    <row r="11" spans="1:102" x14ac:dyDescent="0.35">
      <c r="A11" t="s">
        <v>1780</v>
      </c>
      <c r="B11" t="s">
        <v>211</v>
      </c>
      <c r="C11" t="s">
        <v>1312</v>
      </c>
      <c r="D11" t="s">
        <v>72</v>
      </c>
      <c r="E11" t="s">
        <v>72</v>
      </c>
      <c r="F11" t="s">
        <v>72</v>
      </c>
      <c r="G11" t="s">
        <v>73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>
        <v>48</v>
      </c>
      <c r="O11" t="s">
        <v>80</v>
      </c>
      <c r="P11">
        <v>621</v>
      </c>
      <c r="Q11">
        <v>0.68400000000000005</v>
      </c>
      <c r="R11">
        <v>175</v>
      </c>
      <c r="S11">
        <v>0.81130000000000002</v>
      </c>
      <c r="T11" t="s">
        <v>115</v>
      </c>
      <c r="U11" t="s">
        <v>116</v>
      </c>
      <c r="V11" t="s">
        <v>117</v>
      </c>
      <c r="W11" t="s">
        <v>118</v>
      </c>
      <c r="X11" t="s">
        <v>119</v>
      </c>
      <c r="Y11" t="s">
        <v>120</v>
      </c>
      <c r="Z11" t="s">
        <v>121</v>
      </c>
      <c r="AA11" t="s">
        <v>88</v>
      </c>
      <c r="AB11">
        <v>2162</v>
      </c>
      <c r="AC11">
        <v>12</v>
      </c>
      <c r="AE11">
        <v>1</v>
      </c>
      <c r="AF11" t="s">
        <v>153</v>
      </c>
      <c r="AG11" t="s">
        <v>1781</v>
      </c>
      <c r="AH11" t="s">
        <v>72</v>
      </c>
      <c r="AI11" t="s">
        <v>72</v>
      </c>
      <c r="AJ11" t="s">
        <v>91</v>
      </c>
      <c r="AK11" t="s">
        <v>92</v>
      </c>
      <c r="AL11" t="s">
        <v>93</v>
      </c>
      <c r="AM11" t="s">
        <v>94</v>
      </c>
      <c r="AN11" t="s">
        <v>1782</v>
      </c>
      <c r="AO11" t="s">
        <v>1783</v>
      </c>
      <c r="AP11" t="s">
        <v>97</v>
      </c>
      <c r="AQ11">
        <v>39</v>
      </c>
      <c r="AR11" t="s">
        <v>80</v>
      </c>
      <c r="AS11">
        <v>1350</v>
      </c>
      <c r="AT11">
        <v>0.96530000000000005</v>
      </c>
      <c r="AU11">
        <v>163</v>
      </c>
      <c r="AV11">
        <v>0.92110000000000003</v>
      </c>
      <c r="AW11" t="s">
        <v>98</v>
      </c>
      <c r="AX11" t="s">
        <v>252</v>
      </c>
      <c r="AY11" t="s">
        <v>184</v>
      </c>
      <c r="AZ11" t="s">
        <v>1784</v>
      </c>
      <c r="BA11" t="s">
        <v>185</v>
      </c>
      <c r="BB11" t="s">
        <v>186</v>
      </c>
      <c r="BC11" t="s">
        <v>104</v>
      </c>
      <c r="BD11" t="s">
        <v>105</v>
      </c>
      <c r="BE11">
        <v>516</v>
      </c>
      <c r="BF11" t="s">
        <v>106</v>
      </c>
      <c r="BG11">
        <v>5</v>
      </c>
      <c r="BH11" t="s">
        <v>80</v>
      </c>
      <c r="BI11">
        <v>1</v>
      </c>
      <c r="BJ11">
        <v>64</v>
      </c>
      <c r="BK11">
        <v>0</v>
      </c>
      <c r="BL11">
        <v>51</v>
      </c>
      <c r="BM11">
        <v>1433</v>
      </c>
      <c r="BN11">
        <v>2025</v>
      </c>
      <c r="BO11">
        <v>2973</v>
      </c>
      <c r="BP11">
        <v>12</v>
      </c>
      <c r="BQ11" s="2">
        <v>1516</v>
      </c>
      <c r="BR11">
        <f t="shared" si="0"/>
        <v>65</v>
      </c>
      <c r="BS11">
        <f t="shared" si="1"/>
        <v>1</v>
      </c>
      <c r="BT11">
        <f t="shared" si="2"/>
        <v>52</v>
      </c>
      <c r="BU11">
        <f t="shared" si="3"/>
        <v>1434</v>
      </c>
      <c r="BV11">
        <f t="shared" si="4"/>
        <v>2026</v>
      </c>
      <c r="BW11">
        <f t="shared" si="5"/>
        <v>2974</v>
      </c>
      <c r="BX11">
        <f t="shared" si="6"/>
        <v>13</v>
      </c>
      <c r="BY11" s="2">
        <f t="shared" si="7"/>
        <v>1517</v>
      </c>
      <c r="BZ11">
        <f t="shared" si="8"/>
        <v>165.97661331458448</v>
      </c>
      <c r="CA11">
        <v>165.97661331458448</v>
      </c>
      <c r="CB11">
        <v>165.97661331458448</v>
      </c>
      <c r="CC11">
        <v>165.97661331458448</v>
      </c>
      <c r="CD11">
        <v>165.97661331458448</v>
      </c>
      <c r="CE11">
        <v>165.97661331458448</v>
      </c>
      <c r="CF11">
        <v>165.97661331458448</v>
      </c>
      <c r="CG11">
        <v>165.97661331458448</v>
      </c>
      <c r="CH11">
        <f t="shared" si="16"/>
        <v>-0.40713354209629449</v>
      </c>
      <c r="CI11">
        <f t="shared" si="9"/>
        <v>-2.2200468987391502</v>
      </c>
      <c r="CJ11">
        <f t="shared" si="10"/>
        <v>-0.50404355510435095</v>
      </c>
      <c r="CK11">
        <f t="shared" si="11"/>
        <v>0.9365022525926312</v>
      </c>
      <c r="CL11">
        <f t="shared" si="12"/>
        <v>1.0865925422851115</v>
      </c>
      <c r="CM11">
        <f t="shared" si="13"/>
        <v>1.2532940654467852</v>
      </c>
      <c r="CN11">
        <f t="shared" si="14"/>
        <v>-1.1061035464323132</v>
      </c>
      <c r="CO11" s="2">
        <f t="shared" si="15"/>
        <v>0.96093868204758037</v>
      </c>
      <c r="CP11">
        <v>-1.1661717389048301</v>
      </c>
      <c r="CQ11">
        <v>-2.2527165794045199</v>
      </c>
      <c r="CR11">
        <v>0.243139970988796</v>
      </c>
      <c r="CS11">
        <v>1.1139816847701201</v>
      </c>
      <c r="CT11">
        <v>1.1372593320661299</v>
      </c>
      <c r="CU11">
        <v>1.19206160519298</v>
      </c>
      <c r="CV11">
        <v>-0.29026119190737698</v>
      </c>
      <c r="CW11">
        <v>1.1549938771010899</v>
      </c>
      <c r="CX11" t="s">
        <v>1826</v>
      </c>
    </row>
    <row r="12" spans="1:102" x14ac:dyDescent="0.35">
      <c r="A12" t="s">
        <v>1415</v>
      </c>
      <c r="B12" t="s">
        <v>178</v>
      </c>
      <c r="C12" t="s">
        <v>1416</v>
      </c>
      <c r="D12" t="s">
        <v>72</v>
      </c>
      <c r="E12" t="s">
        <v>72</v>
      </c>
      <c r="F12" t="s">
        <v>72</v>
      </c>
      <c r="G12" t="s">
        <v>73</v>
      </c>
      <c r="H12" t="s">
        <v>109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>
        <v>48</v>
      </c>
      <c r="O12" t="s">
        <v>80</v>
      </c>
      <c r="P12">
        <v>621</v>
      </c>
      <c r="Q12">
        <v>0.68400000000000005</v>
      </c>
      <c r="R12">
        <v>175</v>
      </c>
      <c r="S12">
        <v>0.81130000000000002</v>
      </c>
      <c r="T12" t="s">
        <v>115</v>
      </c>
      <c r="U12" t="s">
        <v>116</v>
      </c>
      <c r="V12" t="s">
        <v>117</v>
      </c>
      <c r="W12" t="s">
        <v>118</v>
      </c>
      <c r="X12" t="s">
        <v>119</v>
      </c>
      <c r="Y12" t="s">
        <v>120</v>
      </c>
      <c r="Z12" t="s">
        <v>121</v>
      </c>
      <c r="AA12" t="s">
        <v>88</v>
      </c>
      <c r="AB12">
        <v>552</v>
      </c>
      <c r="AC12">
        <v>13</v>
      </c>
      <c r="AE12">
        <v>1</v>
      </c>
      <c r="AF12" t="s">
        <v>89</v>
      </c>
      <c r="AG12" t="s">
        <v>1417</v>
      </c>
      <c r="AH12" t="s">
        <v>72</v>
      </c>
      <c r="AI12" t="s">
        <v>72</v>
      </c>
      <c r="AJ12" t="s">
        <v>91</v>
      </c>
      <c r="AK12" t="s">
        <v>92</v>
      </c>
      <c r="AL12" t="s">
        <v>93</v>
      </c>
      <c r="AM12" t="s">
        <v>94</v>
      </c>
      <c r="AN12" t="s">
        <v>1418</v>
      </c>
      <c r="AO12" t="s">
        <v>1419</v>
      </c>
      <c r="AP12" t="s">
        <v>1420</v>
      </c>
      <c r="AQ12">
        <v>39</v>
      </c>
      <c r="AR12" t="s">
        <v>80</v>
      </c>
      <c r="AS12">
        <v>1332</v>
      </c>
      <c r="AT12">
        <v>0.95830000000000004</v>
      </c>
      <c r="AU12">
        <v>163</v>
      </c>
      <c r="AV12">
        <v>0.92110000000000003</v>
      </c>
      <c r="AW12" t="s">
        <v>98</v>
      </c>
      <c r="AX12" t="s">
        <v>338</v>
      </c>
      <c r="AY12" t="s">
        <v>1421</v>
      </c>
      <c r="AZ12" t="s">
        <v>136</v>
      </c>
      <c r="BA12" t="s">
        <v>128</v>
      </c>
      <c r="BB12" t="s">
        <v>103</v>
      </c>
      <c r="BC12" t="s">
        <v>1422</v>
      </c>
      <c r="BD12" t="s">
        <v>105</v>
      </c>
      <c r="BE12">
        <v>66135</v>
      </c>
      <c r="BF12" t="s">
        <v>1423</v>
      </c>
      <c r="BG12">
        <v>793</v>
      </c>
      <c r="BH12" t="s">
        <v>80</v>
      </c>
      <c r="BI12">
        <v>1</v>
      </c>
      <c r="BJ12">
        <v>20</v>
      </c>
      <c r="BK12">
        <v>7</v>
      </c>
      <c r="BL12">
        <v>66</v>
      </c>
      <c r="BM12">
        <v>2916</v>
      </c>
      <c r="BN12">
        <v>3226</v>
      </c>
      <c r="BO12">
        <v>4803</v>
      </c>
      <c r="BP12">
        <v>27</v>
      </c>
      <c r="BQ12" s="2">
        <v>2539</v>
      </c>
      <c r="BR12">
        <f t="shared" si="0"/>
        <v>21</v>
      </c>
      <c r="BS12">
        <f t="shared" si="1"/>
        <v>8</v>
      </c>
      <c r="BT12">
        <f t="shared" si="2"/>
        <v>67</v>
      </c>
      <c r="BU12">
        <f t="shared" si="3"/>
        <v>2917</v>
      </c>
      <c r="BV12">
        <f t="shared" si="4"/>
        <v>3227</v>
      </c>
      <c r="BW12">
        <f t="shared" si="5"/>
        <v>4804</v>
      </c>
      <c r="BX12">
        <f t="shared" si="6"/>
        <v>28</v>
      </c>
      <c r="BY12" s="2">
        <f t="shared" si="7"/>
        <v>2540</v>
      </c>
      <c r="BZ12">
        <f t="shared" si="8"/>
        <v>278.50902839094471</v>
      </c>
      <c r="CA12">
        <v>278.50902839094471</v>
      </c>
      <c r="CB12">
        <v>278.50902839094471</v>
      </c>
      <c r="CC12">
        <v>278.50902839094471</v>
      </c>
      <c r="CD12">
        <v>278.50902839094471</v>
      </c>
      <c r="CE12">
        <v>278.50902839094471</v>
      </c>
      <c r="CF12">
        <v>278.50902839094471</v>
      </c>
      <c r="CG12">
        <v>278.50902839094471</v>
      </c>
      <c r="CH12">
        <f t="shared" si="16"/>
        <v>-1.1226199834717498</v>
      </c>
      <c r="CI12">
        <f t="shared" si="9"/>
        <v>-1.5417492912137256</v>
      </c>
      <c r="CJ12">
        <f t="shared" si="10"/>
        <v>-0.6187644755048427</v>
      </c>
      <c r="CK12">
        <f t="shared" si="11"/>
        <v>1.0200971509160637</v>
      </c>
      <c r="CL12">
        <f t="shared" si="12"/>
        <v>1.063959687198236</v>
      </c>
      <c r="CM12">
        <f t="shared" si="13"/>
        <v>1.2367637205251993</v>
      </c>
      <c r="CN12">
        <f t="shared" si="14"/>
        <v>-0.99768124686344983</v>
      </c>
      <c r="CO12" s="2">
        <f t="shared" si="15"/>
        <v>0.95999443841426901</v>
      </c>
      <c r="CP12">
        <v>-2.0257802937388401</v>
      </c>
      <c r="CQ12">
        <v>0.24467478130672099</v>
      </c>
      <c r="CR12">
        <v>-0.26941904567704</v>
      </c>
      <c r="CS12">
        <v>1.36028986489902</v>
      </c>
      <c r="CT12">
        <v>1.0742581743487001</v>
      </c>
      <c r="CU12">
        <v>1.14432537476885</v>
      </c>
      <c r="CV12">
        <v>5.2457404302349003E-4</v>
      </c>
      <c r="CW12">
        <v>1.15240036713147</v>
      </c>
      <c r="CX12" t="s">
        <v>1826</v>
      </c>
    </row>
    <row r="13" spans="1:102" x14ac:dyDescent="0.35">
      <c r="A13" t="s">
        <v>1726</v>
      </c>
      <c r="B13" t="s">
        <v>231</v>
      </c>
      <c r="C13" t="s">
        <v>301</v>
      </c>
      <c r="D13" t="s">
        <v>72</v>
      </c>
      <c r="E13" t="s">
        <v>72</v>
      </c>
      <c r="F13" t="s">
        <v>72</v>
      </c>
      <c r="G13" t="s">
        <v>73</v>
      </c>
      <c r="H13" t="s">
        <v>109</v>
      </c>
      <c r="I13" t="s">
        <v>110</v>
      </c>
      <c r="J13" t="s">
        <v>111</v>
      </c>
      <c r="K13" t="s">
        <v>112</v>
      </c>
      <c r="L13" t="s">
        <v>113</v>
      </c>
      <c r="M13" t="s">
        <v>114</v>
      </c>
      <c r="N13">
        <v>48</v>
      </c>
      <c r="O13" t="s">
        <v>80</v>
      </c>
      <c r="P13">
        <v>621</v>
      </c>
      <c r="Q13">
        <v>0.68400000000000005</v>
      </c>
      <c r="R13">
        <v>175</v>
      </c>
      <c r="S13">
        <v>0.81130000000000002</v>
      </c>
      <c r="T13" t="s">
        <v>115</v>
      </c>
      <c r="U13" t="s">
        <v>116</v>
      </c>
      <c r="V13" t="s">
        <v>117</v>
      </c>
      <c r="W13" t="s">
        <v>118</v>
      </c>
      <c r="X13" t="s">
        <v>119</v>
      </c>
      <c r="Y13" t="s">
        <v>120</v>
      </c>
      <c r="Z13" t="s">
        <v>121</v>
      </c>
      <c r="AA13" t="s">
        <v>88</v>
      </c>
      <c r="AB13">
        <v>3133</v>
      </c>
      <c r="AC13">
        <v>18</v>
      </c>
      <c r="AE13">
        <v>1</v>
      </c>
      <c r="AF13" t="s">
        <v>89</v>
      </c>
      <c r="AG13" t="s">
        <v>1727</v>
      </c>
      <c r="AH13" t="s">
        <v>72</v>
      </c>
      <c r="AI13" t="s">
        <v>72</v>
      </c>
      <c r="AJ13" t="s">
        <v>91</v>
      </c>
      <c r="AK13" t="s">
        <v>92</v>
      </c>
      <c r="AL13" t="s">
        <v>93</v>
      </c>
      <c r="AM13" t="s">
        <v>94</v>
      </c>
      <c r="AN13" t="s">
        <v>1728</v>
      </c>
      <c r="AO13" t="s">
        <v>1729</v>
      </c>
      <c r="AP13" t="s">
        <v>1730</v>
      </c>
      <c r="AQ13">
        <v>39</v>
      </c>
      <c r="AR13" t="s">
        <v>80</v>
      </c>
      <c r="AS13">
        <v>1314</v>
      </c>
      <c r="AT13">
        <v>0.95140000000000002</v>
      </c>
      <c r="AU13">
        <v>172</v>
      </c>
      <c r="AV13">
        <v>0.94740000000000002</v>
      </c>
      <c r="AW13" t="s">
        <v>1731</v>
      </c>
      <c r="AX13" t="s">
        <v>478</v>
      </c>
      <c r="AY13" t="s">
        <v>127</v>
      </c>
      <c r="AZ13" t="s">
        <v>101</v>
      </c>
      <c r="BA13" t="s">
        <v>868</v>
      </c>
      <c r="BB13" t="s">
        <v>450</v>
      </c>
      <c r="BC13" t="s">
        <v>1732</v>
      </c>
      <c r="BD13" t="s">
        <v>105</v>
      </c>
      <c r="BE13">
        <v>78757</v>
      </c>
      <c r="BF13" t="s">
        <v>1733</v>
      </c>
      <c r="BG13">
        <v>943</v>
      </c>
      <c r="BH13" t="s">
        <v>80</v>
      </c>
      <c r="BI13">
        <v>1</v>
      </c>
      <c r="BJ13">
        <v>60</v>
      </c>
      <c r="BK13">
        <v>0</v>
      </c>
      <c r="BL13">
        <v>35</v>
      </c>
      <c r="BM13">
        <v>1091</v>
      </c>
      <c r="BN13">
        <v>1638</v>
      </c>
      <c r="BO13">
        <v>2173</v>
      </c>
      <c r="BP13">
        <v>10</v>
      </c>
      <c r="BQ13" s="2">
        <v>1230</v>
      </c>
      <c r="BR13">
        <f t="shared" si="0"/>
        <v>61</v>
      </c>
      <c r="BS13">
        <f t="shared" si="1"/>
        <v>1</v>
      </c>
      <c r="BT13">
        <f t="shared" si="2"/>
        <v>36</v>
      </c>
      <c r="BU13">
        <f t="shared" si="3"/>
        <v>1092</v>
      </c>
      <c r="BV13">
        <f t="shared" si="4"/>
        <v>1639</v>
      </c>
      <c r="BW13">
        <f t="shared" si="5"/>
        <v>2174</v>
      </c>
      <c r="BX13">
        <f t="shared" si="6"/>
        <v>11</v>
      </c>
      <c r="BY13" s="2">
        <f t="shared" si="7"/>
        <v>1231</v>
      </c>
      <c r="BZ13">
        <f t="shared" si="8"/>
        <v>135.80570852976609</v>
      </c>
      <c r="CA13">
        <v>135.80570852976609</v>
      </c>
      <c r="CB13">
        <v>135.80570852976609</v>
      </c>
      <c r="CC13">
        <v>135.80570852976609</v>
      </c>
      <c r="CD13">
        <v>135.80570852976609</v>
      </c>
      <c r="CE13">
        <v>135.80570852976609</v>
      </c>
      <c r="CF13">
        <v>135.80570852976609</v>
      </c>
      <c r="CG13">
        <v>135.80570852976609</v>
      </c>
      <c r="CH13">
        <f t="shared" si="16"/>
        <v>-0.34758819068386909</v>
      </c>
      <c r="CI13">
        <f t="shared" si="9"/>
        <v>-2.1329180256946363</v>
      </c>
      <c r="CJ13">
        <f t="shared" si="10"/>
        <v>-0.57661552492734891</v>
      </c>
      <c r="CK13">
        <f t="shared" si="11"/>
        <v>0.90530461267408224</v>
      </c>
      <c r="CL13">
        <f t="shared" si="12"/>
        <v>1.0816609278758629</v>
      </c>
      <c r="CM13">
        <f t="shared" si="13"/>
        <v>1.2043415140556397</v>
      </c>
      <c r="CN13">
        <f t="shared" si="14"/>
        <v>-1.0915253405364111</v>
      </c>
      <c r="CO13" s="2">
        <f t="shared" si="15"/>
        <v>0.9573400272366801</v>
      </c>
      <c r="CP13">
        <v>-1.09463202757736</v>
      </c>
      <c r="CQ13">
        <v>-2.2527165794045199</v>
      </c>
      <c r="CR13">
        <v>-8.1102698614289995E-2</v>
      </c>
      <c r="CS13">
        <v>1.0220594016312201</v>
      </c>
      <c r="CT13">
        <v>1.1235316156111801</v>
      </c>
      <c r="CU13">
        <v>1.0506967223582999</v>
      </c>
      <c r="CV13">
        <v>-0.25116282575503301</v>
      </c>
      <c r="CW13">
        <v>1.1451096196911901</v>
      </c>
      <c r="CX13" t="s">
        <v>1826</v>
      </c>
    </row>
    <row r="14" spans="1:102" x14ac:dyDescent="0.35">
      <c r="A14" t="s">
        <v>1670</v>
      </c>
      <c r="B14" t="s">
        <v>231</v>
      </c>
      <c r="C14" t="s">
        <v>108</v>
      </c>
      <c r="D14" t="s">
        <v>72</v>
      </c>
      <c r="E14" t="s">
        <v>72</v>
      </c>
      <c r="F14" t="s">
        <v>72</v>
      </c>
      <c r="G14" t="s">
        <v>73</v>
      </c>
      <c r="H14" t="s">
        <v>109</v>
      </c>
      <c r="I14" t="s">
        <v>110</v>
      </c>
      <c r="J14" t="s">
        <v>111</v>
      </c>
      <c r="K14" t="s">
        <v>112</v>
      </c>
      <c r="L14" t="s">
        <v>113</v>
      </c>
      <c r="M14" t="s">
        <v>114</v>
      </c>
      <c r="N14">
        <v>48</v>
      </c>
      <c r="O14" t="s">
        <v>80</v>
      </c>
      <c r="P14">
        <v>621</v>
      </c>
      <c r="Q14">
        <v>0.68400000000000005</v>
      </c>
      <c r="R14">
        <v>175</v>
      </c>
      <c r="S14">
        <v>0.81130000000000002</v>
      </c>
      <c r="T14" t="s">
        <v>115</v>
      </c>
      <c r="U14" t="s">
        <v>116</v>
      </c>
      <c r="V14" t="s">
        <v>117</v>
      </c>
      <c r="W14" t="s">
        <v>118</v>
      </c>
      <c r="X14" t="s">
        <v>119</v>
      </c>
      <c r="Y14" t="s">
        <v>120</v>
      </c>
      <c r="Z14" t="s">
        <v>121</v>
      </c>
      <c r="AA14" t="s">
        <v>88</v>
      </c>
      <c r="AB14">
        <v>1275</v>
      </c>
      <c r="AC14">
        <v>13</v>
      </c>
      <c r="AE14">
        <v>1</v>
      </c>
      <c r="AF14" t="s">
        <v>89</v>
      </c>
      <c r="AG14" t="s">
        <v>1671</v>
      </c>
      <c r="AH14" t="s">
        <v>72</v>
      </c>
      <c r="AI14" t="s">
        <v>72</v>
      </c>
      <c r="AJ14" t="s">
        <v>91</v>
      </c>
      <c r="AK14" t="s">
        <v>92</v>
      </c>
      <c r="AL14" t="s">
        <v>93</v>
      </c>
      <c r="AM14" t="s">
        <v>94</v>
      </c>
      <c r="AN14" t="s">
        <v>1488</v>
      </c>
      <c r="AO14" t="s">
        <v>1489</v>
      </c>
      <c r="AP14" t="s">
        <v>97</v>
      </c>
      <c r="AQ14">
        <v>39</v>
      </c>
      <c r="AR14" t="s">
        <v>80</v>
      </c>
      <c r="AS14">
        <v>1350</v>
      </c>
      <c r="AT14">
        <v>0.96530000000000005</v>
      </c>
      <c r="AU14">
        <v>172</v>
      </c>
      <c r="AV14">
        <v>0.94740000000000002</v>
      </c>
      <c r="AW14" t="s">
        <v>98</v>
      </c>
      <c r="AX14" t="s">
        <v>146</v>
      </c>
      <c r="AY14" t="s">
        <v>479</v>
      </c>
      <c r="AZ14" t="s">
        <v>101</v>
      </c>
      <c r="BA14" t="s">
        <v>128</v>
      </c>
      <c r="BB14" t="s">
        <v>103</v>
      </c>
      <c r="BC14" t="s">
        <v>104</v>
      </c>
      <c r="BD14" t="s">
        <v>105</v>
      </c>
      <c r="BE14">
        <v>51812</v>
      </c>
      <c r="BF14" t="s">
        <v>106</v>
      </c>
      <c r="BG14">
        <v>764</v>
      </c>
      <c r="BH14" t="s">
        <v>80</v>
      </c>
      <c r="BI14">
        <v>1</v>
      </c>
      <c r="BJ14">
        <v>46</v>
      </c>
      <c r="BK14">
        <v>0</v>
      </c>
      <c r="BL14">
        <v>22</v>
      </c>
      <c r="BM14">
        <v>958</v>
      </c>
      <c r="BN14">
        <v>1357</v>
      </c>
      <c r="BO14">
        <v>1892</v>
      </c>
      <c r="BP14">
        <v>11</v>
      </c>
      <c r="BQ14" s="2">
        <v>1042</v>
      </c>
      <c r="BR14">
        <f t="shared" si="0"/>
        <v>47</v>
      </c>
      <c r="BS14">
        <f t="shared" si="1"/>
        <v>1</v>
      </c>
      <c r="BT14">
        <f t="shared" si="2"/>
        <v>23</v>
      </c>
      <c r="BU14">
        <f t="shared" si="3"/>
        <v>959</v>
      </c>
      <c r="BV14">
        <f t="shared" si="4"/>
        <v>1358</v>
      </c>
      <c r="BW14">
        <f t="shared" si="5"/>
        <v>1893</v>
      </c>
      <c r="BX14">
        <f t="shared" si="6"/>
        <v>12</v>
      </c>
      <c r="BY14" s="2">
        <f t="shared" si="7"/>
        <v>1043</v>
      </c>
      <c r="BZ14">
        <f t="shared" si="8"/>
        <v>116.25055365501657</v>
      </c>
      <c r="CA14">
        <v>116.25055365501657</v>
      </c>
      <c r="CB14">
        <v>116.25055365501657</v>
      </c>
      <c r="CC14">
        <v>116.25055365501657</v>
      </c>
      <c r="CD14">
        <v>116.25055365501657</v>
      </c>
      <c r="CE14">
        <v>116.25055365501657</v>
      </c>
      <c r="CF14">
        <v>116.25055365501657</v>
      </c>
      <c r="CG14">
        <v>116.25055365501657</v>
      </c>
      <c r="CH14">
        <f t="shared" si="16"/>
        <v>-0.39329717200258368</v>
      </c>
      <c r="CI14">
        <f t="shared" si="9"/>
        <v>-2.0653950299383013</v>
      </c>
      <c r="CJ14">
        <f t="shared" si="10"/>
        <v>-0.70366719392070831</v>
      </c>
      <c r="CK14">
        <f t="shared" si="11"/>
        <v>0.91642357723236245</v>
      </c>
      <c r="CL14">
        <f t="shared" si="12"/>
        <v>1.0675047400061817</v>
      </c>
      <c r="CM14">
        <f t="shared" si="13"/>
        <v>1.2117555840254957</v>
      </c>
      <c r="CN14">
        <f t="shared" si="14"/>
        <v>-0.98621378389067638</v>
      </c>
      <c r="CO14" s="2">
        <f t="shared" si="15"/>
        <v>0.9528892784882298</v>
      </c>
      <c r="CP14">
        <v>-1.1495482763028899</v>
      </c>
      <c r="CQ14">
        <v>-2.2527165794045199</v>
      </c>
      <c r="CR14">
        <v>-0.64875398922153005</v>
      </c>
      <c r="CS14">
        <v>1.0548208736850699</v>
      </c>
      <c r="CT14">
        <v>1.08412623696001</v>
      </c>
      <c r="CU14">
        <v>1.0721070289272501</v>
      </c>
      <c r="CV14">
        <v>3.1280009200787197E-2</v>
      </c>
      <c r="CW14">
        <v>1.13288495558525</v>
      </c>
      <c r="CX14" t="s">
        <v>1826</v>
      </c>
    </row>
    <row r="15" spans="1:102" x14ac:dyDescent="0.35">
      <c r="A15" t="s">
        <v>547</v>
      </c>
      <c r="B15" t="s">
        <v>148</v>
      </c>
      <c r="C15" t="s">
        <v>548</v>
      </c>
      <c r="D15" t="s">
        <v>72</v>
      </c>
      <c r="E15" t="s">
        <v>72</v>
      </c>
      <c r="F15" t="s">
        <v>72</v>
      </c>
      <c r="G15" t="s">
        <v>73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t="s">
        <v>114</v>
      </c>
      <c r="N15">
        <v>48</v>
      </c>
      <c r="O15" t="s">
        <v>80</v>
      </c>
      <c r="P15">
        <v>621</v>
      </c>
      <c r="Q15">
        <v>0.68400000000000005</v>
      </c>
      <c r="R15">
        <v>175</v>
      </c>
      <c r="S15">
        <v>0.81130000000000002</v>
      </c>
      <c r="T15" t="s">
        <v>115</v>
      </c>
      <c r="U15" t="s">
        <v>116</v>
      </c>
      <c r="V15" t="s">
        <v>117</v>
      </c>
      <c r="W15" t="s">
        <v>118</v>
      </c>
      <c r="X15" t="s">
        <v>119</v>
      </c>
      <c r="Y15" t="s">
        <v>120</v>
      </c>
      <c r="Z15" t="s">
        <v>121</v>
      </c>
      <c r="AA15" t="s">
        <v>88</v>
      </c>
      <c r="AB15">
        <v>266</v>
      </c>
      <c r="AC15">
        <v>6</v>
      </c>
      <c r="AE15">
        <v>1</v>
      </c>
      <c r="AF15" t="s">
        <v>89</v>
      </c>
      <c r="AG15" t="s">
        <v>549</v>
      </c>
      <c r="AH15" t="s">
        <v>72</v>
      </c>
      <c r="AI15" t="s">
        <v>72</v>
      </c>
      <c r="AJ15" t="s">
        <v>72</v>
      </c>
      <c r="AK15" t="s">
        <v>92</v>
      </c>
      <c r="AL15" t="s">
        <v>93</v>
      </c>
      <c r="AM15" t="s">
        <v>94</v>
      </c>
      <c r="AN15" t="s">
        <v>550</v>
      </c>
      <c r="AO15" t="s">
        <v>551</v>
      </c>
      <c r="AP15" t="s">
        <v>552</v>
      </c>
      <c r="AQ15">
        <v>39</v>
      </c>
      <c r="AR15" t="s">
        <v>80</v>
      </c>
      <c r="AS15">
        <v>1323</v>
      </c>
      <c r="AT15">
        <v>0.95489999999999997</v>
      </c>
      <c r="AU15">
        <v>154</v>
      </c>
      <c r="AV15">
        <v>0.89470000000000005</v>
      </c>
      <c r="AW15" t="s">
        <v>98</v>
      </c>
      <c r="AX15" t="s">
        <v>146</v>
      </c>
      <c r="AY15" t="s">
        <v>553</v>
      </c>
      <c r="AZ15" t="s">
        <v>554</v>
      </c>
      <c r="BA15" t="s">
        <v>555</v>
      </c>
      <c r="BB15" t="s">
        <v>103</v>
      </c>
      <c r="BC15" t="s">
        <v>556</v>
      </c>
      <c r="BD15" t="s">
        <v>105</v>
      </c>
      <c r="BE15">
        <v>48929</v>
      </c>
      <c r="BG15">
        <v>525</v>
      </c>
      <c r="BH15" t="s">
        <v>80</v>
      </c>
      <c r="BI15">
        <v>1</v>
      </c>
      <c r="BJ15">
        <v>111</v>
      </c>
      <c r="BK15">
        <v>0</v>
      </c>
      <c r="BL15">
        <v>29</v>
      </c>
      <c r="BM15">
        <v>848</v>
      </c>
      <c r="BN15">
        <v>1103</v>
      </c>
      <c r="BO15">
        <v>1654</v>
      </c>
      <c r="BP15">
        <v>0</v>
      </c>
      <c r="BQ15" s="2">
        <v>801</v>
      </c>
      <c r="BR15">
        <f t="shared" si="0"/>
        <v>112</v>
      </c>
      <c r="BS15">
        <f t="shared" si="1"/>
        <v>1</v>
      </c>
      <c r="BT15">
        <f t="shared" si="2"/>
        <v>30</v>
      </c>
      <c r="BU15">
        <f t="shared" si="3"/>
        <v>849</v>
      </c>
      <c r="BV15">
        <f t="shared" si="4"/>
        <v>1104</v>
      </c>
      <c r="BW15">
        <f t="shared" si="5"/>
        <v>1655</v>
      </c>
      <c r="BX15">
        <f t="shared" si="6"/>
        <v>1</v>
      </c>
      <c r="BY15" s="2">
        <f t="shared" si="7"/>
        <v>802</v>
      </c>
      <c r="BZ15">
        <f t="shared" si="8"/>
        <v>89.670285174274255</v>
      </c>
      <c r="CA15">
        <v>89.670285174274255</v>
      </c>
      <c r="CB15">
        <v>89.670285174274255</v>
      </c>
      <c r="CC15">
        <v>89.670285174274255</v>
      </c>
      <c r="CD15">
        <v>89.670285174274255</v>
      </c>
      <c r="CE15">
        <v>89.670285174274255</v>
      </c>
      <c r="CF15">
        <v>89.670285174274255</v>
      </c>
      <c r="CG15">
        <v>89.670285174274255</v>
      </c>
      <c r="CH15">
        <f t="shared" si="16"/>
        <v>9.6569471742321888E-2</v>
      </c>
      <c r="CI15">
        <f t="shared" si="9"/>
        <v>-1.9526485509278597</v>
      </c>
      <c r="CJ15">
        <f t="shared" si="10"/>
        <v>-0.47552729620819728</v>
      </c>
      <c r="CK15">
        <f t="shared" si="11"/>
        <v>0.97625913931609298</v>
      </c>
      <c r="CL15">
        <f t="shared" si="12"/>
        <v>1.0903205224653203</v>
      </c>
      <c r="CM15">
        <f t="shared" si="13"/>
        <v>1.2661494471838779</v>
      </c>
      <c r="CN15">
        <f t="shared" si="14"/>
        <v>-1.9526485509278597</v>
      </c>
      <c r="CO15" s="2">
        <f t="shared" si="15"/>
        <v>0.9515258173563037</v>
      </c>
      <c r="CP15">
        <v>-0.56100664456849703</v>
      </c>
      <c r="CQ15">
        <v>-2.2527165794045199</v>
      </c>
      <c r="CR15">
        <v>0.37054712190578099</v>
      </c>
      <c r="CS15">
        <v>1.2311233598345399</v>
      </c>
      <c r="CT15">
        <v>1.14763659407745</v>
      </c>
      <c r="CU15">
        <v>1.2291852990846099</v>
      </c>
      <c r="CV15">
        <v>-2.6172399890044602</v>
      </c>
      <c r="CW15">
        <v>1.1291400004549299</v>
      </c>
      <c r="CX15" t="s">
        <v>1826</v>
      </c>
    </row>
    <row r="16" spans="1:102" x14ac:dyDescent="0.35">
      <c r="A16" t="s">
        <v>204</v>
      </c>
      <c r="B16" t="s">
        <v>70</v>
      </c>
      <c r="C16" t="s">
        <v>179</v>
      </c>
      <c r="D16" t="s">
        <v>72</v>
      </c>
      <c r="E16" t="s">
        <v>72</v>
      </c>
      <c r="F16" t="s">
        <v>72</v>
      </c>
      <c r="G16" t="s">
        <v>73</v>
      </c>
      <c r="H16" t="s">
        <v>109</v>
      </c>
      <c r="I16" t="s">
        <v>110</v>
      </c>
      <c r="J16" t="s">
        <v>111</v>
      </c>
      <c r="K16" t="s">
        <v>112</v>
      </c>
      <c r="L16" t="s">
        <v>113</v>
      </c>
      <c r="M16" t="s">
        <v>114</v>
      </c>
      <c r="N16">
        <v>48</v>
      </c>
      <c r="O16" t="s">
        <v>80</v>
      </c>
      <c r="P16">
        <v>621</v>
      </c>
      <c r="Q16">
        <v>0.68400000000000005</v>
      </c>
      <c r="R16">
        <v>175</v>
      </c>
      <c r="S16">
        <v>0.81130000000000002</v>
      </c>
      <c r="T16" t="s">
        <v>115</v>
      </c>
      <c r="U16" t="s">
        <v>116</v>
      </c>
      <c r="V16" t="s">
        <v>117</v>
      </c>
      <c r="W16" t="s">
        <v>118</v>
      </c>
      <c r="X16" t="s">
        <v>119</v>
      </c>
      <c r="Y16" t="s">
        <v>120</v>
      </c>
      <c r="Z16" t="s">
        <v>121</v>
      </c>
      <c r="AA16" t="s">
        <v>88</v>
      </c>
      <c r="AB16">
        <v>1456</v>
      </c>
      <c r="AC16">
        <v>15</v>
      </c>
      <c r="AE16">
        <v>1</v>
      </c>
      <c r="AF16" t="s">
        <v>89</v>
      </c>
      <c r="AG16" t="s">
        <v>205</v>
      </c>
      <c r="AH16" t="s">
        <v>72</v>
      </c>
      <c r="AI16" t="s">
        <v>72</v>
      </c>
      <c r="AJ16" t="s">
        <v>91</v>
      </c>
      <c r="AK16" t="s">
        <v>92</v>
      </c>
      <c r="AL16" t="s">
        <v>93</v>
      </c>
      <c r="AM16" t="s">
        <v>94</v>
      </c>
      <c r="AN16" t="s">
        <v>206</v>
      </c>
      <c r="AO16" t="s">
        <v>207</v>
      </c>
      <c r="AP16" t="s">
        <v>97</v>
      </c>
      <c r="AQ16">
        <v>39</v>
      </c>
      <c r="AR16" t="s">
        <v>80</v>
      </c>
      <c r="AS16">
        <v>1341</v>
      </c>
      <c r="AT16">
        <v>0.96179999999999999</v>
      </c>
      <c r="AU16">
        <v>172</v>
      </c>
      <c r="AV16">
        <v>0.94740000000000002</v>
      </c>
      <c r="AW16" t="s">
        <v>208</v>
      </c>
      <c r="AX16" t="s">
        <v>146</v>
      </c>
      <c r="AY16" t="s">
        <v>209</v>
      </c>
      <c r="AZ16" t="s">
        <v>101</v>
      </c>
      <c r="BA16" t="s">
        <v>128</v>
      </c>
      <c r="BB16" t="s">
        <v>103</v>
      </c>
      <c r="BC16" t="s">
        <v>104</v>
      </c>
      <c r="BD16" t="s">
        <v>105</v>
      </c>
      <c r="BE16">
        <v>82879</v>
      </c>
      <c r="BF16" t="s">
        <v>106</v>
      </c>
      <c r="BG16">
        <v>956</v>
      </c>
      <c r="BH16" t="s">
        <v>80</v>
      </c>
      <c r="BI16">
        <v>1</v>
      </c>
      <c r="BJ16">
        <v>75</v>
      </c>
      <c r="BK16">
        <v>0</v>
      </c>
      <c r="BL16">
        <v>37</v>
      </c>
      <c r="BM16">
        <v>1467</v>
      </c>
      <c r="BN16">
        <v>1983</v>
      </c>
      <c r="BO16">
        <v>2764</v>
      </c>
      <c r="BP16">
        <v>9</v>
      </c>
      <c r="BQ16" s="2">
        <v>1376</v>
      </c>
      <c r="BR16">
        <f t="shared" si="0"/>
        <v>76</v>
      </c>
      <c r="BS16">
        <f t="shared" si="1"/>
        <v>1</v>
      </c>
      <c r="BT16">
        <f t="shared" si="2"/>
        <v>38</v>
      </c>
      <c r="BU16">
        <f t="shared" si="3"/>
        <v>1468</v>
      </c>
      <c r="BV16">
        <f t="shared" si="4"/>
        <v>1984</v>
      </c>
      <c r="BW16">
        <f t="shared" si="5"/>
        <v>2765</v>
      </c>
      <c r="BX16">
        <f t="shared" si="6"/>
        <v>10</v>
      </c>
      <c r="BY16" s="2">
        <f t="shared" si="7"/>
        <v>1377</v>
      </c>
      <c r="BZ16">
        <f t="shared" si="8"/>
        <v>154.23635334318857</v>
      </c>
      <c r="CA16">
        <v>154.23635334318857</v>
      </c>
      <c r="CB16">
        <v>154.23635334318857</v>
      </c>
      <c r="CC16">
        <v>154.23635334318857</v>
      </c>
      <c r="CD16">
        <v>154.23635334318857</v>
      </c>
      <c r="CE16">
        <v>154.23635334318857</v>
      </c>
      <c r="CF16">
        <v>154.23635334318857</v>
      </c>
      <c r="CG16">
        <v>154.23635334318857</v>
      </c>
      <c r="CH16">
        <f t="shared" si="16"/>
        <v>-0.30737315624339034</v>
      </c>
      <c r="CI16">
        <f t="shared" si="9"/>
        <v>-2.1881867485241817</v>
      </c>
      <c r="CJ16">
        <f t="shared" si="10"/>
        <v>-0.6084031519073716</v>
      </c>
      <c r="CK16">
        <f t="shared" si="11"/>
        <v>0.97853930705587</v>
      </c>
      <c r="CL16">
        <f t="shared" si="12"/>
        <v>1.1093549192939782</v>
      </c>
      <c r="CM16">
        <f t="shared" si="13"/>
        <v>1.2535083871165353</v>
      </c>
      <c r="CN16">
        <f t="shared" si="14"/>
        <v>-1.1881867485241817</v>
      </c>
      <c r="CO16" s="2">
        <f t="shared" si="15"/>
        <v>0.95074719173274191</v>
      </c>
      <c r="CP16">
        <v>-1.0463163843465499</v>
      </c>
      <c r="CQ16">
        <v>-2.2527165794045199</v>
      </c>
      <c r="CR16">
        <v>-0.22312592131980599</v>
      </c>
      <c r="CS16">
        <v>1.23784175985221</v>
      </c>
      <c r="CT16">
        <v>1.2006210289645001</v>
      </c>
      <c r="CU16">
        <v>1.19268052201901</v>
      </c>
      <c r="CV16">
        <v>-0.51040618871023102</v>
      </c>
      <c r="CW16">
        <v>1.12700138575204</v>
      </c>
      <c r="CX16" t="s">
        <v>1826</v>
      </c>
    </row>
    <row r="17" spans="1:102" x14ac:dyDescent="0.35">
      <c r="A17" t="s">
        <v>909</v>
      </c>
      <c r="B17" t="s">
        <v>148</v>
      </c>
      <c r="C17" t="s">
        <v>108</v>
      </c>
      <c r="D17" t="s">
        <v>72</v>
      </c>
      <c r="E17" t="s">
        <v>72</v>
      </c>
      <c r="F17" t="s">
        <v>72</v>
      </c>
      <c r="G17" t="s">
        <v>73</v>
      </c>
      <c r="H17" t="s">
        <v>109</v>
      </c>
      <c r="I17" t="s">
        <v>110</v>
      </c>
      <c r="J17" t="s">
        <v>111</v>
      </c>
      <c r="K17" t="s">
        <v>112</v>
      </c>
      <c r="L17" t="s">
        <v>113</v>
      </c>
      <c r="M17" t="s">
        <v>114</v>
      </c>
      <c r="N17">
        <v>48</v>
      </c>
      <c r="O17" t="s">
        <v>80</v>
      </c>
      <c r="P17">
        <v>621</v>
      </c>
      <c r="Q17">
        <v>0.68400000000000005</v>
      </c>
      <c r="R17">
        <v>175</v>
      </c>
      <c r="S17">
        <v>0.81130000000000002</v>
      </c>
      <c r="T17" t="s">
        <v>115</v>
      </c>
      <c r="U17" t="s">
        <v>116</v>
      </c>
      <c r="V17" t="s">
        <v>117</v>
      </c>
      <c r="W17" t="s">
        <v>118</v>
      </c>
      <c r="X17" t="s">
        <v>119</v>
      </c>
      <c r="Y17" t="s">
        <v>120</v>
      </c>
      <c r="Z17" t="s">
        <v>121</v>
      </c>
      <c r="AA17" t="s">
        <v>88</v>
      </c>
      <c r="AB17">
        <v>517</v>
      </c>
      <c r="AC17">
        <v>8</v>
      </c>
      <c r="AE17">
        <v>1</v>
      </c>
      <c r="AF17" t="s">
        <v>89</v>
      </c>
      <c r="AG17" t="s">
        <v>910</v>
      </c>
      <c r="AH17" t="s">
        <v>72</v>
      </c>
      <c r="AI17" t="s">
        <v>72</v>
      </c>
      <c r="AJ17" t="s">
        <v>91</v>
      </c>
      <c r="AK17" t="s">
        <v>92</v>
      </c>
      <c r="AL17" t="s">
        <v>93</v>
      </c>
      <c r="AM17" t="s">
        <v>94</v>
      </c>
      <c r="AN17" t="s">
        <v>911</v>
      </c>
      <c r="AO17" t="s">
        <v>912</v>
      </c>
      <c r="AP17" t="s">
        <v>243</v>
      </c>
      <c r="AQ17">
        <v>39</v>
      </c>
      <c r="AR17" t="s">
        <v>80</v>
      </c>
      <c r="AS17">
        <v>1359</v>
      </c>
      <c r="AT17">
        <v>0.96879999999999999</v>
      </c>
      <c r="AU17">
        <v>172</v>
      </c>
      <c r="AV17">
        <v>0.94740000000000002</v>
      </c>
      <c r="AW17" t="s">
        <v>98</v>
      </c>
      <c r="AX17" t="s">
        <v>146</v>
      </c>
      <c r="AY17" t="s">
        <v>127</v>
      </c>
      <c r="AZ17" t="s">
        <v>101</v>
      </c>
      <c r="BA17" t="s">
        <v>128</v>
      </c>
      <c r="BB17" t="s">
        <v>103</v>
      </c>
      <c r="BC17" t="s">
        <v>246</v>
      </c>
      <c r="BD17" t="s">
        <v>105</v>
      </c>
      <c r="BE17">
        <v>45285</v>
      </c>
      <c r="BF17" t="s">
        <v>247</v>
      </c>
      <c r="BG17">
        <v>653</v>
      </c>
      <c r="BH17" t="s">
        <v>80</v>
      </c>
      <c r="BI17">
        <v>1</v>
      </c>
      <c r="BJ17">
        <v>42</v>
      </c>
      <c r="BK17">
        <v>0</v>
      </c>
      <c r="BL17">
        <v>46</v>
      </c>
      <c r="BM17">
        <v>1309</v>
      </c>
      <c r="BN17">
        <v>1937</v>
      </c>
      <c r="BO17">
        <v>2844</v>
      </c>
      <c r="BP17">
        <v>13</v>
      </c>
      <c r="BQ17" s="2">
        <v>1349</v>
      </c>
      <c r="BR17">
        <f t="shared" si="0"/>
        <v>43</v>
      </c>
      <c r="BS17">
        <f t="shared" si="1"/>
        <v>1</v>
      </c>
      <c r="BT17">
        <f t="shared" si="2"/>
        <v>47</v>
      </c>
      <c r="BU17">
        <f t="shared" si="3"/>
        <v>1310</v>
      </c>
      <c r="BV17">
        <f t="shared" si="4"/>
        <v>1938</v>
      </c>
      <c r="BW17">
        <f t="shared" si="5"/>
        <v>2845</v>
      </c>
      <c r="BX17">
        <f t="shared" si="6"/>
        <v>14</v>
      </c>
      <c r="BY17" s="2">
        <f t="shared" si="7"/>
        <v>1350</v>
      </c>
      <c r="BZ17">
        <f t="shared" si="8"/>
        <v>151.38816752346517</v>
      </c>
      <c r="CA17">
        <v>151.38816752346517</v>
      </c>
      <c r="CB17">
        <v>151.38816752346517</v>
      </c>
      <c r="CC17">
        <v>151.38816752346517</v>
      </c>
      <c r="CD17">
        <v>151.38816752346517</v>
      </c>
      <c r="CE17">
        <v>151.38816752346517</v>
      </c>
      <c r="CF17">
        <v>151.38816752346517</v>
      </c>
      <c r="CG17">
        <v>151.38816752346517</v>
      </c>
      <c r="CH17">
        <f t="shared" si="16"/>
        <v>-0.54662347651918208</v>
      </c>
      <c r="CI17">
        <f t="shared" si="9"/>
        <v>-2.1800919320987684</v>
      </c>
      <c r="CJ17">
        <f t="shared" si="10"/>
        <v>-0.50799407416305109</v>
      </c>
      <c r="CK17">
        <f t="shared" si="11"/>
        <v>0.9371793635569956</v>
      </c>
      <c r="CL17">
        <f t="shared" si="12"/>
        <v>1.107261840615978</v>
      </c>
      <c r="CM17">
        <f t="shared" si="13"/>
        <v>1.2739903386323215</v>
      </c>
      <c r="CN17">
        <f t="shared" si="14"/>
        <v>-1.0339638964205307</v>
      </c>
      <c r="CO17" s="2">
        <f t="shared" si="15"/>
        <v>0.95024183639623749</v>
      </c>
      <c r="CP17">
        <v>-1.33375945826488</v>
      </c>
      <c r="CQ17">
        <v>-2.2527165794045199</v>
      </c>
      <c r="CR17">
        <v>0.22548953585474901</v>
      </c>
      <c r="CS17">
        <v>1.1159767583059801</v>
      </c>
      <c r="CT17">
        <v>1.1947947035008499</v>
      </c>
      <c r="CU17">
        <v>1.25182817814666</v>
      </c>
      <c r="CV17">
        <v>-9.6784541186216405E-2</v>
      </c>
      <c r="CW17">
        <v>1.12561334980751</v>
      </c>
      <c r="CX17" t="s">
        <v>1826</v>
      </c>
    </row>
    <row r="18" spans="1:102" x14ac:dyDescent="0.35">
      <c r="A18" t="s">
        <v>792</v>
      </c>
      <c r="B18" t="s">
        <v>89</v>
      </c>
      <c r="C18" t="s">
        <v>793</v>
      </c>
      <c r="D18" t="s">
        <v>72</v>
      </c>
      <c r="E18" t="s">
        <v>72</v>
      </c>
      <c r="F18" t="s">
        <v>72</v>
      </c>
      <c r="G18" t="s">
        <v>73</v>
      </c>
      <c r="H18" t="s">
        <v>109</v>
      </c>
      <c r="I18" t="s">
        <v>110</v>
      </c>
      <c r="J18" t="s">
        <v>111</v>
      </c>
      <c r="K18" t="s">
        <v>112</v>
      </c>
      <c r="L18" t="s">
        <v>113</v>
      </c>
      <c r="M18" t="s">
        <v>114</v>
      </c>
      <c r="N18">
        <v>48</v>
      </c>
      <c r="O18" t="s">
        <v>80</v>
      </c>
      <c r="P18">
        <v>621</v>
      </c>
      <c r="Q18">
        <v>0.68400000000000005</v>
      </c>
      <c r="R18">
        <v>175</v>
      </c>
      <c r="S18">
        <v>0.81130000000000002</v>
      </c>
      <c r="T18" t="s">
        <v>115</v>
      </c>
      <c r="U18" t="s">
        <v>116</v>
      </c>
      <c r="V18" t="s">
        <v>117</v>
      </c>
      <c r="W18" t="s">
        <v>118</v>
      </c>
      <c r="X18" t="s">
        <v>119</v>
      </c>
      <c r="Y18" t="s">
        <v>120</v>
      </c>
      <c r="Z18" t="s">
        <v>121</v>
      </c>
      <c r="AA18" t="s">
        <v>88</v>
      </c>
      <c r="AB18">
        <v>394</v>
      </c>
      <c r="AC18">
        <v>3</v>
      </c>
      <c r="AE18">
        <v>1</v>
      </c>
      <c r="AF18" t="s">
        <v>159</v>
      </c>
      <c r="AG18" t="s">
        <v>794</v>
      </c>
      <c r="AH18" t="s">
        <v>72</v>
      </c>
      <c r="AI18" t="s">
        <v>72</v>
      </c>
      <c r="AJ18" t="s">
        <v>91</v>
      </c>
      <c r="AK18" t="s">
        <v>92</v>
      </c>
      <c r="AL18" t="s">
        <v>93</v>
      </c>
      <c r="AM18" t="s">
        <v>94</v>
      </c>
      <c r="AN18" t="s">
        <v>795</v>
      </c>
      <c r="AO18" t="s">
        <v>796</v>
      </c>
      <c r="AP18" t="s">
        <v>797</v>
      </c>
      <c r="AQ18">
        <v>39</v>
      </c>
      <c r="AR18" t="s">
        <v>80</v>
      </c>
      <c r="AS18">
        <v>1332</v>
      </c>
      <c r="AT18">
        <v>0.95830000000000004</v>
      </c>
      <c r="AU18">
        <v>154</v>
      </c>
      <c r="AV18">
        <v>0.89470000000000005</v>
      </c>
      <c r="AW18" t="s">
        <v>98</v>
      </c>
      <c r="AX18" t="s">
        <v>146</v>
      </c>
      <c r="AY18" t="s">
        <v>499</v>
      </c>
      <c r="AZ18" t="s">
        <v>798</v>
      </c>
      <c r="BA18" t="s">
        <v>713</v>
      </c>
      <c r="BB18" t="s">
        <v>103</v>
      </c>
      <c r="BC18" t="s">
        <v>799</v>
      </c>
      <c r="BD18" t="s">
        <v>105</v>
      </c>
      <c r="BE18">
        <v>3471</v>
      </c>
      <c r="BF18" t="s">
        <v>800</v>
      </c>
      <c r="BG18">
        <v>55</v>
      </c>
      <c r="BH18" t="s">
        <v>80</v>
      </c>
      <c r="BI18">
        <v>1</v>
      </c>
      <c r="BJ18">
        <v>63</v>
      </c>
      <c r="BK18">
        <v>0</v>
      </c>
      <c r="BL18">
        <v>13</v>
      </c>
      <c r="BM18">
        <v>510</v>
      </c>
      <c r="BN18">
        <v>755</v>
      </c>
      <c r="BO18">
        <v>1020</v>
      </c>
      <c r="BP18">
        <v>0</v>
      </c>
      <c r="BQ18" s="2">
        <v>543</v>
      </c>
      <c r="BR18">
        <f t="shared" si="0"/>
        <v>64</v>
      </c>
      <c r="BS18">
        <f t="shared" si="1"/>
        <v>1</v>
      </c>
      <c r="BT18">
        <f t="shared" si="2"/>
        <v>14</v>
      </c>
      <c r="BU18">
        <f t="shared" si="3"/>
        <v>511</v>
      </c>
      <c r="BV18">
        <f t="shared" si="4"/>
        <v>756</v>
      </c>
      <c r="BW18">
        <f t="shared" si="5"/>
        <v>1021</v>
      </c>
      <c r="BX18">
        <f t="shared" si="6"/>
        <v>1</v>
      </c>
      <c r="BY18" s="2">
        <f t="shared" si="7"/>
        <v>544</v>
      </c>
      <c r="BZ18">
        <f t="shared" si="8"/>
        <v>61.021716288449674</v>
      </c>
      <c r="CA18">
        <v>61.021716288449674</v>
      </c>
      <c r="CB18">
        <v>61.021716288449674</v>
      </c>
      <c r="CC18">
        <v>61.021716288449674</v>
      </c>
      <c r="CD18">
        <v>61.021716288449674</v>
      </c>
      <c r="CE18">
        <v>61.021716288449674</v>
      </c>
      <c r="CF18">
        <v>61.021716288449674</v>
      </c>
      <c r="CG18">
        <v>61.021716288449674</v>
      </c>
      <c r="CH18">
        <f t="shared" si="16"/>
        <v>2.0695555598495365E-2</v>
      </c>
      <c r="CI18">
        <f t="shared" si="9"/>
        <v>-1.7854844183853917</v>
      </c>
      <c r="CJ18">
        <f t="shared" si="10"/>
        <v>-0.63935638270715378</v>
      </c>
      <c r="CK18">
        <f t="shared" si="11"/>
        <v>0.92293648174932097</v>
      </c>
      <c r="CL18">
        <f t="shared" si="12"/>
        <v>1.0930373771158146</v>
      </c>
      <c r="CM18">
        <f t="shared" si="13"/>
        <v>1.2235413237015185</v>
      </c>
      <c r="CN18">
        <f t="shared" si="14"/>
        <v>-1.7854844183853917</v>
      </c>
      <c r="CO18" s="2">
        <f t="shared" si="15"/>
        <v>0.95011448131278819</v>
      </c>
      <c r="CP18">
        <v>-0.652164021751786</v>
      </c>
      <c r="CQ18">
        <v>-2.2527165794045199</v>
      </c>
      <c r="CR18">
        <v>-0.36142116412278402</v>
      </c>
      <c r="CS18">
        <v>1.0740108205729599</v>
      </c>
      <c r="CT18">
        <v>1.15519927177208</v>
      </c>
      <c r="CU18">
        <v>1.10614181692244</v>
      </c>
      <c r="CV18">
        <v>-2.6172399890044602</v>
      </c>
      <c r="CW18">
        <v>1.12526354953673</v>
      </c>
      <c r="CX18" t="s">
        <v>1826</v>
      </c>
    </row>
    <row r="19" spans="1:102" x14ac:dyDescent="0.35">
      <c r="A19" t="s">
        <v>1299</v>
      </c>
      <c r="B19" t="s">
        <v>231</v>
      </c>
      <c r="C19" t="s">
        <v>548</v>
      </c>
      <c r="D19" t="s">
        <v>72</v>
      </c>
      <c r="E19" t="s">
        <v>72</v>
      </c>
      <c r="F19" t="s">
        <v>72</v>
      </c>
      <c r="G19" t="s">
        <v>73</v>
      </c>
      <c r="H19" t="s">
        <v>109</v>
      </c>
      <c r="I19" t="s">
        <v>110</v>
      </c>
      <c r="J19" t="s">
        <v>111</v>
      </c>
      <c r="K19" t="s">
        <v>112</v>
      </c>
      <c r="L19" t="s">
        <v>113</v>
      </c>
      <c r="M19" t="s">
        <v>114</v>
      </c>
      <c r="N19">
        <v>48</v>
      </c>
      <c r="O19" t="s">
        <v>80</v>
      </c>
      <c r="P19">
        <v>621</v>
      </c>
      <c r="Q19">
        <v>0.68400000000000005</v>
      </c>
      <c r="R19">
        <v>175</v>
      </c>
      <c r="S19">
        <v>0.81130000000000002</v>
      </c>
      <c r="T19" t="s">
        <v>115</v>
      </c>
      <c r="U19" t="s">
        <v>116</v>
      </c>
      <c r="V19" t="s">
        <v>117</v>
      </c>
      <c r="W19" t="s">
        <v>118</v>
      </c>
      <c r="X19" t="s">
        <v>119</v>
      </c>
      <c r="Y19" t="s">
        <v>120</v>
      </c>
      <c r="Z19" t="s">
        <v>121</v>
      </c>
      <c r="AA19" t="s">
        <v>88</v>
      </c>
      <c r="AB19">
        <v>1384</v>
      </c>
      <c r="AC19">
        <v>9</v>
      </c>
      <c r="AE19">
        <v>1</v>
      </c>
      <c r="AF19" t="s">
        <v>89</v>
      </c>
      <c r="AG19" t="s">
        <v>1300</v>
      </c>
      <c r="AH19" t="s">
        <v>72</v>
      </c>
      <c r="AI19" t="s">
        <v>72</v>
      </c>
      <c r="AJ19" t="s">
        <v>91</v>
      </c>
      <c r="AK19" t="s">
        <v>92</v>
      </c>
      <c r="AL19" t="s">
        <v>93</v>
      </c>
      <c r="AM19" t="s">
        <v>94</v>
      </c>
      <c r="AN19" t="s">
        <v>1301</v>
      </c>
      <c r="AO19" t="s">
        <v>1302</v>
      </c>
      <c r="AP19" t="s">
        <v>97</v>
      </c>
      <c r="AQ19">
        <v>39</v>
      </c>
      <c r="AR19" t="s">
        <v>80</v>
      </c>
      <c r="AS19">
        <v>1341</v>
      </c>
      <c r="AT19">
        <v>0.96179999999999999</v>
      </c>
      <c r="AU19">
        <v>172</v>
      </c>
      <c r="AV19">
        <v>0.94740000000000002</v>
      </c>
      <c r="AW19" t="s">
        <v>98</v>
      </c>
      <c r="AX19" t="s">
        <v>146</v>
      </c>
      <c r="AY19" t="s">
        <v>1303</v>
      </c>
      <c r="AZ19" t="s">
        <v>101</v>
      </c>
      <c r="BA19" t="s">
        <v>868</v>
      </c>
      <c r="BB19" t="s">
        <v>103</v>
      </c>
      <c r="BC19" t="s">
        <v>104</v>
      </c>
      <c r="BD19" t="s">
        <v>105</v>
      </c>
      <c r="BE19">
        <v>26756</v>
      </c>
      <c r="BF19" t="s">
        <v>106</v>
      </c>
      <c r="BG19">
        <v>314</v>
      </c>
      <c r="BH19" t="s">
        <v>80</v>
      </c>
      <c r="BI19">
        <v>1</v>
      </c>
      <c r="BJ19">
        <v>71</v>
      </c>
      <c r="BK19">
        <v>0</v>
      </c>
      <c r="BL19">
        <v>35</v>
      </c>
      <c r="BM19">
        <v>1174</v>
      </c>
      <c r="BN19">
        <v>1682</v>
      </c>
      <c r="BO19">
        <v>2493</v>
      </c>
      <c r="BP19">
        <v>7</v>
      </c>
      <c r="BQ19" s="2">
        <v>1201</v>
      </c>
      <c r="BR19">
        <f t="shared" si="0"/>
        <v>72</v>
      </c>
      <c r="BS19">
        <f t="shared" si="1"/>
        <v>1</v>
      </c>
      <c r="BT19">
        <f t="shared" si="2"/>
        <v>36</v>
      </c>
      <c r="BU19">
        <f t="shared" si="3"/>
        <v>1175</v>
      </c>
      <c r="BV19">
        <f t="shared" si="4"/>
        <v>1683</v>
      </c>
      <c r="BW19">
        <f t="shared" si="5"/>
        <v>2494</v>
      </c>
      <c r="BX19">
        <f t="shared" si="6"/>
        <v>8</v>
      </c>
      <c r="BY19" s="2">
        <f t="shared" si="7"/>
        <v>1202</v>
      </c>
      <c r="BZ19">
        <f t="shared" si="8"/>
        <v>136.83776919060037</v>
      </c>
      <c r="CA19">
        <v>136.83776919060037</v>
      </c>
      <c r="CB19">
        <v>136.83776919060037</v>
      </c>
      <c r="CC19">
        <v>136.83776919060037</v>
      </c>
      <c r="CD19">
        <v>136.83776919060037</v>
      </c>
      <c r="CE19">
        <v>136.83776919060037</v>
      </c>
      <c r="CF19">
        <v>136.83776919060037</v>
      </c>
      <c r="CG19">
        <v>136.83776919060037</v>
      </c>
      <c r="CH19">
        <f t="shared" si="16"/>
        <v>-0.27887348901664688</v>
      </c>
      <c r="CI19">
        <f t="shared" si="9"/>
        <v>-2.1362059854479152</v>
      </c>
      <c r="CJ19">
        <f t="shared" si="10"/>
        <v>-0.57990348468062813</v>
      </c>
      <c r="CK19">
        <f t="shared" si="11"/>
        <v>0.93383188115983973</v>
      </c>
      <c r="CL19">
        <f t="shared" si="12"/>
        <v>1.0898781305279086</v>
      </c>
      <c r="CM19">
        <f t="shared" si="13"/>
        <v>1.2606904636946084</v>
      </c>
      <c r="CN19">
        <f t="shared" si="14"/>
        <v>-1.2331159984559719</v>
      </c>
      <c r="CO19" s="2">
        <f t="shared" si="15"/>
        <v>0.94369848221880537</v>
      </c>
      <c r="CP19">
        <v>-1.0120759622486399</v>
      </c>
      <c r="CQ19">
        <v>-2.2527165794045199</v>
      </c>
      <c r="CR19">
        <v>-9.5792899948922997E-2</v>
      </c>
      <c r="CS19">
        <v>1.1061135691186801</v>
      </c>
      <c r="CT19">
        <v>1.1464051451897701</v>
      </c>
      <c r="CU19">
        <v>1.21342087946957</v>
      </c>
      <c r="CV19">
        <v>-0.63090525953739596</v>
      </c>
      <c r="CW19">
        <v>1.10764102392118</v>
      </c>
      <c r="CX19" t="s">
        <v>1826</v>
      </c>
    </row>
    <row r="20" spans="1:102" x14ac:dyDescent="0.35">
      <c r="A20" t="s">
        <v>1293</v>
      </c>
      <c r="B20" t="s">
        <v>148</v>
      </c>
      <c r="C20" t="s">
        <v>1294</v>
      </c>
      <c r="D20" t="s">
        <v>72</v>
      </c>
      <c r="E20" t="s">
        <v>72</v>
      </c>
      <c r="F20" t="s">
        <v>72</v>
      </c>
      <c r="G20" t="s">
        <v>73</v>
      </c>
      <c r="H20" t="s">
        <v>109</v>
      </c>
      <c r="I20" t="s">
        <v>110</v>
      </c>
      <c r="J20" t="s">
        <v>111</v>
      </c>
      <c r="K20" t="s">
        <v>112</v>
      </c>
      <c r="L20" t="s">
        <v>113</v>
      </c>
      <c r="M20" t="s">
        <v>114</v>
      </c>
      <c r="N20">
        <v>48</v>
      </c>
      <c r="O20" t="s">
        <v>80</v>
      </c>
      <c r="P20">
        <v>621</v>
      </c>
      <c r="Q20">
        <v>0.68400000000000005</v>
      </c>
      <c r="R20">
        <v>175</v>
      </c>
      <c r="S20">
        <v>0.81130000000000002</v>
      </c>
      <c r="T20" t="s">
        <v>115</v>
      </c>
      <c r="U20" t="s">
        <v>116</v>
      </c>
      <c r="V20" t="s">
        <v>117</v>
      </c>
      <c r="W20" t="s">
        <v>118</v>
      </c>
      <c r="X20" t="s">
        <v>119</v>
      </c>
      <c r="Y20" t="s">
        <v>120</v>
      </c>
      <c r="Z20" t="s">
        <v>121</v>
      </c>
      <c r="AA20" t="s">
        <v>88</v>
      </c>
      <c r="AB20">
        <v>859</v>
      </c>
      <c r="AC20">
        <v>8</v>
      </c>
      <c r="AE20">
        <v>1</v>
      </c>
      <c r="AF20" t="s">
        <v>89</v>
      </c>
      <c r="AG20" t="s">
        <v>1295</v>
      </c>
      <c r="AH20" t="s">
        <v>72</v>
      </c>
      <c r="AI20" t="s">
        <v>72</v>
      </c>
      <c r="AJ20" t="s">
        <v>91</v>
      </c>
      <c r="AK20" t="s">
        <v>92</v>
      </c>
      <c r="AL20" t="s">
        <v>93</v>
      </c>
      <c r="AM20" t="s">
        <v>94</v>
      </c>
      <c r="AN20" t="s">
        <v>1296</v>
      </c>
      <c r="AO20" t="s">
        <v>1297</v>
      </c>
      <c r="AP20" t="s">
        <v>97</v>
      </c>
      <c r="AQ20">
        <v>39</v>
      </c>
      <c r="AR20" t="s">
        <v>80</v>
      </c>
      <c r="AS20">
        <v>1350</v>
      </c>
      <c r="AT20">
        <v>0.96530000000000005</v>
      </c>
      <c r="AU20">
        <v>163</v>
      </c>
      <c r="AV20">
        <v>0.92110000000000003</v>
      </c>
      <c r="AW20" t="s">
        <v>98</v>
      </c>
      <c r="AX20" t="s">
        <v>146</v>
      </c>
      <c r="AY20" t="s">
        <v>127</v>
      </c>
      <c r="AZ20" t="s">
        <v>136</v>
      </c>
      <c r="BA20" t="s">
        <v>194</v>
      </c>
      <c r="BB20" t="s">
        <v>103</v>
      </c>
      <c r="BC20" t="s">
        <v>104</v>
      </c>
      <c r="BD20" t="s">
        <v>105</v>
      </c>
      <c r="BE20">
        <v>141100</v>
      </c>
      <c r="BF20" t="s">
        <v>106</v>
      </c>
      <c r="BG20">
        <v>1593</v>
      </c>
      <c r="BH20" t="s">
        <v>80</v>
      </c>
      <c r="BI20">
        <v>1</v>
      </c>
      <c r="BJ20">
        <v>57</v>
      </c>
      <c r="BK20">
        <v>13</v>
      </c>
      <c r="BL20">
        <v>129</v>
      </c>
      <c r="BM20">
        <v>3775</v>
      </c>
      <c r="BN20">
        <v>4527</v>
      </c>
      <c r="BO20">
        <v>6452</v>
      </c>
      <c r="BP20">
        <v>26</v>
      </c>
      <c r="BQ20" s="2">
        <v>3656</v>
      </c>
      <c r="BR20">
        <f t="shared" si="0"/>
        <v>58</v>
      </c>
      <c r="BS20">
        <f t="shared" si="1"/>
        <v>14</v>
      </c>
      <c r="BT20">
        <f t="shared" si="2"/>
        <v>130</v>
      </c>
      <c r="BU20">
        <f t="shared" si="3"/>
        <v>3776</v>
      </c>
      <c r="BV20">
        <f t="shared" si="4"/>
        <v>4528</v>
      </c>
      <c r="BW20">
        <f t="shared" si="5"/>
        <v>6453</v>
      </c>
      <c r="BX20">
        <f t="shared" si="6"/>
        <v>27</v>
      </c>
      <c r="BY20" s="2">
        <f t="shared" si="7"/>
        <v>3657</v>
      </c>
      <c r="BZ20">
        <f t="shared" si="8"/>
        <v>429.12717918984464</v>
      </c>
      <c r="CA20">
        <v>429.12717918984464</v>
      </c>
      <c r="CB20">
        <v>429.12717918984464</v>
      </c>
      <c r="CC20">
        <v>429.12717918984464</v>
      </c>
      <c r="CD20">
        <v>429.12717918984464</v>
      </c>
      <c r="CE20">
        <v>429.12717918984464</v>
      </c>
      <c r="CF20">
        <v>429.12717918984464</v>
      </c>
      <c r="CG20">
        <v>429.12717918984464</v>
      </c>
      <c r="CH20">
        <f t="shared" si="16"/>
        <v>-0.86915802830686462</v>
      </c>
      <c r="CI20">
        <f t="shared" si="9"/>
        <v>-1.4864579861915639</v>
      </c>
      <c r="CJ20">
        <f t="shared" si="10"/>
        <v>-0.51864266956296512</v>
      </c>
      <c r="CK20">
        <f t="shared" si="11"/>
        <v>0.94444596375622947</v>
      </c>
      <c r="CL20">
        <f t="shared" si="12"/>
        <v>1.0233203963104132</v>
      </c>
      <c r="CM20">
        <f t="shared" si="13"/>
        <v>1.177175643237323</v>
      </c>
      <c r="CN20">
        <f t="shared" si="14"/>
        <v>-1.2012222577108147</v>
      </c>
      <c r="CO20" s="2">
        <f t="shared" si="15"/>
        <v>0.93053893846824243</v>
      </c>
      <c r="CP20">
        <v>-1.72126290195453</v>
      </c>
      <c r="CQ20">
        <v>0.40801660288120001</v>
      </c>
      <c r="CR20">
        <v>0.177912916280933</v>
      </c>
      <c r="CS20">
        <v>1.1373874317644601</v>
      </c>
      <c r="CT20">
        <v>0.96113402960775995</v>
      </c>
      <c r="CU20">
        <v>0.97224728435764896</v>
      </c>
      <c r="CV20">
        <v>-0.54536708271876499</v>
      </c>
      <c r="CW20">
        <v>1.0714963185625499</v>
      </c>
      <c r="CX20" t="s">
        <v>1826</v>
      </c>
    </row>
    <row r="21" spans="1:102" x14ac:dyDescent="0.35">
      <c r="A21" t="s">
        <v>1672</v>
      </c>
      <c r="B21" t="s">
        <v>178</v>
      </c>
      <c r="C21" t="s">
        <v>1673</v>
      </c>
      <c r="D21" t="s">
        <v>72</v>
      </c>
      <c r="E21" t="s">
        <v>72</v>
      </c>
      <c r="F21" t="s">
        <v>72</v>
      </c>
      <c r="G21" t="s">
        <v>73</v>
      </c>
      <c r="H21" t="s">
        <v>109</v>
      </c>
      <c r="I21" t="s">
        <v>110</v>
      </c>
      <c r="J21" t="s">
        <v>111</v>
      </c>
      <c r="K21" t="s">
        <v>112</v>
      </c>
      <c r="L21" t="s">
        <v>113</v>
      </c>
      <c r="M21" t="s">
        <v>114</v>
      </c>
      <c r="N21">
        <v>48</v>
      </c>
      <c r="O21" t="s">
        <v>80</v>
      </c>
      <c r="P21">
        <v>621</v>
      </c>
      <c r="Q21">
        <v>0.68400000000000005</v>
      </c>
      <c r="R21">
        <v>175</v>
      </c>
      <c r="S21">
        <v>0.81130000000000002</v>
      </c>
      <c r="T21" t="s">
        <v>115</v>
      </c>
      <c r="U21" t="s">
        <v>116</v>
      </c>
      <c r="V21" t="s">
        <v>117</v>
      </c>
      <c r="W21" t="s">
        <v>118</v>
      </c>
      <c r="X21" t="s">
        <v>119</v>
      </c>
      <c r="Y21" t="s">
        <v>120</v>
      </c>
      <c r="Z21" t="s">
        <v>121</v>
      </c>
      <c r="AA21" t="s">
        <v>88</v>
      </c>
      <c r="AB21">
        <v>426</v>
      </c>
      <c r="AC21">
        <v>9</v>
      </c>
      <c r="AE21">
        <v>1</v>
      </c>
      <c r="AF21" t="s">
        <v>89</v>
      </c>
      <c r="AG21" t="s">
        <v>1674</v>
      </c>
      <c r="AH21" t="s">
        <v>72</v>
      </c>
      <c r="AI21" t="s">
        <v>72</v>
      </c>
      <c r="AJ21" t="s">
        <v>72</v>
      </c>
      <c r="AK21" t="s">
        <v>92</v>
      </c>
      <c r="AL21" t="s">
        <v>93</v>
      </c>
      <c r="AM21" t="s">
        <v>94</v>
      </c>
      <c r="AN21" t="s">
        <v>1675</v>
      </c>
      <c r="AO21" t="s">
        <v>1676</v>
      </c>
      <c r="AP21" t="s">
        <v>1677</v>
      </c>
      <c r="AQ21">
        <v>39</v>
      </c>
      <c r="AR21" t="s">
        <v>80</v>
      </c>
      <c r="AS21">
        <v>1350</v>
      </c>
      <c r="AT21">
        <v>0.96530000000000005</v>
      </c>
      <c r="AU21">
        <v>172</v>
      </c>
      <c r="AV21">
        <v>0.94740000000000002</v>
      </c>
      <c r="AW21" t="s">
        <v>98</v>
      </c>
      <c r="AX21" t="s">
        <v>146</v>
      </c>
      <c r="AY21" t="s">
        <v>1678</v>
      </c>
      <c r="AZ21" t="s">
        <v>101</v>
      </c>
      <c r="BA21" t="s">
        <v>128</v>
      </c>
      <c r="BB21" t="s">
        <v>103</v>
      </c>
      <c r="BC21" t="s">
        <v>104</v>
      </c>
      <c r="BD21" t="s">
        <v>105</v>
      </c>
      <c r="BE21">
        <v>112509</v>
      </c>
      <c r="BG21">
        <v>1297</v>
      </c>
      <c r="BH21" t="s">
        <v>80</v>
      </c>
      <c r="BI21">
        <v>1</v>
      </c>
      <c r="BJ21">
        <v>50</v>
      </c>
      <c r="BK21">
        <v>4</v>
      </c>
      <c r="BL21">
        <v>31</v>
      </c>
      <c r="BM21">
        <v>1474</v>
      </c>
      <c r="BN21">
        <v>2063</v>
      </c>
      <c r="BO21">
        <v>2664</v>
      </c>
      <c r="BP21">
        <v>9</v>
      </c>
      <c r="BQ21" s="2">
        <v>1515</v>
      </c>
      <c r="BR21">
        <f t="shared" si="0"/>
        <v>51</v>
      </c>
      <c r="BS21">
        <f t="shared" si="1"/>
        <v>5</v>
      </c>
      <c r="BT21">
        <f t="shared" si="2"/>
        <v>32</v>
      </c>
      <c r="BU21">
        <f t="shared" si="3"/>
        <v>1475</v>
      </c>
      <c r="BV21">
        <f t="shared" si="4"/>
        <v>2064</v>
      </c>
      <c r="BW21">
        <f t="shared" si="5"/>
        <v>2665</v>
      </c>
      <c r="BX21">
        <f t="shared" si="6"/>
        <v>10</v>
      </c>
      <c r="BY21" s="2">
        <f t="shared" si="7"/>
        <v>1516</v>
      </c>
      <c r="BZ21">
        <f t="shared" si="8"/>
        <v>177.90925285865785</v>
      </c>
      <c r="CA21">
        <v>177.90925285865785</v>
      </c>
      <c r="CB21">
        <v>177.90925285865785</v>
      </c>
      <c r="CC21">
        <v>177.90925285865785</v>
      </c>
      <c r="CD21">
        <v>177.90925285865785</v>
      </c>
      <c r="CE21">
        <v>177.90925285865785</v>
      </c>
      <c r="CF21">
        <v>177.90925285865785</v>
      </c>
      <c r="CG21">
        <v>177.90925285865785</v>
      </c>
      <c r="CH21">
        <f t="shared" si="16"/>
        <v>-0.54262835973729395</v>
      </c>
      <c r="CI21">
        <f t="shared" si="9"/>
        <v>-1.5512285314992116</v>
      </c>
      <c r="CJ21">
        <f t="shared" si="10"/>
        <v>-0.74504855751532439</v>
      </c>
      <c r="CK21">
        <f t="shared" si="11"/>
        <v>0.91859348447895151</v>
      </c>
      <c r="CL21">
        <f t="shared" si="12"/>
        <v>1.0645111571199435</v>
      </c>
      <c r="CM21">
        <f t="shared" si="13"/>
        <v>1.1754986775273608</v>
      </c>
      <c r="CN21">
        <f t="shared" si="14"/>
        <v>-1.2501985358352303</v>
      </c>
      <c r="CO21" s="2">
        <f t="shared" si="15"/>
        <v>0.93050066546080434</v>
      </c>
      <c r="CP21">
        <v>-1.3289595957312601</v>
      </c>
      <c r="CQ21">
        <v>0.216671167090111</v>
      </c>
      <c r="CR21">
        <v>-0.83364085169005198</v>
      </c>
      <c r="CS21">
        <v>1.06121439668319</v>
      </c>
      <c r="CT21">
        <v>1.0757932543631501</v>
      </c>
      <c r="CU21">
        <v>0.96740455288871297</v>
      </c>
      <c r="CV21">
        <v>-0.67672017709546795</v>
      </c>
      <c r="CW21">
        <v>1.0713911958772</v>
      </c>
      <c r="CX21" t="s">
        <v>1826</v>
      </c>
    </row>
    <row r="22" spans="1:102" x14ac:dyDescent="0.35">
      <c r="A22" t="s">
        <v>451</v>
      </c>
      <c r="B22" t="s">
        <v>231</v>
      </c>
      <c r="C22" t="s">
        <v>452</v>
      </c>
      <c r="D22" t="s">
        <v>72</v>
      </c>
      <c r="E22" t="s">
        <v>72</v>
      </c>
      <c r="F22" t="s">
        <v>72</v>
      </c>
      <c r="G22" t="s">
        <v>73</v>
      </c>
      <c r="H22" t="s">
        <v>453</v>
      </c>
      <c r="I22" t="s">
        <v>454</v>
      </c>
      <c r="J22" t="s">
        <v>455</v>
      </c>
      <c r="K22" t="s">
        <v>456</v>
      </c>
      <c r="L22" t="s">
        <v>457</v>
      </c>
      <c r="M22" t="s">
        <v>458</v>
      </c>
      <c r="N22">
        <v>63</v>
      </c>
      <c r="O22" t="s">
        <v>80</v>
      </c>
      <c r="P22">
        <v>813</v>
      </c>
      <c r="Q22">
        <v>0.95479999999999998</v>
      </c>
      <c r="R22">
        <v>193</v>
      </c>
      <c r="S22">
        <v>0.7903</v>
      </c>
      <c r="T22" t="s">
        <v>459</v>
      </c>
      <c r="U22" t="s">
        <v>460</v>
      </c>
      <c r="V22" t="s">
        <v>461</v>
      </c>
      <c r="W22" t="s">
        <v>462</v>
      </c>
      <c r="X22" t="s">
        <v>463</v>
      </c>
      <c r="Y22" t="s">
        <v>464</v>
      </c>
      <c r="Z22" t="s">
        <v>465</v>
      </c>
      <c r="AA22" t="s">
        <v>88</v>
      </c>
      <c r="AB22">
        <v>15132</v>
      </c>
      <c r="AC22">
        <v>132</v>
      </c>
      <c r="AD22" t="s">
        <v>466</v>
      </c>
      <c r="AE22">
        <v>23</v>
      </c>
      <c r="AF22" t="s">
        <v>89</v>
      </c>
      <c r="AG22" t="s">
        <v>467</v>
      </c>
      <c r="AH22" t="s">
        <v>72</v>
      </c>
      <c r="AI22" t="s">
        <v>72</v>
      </c>
      <c r="AJ22" t="s">
        <v>91</v>
      </c>
      <c r="AK22" t="s">
        <v>92</v>
      </c>
      <c r="AL22" t="s">
        <v>93</v>
      </c>
      <c r="AM22" t="s">
        <v>94</v>
      </c>
      <c r="AN22" t="s">
        <v>468</v>
      </c>
      <c r="AO22" t="s">
        <v>469</v>
      </c>
      <c r="AP22" t="s">
        <v>470</v>
      </c>
      <c r="AQ22">
        <v>39</v>
      </c>
      <c r="AR22" t="s">
        <v>80</v>
      </c>
      <c r="AS22">
        <v>1350</v>
      </c>
      <c r="AT22">
        <v>0.96530000000000005</v>
      </c>
      <c r="AU22">
        <v>172</v>
      </c>
      <c r="AV22">
        <v>0.94740000000000002</v>
      </c>
      <c r="AW22" t="s">
        <v>98</v>
      </c>
      <c r="AX22" t="s">
        <v>146</v>
      </c>
      <c r="AY22" t="s">
        <v>127</v>
      </c>
      <c r="AZ22" t="s">
        <v>101</v>
      </c>
      <c r="BA22" t="s">
        <v>128</v>
      </c>
      <c r="BB22" t="s">
        <v>103</v>
      </c>
      <c r="BC22" t="s">
        <v>471</v>
      </c>
      <c r="BD22" t="s">
        <v>105</v>
      </c>
      <c r="BE22">
        <v>58934</v>
      </c>
      <c r="BF22" t="s">
        <v>472</v>
      </c>
      <c r="BG22">
        <v>645</v>
      </c>
      <c r="BH22" t="s">
        <v>80</v>
      </c>
      <c r="BI22">
        <v>1</v>
      </c>
      <c r="BJ22">
        <v>84</v>
      </c>
      <c r="BK22">
        <v>5</v>
      </c>
      <c r="BL22">
        <v>49</v>
      </c>
      <c r="BM22">
        <v>1986</v>
      </c>
      <c r="BN22">
        <v>2493</v>
      </c>
      <c r="BO22">
        <v>3548</v>
      </c>
      <c r="BP22">
        <v>11</v>
      </c>
      <c r="BQ22" s="2">
        <v>2010</v>
      </c>
      <c r="BR22">
        <f t="shared" si="0"/>
        <v>85</v>
      </c>
      <c r="BS22">
        <f t="shared" si="1"/>
        <v>6</v>
      </c>
      <c r="BT22">
        <f t="shared" si="2"/>
        <v>50</v>
      </c>
      <c r="BU22">
        <f t="shared" si="3"/>
        <v>1987</v>
      </c>
      <c r="BV22">
        <f t="shared" si="4"/>
        <v>2494</v>
      </c>
      <c r="BW22">
        <f t="shared" si="5"/>
        <v>3549</v>
      </c>
      <c r="BX22">
        <f t="shared" si="6"/>
        <v>12</v>
      </c>
      <c r="BY22" s="2">
        <f t="shared" si="7"/>
        <v>2011</v>
      </c>
      <c r="BZ22">
        <f t="shared" si="8"/>
        <v>239.49239471855233</v>
      </c>
      <c r="CA22">
        <v>239.49239471855233</v>
      </c>
      <c r="CB22">
        <v>239.49239471855233</v>
      </c>
      <c r="CC22">
        <v>239.49239471855233</v>
      </c>
      <c r="CD22">
        <v>239.49239471855233</v>
      </c>
      <c r="CE22">
        <v>239.49239471855233</v>
      </c>
      <c r="CF22">
        <v>239.49239471855233</v>
      </c>
      <c r="CG22">
        <v>239.49239471855233</v>
      </c>
      <c r="CH22">
        <f t="shared" si="16"/>
        <v>-0.44987280087048898</v>
      </c>
      <c r="CI22">
        <f t="shared" si="9"/>
        <v>-1.6011404762011381</v>
      </c>
      <c r="CJ22">
        <f t="shared" si="10"/>
        <v>-0.68032172224876297</v>
      </c>
      <c r="CK22">
        <f t="shared" si="11"/>
        <v>0.91890614052503339</v>
      </c>
      <c r="CL22">
        <f t="shared" si="12"/>
        <v>1.017604722557742</v>
      </c>
      <c r="CM22">
        <f t="shared" si="13"/>
        <v>1.170814272762811</v>
      </c>
      <c r="CN22">
        <f t="shared" si="14"/>
        <v>-1.3001104805371568</v>
      </c>
      <c r="CO22" s="2">
        <f t="shared" si="15"/>
        <v>0.92412034401196019</v>
      </c>
      <c r="CP22">
        <v>-1.2175200669024</v>
      </c>
      <c r="CQ22">
        <v>6.9221075928949105E-2</v>
      </c>
      <c r="CR22">
        <v>-0.544449282094014</v>
      </c>
      <c r="CS22">
        <v>1.0621356220601099</v>
      </c>
      <c r="CT22">
        <v>0.94522379370640297</v>
      </c>
      <c r="CU22">
        <v>0.95387695704596498</v>
      </c>
      <c r="CV22">
        <v>-0.81058270471143601</v>
      </c>
      <c r="CW22">
        <v>1.0538666643863599</v>
      </c>
      <c r="CX22" t="s">
        <v>1826</v>
      </c>
    </row>
    <row r="23" spans="1:102" x14ac:dyDescent="0.35">
      <c r="A23" t="s">
        <v>1641</v>
      </c>
      <c r="B23" t="s">
        <v>153</v>
      </c>
      <c r="C23" t="s">
        <v>108</v>
      </c>
      <c r="D23" t="s">
        <v>72</v>
      </c>
      <c r="E23" t="s">
        <v>72</v>
      </c>
      <c r="F23" t="s">
        <v>72</v>
      </c>
      <c r="G23" t="s">
        <v>73</v>
      </c>
      <c r="H23" t="s">
        <v>109</v>
      </c>
      <c r="I23" t="s">
        <v>110</v>
      </c>
      <c r="J23" t="s">
        <v>111</v>
      </c>
      <c r="K23" t="s">
        <v>112</v>
      </c>
      <c r="L23" t="s">
        <v>113</v>
      </c>
      <c r="M23" t="s">
        <v>114</v>
      </c>
      <c r="N23">
        <v>48</v>
      </c>
      <c r="O23" t="s">
        <v>80</v>
      </c>
      <c r="P23">
        <v>621</v>
      </c>
      <c r="Q23">
        <v>0.68400000000000005</v>
      </c>
      <c r="R23">
        <v>175</v>
      </c>
      <c r="S23">
        <v>0.81130000000000002</v>
      </c>
      <c r="T23" t="s">
        <v>115</v>
      </c>
      <c r="U23" t="s">
        <v>116</v>
      </c>
      <c r="V23" t="s">
        <v>117</v>
      </c>
      <c r="W23" t="s">
        <v>118</v>
      </c>
      <c r="X23" t="s">
        <v>119</v>
      </c>
      <c r="Y23" t="s">
        <v>120</v>
      </c>
      <c r="Z23" t="s">
        <v>121</v>
      </c>
      <c r="AA23" t="s">
        <v>88</v>
      </c>
      <c r="AB23">
        <v>763</v>
      </c>
      <c r="AC23">
        <v>6</v>
      </c>
      <c r="AE23">
        <v>1</v>
      </c>
      <c r="AF23" t="s">
        <v>148</v>
      </c>
      <c r="AG23" t="s">
        <v>1642</v>
      </c>
      <c r="AH23" t="s">
        <v>72</v>
      </c>
      <c r="AI23" t="s">
        <v>72</v>
      </c>
      <c r="AJ23" t="s">
        <v>91</v>
      </c>
      <c r="AK23" t="s">
        <v>92</v>
      </c>
      <c r="AL23" t="s">
        <v>93</v>
      </c>
      <c r="AM23" t="s">
        <v>94</v>
      </c>
      <c r="AN23" t="s">
        <v>303</v>
      </c>
      <c r="AO23" t="s">
        <v>304</v>
      </c>
      <c r="AP23" t="s">
        <v>97</v>
      </c>
      <c r="AQ23">
        <v>39</v>
      </c>
      <c r="AR23" t="s">
        <v>80</v>
      </c>
      <c r="AS23">
        <v>1341</v>
      </c>
      <c r="AT23">
        <v>0.96179999999999999</v>
      </c>
      <c r="AU23">
        <v>163</v>
      </c>
      <c r="AV23">
        <v>0.92110000000000003</v>
      </c>
      <c r="AW23" t="s">
        <v>98</v>
      </c>
      <c r="AX23" t="s">
        <v>305</v>
      </c>
      <c r="AY23" t="s">
        <v>306</v>
      </c>
      <c r="AZ23" t="s">
        <v>307</v>
      </c>
      <c r="BA23" t="s">
        <v>128</v>
      </c>
      <c r="BB23" t="s">
        <v>103</v>
      </c>
      <c r="BC23" t="s">
        <v>104</v>
      </c>
      <c r="BD23" t="s">
        <v>105</v>
      </c>
      <c r="BE23">
        <v>23454</v>
      </c>
      <c r="BF23" t="s">
        <v>106</v>
      </c>
      <c r="BG23">
        <v>303</v>
      </c>
      <c r="BH23" t="s">
        <v>80</v>
      </c>
      <c r="BI23">
        <v>1</v>
      </c>
      <c r="BJ23">
        <v>54</v>
      </c>
      <c r="BK23">
        <v>0</v>
      </c>
      <c r="BL23">
        <v>15</v>
      </c>
      <c r="BM23">
        <v>438</v>
      </c>
      <c r="BN23">
        <v>591</v>
      </c>
      <c r="BO23">
        <v>825</v>
      </c>
      <c r="BP23">
        <v>0</v>
      </c>
      <c r="BQ23" s="2">
        <v>463</v>
      </c>
      <c r="BR23">
        <f t="shared" si="0"/>
        <v>55</v>
      </c>
      <c r="BS23">
        <f t="shared" si="1"/>
        <v>1</v>
      </c>
      <c r="BT23">
        <f t="shared" si="2"/>
        <v>16</v>
      </c>
      <c r="BU23">
        <f t="shared" si="3"/>
        <v>439</v>
      </c>
      <c r="BV23">
        <f t="shared" si="4"/>
        <v>592</v>
      </c>
      <c r="BW23">
        <f t="shared" si="5"/>
        <v>826</v>
      </c>
      <c r="BX23">
        <f t="shared" si="6"/>
        <v>1</v>
      </c>
      <c r="BY23" s="2">
        <f t="shared" si="7"/>
        <v>464</v>
      </c>
      <c r="BZ23">
        <f t="shared" si="8"/>
        <v>55.315375626658643</v>
      </c>
      <c r="CA23">
        <v>55.315375626658643</v>
      </c>
      <c r="CB23">
        <v>55.315375626658643</v>
      </c>
      <c r="CC23">
        <v>55.315375626658643</v>
      </c>
      <c r="CD23">
        <v>55.315375626658643</v>
      </c>
      <c r="CE23">
        <v>55.315375626658643</v>
      </c>
      <c r="CF23">
        <v>55.315375626658643</v>
      </c>
      <c r="CG23">
        <v>55.315375626658643</v>
      </c>
      <c r="CH23">
        <f t="shared" si="16"/>
        <v>-2.4831763795652413E-3</v>
      </c>
      <c r="CI23">
        <f t="shared" si="9"/>
        <v>-1.7428458658738091</v>
      </c>
      <c r="CJ23">
        <f t="shared" si="10"/>
        <v>-0.53872588321788428</v>
      </c>
      <c r="CK23">
        <f t="shared" si="11"/>
        <v>0.89961865436831223</v>
      </c>
      <c r="CL23">
        <f t="shared" si="12"/>
        <v>1.0294758408491107</v>
      </c>
      <c r="CM23">
        <f t="shared" si="13"/>
        <v>1.1741341814465731</v>
      </c>
      <c r="CN23">
        <f t="shared" si="14"/>
        <v>-1.7428458658738091</v>
      </c>
      <c r="CO23" s="2">
        <f t="shared" si="15"/>
        <v>0.9236721146810718</v>
      </c>
      <c r="CP23">
        <v>-0.68001170012321999</v>
      </c>
      <c r="CQ23">
        <v>-2.2527165794045199</v>
      </c>
      <c r="CR23">
        <v>8.81835782794647E-2</v>
      </c>
      <c r="CS23">
        <v>1.00530601032779</v>
      </c>
      <c r="CT23">
        <v>0.97826841812016196</v>
      </c>
      <c r="CU23">
        <v>0.96346416933142598</v>
      </c>
      <c r="CV23">
        <v>-2.6172399890044602</v>
      </c>
      <c r="CW23">
        <v>1.0526355337783999</v>
      </c>
      <c r="CX23" t="s">
        <v>1826</v>
      </c>
    </row>
    <row r="24" spans="1:102" x14ac:dyDescent="0.35">
      <c r="A24" t="s">
        <v>963</v>
      </c>
      <c r="B24" t="s">
        <v>148</v>
      </c>
      <c r="C24" t="s">
        <v>964</v>
      </c>
      <c r="D24" t="s">
        <v>72</v>
      </c>
      <c r="E24" t="s">
        <v>72</v>
      </c>
      <c r="F24" t="s">
        <v>72</v>
      </c>
      <c r="G24" t="s">
        <v>73</v>
      </c>
      <c r="H24" t="s">
        <v>109</v>
      </c>
      <c r="I24" t="s">
        <v>110</v>
      </c>
      <c r="J24" t="s">
        <v>111</v>
      </c>
      <c r="K24" t="s">
        <v>112</v>
      </c>
      <c r="L24" t="s">
        <v>113</v>
      </c>
      <c r="M24" t="s">
        <v>114</v>
      </c>
      <c r="N24">
        <v>48</v>
      </c>
      <c r="O24" t="s">
        <v>80</v>
      </c>
      <c r="P24">
        <v>621</v>
      </c>
      <c r="Q24">
        <v>0.68400000000000005</v>
      </c>
      <c r="R24">
        <v>175</v>
      </c>
      <c r="S24">
        <v>0.81130000000000002</v>
      </c>
      <c r="T24" t="s">
        <v>115</v>
      </c>
      <c r="U24" t="s">
        <v>116</v>
      </c>
      <c r="V24" t="s">
        <v>117</v>
      </c>
      <c r="W24" t="s">
        <v>118</v>
      </c>
      <c r="X24" t="s">
        <v>119</v>
      </c>
      <c r="Y24" t="s">
        <v>120</v>
      </c>
      <c r="Z24" t="s">
        <v>121</v>
      </c>
      <c r="AA24" t="s">
        <v>88</v>
      </c>
      <c r="AB24">
        <v>225</v>
      </c>
      <c r="AC24">
        <v>6</v>
      </c>
      <c r="AE24">
        <v>1</v>
      </c>
      <c r="AF24" t="s">
        <v>89</v>
      </c>
      <c r="AG24" t="s">
        <v>965</v>
      </c>
      <c r="AH24" t="s">
        <v>72</v>
      </c>
      <c r="AI24" t="s">
        <v>72</v>
      </c>
      <c r="AJ24" t="s">
        <v>91</v>
      </c>
      <c r="AK24" t="s">
        <v>92</v>
      </c>
      <c r="AL24" t="s">
        <v>93</v>
      </c>
      <c r="AM24" t="s">
        <v>94</v>
      </c>
      <c r="AN24" t="s">
        <v>144</v>
      </c>
      <c r="AO24" t="s">
        <v>145</v>
      </c>
      <c r="AP24" t="s">
        <v>97</v>
      </c>
      <c r="AQ24">
        <v>39</v>
      </c>
      <c r="AR24" t="s">
        <v>80</v>
      </c>
      <c r="AS24">
        <v>1359</v>
      </c>
      <c r="AT24">
        <v>0.96879999999999999</v>
      </c>
      <c r="AU24">
        <v>172</v>
      </c>
      <c r="AV24">
        <v>0.94740000000000002</v>
      </c>
      <c r="AW24" t="s">
        <v>98</v>
      </c>
      <c r="AX24" t="s">
        <v>146</v>
      </c>
      <c r="AY24" t="s">
        <v>127</v>
      </c>
      <c r="AZ24" t="s">
        <v>101</v>
      </c>
      <c r="BA24" t="s">
        <v>128</v>
      </c>
      <c r="BB24" t="s">
        <v>103</v>
      </c>
      <c r="BC24" t="s">
        <v>104</v>
      </c>
      <c r="BD24" t="s">
        <v>105</v>
      </c>
      <c r="BE24">
        <v>72408</v>
      </c>
      <c r="BF24" t="s">
        <v>106</v>
      </c>
      <c r="BG24">
        <v>853</v>
      </c>
      <c r="BH24" t="s">
        <v>80</v>
      </c>
      <c r="BI24">
        <v>1</v>
      </c>
      <c r="BJ24">
        <v>130</v>
      </c>
      <c r="BK24">
        <v>0</v>
      </c>
      <c r="BL24">
        <v>30</v>
      </c>
      <c r="BM24">
        <v>957</v>
      </c>
      <c r="BN24">
        <v>1415</v>
      </c>
      <c r="BO24">
        <v>1791</v>
      </c>
      <c r="BP24">
        <v>5</v>
      </c>
      <c r="BQ24" s="2">
        <v>1051</v>
      </c>
      <c r="BR24">
        <f t="shared" si="0"/>
        <v>131</v>
      </c>
      <c r="BS24">
        <f t="shared" si="1"/>
        <v>1</v>
      </c>
      <c r="BT24">
        <f t="shared" si="2"/>
        <v>31</v>
      </c>
      <c r="BU24">
        <f t="shared" si="3"/>
        <v>958</v>
      </c>
      <c r="BV24">
        <f t="shared" si="4"/>
        <v>1416</v>
      </c>
      <c r="BW24">
        <f t="shared" si="5"/>
        <v>1792</v>
      </c>
      <c r="BX24">
        <f t="shared" si="6"/>
        <v>6</v>
      </c>
      <c r="BY24" s="2">
        <f t="shared" si="7"/>
        <v>1052</v>
      </c>
      <c r="BZ24">
        <f t="shared" si="8"/>
        <v>125.69582229168397</v>
      </c>
      <c r="CA24">
        <v>125.69582229168397</v>
      </c>
      <c r="CB24">
        <v>125.69582229168397</v>
      </c>
      <c r="CC24">
        <v>125.69582229168397</v>
      </c>
      <c r="CD24">
        <v>125.69582229168397</v>
      </c>
      <c r="CE24">
        <v>125.69582229168397</v>
      </c>
      <c r="CF24">
        <v>125.69582229168397</v>
      </c>
      <c r="CG24">
        <v>125.69582229168397</v>
      </c>
      <c r="CH24">
        <f t="shared" si="16"/>
        <v>1.7950452224539042E-2</v>
      </c>
      <c r="CI24">
        <f t="shared" si="9"/>
        <v>-2.0993208434312254</v>
      </c>
      <c r="CJ24">
        <f t="shared" si="10"/>
        <v>-0.60795914959695263</v>
      </c>
      <c r="CK24">
        <f t="shared" si="11"/>
        <v>0.8820446656473192</v>
      </c>
      <c r="CL24">
        <f t="shared" si="12"/>
        <v>1.051742409922525</v>
      </c>
      <c r="CM24">
        <f t="shared" si="13"/>
        <v>1.1540171618948811</v>
      </c>
      <c r="CN24">
        <f t="shared" si="14"/>
        <v>-1.3211695930475817</v>
      </c>
      <c r="CO24" s="2">
        <f t="shared" si="15"/>
        <v>0.92269489638649493</v>
      </c>
      <c r="CP24">
        <v>-0.65546207774236498</v>
      </c>
      <c r="CQ24">
        <v>-2.2527165794045199</v>
      </c>
      <c r="CR24">
        <v>-0.22114217339631301</v>
      </c>
      <c r="CS24">
        <v>0.95352513295024999</v>
      </c>
      <c r="CT24">
        <v>1.0402499765508399</v>
      </c>
      <c r="CU24">
        <v>0.90537036152997397</v>
      </c>
      <c r="CV24">
        <v>-0.86706269255461998</v>
      </c>
      <c r="CW24">
        <v>1.0499514538438699</v>
      </c>
      <c r="CX24" t="s">
        <v>1826</v>
      </c>
    </row>
    <row r="25" spans="1:102" x14ac:dyDescent="0.35">
      <c r="A25" t="s">
        <v>1151</v>
      </c>
      <c r="B25" t="s">
        <v>148</v>
      </c>
      <c r="C25" t="s">
        <v>1152</v>
      </c>
      <c r="D25" t="s">
        <v>72</v>
      </c>
      <c r="E25" t="s">
        <v>72</v>
      </c>
      <c r="F25" t="s">
        <v>72</v>
      </c>
      <c r="G25" t="s">
        <v>73</v>
      </c>
      <c r="H25" t="s">
        <v>109</v>
      </c>
      <c r="I25" t="s">
        <v>110</v>
      </c>
      <c r="J25" t="s">
        <v>111</v>
      </c>
      <c r="K25" t="s">
        <v>112</v>
      </c>
      <c r="L25" t="s">
        <v>113</v>
      </c>
      <c r="M25" t="s">
        <v>114</v>
      </c>
      <c r="N25">
        <v>48</v>
      </c>
      <c r="O25" t="s">
        <v>80</v>
      </c>
      <c r="P25">
        <v>621</v>
      </c>
      <c r="Q25">
        <v>0.68400000000000005</v>
      </c>
      <c r="R25">
        <v>175</v>
      </c>
      <c r="S25">
        <v>0.81130000000000002</v>
      </c>
      <c r="T25" t="s">
        <v>115</v>
      </c>
      <c r="U25" t="s">
        <v>116</v>
      </c>
      <c r="V25" t="s">
        <v>117</v>
      </c>
      <c r="W25" t="s">
        <v>118</v>
      </c>
      <c r="X25" t="s">
        <v>119</v>
      </c>
      <c r="Y25" t="s">
        <v>120</v>
      </c>
      <c r="Z25" t="s">
        <v>121</v>
      </c>
      <c r="AA25" t="s">
        <v>88</v>
      </c>
      <c r="AB25">
        <v>597</v>
      </c>
      <c r="AC25">
        <v>6</v>
      </c>
      <c r="AE25">
        <v>1</v>
      </c>
      <c r="AF25" t="s">
        <v>89</v>
      </c>
      <c r="AG25" t="s">
        <v>1153</v>
      </c>
      <c r="AH25" t="s">
        <v>72</v>
      </c>
      <c r="AI25" t="s">
        <v>72</v>
      </c>
      <c r="AJ25" t="s">
        <v>91</v>
      </c>
      <c r="AK25" t="s">
        <v>92</v>
      </c>
      <c r="AL25" t="s">
        <v>93</v>
      </c>
      <c r="AM25" t="s">
        <v>94</v>
      </c>
      <c r="AN25" t="s">
        <v>1154</v>
      </c>
      <c r="AO25" t="s">
        <v>1155</v>
      </c>
      <c r="AP25" t="s">
        <v>97</v>
      </c>
      <c r="AQ25">
        <v>39</v>
      </c>
      <c r="AR25" t="s">
        <v>80</v>
      </c>
      <c r="AS25">
        <v>1350</v>
      </c>
      <c r="AT25">
        <v>0.96530000000000005</v>
      </c>
      <c r="AU25">
        <v>163</v>
      </c>
      <c r="AV25">
        <v>0.92110000000000003</v>
      </c>
      <c r="AW25" t="s">
        <v>98</v>
      </c>
      <c r="AX25" t="s">
        <v>146</v>
      </c>
      <c r="AY25" t="s">
        <v>127</v>
      </c>
      <c r="AZ25" t="s">
        <v>136</v>
      </c>
      <c r="BA25" t="s">
        <v>128</v>
      </c>
      <c r="BB25" t="s">
        <v>450</v>
      </c>
      <c r="BC25" t="s">
        <v>104</v>
      </c>
      <c r="BD25" t="s">
        <v>105</v>
      </c>
      <c r="BE25">
        <v>42931</v>
      </c>
      <c r="BF25" t="s">
        <v>106</v>
      </c>
      <c r="BG25">
        <v>503</v>
      </c>
      <c r="BH25" t="s">
        <v>80</v>
      </c>
      <c r="BI25">
        <v>1</v>
      </c>
      <c r="BJ25">
        <v>43</v>
      </c>
      <c r="BK25">
        <v>6</v>
      </c>
      <c r="BL25">
        <v>31</v>
      </c>
      <c r="BM25">
        <v>1483</v>
      </c>
      <c r="BN25">
        <v>1512</v>
      </c>
      <c r="BO25">
        <v>2340</v>
      </c>
      <c r="BP25">
        <v>7</v>
      </c>
      <c r="BQ25" s="2">
        <v>1375</v>
      </c>
      <c r="BR25">
        <f t="shared" si="0"/>
        <v>44</v>
      </c>
      <c r="BS25">
        <f t="shared" si="1"/>
        <v>7</v>
      </c>
      <c r="BT25">
        <f t="shared" si="2"/>
        <v>32</v>
      </c>
      <c r="BU25">
        <f t="shared" si="3"/>
        <v>1484</v>
      </c>
      <c r="BV25">
        <f t="shared" si="4"/>
        <v>1513</v>
      </c>
      <c r="BW25">
        <f t="shared" si="5"/>
        <v>2341</v>
      </c>
      <c r="BX25">
        <f t="shared" si="6"/>
        <v>8</v>
      </c>
      <c r="BY25" s="2">
        <f t="shared" si="7"/>
        <v>1376</v>
      </c>
      <c r="BZ25">
        <f t="shared" si="8"/>
        <v>165.77171090978518</v>
      </c>
      <c r="CA25">
        <v>165.77171090978518</v>
      </c>
      <c r="CB25">
        <v>165.77171090978518</v>
      </c>
      <c r="CC25">
        <v>165.77171090978518</v>
      </c>
      <c r="CD25">
        <v>165.77171090978518</v>
      </c>
      <c r="CE25">
        <v>165.77171090978518</v>
      </c>
      <c r="CF25">
        <v>165.77171090978518</v>
      </c>
      <c r="CG25">
        <v>165.77171090978518</v>
      </c>
      <c r="CH25">
        <f t="shared" si="16"/>
        <v>-0.5760577433106383</v>
      </c>
      <c r="CI25">
        <f t="shared" si="9"/>
        <v>-1.3744123797825689</v>
      </c>
      <c r="CJ25">
        <f t="shared" si="10"/>
        <v>-0.71436044147691979</v>
      </c>
      <c r="CK25">
        <f t="shared" si="11"/>
        <v>0.95192348114618253</v>
      </c>
      <c r="CL25">
        <f t="shared" si="12"/>
        <v>0.96032850822636096</v>
      </c>
      <c r="CM25">
        <f t="shared" si="13"/>
        <v>1.1498909938997985</v>
      </c>
      <c r="CN25">
        <f t="shared" si="14"/>
        <v>-1.3164204328048821</v>
      </c>
      <c r="CO25" s="2">
        <f t="shared" si="15"/>
        <v>0.91910801410266674</v>
      </c>
      <c r="CP25">
        <v>-1.3691227385117599</v>
      </c>
      <c r="CQ25">
        <v>0.73902223646005605</v>
      </c>
      <c r="CR25">
        <v>-0.69653010915887204</v>
      </c>
      <c r="CS25">
        <v>1.15941956215925</v>
      </c>
      <c r="CT25">
        <v>0.785788857252393</v>
      </c>
      <c r="CU25">
        <v>0.89345483846519302</v>
      </c>
      <c r="CV25">
        <v>-0.85432556924801295</v>
      </c>
      <c r="CW25">
        <v>1.0400995314852699</v>
      </c>
      <c r="CX25" t="s">
        <v>1826</v>
      </c>
    </row>
    <row r="26" spans="1:102" x14ac:dyDescent="0.35">
      <c r="A26" t="s">
        <v>308</v>
      </c>
      <c r="B26" t="s">
        <v>211</v>
      </c>
      <c r="C26" t="s">
        <v>108</v>
      </c>
      <c r="D26" t="s">
        <v>72</v>
      </c>
      <c r="E26" t="s">
        <v>72</v>
      </c>
      <c r="F26" t="s">
        <v>72</v>
      </c>
      <c r="G26" t="s">
        <v>73</v>
      </c>
      <c r="H26" t="s">
        <v>109</v>
      </c>
      <c r="I26" t="s">
        <v>110</v>
      </c>
      <c r="J26" t="s">
        <v>111</v>
      </c>
      <c r="K26" t="s">
        <v>112</v>
      </c>
      <c r="L26" t="s">
        <v>113</v>
      </c>
      <c r="M26" t="s">
        <v>114</v>
      </c>
      <c r="N26">
        <v>48</v>
      </c>
      <c r="O26" t="s">
        <v>80</v>
      </c>
      <c r="P26">
        <v>621</v>
      </c>
      <c r="Q26">
        <v>0.68400000000000005</v>
      </c>
      <c r="R26">
        <v>175</v>
      </c>
      <c r="S26">
        <v>0.81130000000000002</v>
      </c>
      <c r="T26" t="s">
        <v>115</v>
      </c>
      <c r="U26" t="s">
        <v>116</v>
      </c>
      <c r="V26" t="s">
        <v>117</v>
      </c>
      <c r="W26" t="s">
        <v>118</v>
      </c>
      <c r="X26" t="s">
        <v>119</v>
      </c>
      <c r="Y26" t="s">
        <v>120</v>
      </c>
      <c r="Z26" t="s">
        <v>121</v>
      </c>
      <c r="AA26" t="s">
        <v>88</v>
      </c>
      <c r="AB26">
        <v>1292</v>
      </c>
      <c r="AC26">
        <v>9</v>
      </c>
      <c r="AE26">
        <v>1</v>
      </c>
      <c r="AF26" t="s">
        <v>89</v>
      </c>
      <c r="AG26" t="s">
        <v>164</v>
      </c>
      <c r="AH26" t="s">
        <v>72</v>
      </c>
      <c r="AI26" t="s">
        <v>72</v>
      </c>
      <c r="AJ26" t="s">
        <v>91</v>
      </c>
      <c r="AK26" t="s">
        <v>92</v>
      </c>
      <c r="AL26" t="s">
        <v>93</v>
      </c>
      <c r="AM26" t="s">
        <v>94</v>
      </c>
      <c r="AN26" t="s">
        <v>144</v>
      </c>
      <c r="AO26" t="s">
        <v>145</v>
      </c>
      <c r="AP26" t="s">
        <v>97</v>
      </c>
      <c r="AQ26">
        <v>39</v>
      </c>
      <c r="AR26" t="s">
        <v>80</v>
      </c>
      <c r="AS26">
        <v>1359</v>
      </c>
      <c r="AT26">
        <v>0.96879999999999999</v>
      </c>
      <c r="AU26">
        <v>172</v>
      </c>
      <c r="AV26">
        <v>0.94740000000000002</v>
      </c>
      <c r="AW26" t="s">
        <v>98</v>
      </c>
      <c r="AX26" t="s">
        <v>146</v>
      </c>
      <c r="AY26" t="s">
        <v>127</v>
      </c>
      <c r="AZ26" t="s">
        <v>101</v>
      </c>
      <c r="BA26" t="s">
        <v>128</v>
      </c>
      <c r="BB26" t="s">
        <v>103</v>
      </c>
      <c r="BC26" t="s">
        <v>104</v>
      </c>
      <c r="BD26" t="s">
        <v>105</v>
      </c>
      <c r="BE26">
        <v>85988</v>
      </c>
      <c r="BF26" t="s">
        <v>106</v>
      </c>
      <c r="BG26">
        <v>1018</v>
      </c>
      <c r="BH26" t="s">
        <v>80</v>
      </c>
      <c r="BI26">
        <v>1</v>
      </c>
      <c r="BJ26">
        <v>61</v>
      </c>
      <c r="BK26">
        <v>0</v>
      </c>
      <c r="BL26">
        <v>46</v>
      </c>
      <c r="BM26">
        <v>1456</v>
      </c>
      <c r="BN26">
        <v>1901</v>
      </c>
      <c r="BO26">
        <v>2691</v>
      </c>
      <c r="BP26">
        <v>17</v>
      </c>
      <c r="BQ26" s="2">
        <v>1359</v>
      </c>
      <c r="BR26">
        <f t="shared" si="0"/>
        <v>62</v>
      </c>
      <c r="BS26">
        <f t="shared" si="1"/>
        <v>1</v>
      </c>
      <c r="BT26">
        <f t="shared" si="2"/>
        <v>47</v>
      </c>
      <c r="BU26">
        <f t="shared" si="3"/>
        <v>1457</v>
      </c>
      <c r="BV26">
        <f t="shared" si="4"/>
        <v>1902</v>
      </c>
      <c r="BW26">
        <f t="shared" si="5"/>
        <v>2692</v>
      </c>
      <c r="BX26">
        <f t="shared" si="6"/>
        <v>18</v>
      </c>
      <c r="BY26" s="2">
        <f t="shared" si="7"/>
        <v>1360</v>
      </c>
      <c r="BZ26">
        <f t="shared" si="8"/>
        <v>164.34472162632815</v>
      </c>
      <c r="CA26">
        <v>164.34472162632815</v>
      </c>
      <c r="CB26">
        <v>164.34472162632815</v>
      </c>
      <c r="CC26">
        <v>164.34472162632815</v>
      </c>
      <c r="CD26">
        <v>164.34472162632815</v>
      </c>
      <c r="CE26">
        <v>164.34472162632815</v>
      </c>
      <c r="CF26">
        <v>164.34472162632815</v>
      </c>
      <c r="CG26">
        <v>164.34472162632815</v>
      </c>
      <c r="CH26">
        <f t="shared" si="16"/>
        <v>-0.42336407060559861</v>
      </c>
      <c r="CI26">
        <f t="shared" si="9"/>
        <v>-2.2157557601038524</v>
      </c>
      <c r="CJ26">
        <f t="shared" si="10"/>
        <v>-0.54365790216813503</v>
      </c>
      <c r="CK26">
        <f t="shared" si="11"/>
        <v>0.94770379166613772</v>
      </c>
      <c r="CL26">
        <f t="shared" si="12"/>
        <v>1.0634547524975426</v>
      </c>
      <c r="CM26">
        <f t="shared" si="13"/>
        <v>1.2143192954480868</v>
      </c>
      <c r="CN26">
        <f t="shared" si="14"/>
        <v>-0.96048325500054632</v>
      </c>
      <c r="CO26" s="2">
        <f t="shared" si="15"/>
        <v>0.91778314826636509</v>
      </c>
      <c r="CP26">
        <v>-1.1856716208722</v>
      </c>
      <c r="CQ26">
        <v>-2.2527165794045199</v>
      </c>
      <c r="CR26">
        <v>6.6147921883990504E-2</v>
      </c>
      <c r="CS26">
        <v>1.14698645849642</v>
      </c>
      <c r="CT26">
        <v>1.0728526304792501</v>
      </c>
      <c r="CU26">
        <v>1.0795104993200599</v>
      </c>
      <c r="CV26">
        <v>0.100288613347512</v>
      </c>
      <c r="CW26">
        <v>1.03646058425423</v>
      </c>
      <c r="CX26" t="s">
        <v>1826</v>
      </c>
    </row>
    <row r="27" spans="1:102" x14ac:dyDescent="0.35">
      <c r="A27" t="s">
        <v>1560</v>
      </c>
      <c r="B27" t="s">
        <v>89</v>
      </c>
      <c r="C27" t="s">
        <v>255</v>
      </c>
      <c r="D27" t="s">
        <v>72</v>
      </c>
      <c r="E27" t="s">
        <v>72</v>
      </c>
      <c r="F27" t="s">
        <v>72</v>
      </c>
      <c r="G27" t="s">
        <v>73</v>
      </c>
      <c r="H27" t="s">
        <v>109</v>
      </c>
      <c r="I27" t="s">
        <v>110</v>
      </c>
      <c r="J27" t="s">
        <v>111</v>
      </c>
      <c r="K27" t="s">
        <v>112</v>
      </c>
      <c r="L27" t="s">
        <v>113</v>
      </c>
      <c r="M27" t="s">
        <v>114</v>
      </c>
      <c r="N27">
        <v>48</v>
      </c>
      <c r="O27" t="s">
        <v>80</v>
      </c>
      <c r="P27">
        <v>621</v>
      </c>
      <c r="Q27">
        <v>0.68400000000000005</v>
      </c>
      <c r="R27">
        <v>175</v>
      </c>
      <c r="S27">
        <v>0.81130000000000002</v>
      </c>
      <c r="T27" t="s">
        <v>115</v>
      </c>
      <c r="U27" t="s">
        <v>116</v>
      </c>
      <c r="V27" t="s">
        <v>117</v>
      </c>
      <c r="W27" t="s">
        <v>118</v>
      </c>
      <c r="X27" t="s">
        <v>119</v>
      </c>
      <c r="Y27" t="s">
        <v>120</v>
      </c>
      <c r="Z27" t="s">
        <v>121</v>
      </c>
      <c r="AA27" t="s">
        <v>88</v>
      </c>
      <c r="AB27">
        <v>101</v>
      </c>
      <c r="AC27">
        <v>3</v>
      </c>
      <c r="AE27">
        <v>1</v>
      </c>
      <c r="AF27" t="s">
        <v>159</v>
      </c>
      <c r="AG27" t="s">
        <v>1561</v>
      </c>
      <c r="AH27" t="s">
        <v>72</v>
      </c>
      <c r="AI27" t="s">
        <v>72</v>
      </c>
      <c r="AJ27" t="s">
        <v>91</v>
      </c>
      <c r="AK27" t="s">
        <v>92</v>
      </c>
      <c r="AL27" t="s">
        <v>93</v>
      </c>
      <c r="AM27" t="s">
        <v>94</v>
      </c>
      <c r="AN27" t="s">
        <v>1562</v>
      </c>
      <c r="AO27" t="s">
        <v>1563</v>
      </c>
      <c r="AP27" t="s">
        <v>97</v>
      </c>
      <c r="AQ27">
        <v>39</v>
      </c>
      <c r="AR27" t="s">
        <v>80</v>
      </c>
      <c r="AS27">
        <v>1332</v>
      </c>
      <c r="AT27">
        <v>0.95830000000000004</v>
      </c>
      <c r="AU27">
        <v>172</v>
      </c>
      <c r="AV27">
        <v>0.94740000000000002</v>
      </c>
      <c r="AW27" t="s">
        <v>98</v>
      </c>
      <c r="AX27" t="s">
        <v>146</v>
      </c>
      <c r="AY27" t="s">
        <v>1564</v>
      </c>
      <c r="AZ27" t="s">
        <v>101</v>
      </c>
      <c r="BA27" t="s">
        <v>128</v>
      </c>
      <c r="BB27" t="s">
        <v>655</v>
      </c>
      <c r="BC27" t="s">
        <v>104</v>
      </c>
      <c r="BD27" t="s">
        <v>105</v>
      </c>
      <c r="BE27">
        <v>5539</v>
      </c>
      <c r="BF27" t="s">
        <v>106</v>
      </c>
      <c r="BG27">
        <v>251</v>
      </c>
      <c r="BH27" t="s">
        <v>80</v>
      </c>
      <c r="BI27">
        <v>1</v>
      </c>
      <c r="BJ27">
        <v>16</v>
      </c>
      <c r="BK27">
        <v>0</v>
      </c>
      <c r="BL27">
        <v>15</v>
      </c>
      <c r="BM27">
        <v>396</v>
      </c>
      <c r="BN27">
        <v>549</v>
      </c>
      <c r="BO27">
        <v>823</v>
      </c>
      <c r="BP27">
        <v>0</v>
      </c>
      <c r="BQ27" s="2">
        <v>373</v>
      </c>
      <c r="BR27">
        <f t="shared" si="0"/>
        <v>17</v>
      </c>
      <c r="BS27">
        <f t="shared" si="1"/>
        <v>1</v>
      </c>
      <c r="BT27">
        <f t="shared" si="2"/>
        <v>16</v>
      </c>
      <c r="BU27">
        <f t="shared" si="3"/>
        <v>397</v>
      </c>
      <c r="BV27">
        <f t="shared" si="4"/>
        <v>550</v>
      </c>
      <c r="BW27">
        <f t="shared" si="5"/>
        <v>824</v>
      </c>
      <c r="BX27">
        <f t="shared" si="6"/>
        <v>1</v>
      </c>
      <c r="BY27" s="2">
        <f t="shared" si="7"/>
        <v>374</v>
      </c>
      <c r="BZ27">
        <f t="shared" si="8"/>
        <v>45.479440607825737</v>
      </c>
      <c r="CA27">
        <v>45.479440607825737</v>
      </c>
      <c r="CB27">
        <v>45.479440607825737</v>
      </c>
      <c r="CC27">
        <v>45.479440607825737</v>
      </c>
      <c r="CD27">
        <v>45.479440607825737</v>
      </c>
      <c r="CE27">
        <v>45.479440607825737</v>
      </c>
      <c r="CF27">
        <v>45.479440607825737</v>
      </c>
      <c r="CG27">
        <v>45.479440607825737</v>
      </c>
      <c r="CH27">
        <f t="shared" si="16"/>
        <v>-0.42736619289537026</v>
      </c>
      <c r="CI27">
        <f t="shared" si="9"/>
        <v>-1.6578151142736441</v>
      </c>
      <c r="CJ27">
        <f t="shared" si="10"/>
        <v>-0.45369513161771935</v>
      </c>
      <c r="CK27">
        <f t="shared" si="11"/>
        <v>0.94097539248947082</v>
      </c>
      <c r="CL27">
        <f t="shared" si="12"/>
        <v>1.0825475752205997</v>
      </c>
      <c r="CM27">
        <f t="shared" si="13"/>
        <v>1.2581120974234716</v>
      </c>
      <c r="CN27">
        <f t="shared" si="14"/>
        <v>-1.6578151142736441</v>
      </c>
      <c r="CO27" s="2">
        <f t="shared" si="15"/>
        <v>0.91505648792683592</v>
      </c>
      <c r="CP27">
        <v>-1.19047990004961</v>
      </c>
      <c r="CQ27">
        <v>-2.2527165794045199</v>
      </c>
      <c r="CR27">
        <v>0.46809055840469299</v>
      </c>
      <c r="CS27">
        <v>1.12716156738915</v>
      </c>
      <c r="CT27">
        <v>1.1259997005695801</v>
      </c>
      <c r="CU27">
        <v>1.2059750888934699</v>
      </c>
      <c r="CV27">
        <v>-2.6172399890044602</v>
      </c>
      <c r="CW27">
        <v>1.02897139340891</v>
      </c>
      <c r="CX27" t="s">
        <v>1826</v>
      </c>
    </row>
    <row r="28" spans="1:102" x14ac:dyDescent="0.35">
      <c r="A28" t="s">
        <v>1651</v>
      </c>
      <c r="B28" t="s">
        <v>89</v>
      </c>
      <c r="C28" t="s">
        <v>278</v>
      </c>
      <c r="D28" t="s">
        <v>72</v>
      </c>
      <c r="E28" t="s">
        <v>72</v>
      </c>
      <c r="F28" t="s">
        <v>72</v>
      </c>
      <c r="G28" t="s">
        <v>73</v>
      </c>
      <c r="H28" t="s">
        <v>109</v>
      </c>
      <c r="I28" t="s">
        <v>110</v>
      </c>
      <c r="J28" t="s">
        <v>111</v>
      </c>
      <c r="K28" t="s">
        <v>112</v>
      </c>
      <c r="L28" t="s">
        <v>113</v>
      </c>
      <c r="M28" t="s">
        <v>114</v>
      </c>
      <c r="N28">
        <v>48</v>
      </c>
      <c r="O28" t="s">
        <v>80</v>
      </c>
      <c r="P28">
        <v>621</v>
      </c>
      <c r="Q28">
        <v>0.68400000000000005</v>
      </c>
      <c r="R28">
        <v>175</v>
      </c>
      <c r="S28">
        <v>0.81130000000000002</v>
      </c>
      <c r="T28" t="s">
        <v>115</v>
      </c>
      <c r="U28" t="s">
        <v>116</v>
      </c>
      <c r="V28" t="s">
        <v>117</v>
      </c>
      <c r="W28" t="s">
        <v>118</v>
      </c>
      <c r="X28" t="s">
        <v>119</v>
      </c>
      <c r="Y28" t="s">
        <v>120</v>
      </c>
      <c r="Z28" t="s">
        <v>121</v>
      </c>
      <c r="AA28" t="s">
        <v>88</v>
      </c>
      <c r="AB28">
        <v>1378</v>
      </c>
      <c r="AC28">
        <v>14</v>
      </c>
      <c r="AE28">
        <v>1</v>
      </c>
      <c r="AF28" t="s">
        <v>153</v>
      </c>
      <c r="AG28" t="s">
        <v>1652</v>
      </c>
      <c r="AH28" t="s">
        <v>72</v>
      </c>
      <c r="AI28" t="s">
        <v>72</v>
      </c>
      <c r="AJ28" t="s">
        <v>72</v>
      </c>
      <c r="AK28" t="s">
        <v>92</v>
      </c>
      <c r="AL28" t="s">
        <v>93</v>
      </c>
      <c r="AM28" t="s">
        <v>94</v>
      </c>
      <c r="AN28" t="s">
        <v>1653</v>
      </c>
      <c r="AO28" t="s">
        <v>1654</v>
      </c>
      <c r="AP28" t="s">
        <v>286</v>
      </c>
      <c r="AQ28">
        <v>39</v>
      </c>
      <c r="AR28" t="s">
        <v>80</v>
      </c>
      <c r="AS28">
        <v>1314</v>
      </c>
      <c r="AT28">
        <v>0.95140000000000002</v>
      </c>
      <c r="AU28">
        <v>163</v>
      </c>
      <c r="AV28">
        <v>0.92110000000000003</v>
      </c>
      <c r="AW28" t="s">
        <v>98</v>
      </c>
      <c r="AX28" t="s">
        <v>146</v>
      </c>
      <c r="AY28" t="s">
        <v>1655</v>
      </c>
      <c r="AZ28" t="s">
        <v>136</v>
      </c>
      <c r="BA28" t="s">
        <v>176</v>
      </c>
      <c r="BB28" t="s">
        <v>103</v>
      </c>
      <c r="BC28" t="s">
        <v>104</v>
      </c>
      <c r="BD28" t="s">
        <v>105</v>
      </c>
      <c r="BE28">
        <v>5992</v>
      </c>
      <c r="BG28">
        <v>73</v>
      </c>
      <c r="BH28" t="s">
        <v>80</v>
      </c>
      <c r="BI28">
        <v>1</v>
      </c>
      <c r="BJ28">
        <v>39</v>
      </c>
      <c r="BK28">
        <v>9</v>
      </c>
      <c r="BL28">
        <v>72</v>
      </c>
      <c r="BM28">
        <v>2981</v>
      </c>
      <c r="BN28">
        <v>4038</v>
      </c>
      <c r="BO28">
        <v>5589</v>
      </c>
      <c r="BP28">
        <v>32</v>
      </c>
      <c r="BQ28" s="2">
        <v>2773</v>
      </c>
      <c r="BR28">
        <f t="shared" si="0"/>
        <v>40</v>
      </c>
      <c r="BS28">
        <f t="shared" si="1"/>
        <v>10</v>
      </c>
      <c r="BT28">
        <f t="shared" si="2"/>
        <v>73</v>
      </c>
      <c r="BU28">
        <f t="shared" si="3"/>
        <v>2982</v>
      </c>
      <c r="BV28">
        <f t="shared" si="4"/>
        <v>4039</v>
      </c>
      <c r="BW28">
        <f t="shared" si="5"/>
        <v>5590</v>
      </c>
      <c r="BX28">
        <f t="shared" si="6"/>
        <v>33</v>
      </c>
      <c r="BY28" s="2">
        <f t="shared" si="7"/>
        <v>2774</v>
      </c>
      <c r="BZ28">
        <f t="shared" si="8"/>
        <v>340.32947872546777</v>
      </c>
      <c r="CA28">
        <v>340.32947872546777</v>
      </c>
      <c r="CB28">
        <v>340.32947872546777</v>
      </c>
      <c r="CC28">
        <v>340.32947872546777</v>
      </c>
      <c r="CD28">
        <v>340.32947872546777</v>
      </c>
      <c r="CE28">
        <v>340.32947872546777</v>
      </c>
      <c r="CF28">
        <v>340.32947872546777</v>
      </c>
      <c r="CG28">
        <v>340.32947872546777</v>
      </c>
      <c r="CH28">
        <f t="shared" si="16"/>
        <v>-0.92983957720165755</v>
      </c>
      <c r="CI28">
        <f t="shared" si="9"/>
        <v>-1.5318995685296199</v>
      </c>
      <c r="CJ28">
        <f t="shared" si="10"/>
        <v>-0.66857670840916406</v>
      </c>
      <c r="CK28">
        <f t="shared" si="11"/>
        <v>0.94260807058735585</v>
      </c>
      <c r="CL28">
        <f t="shared" si="12"/>
        <v>1.0743742846403683</v>
      </c>
      <c r="CM28">
        <f t="shared" si="13"/>
        <v>1.2155122393568034</v>
      </c>
      <c r="CN28">
        <f t="shared" si="14"/>
        <v>-1.0133856286517324</v>
      </c>
      <c r="CO28" s="2">
        <f t="shared" si="15"/>
        <v>0.91120688820764617</v>
      </c>
      <c r="CP28">
        <v>-1.7941676776904201</v>
      </c>
      <c r="CQ28">
        <v>0.27377287628893199</v>
      </c>
      <c r="CR28">
        <v>-0.49197399926560298</v>
      </c>
      <c r="CS28">
        <v>1.1319721716137101</v>
      </c>
      <c r="CT28">
        <v>1.1032484052982101</v>
      </c>
      <c r="CU28">
        <v>1.0829554755489099</v>
      </c>
      <c r="CV28">
        <v>-4.1594166338265001E-2</v>
      </c>
      <c r="CW28">
        <v>1.01839787731776</v>
      </c>
      <c r="CX28" t="s">
        <v>1826</v>
      </c>
    </row>
    <row r="29" spans="1:102" x14ac:dyDescent="0.35">
      <c r="A29" t="s">
        <v>1319</v>
      </c>
      <c r="B29" t="s">
        <v>178</v>
      </c>
      <c r="C29" t="s">
        <v>319</v>
      </c>
      <c r="D29" t="s">
        <v>72</v>
      </c>
      <c r="E29" t="s">
        <v>72</v>
      </c>
      <c r="F29" t="s">
        <v>72</v>
      </c>
      <c r="G29" t="s">
        <v>73</v>
      </c>
      <c r="H29" t="s">
        <v>109</v>
      </c>
      <c r="I29" t="s">
        <v>110</v>
      </c>
      <c r="J29" t="s">
        <v>111</v>
      </c>
      <c r="K29" t="s">
        <v>112</v>
      </c>
      <c r="L29" t="s">
        <v>113</v>
      </c>
      <c r="M29" t="s">
        <v>114</v>
      </c>
      <c r="N29">
        <v>48</v>
      </c>
      <c r="O29" t="s">
        <v>80</v>
      </c>
      <c r="P29">
        <v>621</v>
      </c>
      <c r="Q29">
        <v>0.68400000000000005</v>
      </c>
      <c r="R29">
        <v>175</v>
      </c>
      <c r="S29">
        <v>0.81130000000000002</v>
      </c>
      <c r="T29" t="s">
        <v>115</v>
      </c>
      <c r="U29" t="s">
        <v>116</v>
      </c>
      <c r="V29" t="s">
        <v>117</v>
      </c>
      <c r="W29" t="s">
        <v>118</v>
      </c>
      <c r="X29" t="s">
        <v>119</v>
      </c>
      <c r="Y29" t="s">
        <v>120</v>
      </c>
      <c r="Z29" t="s">
        <v>121</v>
      </c>
      <c r="AA29" t="s">
        <v>88</v>
      </c>
      <c r="AB29">
        <v>1360</v>
      </c>
      <c r="AC29">
        <v>7</v>
      </c>
      <c r="AE29">
        <v>1</v>
      </c>
      <c r="AF29" t="s">
        <v>89</v>
      </c>
      <c r="AG29" t="s">
        <v>1320</v>
      </c>
      <c r="AH29" t="s">
        <v>72</v>
      </c>
      <c r="AI29" t="s">
        <v>72</v>
      </c>
      <c r="AJ29" t="s">
        <v>91</v>
      </c>
      <c r="AK29" t="s">
        <v>92</v>
      </c>
      <c r="AL29" t="s">
        <v>93</v>
      </c>
      <c r="AM29" t="s">
        <v>94</v>
      </c>
      <c r="AN29" t="s">
        <v>144</v>
      </c>
      <c r="AO29" t="s">
        <v>145</v>
      </c>
      <c r="AP29" t="s">
        <v>97</v>
      </c>
      <c r="AQ29">
        <v>39</v>
      </c>
      <c r="AR29" t="s">
        <v>80</v>
      </c>
      <c r="AS29">
        <v>1359</v>
      </c>
      <c r="AT29">
        <v>0.96879999999999999</v>
      </c>
      <c r="AU29">
        <v>172</v>
      </c>
      <c r="AV29">
        <v>0.94740000000000002</v>
      </c>
      <c r="AW29" t="s">
        <v>98</v>
      </c>
      <c r="AX29" t="s">
        <v>146</v>
      </c>
      <c r="AY29" t="s">
        <v>127</v>
      </c>
      <c r="AZ29" t="s">
        <v>101</v>
      </c>
      <c r="BA29" t="s">
        <v>128</v>
      </c>
      <c r="BB29" t="s">
        <v>103</v>
      </c>
      <c r="BC29" t="s">
        <v>104</v>
      </c>
      <c r="BD29" t="s">
        <v>105</v>
      </c>
      <c r="BE29">
        <v>91714</v>
      </c>
      <c r="BF29" t="s">
        <v>106</v>
      </c>
      <c r="BG29">
        <v>1055</v>
      </c>
      <c r="BH29" t="s">
        <v>80</v>
      </c>
      <c r="BI29">
        <v>1</v>
      </c>
      <c r="BJ29">
        <v>130</v>
      </c>
      <c r="BK29">
        <v>0</v>
      </c>
      <c r="BL29">
        <v>67</v>
      </c>
      <c r="BM29">
        <v>1739</v>
      </c>
      <c r="BN29">
        <v>2328</v>
      </c>
      <c r="BO29">
        <v>3321</v>
      </c>
      <c r="BP29">
        <v>21</v>
      </c>
      <c r="BQ29" s="2">
        <v>1736</v>
      </c>
      <c r="BR29">
        <f t="shared" si="0"/>
        <v>131</v>
      </c>
      <c r="BS29">
        <f t="shared" si="1"/>
        <v>1</v>
      </c>
      <c r="BT29">
        <f t="shared" si="2"/>
        <v>68</v>
      </c>
      <c r="BU29">
        <f t="shared" si="3"/>
        <v>1740</v>
      </c>
      <c r="BV29">
        <f t="shared" si="4"/>
        <v>2329</v>
      </c>
      <c r="BW29">
        <f t="shared" si="5"/>
        <v>3322</v>
      </c>
      <c r="BX29">
        <f t="shared" si="6"/>
        <v>22</v>
      </c>
      <c r="BY29" s="2">
        <f t="shared" si="7"/>
        <v>1737</v>
      </c>
      <c r="BZ29">
        <f t="shared" si="8"/>
        <v>215.09986314410327</v>
      </c>
      <c r="CA29">
        <v>215.09986314410327</v>
      </c>
      <c r="CB29">
        <v>215.09986314410327</v>
      </c>
      <c r="CC29">
        <v>215.09986314410327</v>
      </c>
      <c r="CD29">
        <v>215.09986314410327</v>
      </c>
      <c r="CE29">
        <v>215.09986314410327</v>
      </c>
      <c r="CF29">
        <v>215.09986314410327</v>
      </c>
      <c r="CG29">
        <v>215.09986314410327</v>
      </c>
      <c r="CH29">
        <f t="shared" si="16"/>
        <v>-0.21536883841473092</v>
      </c>
      <c r="CI29">
        <f t="shared" si="9"/>
        <v>-2.3326401340704952</v>
      </c>
      <c r="CJ29">
        <f t="shared" si="10"/>
        <v>-0.50013122136425892</v>
      </c>
      <c r="CK29">
        <f t="shared" si="11"/>
        <v>0.90790911421210452</v>
      </c>
      <c r="CL29">
        <f t="shared" si="12"/>
        <v>1.0345293544641856</v>
      </c>
      <c r="CM29">
        <f t="shared" si="13"/>
        <v>1.1887594940448805</v>
      </c>
      <c r="CN29">
        <f t="shared" si="14"/>
        <v>-0.99021745324828903</v>
      </c>
      <c r="CO29" s="2">
        <f t="shared" si="15"/>
        <v>0.90715968437660344</v>
      </c>
      <c r="CP29">
        <v>-0.93577942080166099</v>
      </c>
      <c r="CQ29">
        <v>-2.2527165794045199</v>
      </c>
      <c r="CR29">
        <v>0.26061979879779201</v>
      </c>
      <c r="CS29">
        <v>1.02973343493755</v>
      </c>
      <c r="CT29">
        <v>0.99233545504804499</v>
      </c>
      <c r="CU29">
        <v>1.00569905889541</v>
      </c>
      <c r="CV29">
        <v>2.0542272910420802E-2</v>
      </c>
      <c r="CW29">
        <v>1.0072816112243299</v>
      </c>
      <c r="CX29" t="s">
        <v>1826</v>
      </c>
    </row>
    <row r="30" spans="1:102" x14ac:dyDescent="0.35">
      <c r="A30" t="s">
        <v>634</v>
      </c>
      <c r="B30" t="s">
        <v>89</v>
      </c>
      <c r="C30" t="s">
        <v>635</v>
      </c>
      <c r="D30" t="s">
        <v>72</v>
      </c>
      <c r="E30" t="s">
        <v>72</v>
      </c>
      <c r="F30" t="s">
        <v>72</v>
      </c>
      <c r="G30" t="s">
        <v>73</v>
      </c>
      <c r="H30" t="s">
        <v>109</v>
      </c>
      <c r="I30" t="s">
        <v>110</v>
      </c>
      <c r="J30" t="s">
        <v>111</v>
      </c>
      <c r="K30" t="s">
        <v>112</v>
      </c>
      <c r="L30" t="s">
        <v>113</v>
      </c>
      <c r="M30" t="s">
        <v>114</v>
      </c>
      <c r="N30">
        <v>48</v>
      </c>
      <c r="O30" t="s">
        <v>80</v>
      </c>
      <c r="P30">
        <v>621</v>
      </c>
      <c r="Q30">
        <v>0.68400000000000005</v>
      </c>
      <c r="R30">
        <v>175</v>
      </c>
      <c r="S30">
        <v>0.81130000000000002</v>
      </c>
      <c r="T30" t="s">
        <v>115</v>
      </c>
      <c r="U30" t="s">
        <v>116</v>
      </c>
      <c r="V30" t="s">
        <v>117</v>
      </c>
      <c r="W30" t="s">
        <v>118</v>
      </c>
      <c r="X30" t="s">
        <v>119</v>
      </c>
      <c r="Y30" t="s">
        <v>120</v>
      </c>
      <c r="Z30" t="s">
        <v>121</v>
      </c>
      <c r="AA30" t="s">
        <v>88</v>
      </c>
      <c r="AB30">
        <v>367</v>
      </c>
      <c r="AC30">
        <v>6</v>
      </c>
      <c r="AE30">
        <v>1</v>
      </c>
      <c r="AF30" t="s">
        <v>142</v>
      </c>
      <c r="AG30" t="s">
        <v>636</v>
      </c>
      <c r="AH30" t="s">
        <v>72</v>
      </c>
      <c r="AI30" t="s">
        <v>72</v>
      </c>
      <c r="AJ30" t="s">
        <v>91</v>
      </c>
      <c r="AK30" t="s">
        <v>92</v>
      </c>
      <c r="AL30" t="s">
        <v>93</v>
      </c>
      <c r="AM30" t="s">
        <v>94</v>
      </c>
      <c r="AN30" t="s">
        <v>637</v>
      </c>
      <c r="AO30" t="s">
        <v>638</v>
      </c>
      <c r="AP30" t="s">
        <v>97</v>
      </c>
      <c r="AQ30">
        <v>39</v>
      </c>
      <c r="AR30" t="s">
        <v>80</v>
      </c>
      <c r="AS30">
        <v>1341</v>
      </c>
      <c r="AT30">
        <v>0.96179999999999999</v>
      </c>
      <c r="AU30">
        <v>163</v>
      </c>
      <c r="AV30">
        <v>0.92110000000000003</v>
      </c>
      <c r="AW30" t="s">
        <v>639</v>
      </c>
      <c r="AX30" t="s">
        <v>99</v>
      </c>
      <c r="AY30" t="s">
        <v>127</v>
      </c>
      <c r="AZ30" t="s">
        <v>136</v>
      </c>
      <c r="BA30" t="s">
        <v>128</v>
      </c>
      <c r="BB30" t="s">
        <v>103</v>
      </c>
      <c r="BC30" t="s">
        <v>104</v>
      </c>
      <c r="BD30" t="s">
        <v>105</v>
      </c>
      <c r="BE30">
        <v>4434</v>
      </c>
      <c r="BF30" t="s">
        <v>106</v>
      </c>
      <c r="BG30">
        <v>68</v>
      </c>
      <c r="BH30" t="s">
        <v>80</v>
      </c>
      <c r="BI30">
        <v>1</v>
      </c>
      <c r="BJ30">
        <v>49</v>
      </c>
      <c r="BK30">
        <v>0</v>
      </c>
      <c r="BL30">
        <v>38</v>
      </c>
      <c r="BM30">
        <v>1106</v>
      </c>
      <c r="BN30">
        <v>1343</v>
      </c>
      <c r="BO30">
        <v>1892</v>
      </c>
      <c r="BP30">
        <v>9</v>
      </c>
      <c r="BQ30" s="2">
        <v>998</v>
      </c>
      <c r="BR30">
        <f t="shared" si="0"/>
        <v>50</v>
      </c>
      <c r="BS30">
        <f t="shared" si="1"/>
        <v>1</v>
      </c>
      <c r="BT30">
        <f t="shared" si="2"/>
        <v>39</v>
      </c>
      <c r="BU30">
        <f t="shared" si="3"/>
        <v>1107</v>
      </c>
      <c r="BV30">
        <f t="shared" si="4"/>
        <v>1344</v>
      </c>
      <c r="BW30">
        <f t="shared" si="5"/>
        <v>1893</v>
      </c>
      <c r="BX30">
        <f t="shared" si="6"/>
        <v>10</v>
      </c>
      <c r="BY30" s="2">
        <f t="shared" si="7"/>
        <v>999</v>
      </c>
      <c r="BZ30">
        <f t="shared" si="8"/>
        <v>123.71210607557803</v>
      </c>
      <c r="CA30">
        <v>123.71210607557803</v>
      </c>
      <c r="CB30">
        <v>123.71210607557803</v>
      </c>
      <c r="CC30">
        <v>123.71210607557803</v>
      </c>
      <c r="CD30">
        <v>123.71210607557803</v>
      </c>
      <c r="CE30">
        <v>123.71210607557803</v>
      </c>
      <c r="CF30">
        <v>123.71210607557803</v>
      </c>
      <c r="CG30">
        <v>123.71210607557803</v>
      </c>
      <c r="CH30">
        <f t="shared" si="16"/>
        <v>-0.39344219605758451</v>
      </c>
      <c r="CI30">
        <f t="shared" si="9"/>
        <v>-2.0924122003936034</v>
      </c>
      <c r="CJ30">
        <f t="shared" si="10"/>
        <v>-0.50134759336710411</v>
      </c>
      <c r="CK30">
        <f t="shared" si="11"/>
        <v>0.9517354204851195</v>
      </c>
      <c r="CL30">
        <f t="shared" si="12"/>
        <v>1.0359870683242032</v>
      </c>
      <c r="CM30">
        <f t="shared" si="13"/>
        <v>1.1847384135701935</v>
      </c>
      <c r="CN30">
        <f t="shared" si="14"/>
        <v>-1.0924122003936032</v>
      </c>
      <c r="CO30" s="2">
        <f t="shared" si="15"/>
        <v>0.90715328783237892</v>
      </c>
      <c r="CP30">
        <v>-1.1497225128937301</v>
      </c>
      <c r="CQ30">
        <v>-2.2527165794045199</v>
      </c>
      <c r="CR30">
        <v>0.25518519771978798</v>
      </c>
      <c r="CS30">
        <v>1.15886545084254</v>
      </c>
      <c r="CT30">
        <v>0.99639316939514599</v>
      </c>
      <c r="CU30">
        <v>0.99408700693858798</v>
      </c>
      <c r="CV30">
        <v>-0.25354136064951299</v>
      </c>
      <c r="CW30">
        <v>1.0072640421345</v>
      </c>
      <c r="CX30" t="s">
        <v>1826</v>
      </c>
    </row>
    <row r="31" spans="1:102" x14ac:dyDescent="0.35">
      <c r="A31" t="s">
        <v>1778</v>
      </c>
      <c r="B31" t="s">
        <v>148</v>
      </c>
      <c r="C31" t="s">
        <v>179</v>
      </c>
      <c r="D31" t="s">
        <v>72</v>
      </c>
      <c r="E31" t="s">
        <v>72</v>
      </c>
      <c r="F31" t="s">
        <v>72</v>
      </c>
      <c r="G31" t="s">
        <v>73</v>
      </c>
      <c r="H31" t="s">
        <v>109</v>
      </c>
      <c r="I31" t="s">
        <v>110</v>
      </c>
      <c r="J31" t="s">
        <v>111</v>
      </c>
      <c r="K31" t="s">
        <v>112</v>
      </c>
      <c r="L31" t="s">
        <v>113</v>
      </c>
      <c r="M31" t="s">
        <v>114</v>
      </c>
      <c r="N31">
        <v>48</v>
      </c>
      <c r="O31" t="s">
        <v>80</v>
      </c>
      <c r="P31">
        <v>621</v>
      </c>
      <c r="Q31">
        <v>0.68400000000000005</v>
      </c>
      <c r="R31">
        <v>175</v>
      </c>
      <c r="S31">
        <v>0.81130000000000002</v>
      </c>
      <c r="T31" t="s">
        <v>115</v>
      </c>
      <c r="U31" t="s">
        <v>116</v>
      </c>
      <c r="V31" t="s">
        <v>117</v>
      </c>
      <c r="W31" t="s">
        <v>118</v>
      </c>
      <c r="X31" t="s">
        <v>119</v>
      </c>
      <c r="Y31" t="s">
        <v>120</v>
      </c>
      <c r="Z31" t="s">
        <v>121</v>
      </c>
      <c r="AA31" t="s">
        <v>88</v>
      </c>
      <c r="AB31">
        <v>438</v>
      </c>
      <c r="AC31">
        <v>13</v>
      </c>
      <c r="AE31">
        <v>1</v>
      </c>
      <c r="AF31" t="s">
        <v>89</v>
      </c>
      <c r="AG31" t="s">
        <v>1779</v>
      </c>
      <c r="AH31" t="s">
        <v>72</v>
      </c>
      <c r="AI31" t="s">
        <v>72</v>
      </c>
      <c r="AJ31" t="s">
        <v>91</v>
      </c>
      <c r="AK31" t="s">
        <v>92</v>
      </c>
      <c r="AL31" t="s">
        <v>93</v>
      </c>
      <c r="AM31" t="s">
        <v>94</v>
      </c>
      <c r="AN31" t="s">
        <v>144</v>
      </c>
      <c r="AO31" t="s">
        <v>145</v>
      </c>
      <c r="AP31" t="s">
        <v>97</v>
      </c>
      <c r="AQ31">
        <v>39</v>
      </c>
      <c r="AR31" t="s">
        <v>80</v>
      </c>
      <c r="AS31">
        <v>1359</v>
      </c>
      <c r="AT31">
        <v>0.96879999999999999</v>
      </c>
      <c r="AU31">
        <v>172</v>
      </c>
      <c r="AV31">
        <v>0.94740000000000002</v>
      </c>
      <c r="AW31" t="s">
        <v>98</v>
      </c>
      <c r="AX31" t="s">
        <v>146</v>
      </c>
      <c r="AY31" t="s">
        <v>127</v>
      </c>
      <c r="AZ31" t="s">
        <v>101</v>
      </c>
      <c r="BA31" t="s">
        <v>128</v>
      </c>
      <c r="BB31" t="s">
        <v>103</v>
      </c>
      <c r="BC31" t="s">
        <v>104</v>
      </c>
      <c r="BD31" t="s">
        <v>105</v>
      </c>
      <c r="BE31">
        <v>57802</v>
      </c>
      <c r="BF31" t="s">
        <v>106</v>
      </c>
      <c r="BG31">
        <v>746</v>
      </c>
      <c r="BH31" t="s">
        <v>80</v>
      </c>
      <c r="BI31">
        <v>1</v>
      </c>
      <c r="BJ31">
        <v>131</v>
      </c>
      <c r="BK31">
        <v>6</v>
      </c>
      <c r="BL31">
        <v>57</v>
      </c>
      <c r="BM31">
        <v>2467</v>
      </c>
      <c r="BN31">
        <v>3092</v>
      </c>
      <c r="BO31">
        <v>4642</v>
      </c>
      <c r="BP31">
        <v>17</v>
      </c>
      <c r="BQ31" s="2">
        <v>2498</v>
      </c>
      <c r="BR31">
        <f t="shared" si="0"/>
        <v>132</v>
      </c>
      <c r="BS31">
        <f t="shared" si="1"/>
        <v>7</v>
      </c>
      <c r="BT31">
        <f t="shared" si="2"/>
        <v>58</v>
      </c>
      <c r="BU31">
        <f t="shared" si="3"/>
        <v>2468</v>
      </c>
      <c r="BV31">
        <f t="shared" si="4"/>
        <v>3093</v>
      </c>
      <c r="BW31">
        <f t="shared" si="5"/>
        <v>4643</v>
      </c>
      <c r="BX31">
        <f t="shared" si="6"/>
        <v>18</v>
      </c>
      <c r="BY31" s="2">
        <f t="shared" si="7"/>
        <v>2499</v>
      </c>
      <c r="BZ31">
        <f t="shared" si="8"/>
        <v>310.06861589427359</v>
      </c>
      <c r="CA31">
        <v>310.06861589427359</v>
      </c>
      <c r="CB31">
        <v>310.06861589427359</v>
      </c>
      <c r="CC31">
        <v>310.06861589427359</v>
      </c>
      <c r="CD31">
        <v>310.06861589427359</v>
      </c>
      <c r="CE31">
        <v>310.06861589427359</v>
      </c>
      <c r="CF31">
        <v>310.06861589427359</v>
      </c>
      <c r="CG31">
        <v>310.06861589427359</v>
      </c>
      <c r="CH31">
        <f t="shared" si="16"/>
        <v>-0.37088387942456974</v>
      </c>
      <c r="CI31">
        <f t="shared" si="9"/>
        <v>-1.6463597706161628</v>
      </c>
      <c r="CJ31">
        <f t="shared" si="10"/>
        <v>-0.72802981706748238</v>
      </c>
      <c r="CK31">
        <f t="shared" si="11"/>
        <v>0.90088734473078447</v>
      </c>
      <c r="CL31">
        <f t="shared" si="12"/>
        <v>0.99892210937275938</v>
      </c>
      <c r="CM31">
        <f t="shared" si="13"/>
        <v>1.1753408730357544</v>
      </c>
      <c r="CN31">
        <f t="shared" si="14"/>
        <v>-1.2361853055271135</v>
      </c>
      <c r="CO31" s="2">
        <f t="shared" si="15"/>
        <v>0.9063084454960304</v>
      </c>
      <c r="CP31">
        <v>-1.1226202215866901</v>
      </c>
      <c r="CQ31">
        <v>-6.4365966682946502E-2</v>
      </c>
      <c r="CR31">
        <v>-0.75760320451650598</v>
      </c>
      <c r="CS31">
        <v>1.00904414292433</v>
      </c>
      <c r="CT31">
        <v>0.89321858909024199</v>
      </c>
      <c r="CU31">
        <v>0.96694884602905495</v>
      </c>
      <c r="CV31">
        <v>-0.63913706066288301</v>
      </c>
      <c r="CW31">
        <v>1.0049435530734301</v>
      </c>
      <c r="CX31" t="s">
        <v>1826</v>
      </c>
    </row>
    <row r="32" spans="1:102" x14ac:dyDescent="0.35">
      <c r="A32" t="s">
        <v>369</v>
      </c>
      <c r="B32" t="s">
        <v>159</v>
      </c>
      <c r="C32" t="s">
        <v>261</v>
      </c>
      <c r="D32" t="s">
        <v>72</v>
      </c>
      <c r="E32" t="s">
        <v>72</v>
      </c>
      <c r="F32" t="s">
        <v>72</v>
      </c>
      <c r="G32" t="s">
        <v>73</v>
      </c>
      <c r="H32" t="s">
        <v>109</v>
      </c>
      <c r="I32" t="s">
        <v>110</v>
      </c>
      <c r="J32" t="s">
        <v>111</v>
      </c>
      <c r="K32" t="s">
        <v>112</v>
      </c>
      <c r="L32" t="s">
        <v>113</v>
      </c>
      <c r="M32" t="s">
        <v>114</v>
      </c>
      <c r="N32">
        <v>48</v>
      </c>
      <c r="O32" t="s">
        <v>80</v>
      </c>
      <c r="P32">
        <v>621</v>
      </c>
      <c r="Q32">
        <v>0.68400000000000005</v>
      </c>
      <c r="R32">
        <v>175</v>
      </c>
      <c r="S32">
        <v>0.81130000000000002</v>
      </c>
      <c r="T32" t="s">
        <v>115</v>
      </c>
      <c r="U32" t="s">
        <v>116</v>
      </c>
      <c r="V32" t="s">
        <v>117</v>
      </c>
      <c r="W32" t="s">
        <v>118</v>
      </c>
      <c r="X32" t="s">
        <v>119</v>
      </c>
      <c r="Y32" t="s">
        <v>120</v>
      </c>
      <c r="Z32" t="s">
        <v>121</v>
      </c>
      <c r="AA32" t="s">
        <v>88</v>
      </c>
      <c r="AB32">
        <v>350</v>
      </c>
      <c r="AC32">
        <v>3</v>
      </c>
      <c r="AE32">
        <v>1</v>
      </c>
      <c r="AF32" t="s">
        <v>142</v>
      </c>
      <c r="AG32" t="s">
        <v>370</v>
      </c>
      <c r="AH32" t="s">
        <v>72</v>
      </c>
      <c r="AI32" t="s">
        <v>72</v>
      </c>
      <c r="AJ32" t="s">
        <v>72</v>
      </c>
      <c r="AK32" t="s">
        <v>92</v>
      </c>
      <c r="AL32" t="s">
        <v>93</v>
      </c>
      <c r="AM32" t="s">
        <v>94</v>
      </c>
      <c r="AN32" t="s">
        <v>371</v>
      </c>
      <c r="AO32" t="s">
        <v>372</v>
      </c>
      <c r="AP32" t="s">
        <v>286</v>
      </c>
      <c r="AQ32">
        <v>39</v>
      </c>
      <c r="AR32" t="s">
        <v>80</v>
      </c>
      <c r="AS32">
        <v>1332</v>
      </c>
      <c r="AT32">
        <v>0.95830000000000004</v>
      </c>
      <c r="AU32">
        <v>163</v>
      </c>
      <c r="AV32">
        <v>0.92110000000000003</v>
      </c>
      <c r="AW32" t="s">
        <v>373</v>
      </c>
      <c r="AX32" t="s">
        <v>146</v>
      </c>
      <c r="AY32" t="s">
        <v>288</v>
      </c>
      <c r="AZ32" t="s">
        <v>136</v>
      </c>
      <c r="BA32" t="s">
        <v>128</v>
      </c>
      <c r="BB32" t="s">
        <v>103</v>
      </c>
      <c r="BC32" t="s">
        <v>104</v>
      </c>
      <c r="BD32" t="s">
        <v>105</v>
      </c>
      <c r="BE32">
        <v>23209</v>
      </c>
      <c r="BG32">
        <v>253</v>
      </c>
      <c r="BH32" t="s">
        <v>80</v>
      </c>
      <c r="BI32">
        <v>1</v>
      </c>
      <c r="BJ32">
        <v>29</v>
      </c>
      <c r="BK32">
        <v>0</v>
      </c>
      <c r="BL32">
        <v>30</v>
      </c>
      <c r="BM32">
        <v>923</v>
      </c>
      <c r="BN32">
        <v>1300</v>
      </c>
      <c r="BO32">
        <v>1812</v>
      </c>
      <c r="BP32">
        <v>16</v>
      </c>
      <c r="BQ32" s="2">
        <v>930</v>
      </c>
      <c r="BR32">
        <f t="shared" si="0"/>
        <v>30</v>
      </c>
      <c r="BS32">
        <f t="shared" si="1"/>
        <v>1</v>
      </c>
      <c r="BT32">
        <f t="shared" si="2"/>
        <v>31</v>
      </c>
      <c r="BU32">
        <f t="shared" si="3"/>
        <v>924</v>
      </c>
      <c r="BV32">
        <f t="shared" si="4"/>
        <v>1301</v>
      </c>
      <c r="BW32">
        <f t="shared" si="5"/>
        <v>1813</v>
      </c>
      <c r="BX32">
        <f t="shared" si="6"/>
        <v>17</v>
      </c>
      <c r="BY32" s="2">
        <f t="shared" si="7"/>
        <v>931</v>
      </c>
      <c r="BZ32">
        <f t="shared" si="8"/>
        <v>115.68540673634067</v>
      </c>
      <c r="CA32">
        <v>115.68540673634067</v>
      </c>
      <c r="CB32">
        <v>115.68540673634067</v>
      </c>
      <c r="CC32">
        <v>115.68540673634067</v>
      </c>
      <c r="CD32">
        <v>115.68540673634067</v>
      </c>
      <c r="CE32">
        <v>115.68540673634067</v>
      </c>
      <c r="CF32">
        <v>115.68540673634067</v>
      </c>
      <c r="CG32">
        <v>115.68540673634067</v>
      </c>
      <c r="CH32">
        <f t="shared" si="16"/>
        <v>-0.58615732312918178</v>
      </c>
      <c r="CI32">
        <f t="shared" si="9"/>
        <v>-2.0632785778488443</v>
      </c>
      <c r="CJ32">
        <f t="shared" si="10"/>
        <v>-0.57191688401457152</v>
      </c>
      <c r="CK32">
        <f t="shared" si="11"/>
        <v>0.90239339337126245</v>
      </c>
      <c r="CL32">
        <f t="shared" si="12"/>
        <v>1.0509987187127421</v>
      </c>
      <c r="CM32">
        <f t="shared" si="13"/>
        <v>1.1951192262466643</v>
      </c>
      <c r="CN32">
        <f t="shared" si="14"/>
        <v>-0.83282965647057028</v>
      </c>
      <c r="CO32" s="2">
        <f t="shared" si="15"/>
        <v>0.90567110313249843</v>
      </c>
      <c r="CP32">
        <v>-1.38125670040146</v>
      </c>
      <c r="CQ32">
        <v>-2.2527165794045199</v>
      </c>
      <c r="CR32">
        <v>-6.0109746696614202E-2</v>
      </c>
      <c r="CS32">
        <v>1.01348163979629</v>
      </c>
      <c r="CT32">
        <v>1.0381798264517601</v>
      </c>
      <c r="CU32">
        <v>1.0240646552129899</v>
      </c>
      <c r="CV32">
        <v>0.44265221910453401</v>
      </c>
      <c r="CW32">
        <v>1.0031929945146301</v>
      </c>
      <c r="CX32" t="s">
        <v>1826</v>
      </c>
    </row>
    <row r="33" spans="1:102" x14ac:dyDescent="0.35">
      <c r="A33" t="s">
        <v>1555</v>
      </c>
      <c r="B33" t="s">
        <v>211</v>
      </c>
      <c r="C33" t="s">
        <v>108</v>
      </c>
      <c r="D33" t="s">
        <v>72</v>
      </c>
      <c r="E33" t="s">
        <v>72</v>
      </c>
      <c r="F33" t="s">
        <v>72</v>
      </c>
      <c r="G33" t="s">
        <v>73</v>
      </c>
      <c r="H33" t="s">
        <v>109</v>
      </c>
      <c r="I33" t="s">
        <v>110</v>
      </c>
      <c r="J33" t="s">
        <v>111</v>
      </c>
      <c r="K33" t="s">
        <v>112</v>
      </c>
      <c r="L33" t="s">
        <v>113</v>
      </c>
      <c r="M33" t="s">
        <v>114</v>
      </c>
      <c r="N33">
        <v>48</v>
      </c>
      <c r="O33" t="s">
        <v>80</v>
      </c>
      <c r="P33">
        <v>621</v>
      </c>
      <c r="Q33">
        <v>0.68400000000000005</v>
      </c>
      <c r="R33">
        <v>175</v>
      </c>
      <c r="S33">
        <v>0.81130000000000002</v>
      </c>
      <c r="T33" t="s">
        <v>115</v>
      </c>
      <c r="U33" t="s">
        <v>116</v>
      </c>
      <c r="V33" t="s">
        <v>117</v>
      </c>
      <c r="W33" t="s">
        <v>118</v>
      </c>
      <c r="X33" t="s">
        <v>119</v>
      </c>
      <c r="Y33" t="s">
        <v>120</v>
      </c>
      <c r="Z33" t="s">
        <v>121</v>
      </c>
      <c r="AA33" t="s">
        <v>88</v>
      </c>
      <c r="AB33">
        <v>199</v>
      </c>
      <c r="AC33">
        <v>5</v>
      </c>
      <c r="AE33">
        <v>1</v>
      </c>
      <c r="AF33" t="s">
        <v>89</v>
      </c>
      <c r="AG33" t="s">
        <v>1556</v>
      </c>
      <c r="AH33" t="s">
        <v>72</v>
      </c>
      <c r="AI33" t="s">
        <v>72</v>
      </c>
      <c r="AJ33" t="s">
        <v>91</v>
      </c>
      <c r="AK33" t="s">
        <v>92</v>
      </c>
      <c r="AL33" t="s">
        <v>93</v>
      </c>
      <c r="AM33" t="s">
        <v>94</v>
      </c>
      <c r="AN33" t="s">
        <v>1557</v>
      </c>
      <c r="AO33" t="s">
        <v>1558</v>
      </c>
      <c r="AP33" t="s">
        <v>97</v>
      </c>
      <c r="AQ33">
        <v>39</v>
      </c>
      <c r="AR33" t="s">
        <v>80</v>
      </c>
      <c r="AS33">
        <v>1350</v>
      </c>
      <c r="AT33">
        <v>0.96530000000000005</v>
      </c>
      <c r="AU33">
        <v>163</v>
      </c>
      <c r="AV33">
        <v>0.92110000000000003</v>
      </c>
      <c r="AW33" t="s">
        <v>98</v>
      </c>
      <c r="AX33" t="s">
        <v>146</v>
      </c>
      <c r="AY33" t="s">
        <v>1559</v>
      </c>
      <c r="AZ33" t="s">
        <v>307</v>
      </c>
      <c r="BA33" t="s">
        <v>128</v>
      </c>
      <c r="BB33" t="s">
        <v>103</v>
      </c>
      <c r="BC33" t="s">
        <v>104</v>
      </c>
      <c r="BD33" t="s">
        <v>105</v>
      </c>
      <c r="BE33">
        <v>30569</v>
      </c>
      <c r="BF33" t="s">
        <v>106</v>
      </c>
      <c r="BG33">
        <v>788</v>
      </c>
      <c r="BH33" t="s">
        <v>80</v>
      </c>
      <c r="BI33">
        <v>1</v>
      </c>
      <c r="BJ33">
        <v>62</v>
      </c>
      <c r="BK33">
        <v>0</v>
      </c>
      <c r="BL33">
        <v>21</v>
      </c>
      <c r="BM33">
        <v>844</v>
      </c>
      <c r="BN33">
        <v>1225</v>
      </c>
      <c r="BO33">
        <v>1757</v>
      </c>
      <c r="BP33">
        <v>8</v>
      </c>
      <c r="BQ33" s="2">
        <v>870</v>
      </c>
      <c r="BR33">
        <f t="shared" si="0"/>
        <v>63</v>
      </c>
      <c r="BS33">
        <f t="shared" si="1"/>
        <v>1</v>
      </c>
      <c r="BT33">
        <f t="shared" si="2"/>
        <v>22</v>
      </c>
      <c r="BU33">
        <f t="shared" si="3"/>
        <v>845</v>
      </c>
      <c r="BV33">
        <f t="shared" si="4"/>
        <v>1226</v>
      </c>
      <c r="BW33">
        <f t="shared" si="5"/>
        <v>1758</v>
      </c>
      <c r="BX33">
        <f t="shared" si="6"/>
        <v>9</v>
      </c>
      <c r="BY33" s="2">
        <f t="shared" si="7"/>
        <v>871</v>
      </c>
      <c r="BZ33">
        <f t="shared" si="8"/>
        <v>108.90523163436788</v>
      </c>
      <c r="CA33">
        <v>108.90523163436788</v>
      </c>
      <c r="CB33">
        <v>108.90523163436788</v>
      </c>
      <c r="CC33">
        <v>108.90523163436788</v>
      </c>
      <c r="CD33">
        <v>108.90523163436788</v>
      </c>
      <c r="CE33">
        <v>108.90523163436788</v>
      </c>
      <c r="CF33">
        <v>108.90523163436788</v>
      </c>
      <c r="CG33">
        <v>108.90523163436788</v>
      </c>
      <c r="CH33">
        <f t="shared" si="16"/>
        <v>-0.23770819362049547</v>
      </c>
      <c r="CI33">
        <f t="shared" si="9"/>
        <v>-2.0370487430740774</v>
      </c>
      <c r="CJ33">
        <f t="shared" si="10"/>
        <v>-0.69462606225187096</v>
      </c>
      <c r="CK33">
        <f t="shared" si="11"/>
        <v>0.88980796587561517</v>
      </c>
      <c r="CL33">
        <f t="shared" si="12"/>
        <v>1.051441727108319</v>
      </c>
      <c r="CM33">
        <f t="shared" si="13"/>
        <v>1.2079701276636758</v>
      </c>
      <c r="CN33">
        <f t="shared" si="14"/>
        <v>-1.0828062336347524</v>
      </c>
      <c r="CO33" s="2">
        <f t="shared" si="15"/>
        <v>0.90296941193358593</v>
      </c>
      <c r="CP33">
        <v>-0.96261864476715597</v>
      </c>
      <c r="CQ33">
        <v>-2.2527165794045199</v>
      </c>
      <c r="CR33">
        <v>-0.60835932065063802</v>
      </c>
      <c r="CS33">
        <v>0.97639930816160803</v>
      </c>
      <c r="CT33">
        <v>1.0394129913217101</v>
      </c>
      <c r="CU33">
        <v>1.06117541086329</v>
      </c>
      <c r="CV33">
        <v>-0.227778409552055</v>
      </c>
      <c r="CW33">
        <v>0.99577238524385103</v>
      </c>
      <c r="CX33" t="s">
        <v>1826</v>
      </c>
    </row>
    <row r="34" spans="1:102" x14ac:dyDescent="0.35">
      <c r="A34" t="s">
        <v>839</v>
      </c>
      <c r="B34" t="s">
        <v>89</v>
      </c>
      <c r="C34" t="s">
        <v>548</v>
      </c>
      <c r="D34" t="s">
        <v>72</v>
      </c>
      <c r="E34" t="s">
        <v>72</v>
      </c>
      <c r="F34" t="s">
        <v>72</v>
      </c>
      <c r="G34" t="s">
        <v>73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  <c r="N34">
        <v>48</v>
      </c>
      <c r="O34" t="s">
        <v>80</v>
      </c>
      <c r="P34">
        <v>621</v>
      </c>
      <c r="Q34">
        <v>0.68400000000000005</v>
      </c>
      <c r="R34">
        <v>175</v>
      </c>
      <c r="S34">
        <v>0.81130000000000002</v>
      </c>
      <c r="T34" t="s">
        <v>115</v>
      </c>
      <c r="U34" t="s">
        <v>116</v>
      </c>
      <c r="V34" t="s">
        <v>117</v>
      </c>
      <c r="W34" t="s">
        <v>118</v>
      </c>
      <c r="X34" t="s">
        <v>119</v>
      </c>
      <c r="Y34" t="s">
        <v>120</v>
      </c>
      <c r="Z34" t="s">
        <v>121</v>
      </c>
      <c r="AA34" t="s">
        <v>88</v>
      </c>
      <c r="AB34">
        <v>510</v>
      </c>
      <c r="AC34">
        <v>8</v>
      </c>
      <c r="AE34">
        <v>1</v>
      </c>
      <c r="AF34" t="s">
        <v>148</v>
      </c>
      <c r="AG34" t="s">
        <v>840</v>
      </c>
      <c r="AH34" t="s">
        <v>72</v>
      </c>
      <c r="AI34" t="s">
        <v>72</v>
      </c>
      <c r="AJ34" t="s">
        <v>91</v>
      </c>
      <c r="AK34" t="s">
        <v>92</v>
      </c>
      <c r="AL34" t="s">
        <v>93</v>
      </c>
      <c r="AM34" t="s">
        <v>94</v>
      </c>
      <c r="AN34" t="s">
        <v>841</v>
      </c>
      <c r="AO34" t="s">
        <v>842</v>
      </c>
      <c r="AP34" t="s">
        <v>97</v>
      </c>
      <c r="AQ34">
        <v>39</v>
      </c>
      <c r="AR34" t="s">
        <v>80</v>
      </c>
      <c r="AS34">
        <v>1350</v>
      </c>
      <c r="AT34">
        <v>0.96530000000000005</v>
      </c>
      <c r="AU34">
        <v>172</v>
      </c>
      <c r="AV34">
        <v>0.94740000000000002</v>
      </c>
      <c r="AW34" t="s">
        <v>98</v>
      </c>
      <c r="AX34" t="s">
        <v>183</v>
      </c>
      <c r="AY34" t="s">
        <v>843</v>
      </c>
      <c r="AZ34" t="s">
        <v>101</v>
      </c>
      <c r="BA34" t="s">
        <v>185</v>
      </c>
      <c r="BB34" t="s">
        <v>186</v>
      </c>
      <c r="BC34" t="s">
        <v>104</v>
      </c>
      <c r="BD34" t="s">
        <v>105</v>
      </c>
      <c r="BE34">
        <v>143</v>
      </c>
      <c r="BF34" t="s">
        <v>106</v>
      </c>
      <c r="BG34">
        <v>2</v>
      </c>
      <c r="BH34" t="s">
        <v>80</v>
      </c>
      <c r="BI34">
        <v>1</v>
      </c>
      <c r="BJ34">
        <v>44</v>
      </c>
      <c r="BK34">
        <v>0</v>
      </c>
      <c r="BL34">
        <v>17</v>
      </c>
      <c r="BM34">
        <v>670</v>
      </c>
      <c r="BN34">
        <v>950</v>
      </c>
      <c r="BO34">
        <v>1443</v>
      </c>
      <c r="BP34">
        <v>8</v>
      </c>
      <c r="BQ34" s="2">
        <v>728</v>
      </c>
      <c r="BR34">
        <f t="shared" si="0"/>
        <v>45</v>
      </c>
      <c r="BS34">
        <f t="shared" si="1"/>
        <v>1</v>
      </c>
      <c r="BT34">
        <f t="shared" si="2"/>
        <v>18</v>
      </c>
      <c r="BU34">
        <f t="shared" si="3"/>
        <v>671</v>
      </c>
      <c r="BV34">
        <f t="shared" si="4"/>
        <v>951</v>
      </c>
      <c r="BW34">
        <f t="shared" si="5"/>
        <v>1444</v>
      </c>
      <c r="BX34">
        <f t="shared" si="6"/>
        <v>9</v>
      </c>
      <c r="BY34" s="2">
        <f t="shared" si="7"/>
        <v>729</v>
      </c>
      <c r="BZ34">
        <f t="shared" si="8"/>
        <v>91.461993051063118</v>
      </c>
      <c r="CA34">
        <v>91.461993051063118</v>
      </c>
      <c r="CB34">
        <v>91.461993051063118</v>
      </c>
      <c r="CC34">
        <v>91.461993051063118</v>
      </c>
      <c r="CD34">
        <v>91.461993051063118</v>
      </c>
      <c r="CE34">
        <v>91.461993051063118</v>
      </c>
      <c r="CF34">
        <v>91.461993051063118</v>
      </c>
      <c r="CG34">
        <v>91.461993051063118</v>
      </c>
      <c r="CH34">
        <f t="shared" si="16"/>
        <v>-0.30802814709665322</v>
      </c>
      <c r="CI34">
        <f t="shared" si="9"/>
        <v>-1.961240660871997</v>
      </c>
      <c r="CJ34">
        <f t="shared" si="10"/>
        <v>-0.70596815576869087</v>
      </c>
      <c r="CK34">
        <f t="shared" si="11"/>
        <v>0.86548185929699517</v>
      </c>
      <c r="CL34">
        <f t="shared" si="12"/>
        <v>1.016939856065417</v>
      </c>
      <c r="CM34">
        <f t="shared" si="13"/>
        <v>1.1983265323616235</v>
      </c>
      <c r="CN34">
        <f t="shared" si="14"/>
        <v>-1.006998151432672</v>
      </c>
      <c r="CO34" s="2">
        <f t="shared" si="15"/>
        <v>0.90148686744597772</v>
      </c>
      <c r="CP34">
        <v>-1.04710331154495</v>
      </c>
      <c r="CQ34">
        <v>-2.2527165794045199</v>
      </c>
      <c r="CR34">
        <v>-0.65903440484293896</v>
      </c>
      <c r="CS34">
        <v>0.90472365377156105</v>
      </c>
      <c r="CT34">
        <v>0.94337306128297604</v>
      </c>
      <c r="CU34">
        <v>1.0333266944789901</v>
      </c>
      <c r="CV34">
        <v>-2.4463119837490201E-2</v>
      </c>
      <c r="CW34">
        <v>0.99170034941180496</v>
      </c>
      <c r="CX34" t="s">
        <v>1826</v>
      </c>
    </row>
    <row r="35" spans="1:102" x14ac:dyDescent="0.35">
      <c r="A35" t="s">
        <v>805</v>
      </c>
      <c r="B35" t="s">
        <v>159</v>
      </c>
      <c r="C35" t="s">
        <v>108</v>
      </c>
      <c r="D35" t="s">
        <v>72</v>
      </c>
      <c r="E35" t="s">
        <v>72</v>
      </c>
      <c r="F35" t="s">
        <v>72</v>
      </c>
      <c r="G35" t="s">
        <v>73</v>
      </c>
      <c r="H35" t="s">
        <v>109</v>
      </c>
      <c r="I35" t="s">
        <v>110</v>
      </c>
      <c r="J35" t="s">
        <v>111</v>
      </c>
      <c r="K35" t="s">
        <v>112</v>
      </c>
      <c r="L35" t="s">
        <v>113</v>
      </c>
      <c r="M35" t="s">
        <v>114</v>
      </c>
      <c r="N35">
        <v>48</v>
      </c>
      <c r="O35" t="s">
        <v>80</v>
      </c>
      <c r="P35">
        <v>621</v>
      </c>
      <c r="Q35">
        <v>0.68400000000000005</v>
      </c>
      <c r="R35">
        <v>175</v>
      </c>
      <c r="S35">
        <v>0.81130000000000002</v>
      </c>
      <c r="T35" t="s">
        <v>115</v>
      </c>
      <c r="U35" t="s">
        <v>116</v>
      </c>
      <c r="V35" t="s">
        <v>117</v>
      </c>
      <c r="W35" t="s">
        <v>118</v>
      </c>
      <c r="X35" t="s">
        <v>119</v>
      </c>
      <c r="Y35" t="s">
        <v>120</v>
      </c>
      <c r="Z35" t="s">
        <v>121</v>
      </c>
      <c r="AA35" t="s">
        <v>88</v>
      </c>
      <c r="AB35">
        <v>242</v>
      </c>
      <c r="AC35">
        <v>4</v>
      </c>
      <c r="AE35">
        <v>1</v>
      </c>
      <c r="AF35" t="s">
        <v>148</v>
      </c>
      <c r="AG35" t="s">
        <v>806</v>
      </c>
      <c r="AH35" t="s">
        <v>72</v>
      </c>
      <c r="AI35" t="s">
        <v>72</v>
      </c>
      <c r="AJ35" t="s">
        <v>91</v>
      </c>
      <c r="AK35" t="s">
        <v>92</v>
      </c>
      <c r="AL35" t="s">
        <v>93</v>
      </c>
      <c r="AM35" t="s">
        <v>94</v>
      </c>
      <c r="AN35" t="s">
        <v>807</v>
      </c>
      <c r="AO35" t="s">
        <v>808</v>
      </c>
      <c r="AP35" t="s">
        <v>97</v>
      </c>
      <c r="AQ35">
        <v>39</v>
      </c>
      <c r="AR35" t="s">
        <v>80</v>
      </c>
      <c r="AS35">
        <v>1332</v>
      </c>
      <c r="AT35">
        <v>0.95830000000000004</v>
      </c>
      <c r="AU35">
        <v>163</v>
      </c>
      <c r="AV35">
        <v>0.92110000000000003</v>
      </c>
      <c r="AW35" t="s">
        <v>98</v>
      </c>
      <c r="AX35" t="s">
        <v>183</v>
      </c>
      <c r="AY35" t="s">
        <v>809</v>
      </c>
      <c r="AZ35" t="s">
        <v>307</v>
      </c>
      <c r="BA35" t="s">
        <v>185</v>
      </c>
      <c r="BB35" t="s">
        <v>186</v>
      </c>
      <c r="BC35" t="s">
        <v>104</v>
      </c>
      <c r="BD35" t="s">
        <v>105</v>
      </c>
      <c r="BE35">
        <v>376</v>
      </c>
      <c r="BF35" t="s">
        <v>106</v>
      </c>
      <c r="BG35">
        <v>6</v>
      </c>
      <c r="BH35" t="s">
        <v>80</v>
      </c>
      <c r="BI35">
        <v>1</v>
      </c>
      <c r="BJ35">
        <v>75</v>
      </c>
      <c r="BK35">
        <v>6</v>
      </c>
      <c r="BL35">
        <v>42</v>
      </c>
      <c r="BM35">
        <v>1737</v>
      </c>
      <c r="BN35">
        <v>2236</v>
      </c>
      <c r="BO35">
        <v>3316</v>
      </c>
      <c r="BP35">
        <v>9</v>
      </c>
      <c r="BQ35" s="2">
        <v>1727</v>
      </c>
      <c r="BR35">
        <f t="shared" si="0"/>
        <v>76</v>
      </c>
      <c r="BS35">
        <f t="shared" si="1"/>
        <v>7</v>
      </c>
      <c r="BT35">
        <f t="shared" si="2"/>
        <v>43</v>
      </c>
      <c r="BU35">
        <f t="shared" si="3"/>
        <v>1738</v>
      </c>
      <c r="BV35">
        <f t="shared" si="4"/>
        <v>2237</v>
      </c>
      <c r="BW35">
        <f t="shared" si="5"/>
        <v>3317</v>
      </c>
      <c r="BX35">
        <f t="shared" si="6"/>
        <v>10</v>
      </c>
      <c r="BY35" s="2">
        <f t="shared" si="7"/>
        <v>1728</v>
      </c>
      <c r="BZ35">
        <f t="shared" si="8"/>
        <v>217.98325419230125</v>
      </c>
      <c r="CA35">
        <v>217.98325419230125</v>
      </c>
      <c r="CB35">
        <v>217.98325419230125</v>
      </c>
      <c r="CC35">
        <v>217.98325419230125</v>
      </c>
      <c r="CD35">
        <v>217.98325419230125</v>
      </c>
      <c r="CE35">
        <v>217.98325419230125</v>
      </c>
      <c r="CF35">
        <v>217.98325419230125</v>
      </c>
      <c r="CG35">
        <v>217.98325419230125</v>
      </c>
      <c r="CH35">
        <f t="shared" si="16"/>
        <v>-0.45760953943749227</v>
      </c>
      <c r="CI35">
        <f t="shared" si="9"/>
        <v>-1.4933250917040268</v>
      </c>
      <c r="CJ35">
        <f t="shared" si="10"/>
        <v>-0.70495467613869711</v>
      </c>
      <c r="CK35">
        <f t="shared" si="11"/>
        <v>0.90162664039436402</v>
      </c>
      <c r="CL35">
        <f t="shared" si="12"/>
        <v>1.0112428523783461</v>
      </c>
      <c r="CM35">
        <f t="shared" si="13"/>
        <v>1.1823223398011986</v>
      </c>
      <c r="CN35">
        <f t="shared" si="14"/>
        <v>-1.3384231317182835</v>
      </c>
      <c r="CO35" s="2">
        <f t="shared" si="15"/>
        <v>0.8991206064245908</v>
      </c>
      <c r="CP35">
        <v>-1.2268152348806101</v>
      </c>
      <c r="CQ35">
        <v>0.387729768940488</v>
      </c>
      <c r="CR35">
        <v>-0.65450630202832605</v>
      </c>
      <c r="CS35">
        <v>1.01122244056122</v>
      </c>
      <c r="CT35">
        <v>0.92751479565858796</v>
      </c>
      <c r="CU35">
        <v>0.98710988367192098</v>
      </c>
      <c r="CV35">
        <v>-0.913336231094802</v>
      </c>
      <c r="CW35">
        <v>0.98520105057281704</v>
      </c>
      <c r="CX35" t="s">
        <v>1826</v>
      </c>
    </row>
    <row r="36" spans="1:102" x14ac:dyDescent="0.35">
      <c r="A36" t="s">
        <v>1059</v>
      </c>
      <c r="B36" t="s">
        <v>211</v>
      </c>
      <c r="C36" t="s">
        <v>301</v>
      </c>
      <c r="D36" t="s">
        <v>72</v>
      </c>
      <c r="E36" t="s">
        <v>72</v>
      </c>
      <c r="F36" t="s">
        <v>72</v>
      </c>
      <c r="G36" t="s">
        <v>73</v>
      </c>
      <c r="H36" t="s">
        <v>109</v>
      </c>
      <c r="I36" t="s">
        <v>110</v>
      </c>
      <c r="J36" t="s">
        <v>111</v>
      </c>
      <c r="K36" t="s">
        <v>112</v>
      </c>
      <c r="L36" t="s">
        <v>113</v>
      </c>
      <c r="M36" t="s">
        <v>114</v>
      </c>
      <c r="N36">
        <v>48</v>
      </c>
      <c r="O36" t="s">
        <v>80</v>
      </c>
      <c r="P36">
        <v>621</v>
      </c>
      <c r="Q36">
        <v>0.68400000000000005</v>
      </c>
      <c r="R36">
        <v>175</v>
      </c>
      <c r="S36">
        <v>0.81130000000000002</v>
      </c>
      <c r="T36" t="s">
        <v>115</v>
      </c>
      <c r="U36" t="s">
        <v>116</v>
      </c>
      <c r="V36" t="s">
        <v>117</v>
      </c>
      <c r="W36" t="s">
        <v>118</v>
      </c>
      <c r="X36" t="s">
        <v>119</v>
      </c>
      <c r="Y36" t="s">
        <v>120</v>
      </c>
      <c r="Z36" t="s">
        <v>121</v>
      </c>
      <c r="AA36" t="s">
        <v>88</v>
      </c>
      <c r="AB36">
        <v>1226</v>
      </c>
      <c r="AC36">
        <v>7</v>
      </c>
      <c r="AE36">
        <v>1</v>
      </c>
      <c r="AF36" t="s">
        <v>89</v>
      </c>
      <c r="AG36" t="s">
        <v>1060</v>
      </c>
      <c r="AH36" t="s">
        <v>72</v>
      </c>
      <c r="AI36" t="s">
        <v>72</v>
      </c>
      <c r="AJ36" t="s">
        <v>91</v>
      </c>
      <c r="AK36" t="s">
        <v>92</v>
      </c>
      <c r="AL36" t="s">
        <v>93</v>
      </c>
      <c r="AM36" t="s">
        <v>94</v>
      </c>
      <c r="AN36" t="s">
        <v>1061</v>
      </c>
      <c r="AO36" t="s">
        <v>1062</v>
      </c>
      <c r="AP36" t="s">
        <v>97</v>
      </c>
      <c r="AQ36">
        <v>39</v>
      </c>
      <c r="AR36" t="s">
        <v>80</v>
      </c>
      <c r="AS36">
        <v>1350</v>
      </c>
      <c r="AT36">
        <v>0.96530000000000005</v>
      </c>
      <c r="AU36">
        <v>172</v>
      </c>
      <c r="AV36">
        <v>0.94740000000000002</v>
      </c>
      <c r="AW36" t="s">
        <v>98</v>
      </c>
      <c r="AX36" t="s">
        <v>146</v>
      </c>
      <c r="AY36" t="s">
        <v>1063</v>
      </c>
      <c r="AZ36" t="s">
        <v>101</v>
      </c>
      <c r="BA36" t="s">
        <v>128</v>
      </c>
      <c r="BB36" t="s">
        <v>103</v>
      </c>
      <c r="BC36" t="s">
        <v>104</v>
      </c>
      <c r="BD36" t="s">
        <v>105</v>
      </c>
      <c r="BE36">
        <v>44690</v>
      </c>
      <c r="BF36" t="s">
        <v>106</v>
      </c>
      <c r="BG36">
        <v>529</v>
      </c>
      <c r="BH36" t="s">
        <v>80</v>
      </c>
      <c r="BI36">
        <v>1</v>
      </c>
      <c r="BJ36">
        <v>69</v>
      </c>
      <c r="BK36">
        <v>0</v>
      </c>
      <c r="BL36">
        <v>23</v>
      </c>
      <c r="BM36">
        <v>960</v>
      </c>
      <c r="BN36">
        <v>1356</v>
      </c>
      <c r="BO36">
        <v>1949</v>
      </c>
      <c r="BP36">
        <v>16</v>
      </c>
      <c r="BQ36" s="2">
        <v>1007</v>
      </c>
      <c r="BR36">
        <f t="shared" si="0"/>
        <v>70</v>
      </c>
      <c r="BS36">
        <f t="shared" si="1"/>
        <v>1</v>
      </c>
      <c r="BT36">
        <f t="shared" si="2"/>
        <v>24</v>
      </c>
      <c r="BU36">
        <f t="shared" si="3"/>
        <v>961</v>
      </c>
      <c r="BV36">
        <f t="shared" si="4"/>
        <v>1357</v>
      </c>
      <c r="BW36">
        <f t="shared" si="5"/>
        <v>1950</v>
      </c>
      <c r="BX36">
        <f t="shared" si="6"/>
        <v>17</v>
      </c>
      <c r="BY36" s="2">
        <f t="shared" si="7"/>
        <v>1008</v>
      </c>
      <c r="BZ36">
        <f t="shared" si="8"/>
        <v>128.2536024815297</v>
      </c>
      <c r="CA36">
        <v>128.2536024815297</v>
      </c>
      <c r="CB36">
        <v>128.2536024815297</v>
      </c>
      <c r="CC36">
        <v>128.2536024815297</v>
      </c>
      <c r="CD36">
        <v>128.2536024815297</v>
      </c>
      <c r="CE36">
        <v>128.2536024815297</v>
      </c>
      <c r="CF36">
        <v>128.2536024815297</v>
      </c>
      <c r="CG36">
        <v>128.2536024815297</v>
      </c>
      <c r="CH36">
        <f t="shared" si="16"/>
        <v>-0.2629715327237987</v>
      </c>
      <c r="CI36">
        <f t="shared" si="9"/>
        <v>-2.1080695727380556</v>
      </c>
      <c r="CJ36">
        <f t="shared" si="10"/>
        <v>-0.72785833102644948</v>
      </c>
      <c r="CK36">
        <f t="shared" si="11"/>
        <v>0.87465381493048988</v>
      </c>
      <c r="CL36">
        <f t="shared" si="12"/>
        <v>1.0245102749216815</v>
      </c>
      <c r="CM36">
        <f t="shared" si="13"/>
        <v>1.1819650386244624</v>
      </c>
      <c r="CN36">
        <f t="shared" si="14"/>
        <v>-0.87762065135978162</v>
      </c>
      <c r="CO36" s="2">
        <f t="shared" si="15"/>
        <v>0.89539095937145108</v>
      </c>
      <c r="CP36">
        <v>-0.99297083757059201</v>
      </c>
      <c r="CQ36">
        <v>-2.2527165794045199</v>
      </c>
      <c r="CR36">
        <v>-0.75683702589575497</v>
      </c>
      <c r="CS36">
        <v>0.93174836156614904</v>
      </c>
      <c r="CT36">
        <v>0.96444619370572204</v>
      </c>
      <c r="CU36">
        <v>0.98607807148745696</v>
      </c>
      <c r="CV36">
        <v>0.32252394467822598</v>
      </c>
      <c r="CW36">
        <v>0.97495700287764797</v>
      </c>
      <c r="CX36" t="s">
        <v>1826</v>
      </c>
    </row>
    <row r="37" spans="1:102" x14ac:dyDescent="0.35">
      <c r="A37" t="s">
        <v>1135</v>
      </c>
      <c r="B37" t="s">
        <v>70</v>
      </c>
      <c r="C37" t="s">
        <v>255</v>
      </c>
      <c r="D37" t="s">
        <v>72</v>
      </c>
      <c r="E37" t="s">
        <v>72</v>
      </c>
      <c r="F37" t="s">
        <v>72</v>
      </c>
      <c r="G37" t="s">
        <v>73</v>
      </c>
      <c r="H37" t="s">
        <v>109</v>
      </c>
      <c r="I37" t="s">
        <v>110</v>
      </c>
      <c r="J37" t="s">
        <v>111</v>
      </c>
      <c r="K37" t="s">
        <v>112</v>
      </c>
      <c r="L37" t="s">
        <v>113</v>
      </c>
      <c r="M37" t="s">
        <v>114</v>
      </c>
      <c r="N37">
        <v>48</v>
      </c>
      <c r="O37" t="s">
        <v>80</v>
      </c>
      <c r="P37">
        <v>621</v>
      </c>
      <c r="Q37">
        <v>0.68400000000000005</v>
      </c>
      <c r="R37">
        <v>175</v>
      </c>
      <c r="S37">
        <v>0.81130000000000002</v>
      </c>
      <c r="T37" t="s">
        <v>115</v>
      </c>
      <c r="U37" t="s">
        <v>116</v>
      </c>
      <c r="V37" t="s">
        <v>117</v>
      </c>
      <c r="W37" t="s">
        <v>118</v>
      </c>
      <c r="X37" t="s">
        <v>119</v>
      </c>
      <c r="Y37" t="s">
        <v>120</v>
      </c>
      <c r="Z37" t="s">
        <v>121</v>
      </c>
      <c r="AA37" t="s">
        <v>88</v>
      </c>
      <c r="AB37">
        <v>422</v>
      </c>
      <c r="AC37">
        <v>11</v>
      </c>
      <c r="AE37">
        <v>1</v>
      </c>
      <c r="AF37" t="s">
        <v>89</v>
      </c>
      <c r="AG37" t="s">
        <v>1136</v>
      </c>
      <c r="AH37" t="s">
        <v>72</v>
      </c>
      <c r="AI37" t="s">
        <v>72</v>
      </c>
      <c r="AJ37" t="s">
        <v>91</v>
      </c>
      <c r="AK37" t="s">
        <v>92</v>
      </c>
      <c r="AL37" t="s">
        <v>93</v>
      </c>
      <c r="AM37" t="s">
        <v>94</v>
      </c>
      <c r="AN37" t="s">
        <v>144</v>
      </c>
      <c r="AO37" t="s">
        <v>145</v>
      </c>
      <c r="AP37" t="s">
        <v>97</v>
      </c>
      <c r="AQ37">
        <v>39</v>
      </c>
      <c r="AR37" t="s">
        <v>80</v>
      </c>
      <c r="AS37">
        <v>1359</v>
      </c>
      <c r="AT37">
        <v>0.96879999999999999</v>
      </c>
      <c r="AU37">
        <v>172</v>
      </c>
      <c r="AV37">
        <v>0.94740000000000002</v>
      </c>
      <c r="AW37" t="s">
        <v>98</v>
      </c>
      <c r="AX37" t="s">
        <v>146</v>
      </c>
      <c r="AY37" t="s">
        <v>127</v>
      </c>
      <c r="AZ37" t="s">
        <v>101</v>
      </c>
      <c r="BA37" t="s">
        <v>128</v>
      </c>
      <c r="BB37" t="s">
        <v>103</v>
      </c>
      <c r="BC37" t="s">
        <v>104</v>
      </c>
      <c r="BD37" t="s">
        <v>105</v>
      </c>
      <c r="BE37">
        <v>52036</v>
      </c>
      <c r="BF37" t="s">
        <v>106</v>
      </c>
      <c r="BG37">
        <v>655</v>
      </c>
      <c r="BH37" t="s">
        <v>80</v>
      </c>
      <c r="BI37">
        <v>1</v>
      </c>
      <c r="BJ37">
        <v>106</v>
      </c>
      <c r="BK37">
        <v>0</v>
      </c>
      <c r="BL37">
        <v>57</v>
      </c>
      <c r="BM37">
        <v>1230</v>
      </c>
      <c r="BN37">
        <v>1762</v>
      </c>
      <c r="BO37">
        <v>2460</v>
      </c>
      <c r="BP37">
        <v>11</v>
      </c>
      <c r="BQ37" s="2">
        <v>1275</v>
      </c>
      <c r="BR37">
        <f t="shared" si="0"/>
        <v>107</v>
      </c>
      <c r="BS37">
        <f t="shared" si="1"/>
        <v>1</v>
      </c>
      <c r="BT37">
        <f t="shared" si="2"/>
        <v>58</v>
      </c>
      <c r="BU37">
        <f t="shared" si="3"/>
        <v>1231</v>
      </c>
      <c r="BV37">
        <f t="shared" si="4"/>
        <v>1763</v>
      </c>
      <c r="BW37">
        <f t="shared" si="5"/>
        <v>2461</v>
      </c>
      <c r="BX37">
        <f t="shared" si="6"/>
        <v>12</v>
      </c>
      <c r="BY37" s="2">
        <f t="shared" si="7"/>
        <v>1276</v>
      </c>
      <c r="BZ37">
        <f t="shared" si="8"/>
        <v>163.3741002579462</v>
      </c>
      <c r="CA37">
        <v>163.3741002579462</v>
      </c>
      <c r="CB37">
        <v>163.3741002579462</v>
      </c>
      <c r="CC37">
        <v>163.3741002579462</v>
      </c>
      <c r="CD37">
        <v>163.3741002579462</v>
      </c>
      <c r="CE37">
        <v>163.3741002579462</v>
      </c>
      <c r="CF37">
        <v>163.3741002579462</v>
      </c>
      <c r="CG37">
        <v>163.3741002579462</v>
      </c>
      <c r="CH37">
        <f t="shared" si="16"/>
        <v>-0.18379943114158484</v>
      </c>
      <c r="CI37">
        <f t="shared" si="9"/>
        <v>-2.2131832088267944</v>
      </c>
      <c r="CJ37">
        <f t="shared" si="10"/>
        <v>-0.44975521526385726</v>
      </c>
      <c r="CK37">
        <f t="shared" si="11"/>
        <v>0.87707484410452186</v>
      </c>
      <c r="CL37">
        <f t="shared" si="12"/>
        <v>1.0330691034725275</v>
      </c>
      <c r="CM37">
        <f t="shared" si="13"/>
        <v>1.1779284048760079</v>
      </c>
      <c r="CN37">
        <f t="shared" si="14"/>
        <v>-1.1340019627791698</v>
      </c>
      <c r="CO37" s="2">
        <f t="shared" si="15"/>
        <v>0.89266746555834897</v>
      </c>
      <c r="CP37">
        <v>-0.89785091371371895</v>
      </c>
      <c r="CQ37">
        <v>-2.2527165794045199</v>
      </c>
      <c r="CR37">
        <v>0.48569362195257398</v>
      </c>
      <c r="CS37">
        <v>0.93888180274323596</v>
      </c>
      <c r="CT37">
        <v>0.98827067830294002</v>
      </c>
      <c r="CU37">
        <v>0.97442110488040001</v>
      </c>
      <c r="CV37">
        <v>-0.36508401339781499</v>
      </c>
      <c r="CW37">
        <v>0.96747650938284702</v>
      </c>
      <c r="CX37" t="s">
        <v>1826</v>
      </c>
    </row>
    <row r="38" spans="1:102" x14ac:dyDescent="0.35">
      <c r="A38" t="s">
        <v>171</v>
      </c>
      <c r="B38" t="s">
        <v>148</v>
      </c>
      <c r="C38" t="s">
        <v>108</v>
      </c>
      <c r="D38" t="s">
        <v>72</v>
      </c>
      <c r="E38" t="s">
        <v>72</v>
      </c>
      <c r="F38" t="s">
        <v>72</v>
      </c>
      <c r="G38" t="s">
        <v>73</v>
      </c>
      <c r="H38" t="s">
        <v>109</v>
      </c>
      <c r="I38" t="s">
        <v>110</v>
      </c>
      <c r="J38" t="s">
        <v>111</v>
      </c>
      <c r="K38" t="s">
        <v>112</v>
      </c>
      <c r="L38" t="s">
        <v>113</v>
      </c>
      <c r="M38" t="s">
        <v>114</v>
      </c>
      <c r="N38">
        <v>48</v>
      </c>
      <c r="O38" t="s">
        <v>80</v>
      </c>
      <c r="P38">
        <v>621</v>
      </c>
      <c r="Q38">
        <v>0.68400000000000005</v>
      </c>
      <c r="R38">
        <v>175</v>
      </c>
      <c r="S38">
        <v>0.81130000000000002</v>
      </c>
      <c r="T38" t="s">
        <v>115</v>
      </c>
      <c r="U38" t="s">
        <v>116</v>
      </c>
      <c r="V38" t="s">
        <v>117</v>
      </c>
      <c r="W38" t="s">
        <v>118</v>
      </c>
      <c r="X38" t="s">
        <v>119</v>
      </c>
      <c r="Y38" t="s">
        <v>120</v>
      </c>
      <c r="Z38" t="s">
        <v>121</v>
      </c>
      <c r="AA38" t="s">
        <v>88</v>
      </c>
      <c r="AB38">
        <v>554</v>
      </c>
      <c r="AC38">
        <v>11</v>
      </c>
      <c r="AE38">
        <v>1</v>
      </c>
      <c r="AF38" t="s">
        <v>89</v>
      </c>
      <c r="AG38" t="s">
        <v>172</v>
      </c>
      <c r="AH38" t="s">
        <v>72</v>
      </c>
      <c r="AI38" t="s">
        <v>72</v>
      </c>
      <c r="AJ38" t="s">
        <v>91</v>
      </c>
      <c r="AK38" t="s">
        <v>92</v>
      </c>
      <c r="AL38" t="s">
        <v>93</v>
      </c>
      <c r="AM38" t="s">
        <v>94</v>
      </c>
      <c r="AN38" t="s">
        <v>173</v>
      </c>
      <c r="AO38" t="s">
        <v>174</v>
      </c>
      <c r="AP38" t="s">
        <v>97</v>
      </c>
      <c r="AQ38">
        <v>39</v>
      </c>
      <c r="AR38" t="s">
        <v>80</v>
      </c>
      <c r="AS38">
        <v>1332</v>
      </c>
      <c r="AT38">
        <v>0.95830000000000004</v>
      </c>
      <c r="AU38">
        <v>172</v>
      </c>
      <c r="AV38">
        <v>0.94740000000000002</v>
      </c>
      <c r="AW38" t="s">
        <v>98</v>
      </c>
      <c r="AX38" t="s">
        <v>146</v>
      </c>
      <c r="AY38" t="s">
        <v>175</v>
      </c>
      <c r="AZ38" t="s">
        <v>101</v>
      </c>
      <c r="BA38" t="s">
        <v>176</v>
      </c>
      <c r="BB38" t="s">
        <v>103</v>
      </c>
      <c r="BC38" t="s">
        <v>104</v>
      </c>
      <c r="BD38" t="s">
        <v>105</v>
      </c>
      <c r="BE38">
        <v>83624</v>
      </c>
      <c r="BF38" t="s">
        <v>106</v>
      </c>
      <c r="BG38">
        <v>994</v>
      </c>
      <c r="BH38" t="s">
        <v>80</v>
      </c>
      <c r="BI38">
        <v>1</v>
      </c>
      <c r="BJ38">
        <v>225</v>
      </c>
      <c r="BK38">
        <v>0</v>
      </c>
      <c r="BL38">
        <v>9</v>
      </c>
      <c r="BM38">
        <v>700</v>
      </c>
      <c r="BN38">
        <v>960</v>
      </c>
      <c r="BO38">
        <v>1393</v>
      </c>
      <c r="BP38">
        <v>5</v>
      </c>
      <c r="BQ38" s="2">
        <v>777</v>
      </c>
      <c r="BR38">
        <f t="shared" si="0"/>
        <v>226</v>
      </c>
      <c r="BS38">
        <f t="shared" si="1"/>
        <v>1</v>
      </c>
      <c r="BT38">
        <f t="shared" si="2"/>
        <v>10</v>
      </c>
      <c r="BU38">
        <f t="shared" si="3"/>
        <v>701</v>
      </c>
      <c r="BV38">
        <f t="shared" si="4"/>
        <v>961</v>
      </c>
      <c r="BW38">
        <f t="shared" si="5"/>
        <v>1394</v>
      </c>
      <c r="BX38">
        <f t="shared" si="6"/>
        <v>6</v>
      </c>
      <c r="BY38" s="2">
        <f t="shared" si="7"/>
        <v>778</v>
      </c>
      <c r="BZ38">
        <f t="shared" si="8"/>
        <v>99.883311697475165</v>
      </c>
      <c r="CA38">
        <v>99.883311697475165</v>
      </c>
      <c r="CB38">
        <v>99.883311697475165</v>
      </c>
      <c r="CC38">
        <v>99.883311697475165</v>
      </c>
      <c r="CD38">
        <v>99.883311697475165</v>
      </c>
      <c r="CE38">
        <v>99.883311697475165</v>
      </c>
      <c r="CF38">
        <v>99.883311697475165</v>
      </c>
      <c r="CG38">
        <v>99.883311697475165</v>
      </c>
      <c r="CH38">
        <f t="shared" si="16"/>
        <v>0.35461550590765989</v>
      </c>
      <c r="CI38">
        <f t="shared" si="9"/>
        <v>-1.9994929332397411</v>
      </c>
      <c r="CJ38">
        <f t="shared" si="10"/>
        <v>-0.99949293323974098</v>
      </c>
      <c r="CK38">
        <f t="shared" si="11"/>
        <v>0.8462250847269176</v>
      </c>
      <c r="CL38">
        <f t="shared" si="12"/>
        <v>0.9832304544288043</v>
      </c>
      <c r="CM38">
        <f t="shared" si="13"/>
        <v>1.1447698405222495</v>
      </c>
      <c r="CN38">
        <f t="shared" si="14"/>
        <v>-1.2213416828560975</v>
      </c>
      <c r="CO38" s="2">
        <f t="shared" si="15"/>
        <v>0.89148666374994789</v>
      </c>
      <c r="CP38">
        <v>-0.25098179198975801</v>
      </c>
      <c r="CQ38">
        <v>-2.2527165794045199</v>
      </c>
      <c r="CR38">
        <v>-1.9704671477324001</v>
      </c>
      <c r="CS38">
        <v>0.84798453219075798</v>
      </c>
      <c r="CT38">
        <v>0.84953906106883403</v>
      </c>
      <c r="CU38">
        <v>0.87866600261042704</v>
      </c>
      <c r="CV38">
        <v>-0.59932685367563299</v>
      </c>
      <c r="CW38">
        <v>0.964233256101382</v>
      </c>
      <c r="CX38" t="s">
        <v>1826</v>
      </c>
    </row>
    <row r="39" spans="1:102" x14ac:dyDescent="0.35">
      <c r="A39" t="s">
        <v>650</v>
      </c>
      <c r="B39" t="s">
        <v>199</v>
      </c>
      <c r="C39" t="s">
        <v>651</v>
      </c>
      <c r="D39" t="s">
        <v>72</v>
      </c>
      <c r="E39" t="s">
        <v>72</v>
      </c>
      <c r="F39" t="s">
        <v>72</v>
      </c>
      <c r="G39" t="s">
        <v>73</v>
      </c>
      <c r="H39" t="s">
        <v>109</v>
      </c>
      <c r="I39" t="s">
        <v>110</v>
      </c>
      <c r="J39" t="s">
        <v>111</v>
      </c>
      <c r="K39" t="s">
        <v>112</v>
      </c>
      <c r="L39" t="s">
        <v>113</v>
      </c>
      <c r="M39" t="s">
        <v>114</v>
      </c>
      <c r="N39">
        <v>48</v>
      </c>
      <c r="O39" t="s">
        <v>80</v>
      </c>
      <c r="P39">
        <v>621</v>
      </c>
      <c r="Q39">
        <v>0.68400000000000005</v>
      </c>
      <c r="R39">
        <v>175</v>
      </c>
      <c r="S39">
        <v>0.81130000000000002</v>
      </c>
      <c r="T39" t="s">
        <v>115</v>
      </c>
      <c r="U39" t="s">
        <v>116</v>
      </c>
      <c r="V39" t="s">
        <v>117</v>
      </c>
      <c r="W39" t="s">
        <v>118</v>
      </c>
      <c r="X39" t="s">
        <v>119</v>
      </c>
      <c r="Y39" t="s">
        <v>120</v>
      </c>
      <c r="Z39" t="s">
        <v>121</v>
      </c>
      <c r="AA39" t="s">
        <v>88</v>
      </c>
      <c r="AB39">
        <v>326</v>
      </c>
      <c r="AC39">
        <v>5</v>
      </c>
      <c r="AE39">
        <v>1</v>
      </c>
      <c r="AF39" t="s">
        <v>89</v>
      </c>
      <c r="AG39" t="s">
        <v>652</v>
      </c>
      <c r="AH39" t="s">
        <v>72</v>
      </c>
      <c r="AI39" t="s">
        <v>72</v>
      </c>
      <c r="AJ39" t="s">
        <v>91</v>
      </c>
      <c r="AK39" t="s">
        <v>92</v>
      </c>
      <c r="AL39" t="s">
        <v>93</v>
      </c>
      <c r="AM39" t="s">
        <v>94</v>
      </c>
      <c r="AN39" t="s">
        <v>653</v>
      </c>
      <c r="AO39" t="s">
        <v>654</v>
      </c>
      <c r="AP39" t="s">
        <v>97</v>
      </c>
      <c r="AQ39">
        <v>39</v>
      </c>
      <c r="AR39" t="s">
        <v>80</v>
      </c>
      <c r="AS39">
        <v>1350</v>
      </c>
      <c r="AT39">
        <v>0.96530000000000005</v>
      </c>
      <c r="AU39">
        <v>163</v>
      </c>
      <c r="AV39">
        <v>0.92110000000000003</v>
      </c>
      <c r="AW39" t="s">
        <v>98</v>
      </c>
      <c r="AX39" t="s">
        <v>146</v>
      </c>
      <c r="AY39" t="s">
        <v>127</v>
      </c>
      <c r="AZ39" t="s">
        <v>136</v>
      </c>
      <c r="BA39" t="s">
        <v>128</v>
      </c>
      <c r="BB39" t="s">
        <v>655</v>
      </c>
      <c r="BC39" t="s">
        <v>104</v>
      </c>
      <c r="BD39" t="s">
        <v>105</v>
      </c>
      <c r="BE39">
        <v>65596</v>
      </c>
      <c r="BF39" t="s">
        <v>106</v>
      </c>
      <c r="BG39">
        <v>717</v>
      </c>
      <c r="BH39" t="s">
        <v>80</v>
      </c>
      <c r="BI39">
        <v>1</v>
      </c>
      <c r="BJ39">
        <v>120</v>
      </c>
      <c r="BK39">
        <v>8</v>
      </c>
      <c r="BL39">
        <v>92</v>
      </c>
      <c r="BM39">
        <v>3339</v>
      </c>
      <c r="BN39">
        <v>4588</v>
      </c>
      <c r="BO39">
        <v>6410</v>
      </c>
      <c r="BP39">
        <v>37</v>
      </c>
      <c r="BQ39" s="2">
        <v>3386</v>
      </c>
      <c r="BR39">
        <f t="shared" si="0"/>
        <v>121</v>
      </c>
      <c r="BS39">
        <f t="shared" si="1"/>
        <v>9</v>
      </c>
      <c r="BT39">
        <f t="shared" si="2"/>
        <v>93</v>
      </c>
      <c r="BU39">
        <f t="shared" si="3"/>
        <v>3340</v>
      </c>
      <c r="BV39">
        <f t="shared" si="4"/>
        <v>4589</v>
      </c>
      <c r="BW39">
        <f t="shared" si="5"/>
        <v>6411</v>
      </c>
      <c r="BX39">
        <f t="shared" si="6"/>
        <v>38</v>
      </c>
      <c r="BY39" s="2">
        <f t="shared" si="7"/>
        <v>3387</v>
      </c>
      <c r="BZ39">
        <f t="shared" si="8"/>
        <v>434.94815240998361</v>
      </c>
      <c r="CA39">
        <v>434.94815240998361</v>
      </c>
      <c r="CB39">
        <v>434.94815240998361</v>
      </c>
      <c r="CC39">
        <v>434.94815240998361</v>
      </c>
      <c r="CD39">
        <v>434.94815240998361</v>
      </c>
      <c r="CE39">
        <v>434.94815240998361</v>
      </c>
      <c r="CF39">
        <v>434.94815240998361</v>
      </c>
      <c r="CG39">
        <v>434.94815240998361</v>
      </c>
      <c r="CH39">
        <f t="shared" si="16"/>
        <v>-0.55565212005368814</v>
      </c>
      <c r="CI39">
        <f t="shared" si="9"/>
        <v>-1.6841949809308134</v>
      </c>
      <c r="CJ39">
        <f t="shared" si="10"/>
        <v>-0.66995454181620318</v>
      </c>
      <c r="CK39">
        <f t="shared" si="11"/>
        <v>0.88530897644142625</v>
      </c>
      <c r="CL39">
        <f t="shared" si="12"/>
        <v>1.0232805673245211</v>
      </c>
      <c r="CM39">
        <f t="shared" si="13"/>
        <v>1.1684882865135935</v>
      </c>
      <c r="CN39">
        <f t="shared" si="14"/>
        <v>-1.0586538937533281</v>
      </c>
      <c r="CO39" s="2">
        <f t="shared" si="15"/>
        <v>0.89137770627449209</v>
      </c>
      <c r="CP39">
        <v>-1.34460676266088</v>
      </c>
      <c r="CQ39">
        <v>-0.176138914888302</v>
      </c>
      <c r="CR39">
        <v>-0.49812999011518699</v>
      </c>
      <c r="CS39">
        <v>0.96314326117574001</v>
      </c>
      <c r="CT39">
        <v>0.96102316104026098</v>
      </c>
      <c r="CU39">
        <v>0.94715998797588696</v>
      </c>
      <c r="CV39">
        <v>-0.163002466966059</v>
      </c>
      <c r="CW39">
        <v>0.96393398768284</v>
      </c>
      <c r="CX39" t="s">
        <v>1826</v>
      </c>
    </row>
    <row r="40" spans="1:102" x14ac:dyDescent="0.35">
      <c r="A40" t="s">
        <v>747</v>
      </c>
      <c r="B40" t="s">
        <v>153</v>
      </c>
      <c r="C40" t="s">
        <v>748</v>
      </c>
      <c r="D40" t="s">
        <v>72</v>
      </c>
      <c r="E40" t="s">
        <v>72</v>
      </c>
      <c r="F40" t="s">
        <v>72</v>
      </c>
      <c r="G40" t="s">
        <v>73</v>
      </c>
      <c r="H40" t="s">
        <v>109</v>
      </c>
      <c r="I40" t="s">
        <v>110</v>
      </c>
      <c r="J40" t="s">
        <v>111</v>
      </c>
      <c r="K40" t="s">
        <v>112</v>
      </c>
      <c r="L40" t="s">
        <v>113</v>
      </c>
      <c r="M40" t="s">
        <v>114</v>
      </c>
      <c r="N40">
        <v>48</v>
      </c>
      <c r="O40" t="s">
        <v>80</v>
      </c>
      <c r="P40">
        <v>621</v>
      </c>
      <c r="Q40">
        <v>0.68400000000000005</v>
      </c>
      <c r="R40">
        <v>175</v>
      </c>
      <c r="S40">
        <v>0.81130000000000002</v>
      </c>
      <c r="T40" t="s">
        <v>115</v>
      </c>
      <c r="U40" t="s">
        <v>116</v>
      </c>
      <c r="V40" t="s">
        <v>117</v>
      </c>
      <c r="W40" t="s">
        <v>118</v>
      </c>
      <c r="X40" t="s">
        <v>119</v>
      </c>
      <c r="Y40" t="s">
        <v>120</v>
      </c>
      <c r="Z40" t="s">
        <v>121</v>
      </c>
      <c r="AA40" t="s">
        <v>88</v>
      </c>
      <c r="AB40">
        <v>3179</v>
      </c>
      <c r="AC40">
        <v>30</v>
      </c>
      <c r="AE40">
        <v>1</v>
      </c>
      <c r="AF40" t="s">
        <v>89</v>
      </c>
      <c r="AG40" t="s">
        <v>749</v>
      </c>
      <c r="AH40" t="s">
        <v>72</v>
      </c>
      <c r="AI40" t="s">
        <v>72</v>
      </c>
      <c r="AJ40" t="s">
        <v>91</v>
      </c>
      <c r="AK40" t="s">
        <v>92</v>
      </c>
      <c r="AL40" t="s">
        <v>93</v>
      </c>
      <c r="AM40" t="s">
        <v>94</v>
      </c>
      <c r="AN40" t="s">
        <v>750</v>
      </c>
      <c r="AO40" t="s">
        <v>751</v>
      </c>
      <c r="AP40" t="s">
        <v>97</v>
      </c>
      <c r="AQ40">
        <v>39</v>
      </c>
      <c r="AR40" t="s">
        <v>80</v>
      </c>
      <c r="AS40">
        <v>1350</v>
      </c>
      <c r="AT40">
        <v>0.96530000000000005</v>
      </c>
      <c r="AU40">
        <v>172</v>
      </c>
      <c r="AV40">
        <v>0.94740000000000002</v>
      </c>
      <c r="AW40" t="s">
        <v>98</v>
      </c>
      <c r="AX40" t="s">
        <v>146</v>
      </c>
      <c r="AY40" t="s">
        <v>752</v>
      </c>
      <c r="AZ40" t="s">
        <v>101</v>
      </c>
      <c r="BA40" t="s">
        <v>128</v>
      </c>
      <c r="BB40" t="s">
        <v>103</v>
      </c>
      <c r="BC40" t="s">
        <v>104</v>
      </c>
      <c r="BD40" t="s">
        <v>105</v>
      </c>
      <c r="BE40">
        <v>45441</v>
      </c>
      <c r="BF40" t="s">
        <v>106</v>
      </c>
      <c r="BG40">
        <v>549</v>
      </c>
      <c r="BH40" t="s">
        <v>80</v>
      </c>
      <c r="BI40">
        <v>1</v>
      </c>
      <c r="BJ40">
        <v>158</v>
      </c>
      <c r="BK40">
        <v>5</v>
      </c>
      <c r="BL40">
        <v>59</v>
      </c>
      <c r="BM40">
        <v>2748</v>
      </c>
      <c r="BN40">
        <v>3505</v>
      </c>
      <c r="BO40">
        <v>4750</v>
      </c>
      <c r="BP40">
        <v>20</v>
      </c>
      <c r="BQ40" s="2">
        <v>2569</v>
      </c>
      <c r="BR40">
        <f t="shared" si="0"/>
        <v>159</v>
      </c>
      <c r="BS40">
        <f t="shared" si="1"/>
        <v>6</v>
      </c>
      <c r="BT40">
        <f t="shared" si="2"/>
        <v>60</v>
      </c>
      <c r="BU40">
        <f t="shared" si="3"/>
        <v>2749</v>
      </c>
      <c r="BV40">
        <f t="shared" si="4"/>
        <v>3506</v>
      </c>
      <c r="BW40">
        <f t="shared" si="5"/>
        <v>4751</v>
      </c>
      <c r="BX40">
        <f t="shared" si="6"/>
        <v>21</v>
      </c>
      <c r="BY40" s="2">
        <f t="shared" si="7"/>
        <v>2570</v>
      </c>
      <c r="BZ40">
        <f t="shared" si="8"/>
        <v>330.23869973586369</v>
      </c>
      <c r="CA40">
        <v>330.23869973586369</v>
      </c>
      <c r="CB40">
        <v>330.23869973586369</v>
      </c>
      <c r="CC40">
        <v>330.23869973586369</v>
      </c>
      <c r="CD40">
        <v>330.23869973586369</v>
      </c>
      <c r="CE40">
        <v>330.23869973586369</v>
      </c>
      <c r="CF40">
        <v>330.23869973586369</v>
      </c>
      <c r="CG40">
        <v>330.23869973586369</v>
      </c>
      <c r="CH40">
        <f t="shared" si="16"/>
        <v>-0.31743084132622384</v>
      </c>
      <c r="CI40">
        <f t="shared" si="9"/>
        <v>-1.7406767152630318</v>
      </c>
      <c r="CJ40">
        <f t="shared" si="10"/>
        <v>-0.74067671526303169</v>
      </c>
      <c r="CK40">
        <f t="shared" si="11"/>
        <v>0.92034677419679312</v>
      </c>
      <c r="CL40">
        <f t="shared" si="12"/>
        <v>1.0259839461111009</v>
      </c>
      <c r="CM40">
        <f t="shared" si="13"/>
        <v>1.1579570647725301</v>
      </c>
      <c r="CN40">
        <f t="shared" si="14"/>
        <v>-1.1966086709127561</v>
      </c>
      <c r="CO40" s="2">
        <f t="shared" si="15"/>
        <v>0.89110515768461918</v>
      </c>
      <c r="CP40">
        <v>-1.0584000125455899</v>
      </c>
      <c r="CQ40">
        <v>-0.34299750807600898</v>
      </c>
      <c r="CR40">
        <v>-0.81410799614783202</v>
      </c>
      <c r="CS40">
        <v>1.0663803770037701</v>
      </c>
      <c r="CT40">
        <v>0.96854832711628303</v>
      </c>
      <c r="CU40">
        <v>0.91674798931138501</v>
      </c>
      <c r="CV40">
        <v>-0.53299356383762297</v>
      </c>
      <c r="CW40">
        <v>0.96318539117648705</v>
      </c>
      <c r="CX40" t="s">
        <v>1826</v>
      </c>
    </row>
    <row r="41" spans="1:102" x14ac:dyDescent="0.35">
      <c r="A41" t="s">
        <v>1405</v>
      </c>
      <c r="B41" t="s">
        <v>211</v>
      </c>
      <c r="C41" t="s">
        <v>1406</v>
      </c>
      <c r="D41" t="s">
        <v>72</v>
      </c>
      <c r="E41" t="s">
        <v>72</v>
      </c>
      <c r="F41" t="s">
        <v>72</v>
      </c>
      <c r="G41" t="s">
        <v>73</v>
      </c>
      <c r="H41" t="s">
        <v>109</v>
      </c>
      <c r="I41" t="s">
        <v>110</v>
      </c>
      <c r="J41" t="s">
        <v>111</v>
      </c>
      <c r="K41" t="s">
        <v>112</v>
      </c>
      <c r="L41" t="s">
        <v>113</v>
      </c>
      <c r="M41" t="s">
        <v>114</v>
      </c>
      <c r="N41">
        <v>48</v>
      </c>
      <c r="O41" t="s">
        <v>80</v>
      </c>
      <c r="P41">
        <v>621</v>
      </c>
      <c r="Q41">
        <v>0.68400000000000005</v>
      </c>
      <c r="R41">
        <v>175</v>
      </c>
      <c r="S41">
        <v>0.81130000000000002</v>
      </c>
      <c r="T41" t="s">
        <v>115</v>
      </c>
      <c r="U41" t="s">
        <v>116</v>
      </c>
      <c r="V41" t="s">
        <v>117</v>
      </c>
      <c r="W41" t="s">
        <v>118</v>
      </c>
      <c r="X41" t="s">
        <v>119</v>
      </c>
      <c r="Y41" t="s">
        <v>120</v>
      </c>
      <c r="Z41" t="s">
        <v>121</v>
      </c>
      <c r="AA41" t="s">
        <v>88</v>
      </c>
      <c r="AB41">
        <v>974</v>
      </c>
      <c r="AC41">
        <v>13</v>
      </c>
      <c r="AE41">
        <v>1</v>
      </c>
      <c r="AF41" t="s">
        <v>89</v>
      </c>
      <c r="AG41" t="s">
        <v>1407</v>
      </c>
      <c r="AH41" t="s">
        <v>72</v>
      </c>
      <c r="AI41" t="s">
        <v>72</v>
      </c>
      <c r="AJ41" t="s">
        <v>72</v>
      </c>
      <c r="AK41" t="s">
        <v>92</v>
      </c>
      <c r="AL41" t="s">
        <v>93</v>
      </c>
      <c r="AM41" t="s">
        <v>94</v>
      </c>
      <c r="AN41" t="s">
        <v>1408</v>
      </c>
      <c r="AO41" t="s">
        <v>1409</v>
      </c>
      <c r="AP41" t="s">
        <v>97</v>
      </c>
      <c r="AQ41">
        <v>39</v>
      </c>
      <c r="AR41" t="s">
        <v>80</v>
      </c>
      <c r="AS41">
        <v>1341</v>
      </c>
      <c r="AT41">
        <v>0.96179999999999999</v>
      </c>
      <c r="AU41">
        <v>172</v>
      </c>
      <c r="AV41">
        <v>0.94740000000000002</v>
      </c>
      <c r="AW41" t="s">
        <v>98</v>
      </c>
      <c r="AX41" t="s">
        <v>1410</v>
      </c>
      <c r="AY41" t="s">
        <v>127</v>
      </c>
      <c r="AZ41" t="s">
        <v>101</v>
      </c>
      <c r="BA41" t="s">
        <v>128</v>
      </c>
      <c r="BB41" t="s">
        <v>655</v>
      </c>
      <c r="BC41" t="s">
        <v>104</v>
      </c>
      <c r="BD41" t="s">
        <v>105</v>
      </c>
      <c r="BE41">
        <v>21776</v>
      </c>
      <c r="BG41">
        <v>260</v>
      </c>
      <c r="BH41" t="s">
        <v>80</v>
      </c>
      <c r="BI41">
        <v>1</v>
      </c>
      <c r="BJ41">
        <v>115</v>
      </c>
      <c r="BK41">
        <v>11</v>
      </c>
      <c r="BL41">
        <v>102</v>
      </c>
      <c r="BM41">
        <v>3411</v>
      </c>
      <c r="BN41">
        <v>4467</v>
      </c>
      <c r="BO41">
        <v>6079</v>
      </c>
      <c r="BP41">
        <v>26</v>
      </c>
      <c r="BQ41" s="2">
        <v>3296</v>
      </c>
      <c r="BR41">
        <f t="shared" si="0"/>
        <v>116</v>
      </c>
      <c r="BS41">
        <f t="shared" si="1"/>
        <v>12</v>
      </c>
      <c r="BT41">
        <f t="shared" si="2"/>
        <v>103</v>
      </c>
      <c r="BU41">
        <f t="shared" si="3"/>
        <v>3412</v>
      </c>
      <c r="BV41">
        <f t="shared" si="4"/>
        <v>4468</v>
      </c>
      <c r="BW41">
        <f t="shared" si="5"/>
        <v>6080</v>
      </c>
      <c r="BX41">
        <f t="shared" si="6"/>
        <v>27</v>
      </c>
      <c r="BY41" s="2">
        <f t="shared" si="7"/>
        <v>3297</v>
      </c>
      <c r="BZ41">
        <f t="shared" si="8"/>
        <v>430.64867683418584</v>
      </c>
      <c r="CA41">
        <v>430.64867683418584</v>
      </c>
      <c r="CB41">
        <v>430.64867683418584</v>
      </c>
      <c r="CC41">
        <v>430.64867683418584</v>
      </c>
      <c r="CD41">
        <v>430.64867683418584</v>
      </c>
      <c r="CE41">
        <v>430.64867683418584</v>
      </c>
      <c r="CF41">
        <v>430.64867683418584</v>
      </c>
      <c r="CG41">
        <v>430.64867683418584</v>
      </c>
      <c r="CH41">
        <f t="shared" si="16"/>
        <v>-0.56966512795978741</v>
      </c>
      <c r="CI41">
        <f t="shared" si="9"/>
        <v>-1.554941871139081</v>
      </c>
      <c r="CJ41">
        <f t="shared" si="10"/>
        <v>-0.62128589248153376</v>
      </c>
      <c r="CK41">
        <f t="shared" si="11"/>
        <v>0.89888590530877954</v>
      </c>
      <c r="CL41">
        <f t="shared" si="12"/>
        <v>1.0159900472568655</v>
      </c>
      <c r="CM41">
        <f t="shared" si="13"/>
        <v>1.149780462086029</v>
      </c>
      <c r="CN41">
        <f t="shared" si="14"/>
        <v>-1.2027593530277185</v>
      </c>
      <c r="CO41" s="2">
        <f t="shared" si="15"/>
        <v>0.8839958299564471</v>
      </c>
      <c r="CP41">
        <v>-1.3614424436444099</v>
      </c>
      <c r="CQ41">
        <v>0.20570120245176701</v>
      </c>
      <c r="CR41">
        <v>-0.28068442780320901</v>
      </c>
      <c r="CS41">
        <v>1.0031470019317701</v>
      </c>
      <c r="CT41">
        <v>0.94072915911865496</v>
      </c>
      <c r="CU41">
        <v>0.89313564535964496</v>
      </c>
      <c r="CV41">
        <v>-0.54948953207505002</v>
      </c>
      <c r="CW41">
        <v>0.94365853212244599</v>
      </c>
      <c r="CX41" t="s">
        <v>1826</v>
      </c>
    </row>
    <row r="42" spans="1:102" x14ac:dyDescent="0.35">
      <c r="A42" t="s">
        <v>886</v>
      </c>
      <c r="B42" t="s">
        <v>89</v>
      </c>
      <c r="C42" t="s">
        <v>108</v>
      </c>
      <c r="D42" t="s">
        <v>72</v>
      </c>
      <c r="E42" t="s">
        <v>72</v>
      </c>
      <c r="F42" t="s">
        <v>72</v>
      </c>
      <c r="G42" t="s">
        <v>73</v>
      </c>
      <c r="H42" t="s">
        <v>109</v>
      </c>
      <c r="I42" t="s">
        <v>110</v>
      </c>
      <c r="J42" t="s">
        <v>111</v>
      </c>
      <c r="K42" t="s">
        <v>112</v>
      </c>
      <c r="L42" t="s">
        <v>113</v>
      </c>
      <c r="M42" t="s">
        <v>114</v>
      </c>
      <c r="N42">
        <v>48</v>
      </c>
      <c r="O42" t="s">
        <v>80</v>
      </c>
      <c r="P42">
        <v>621</v>
      </c>
      <c r="Q42">
        <v>0.68400000000000005</v>
      </c>
      <c r="R42">
        <v>175</v>
      </c>
      <c r="S42">
        <v>0.81130000000000002</v>
      </c>
      <c r="T42" t="s">
        <v>115</v>
      </c>
      <c r="U42" t="s">
        <v>116</v>
      </c>
      <c r="V42" t="s">
        <v>117</v>
      </c>
      <c r="W42" t="s">
        <v>118</v>
      </c>
      <c r="X42" t="s">
        <v>119</v>
      </c>
      <c r="Y42" t="s">
        <v>120</v>
      </c>
      <c r="Z42" t="s">
        <v>121</v>
      </c>
      <c r="AA42" t="s">
        <v>88</v>
      </c>
      <c r="AB42">
        <v>1505</v>
      </c>
      <c r="AC42">
        <v>15</v>
      </c>
      <c r="AE42">
        <v>1</v>
      </c>
      <c r="AF42" t="s">
        <v>231</v>
      </c>
      <c r="AG42" t="s">
        <v>887</v>
      </c>
      <c r="AH42" t="s">
        <v>72</v>
      </c>
      <c r="AI42" t="s">
        <v>72</v>
      </c>
      <c r="AJ42" t="s">
        <v>72</v>
      </c>
      <c r="AK42" t="s">
        <v>92</v>
      </c>
      <c r="AL42" t="s">
        <v>93</v>
      </c>
      <c r="AM42" t="s">
        <v>94</v>
      </c>
      <c r="AN42" t="s">
        <v>888</v>
      </c>
      <c r="AO42" t="s">
        <v>889</v>
      </c>
      <c r="AP42" t="s">
        <v>286</v>
      </c>
      <c r="AQ42">
        <v>39</v>
      </c>
      <c r="AR42" t="s">
        <v>80</v>
      </c>
      <c r="AS42">
        <v>1341</v>
      </c>
      <c r="AT42">
        <v>0.96179999999999999</v>
      </c>
      <c r="AU42">
        <v>163</v>
      </c>
      <c r="AV42">
        <v>0.92110000000000003</v>
      </c>
      <c r="AW42" t="s">
        <v>98</v>
      </c>
      <c r="AX42" t="s">
        <v>146</v>
      </c>
      <c r="AY42" t="s">
        <v>288</v>
      </c>
      <c r="AZ42" t="s">
        <v>136</v>
      </c>
      <c r="BA42" t="s">
        <v>128</v>
      </c>
      <c r="BB42" t="s">
        <v>103</v>
      </c>
      <c r="BC42" t="s">
        <v>104</v>
      </c>
      <c r="BD42" t="s">
        <v>105</v>
      </c>
      <c r="BE42">
        <v>31803</v>
      </c>
      <c r="BG42">
        <v>533</v>
      </c>
      <c r="BH42" t="s">
        <v>80</v>
      </c>
      <c r="BI42">
        <v>1</v>
      </c>
      <c r="BJ42">
        <v>94</v>
      </c>
      <c r="BK42">
        <v>0</v>
      </c>
      <c r="BL42">
        <v>22</v>
      </c>
      <c r="BM42">
        <v>1032</v>
      </c>
      <c r="BN42">
        <v>1455</v>
      </c>
      <c r="BO42">
        <v>2185</v>
      </c>
      <c r="BP42">
        <v>12</v>
      </c>
      <c r="BQ42" s="2">
        <v>1009</v>
      </c>
      <c r="BR42">
        <f t="shared" si="0"/>
        <v>95</v>
      </c>
      <c r="BS42">
        <f t="shared" si="1"/>
        <v>1</v>
      </c>
      <c r="BT42">
        <f t="shared" si="2"/>
        <v>23</v>
      </c>
      <c r="BU42">
        <f t="shared" si="3"/>
        <v>1033</v>
      </c>
      <c r="BV42">
        <f t="shared" si="4"/>
        <v>1456</v>
      </c>
      <c r="BW42">
        <f t="shared" si="5"/>
        <v>2186</v>
      </c>
      <c r="BX42">
        <f t="shared" si="6"/>
        <v>13</v>
      </c>
      <c r="BY42" s="2">
        <f t="shared" si="7"/>
        <v>1010</v>
      </c>
      <c r="BZ42">
        <f t="shared" si="8"/>
        <v>132.38186729782112</v>
      </c>
      <c r="CA42">
        <v>132.38186729782112</v>
      </c>
      <c r="CB42">
        <v>132.38186729782112</v>
      </c>
      <c r="CC42">
        <v>132.38186729782112</v>
      </c>
      <c r="CD42">
        <v>132.38186729782112</v>
      </c>
      <c r="CE42">
        <v>132.38186729782112</v>
      </c>
      <c r="CF42">
        <v>132.38186729782112</v>
      </c>
      <c r="CG42">
        <v>132.38186729782112</v>
      </c>
      <c r="CH42">
        <f t="shared" si="16"/>
        <v>-0.14410489739943261</v>
      </c>
      <c r="CI42">
        <f t="shared" si="9"/>
        <v>-2.1218285026882806</v>
      </c>
      <c r="CJ42">
        <f t="shared" si="10"/>
        <v>-0.76010066667068754</v>
      </c>
      <c r="CK42">
        <f t="shared" si="11"/>
        <v>0.89227181883134021</v>
      </c>
      <c r="CL42">
        <f t="shared" si="12"/>
        <v>1.0413328722887381</v>
      </c>
      <c r="CM42">
        <f t="shared" si="13"/>
        <v>1.2178216549254035</v>
      </c>
      <c r="CN42">
        <f t="shared" si="14"/>
        <v>-1.0078851503814437</v>
      </c>
      <c r="CO42" s="2">
        <f t="shared" si="15"/>
        <v>0.88249287109436214</v>
      </c>
      <c r="CP42">
        <v>-0.85016061685875</v>
      </c>
      <c r="CQ42">
        <v>-2.2527165794045199</v>
      </c>
      <c r="CR42">
        <v>-0.90089183120177696</v>
      </c>
      <c r="CS42">
        <v>0.98365892746614703</v>
      </c>
      <c r="CT42">
        <v>1.0112738301603601</v>
      </c>
      <c r="CU42">
        <v>1.0896245919073799</v>
      </c>
      <c r="CV42">
        <v>-2.6842027771940499E-2</v>
      </c>
      <c r="CW42">
        <v>0.93953042507968598</v>
      </c>
      <c r="CX42" t="s">
        <v>1826</v>
      </c>
    </row>
    <row r="43" spans="1:102" x14ac:dyDescent="0.35">
      <c r="A43" t="s">
        <v>1106</v>
      </c>
      <c r="B43" t="s">
        <v>211</v>
      </c>
      <c r="C43" t="s">
        <v>1107</v>
      </c>
      <c r="D43" t="s">
        <v>72</v>
      </c>
      <c r="E43" t="s">
        <v>72</v>
      </c>
      <c r="F43" t="s">
        <v>72</v>
      </c>
      <c r="G43" t="s">
        <v>73</v>
      </c>
      <c r="H43" t="s">
        <v>109</v>
      </c>
      <c r="I43" t="s">
        <v>110</v>
      </c>
      <c r="J43" t="s">
        <v>111</v>
      </c>
      <c r="K43" t="s">
        <v>112</v>
      </c>
      <c r="L43" t="s">
        <v>113</v>
      </c>
      <c r="M43" t="s">
        <v>114</v>
      </c>
      <c r="N43">
        <v>48</v>
      </c>
      <c r="O43" t="s">
        <v>80</v>
      </c>
      <c r="P43">
        <v>621</v>
      </c>
      <c r="Q43">
        <v>0.68400000000000005</v>
      </c>
      <c r="R43">
        <v>175</v>
      </c>
      <c r="S43">
        <v>0.81130000000000002</v>
      </c>
      <c r="T43" t="s">
        <v>115</v>
      </c>
      <c r="U43" t="s">
        <v>116</v>
      </c>
      <c r="V43" t="s">
        <v>117</v>
      </c>
      <c r="W43" t="s">
        <v>118</v>
      </c>
      <c r="X43" t="s">
        <v>119</v>
      </c>
      <c r="Y43" t="s">
        <v>120</v>
      </c>
      <c r="Z43" t="s">
        <v>121</v>
      </c>
      <c r="AA43" t="s">
        <v>88</v>
      </c>
      <c r="AB43">
        <v>994</v>
      </c>
      <c r="AC43">
        <v>17</v>
      </c>
      <c r="AE43">
        <v>1</v>
      </c>
      <c r="AF43" t="s">
        <v>89</v>
      </c>
      <c r="AG43" t="s">
        <v>1108</v>
      </c>
      <c r="AH43" t="s">
        <v>72</v>
      </c>
      <c r="AI43" t="s">
        <v>72</v>
      </c>
      <c r="AJ43" t="s">
        <v>91</v>
      </c>
      <c r="AK43" t="s">
        <v>92</v>
      </c>
      <c r="AL43" t="s">
        <v>93</v>
      </c>
      <c r="AM43" t="s">
        <v>94</v>
      </c>
      <c r="AN43" t="s">
        <v>1109</v>
      </c>
      <c r="AO43" t="s">
        <v>1110</v>
      </c>
      <c r="AP43" t="s">
        <v>243</v>
      </c>
      <c r="AQ43">
        <v>39</v>
      </c>
      <c r="AR43" t="s">
        <v>80</v>
      </c>
      <c r="AS43">
        <v>1332</v>
      </c>
      <c r="AT43">
        <v>0.95830000000000004</v>
      </c>
      <c r="AU43">
        <v>172</v>
      </c>
      <c r="AV43">
        <v>0.94740000000000002</v>
      </c>
      <c r="AW43" t="s">
        <v>1111</v>
      </c>
      <c r="AX43" t="s">
        <v>146</v>
      </c>
      <c r="AY43" t="s">
        <v>1112</v>
      </c>
      <c r="AZ43" t="s">
        <v>101</v>
      </c>
      <c r="BA43" t="s">
        <v>128</v>
      </c>
      <c r="BB43" t="s">
        <v>103</v>
      </c>
      <c r="BC43" t="s">
        <v>246</v>
      </c>
      <c r="BD43" t="s">
        <v>105</v>
      </c>
      <c r="BE43">
        <v>39153</v>
      </c>
      <c r="BF43" t="s">
        <v>247</v>
      </c>
      <c r="BG43">
        <v>458</v>
      </c>
      <c r="BH43" t="s">
        <v>80</v>
      </c>
      <c r="BI43">
        <v>1</v>
      </c>
      <c r="BJ43">
        <v>43</v>
      </c>
      <c r="BK43">
        <v>6</v>
      </c>
      <c r="BL43">
        <v>38</v>
      </c>
      <c r="BM43">
        <v>1636</v>
      </c>
      <c r="BN43">
        <v>2102</v>
      </c>
      <c r="BO43">
        <v>2911</v>
      </c>
      <c r="BP43">
        <v>17</v>
      </c>
      <c r="BQ43" s="2">
        <v>1579</v>
      </c>
      <c r="BR43">
        <f t="shared" si="0"/>
        <v>44</v>
      </c>
      <c r="BS43">
        <f t="shared" si="1"/>
        <v>7</v>
      </c>
      <c r="BT43">
        <f t="shared" si="2"/>
        <v>39</v>
      </c>
      <c r="BU43">
        <f t="shared" si="3"/>
        <v>1637</v>
      </c>
      <c r="BV43">
        <f t="shared" si="4"/>
        <v>2103</v>
      </c>
      <c r="BW43">
        <f t="shared" si="5"/>
        <v>2912</v>
      </c>
      <c r="BX43">
        <f t="shared" si="6"/>
        <v>18</v>
      </c>
      <c r="BY43" s="2">
        <f t="shared" si="7"/>
        <v>1580</v>
      </c>
      <c r="BZ43">
        <f t="shared" si="8"/>
        <v>207.40920640638205</v>
      </c>
      <c r="CA43">
        <v>207.40920640638205</v>
      </c>
      <c r="CB43">
        <v>207.40920640638205</v>
      </c>
      <c r="CC43">
        <v>207.40920640638205</v>
      </c>
      <c r="CD43">
        <v>207.40920640638205</v>
      </c>
      <c r="CE43">
        <v>207.40920640638205</v>
      </c>
      <c r="CF43">
        <v>207.40920640638205</v>
      </c>
      <c r="CG43">
        <v>207.40920640638205</v>
      </c>
      <c r="CH43">
        <f t="shared" si="16"/>
        <v>-0.67337535330430431</v>
      </c>
      <c r="CI43">
        <f t="shared" si="9"/>
        <v>-1.4717299897762348</v>
      </c>
      <c r="CJ43">
        <f t="shared" si="10"/>
        <v>-0.72576342276399253</v>
      </c>
      <c r="CK43">
        <f t="shared" si="11"/>
        <v>0.89722064962144965</v>
      </c>
      <c r="CL43">
        <f t="shared" si="12"/>
        <v>1.0060112428958292</v>
      </c>
      <c r="CM43">
        <f t="shared" si="13"/>
        <v>1.1473633408505077</v>
      </c>
      <c r="CN43">
        <f t="shared" si="14"/>
        <v>-1.0615555246871857</v>
      </c>
      <c r="CO43" s="2">
        <f t="shared" si="15"/>
        <v>0.88182905716393079</v>
      </c>
      <c r="CP43">
        <v>-1.4860432631351701</v>
      </c>
      <c r="CQ43">
        <v>0.45152611602540899</v>
      </c>
      <c r="CR43">
        <v>-0.74747723244865305</v>
      </c>
      <c r="CS43">
        <v>0.99824040947192205</v>
      </c>
      <c r="CT43">
        <v>0.91295200838058399</v>
      </c>
      <c r="CU43">
        <v>0.88615549722545595</v>
      </c>
      <c r="CV43">
        <v>-0.17078456508574699</v>
      </c>
      <c r="CW43">
        <v>0.93770715830211404</v>
      </c>
      <c r="CX43" t="s">
        <v>1826</v>
      </c>
    </row>
    <row r="44" spans="1:102" x14ac:dyDescent="0.35">
      <c r="A44" t="s">
        <v>294</v>
      </c>
      <c r="B44" t="s">
        <v>231</v>
      </c>
      <c r="C44" t="s">
        <v>108</v>
      </c>
      <c r="D44" t="s">
        <v>72</v>
      </c>
      <c r="E44" t="s">
        <v>72</v>
      </c>
      <c r="F44" t="s">
        <v>72</v>
      </c>
      <c r="G44" t="s">
        <v>73</v>
      </c>
      <c r="H44" t="s">
        <v>109</v>
      </c>
      <c r="I44" t="s">
        <v>110</v>
      </c>
      <c r="J44" t="s">
        <v>111</v>
      </c>
      <c r="K44" t="s">
        <v>112</v>
      </c>
      <c r="L44" t="s">
        <v>113</v>
      </c>
      <c r="M44" t="s">
        <v>114</v>
      </c>
      <c r="N44">
        <v>48</v>
      </c>
      <c r="O44" t="s">
        <v>80</v>
      </c>
      <c r="P44">
        <v>621</v>
      </c>
      <c r="Q44">
        <v>0.68400000000000005</v>
      </c>
      <c r="R44">
        <v>175</v>
      </c>
      <c r="S44">
        <v>0.81130000000000002</v>
      </c>
      <c r="T44" t="s">
        <v>115</v>
      </c>
      <c r="U44" t="s">
        <v>116</v>
      </c>
      <c r="V44" t="s">
        <v>117</v>
      </c>
      <c r="W44" t="s">
        <v>118</v>
      </c>
      <c r="X44" t="s">
        <v>119</v>
      </c>
      <c r="Y44" t="s">
        <v>120</v>
      </c>
      <c r="Z44" t="s">
        <v>121</v>
      </c>
      <c r="AA44" t="s">
        <v>88</v>
      </c>
      <c r="AB44">
        <v>524</v>
      </c>
      <c r="AC44">
        <v>9</v>
      </c>
      <c r="AE44">
        <v>1</v>
      </c>
      <c r="AF44" t="s">
        <v>89</v>
      </c>
      <c r="AG44" t="s">
        <v>295</v>
      </c>
      <c r="AH44" t="s">
        <v>72</v>
      </c>
      <c r="AI44" t="s">
        <v>72</v>
      </c>
      <c r="AJ44" t="s">
        <v>91</v>
      </c>
      <c r="AK44" t="s">
        <v>92</v>
      </c>
      <c r="AL44" t="s">
        <v>93</v>
      </c>
      <c r="AM44" t="s">
        <v>94</v>
      </c>
      <c r="AN44" t="s">
        <v>296</v>
      </c>
      <c r="AO44" t="s">
        <v>297</v>
      </c>
      <c r="AP44" t="s">
        <v>97</v>
      </c>
      <c r="AQ44">
        <v>39</v>
      </c>
      <c r="AR44" t="s">
        <v>80</v>
      </c>
      <c r="AS44">
        <v>1350</v>
      </c>
      <c r="AT44">
        <v>0.96530000000000005</v>
      </c>
      <c r="AU44">
        <v>172</v>
      </c>
      <c r="AV44">
        <v>0.94740000000000002</v>
      </c>
      <c r="AW44" t="s">
        <v>98</v>
      </c>
      <c r="AX44" t="s">
        <v>298</v>
      </c>
      <c r="AY44" t="s">
        <v>127</v>
      </c>
      <c r="AZ44" t="s">
        <v>101</v>
      </c>
      <c r="BA44" t="s">
        <v>128</v>
      </c>
      <c r="BB44" t="s">
        <v>103</v>
      </c>
      <c r="BC44" t="s">
        <v>104</v>
      </c>
      <c r="BD44" t="s">
        <v>105</v>
      </c>
      <c r="BE44">
        <v>81246</v>
      </c>
      <c r="BF44" t="s">
        <v>106</v>
      </c>
      <c r="BG44">
        <v>962</v>
      </c>
      <c r="BH44" t="s">
        <v>80</v>
      </c>
      <c r="BI44">
        <v>1</v>
      </c>
      <c r="BJ44">
        <v>109</v>
      </c>
      <c r="BK44">
        <v>0</v>
      </c>
      <c r="BL44">
        <v>43</v>
      </c>
      <c r="BM44">
        <v>1355</v>
      </c>
      <c r="BN44">
        <v>1899</v>
      </c>
      <c r="BO44">
        <v>2663</v>
      </c>
      <c r="BP44">
        <v>18</v>
      </c>
      <c r="BQ44" s="2">
        <v>1323</v>
      </c>
      <c r="BR44">
        <f t="shared" si="0"/>
        <v>110</v>
      </c>
      <c r="BS44">
        <f t="shared" si="1"/>
        <v>1</v>
      </c>
      <c r="BT44">
        <f t="shared" si="2"/>
        <v>44</v>
      </c>
      <c r="BU44">
        <f t="shared" si="3"/>
        <v>1356</v>
      </c>
      <c r="BV44">
        <f t="shared" si="4"/>
        <v>1900</v>
      </c>
      <c r="BW44">
        <f t="shared" si="5"/>
        <v>2664</v>
      </c>
      <c r="BX44">
        <f t="shared" si="6"/>
        <v>19</v>
      </c>
      <c r="BY44" s="2">
        <f t="shared" si="7"/>
        <v>1324</v>
      </c>
      <c r="BZ44">
        <f t="shared" si="8"/>
        <v>173.8818720831097</v>
      </c>
      <c r="CA44">
        <v>173.8818720831097</v>
      </c>
      <c r="CB44">
        <v>173.8818720831097</v>
      </c>
      <c r="CC44">
        <v>173.8818720831097</v>
      </c>
      <c r="CD44">
        <v>173.8818720831097</v>
      </c>
      <c r="CE44">
        <v>173.8818720831097</v>
      </c>
      <c r="CF44">
        <v>173.8818720831097</v>
      </c>
      <c r="CG44">
        <v>173.8818720831097</v>
      </c>
      <c r="CH44">
        <f t="shared" si="16"/>
        <v>-0.19886162217715742</v>
      </c>
      <c r="CI44">
        <f t="shared" si="9"/>
        <v>-2.2402543073353827</v>
      </c>
      <c r="CJ44">
        <f t="shared" si="10"/>
        <v>-0.59680163084919502</v>
      </c>
      <c r="CK44">
        <f t="shared" si="11"/>
        <v>0.89200538219566217</v>
      </c>
      <c r="CL44">
        <f t="shared" si="12"/>
        <v>1.0384992936174466</v>
      </c>
      <c r="CM44">
        <f t="shared" si="13"/>
        <v>1.1852799131628811</v>
      </c>
      <c r="CN44">
        <f t="shared" si="14"/>
        <v>-0.96150070638255347</v>
      </c>
      <c r="CO44" s="2">
        <f t="shared" si="15"/>
        <v>0.88163367776829871</v>
      </c>
      <c r="CP44">
        <v>-0.91594711724740396</v>
      </c>
      <c r="CQ44">
        <v>-2.2527165794045199</v>
      </c>
      <c r="CR44">
        <v>-0.17129174665795899</v>
      </c>
      <c r="CS44">
        <v>0.98287388526656705</v>
      </c>
      <c r="CT44">
        <v>1.00338623771613</v>
      </c>
      <c r="CU44">
        <v>0.99565074619833904</v>
      </c>
      <c r="CV44">
        <v>9.7559835405975501E-2</v>
      </c>
      <c r="CW44">
        <v>0.93717051882417202</v>
      </c>
      <c r="CX44" t="s">
        <v>1826</v>
      </c>
    </row>
    <row r="45" spans="1:102" x14ac:dyDescent="0.35">
      <c r="A45" t="s">
        <v>1490</v>
      </c>
      <c r="B45" t="s">
        <v>178</v>
      </c>
      <c r="C45" t="s">
        <v>188</v>
      </c>
      <c r="D45" t="s">
        <v>72</v>
      </c>
      <c r="E45" t="s">
        <v>72</v>
      </c>
      <c r="F45" t="s">
        <v>72</v>
      </c>
      <c r="G45" t="s">
        <v>73</v>
      </c>
      <c r="H45" t="s">
        <v>109</v>
      </c>
      <c r="I45" t="s">
        <v>110</v>
      </c>
      <c r="J45" t="s">
        <v>111</v>
      </c>
      <c r="K45" t="s">
        <v>112</v>
      </c>
      <c r="L45" t="s">
        <v>113</v>
      </c>
      <c r="M45" t="s">
        <v>114</v>
      </c>
      <c r="N45">
        <v>48</v>
      </c>
      <c r="O45" t="s">
        <v>80</v>
      </c>
      <c r="P45">
        <v>621</v>
      </c>
      <c r="Q45">
        <v>0.68400000000000005</v>
      </c>
      <c r="R45">
        <v>175</v>
      </c>
      <c r="S45">
        <v>0.81130000000000002</v>
      </c>
      <c r="T45" t="s">
        <v>115</v>
      </c>
      <c r="U45" t="s">
        <v>116</v>
      </c>
      <c r="V45" t="s">
        <v>117</v>
      </c>
      <c r="W45" t="s">
        <v>118</v>
      </c>
      <c r="X45" t="s">
        <v>119</v>
      </c>
      <c r="Y45" t="s">
        <v>120</v>
      </c>
      <c r="Z45" t="s">
        <v>121</v>
      </c>
      <c r="AA45" t="s">
        <v>88</v>
      </c>
      <c r="AB45">
        <v>1077</v>
      </c>
      <c r="AC45">
        <v>12</v>
      </c>
      <c r="AE45">
        <v>1</v>
      </c>
      <c r="AF45" t="s">
        <v>89</v>
      </c>
      <c r="AG45" t="s">
        <v>1491</v>
      </c>
      <c r="AH45" t="s">
        <v>72</v>
      </c>
      <c r="AI45" t="s">
        <v>72</v>
      </c>
      <c r="AJ45" t="s">
        <v>91</v>
      </c>
      <c r="AK45" t="s">
        <v>92</v>
      </c>
      <c r="AL45" t="s">
        <v>93</v>
      </c>
      <c r="AM45" t="s">
        <v>94</v>
      </c>
      <c r="AN45" t="s">
        <v>1154</v>
      </c>
      <c r="AO45" t="s">
        <v>1155</v>
      </c>
      <c r="AP45" t="s">
        <v>97</v>
      </c>
      <c r="AQ45">
        <v>39</v>
      </c>
      <c r="AR45" t="s">
        <v>80</v>
      </c>
      <c r="AS45">
        <v>1350</v>
      </c>
      <c r="AT45">
        <v>0.96530000000000005</v>
      </c>
      <c r="AU45">
        <v>163</v>
      </c>
      <c r="AV45">
        <v>0.92110000000000003</v>
      </c>
      <c r="AW45" t="s">
        <v>98</v>
      </c>
      <c r="AX45" t="s">
        <v>146</v>
      </c>
      <c r="AY45" t="s">
        <v>127</v>
      </c>
      <c r="AZ45" t="s">
        <v>136</v>
      </c>
      <c r="BA45" t="s">
        <v>128</v>
      </c>
      <c r="BB45" t="s">
        <v>450</v>
      </c>
      <c r="BC45" t="s">
        <v>104</v>
      </c>
      <c r="BD45" t="s">
        <v>105</v>
      </c>
      <c r="BE45">
        <v>46580</v>
      </c>
      <c r="BF45" t="s">
        <v>106</v>
      </c>
      <c r="BG45">
        <v>546</v>
      </c>
      <c r="BH45" t="s">
        <v>80</v>
      </c>
      <c r="BI45">
        <v>1</v>
      </c>
      <c r="BJ45">
        <v>65</v>
      </c>
      <c r="BK45">
        <v>6</v>
      </c>
      <c r="BL45">
        <v>58</v>
      </c>
      <c r="BM45">
        <v>2035</v>
      </c>
      <c r="BN45">
        <v>2842</v>
      </c>
      <c r="BO45">
        <v>3785</v>
      </c>
      <c r="BP45">
        <v>17</v>
      </c>
      <c r="BQ45" s="2">
        <v>1980</v>
      </c>
      <c r="BR45">
        <f t="shared" si="0"/>
        <v>66</v>
      </c>
      <c r="BS45">
        <f t="shared" si="1"/>
        <v>7</v>
      </c>
      <c r="BT45">
        <f t="shared" si="2"/>
        <v>59</v>
      </c>
      <c r="BU45">
        <f t="shared" si="3"/>
        <v>2036</v>
      </c>
      <c r="BV45">
        <f t="shared" si="4"/>
        <v>2843</v>
      </c>
      <c r="BW45">
        <f t="shared" si="5"/>
        <v>3786</v>
      </c>
      <c r="BX45">
        <f t="shared" si="6"/>
        <v>18</v>
      </c>
      <c r="BY45" s="2">
        <f t="shared" si="7"/>
        <v>1981</v>
      </c>
      <c r="BZ45">
        <f t="shared" si="8"/>
        <v>260.64432671995633</v>
      </c>
      <c r="CA45">
        <v>260.64432671995633</v>
      </c>
      <c r="CB45">
        <v>260.64432671995633</v>
      </c>
      <c r="CC45">
        <v>260.64432671995633</v>
      </c>
      <c r="CD45">
        <v>260.64432671995633</v>
      </c>
      <c r="CE45">
        <v>260.64432671995633</v>
      </c>
      <c r="CF45">
        <v>260.64432671995633</v>
      </c>
      <c r="CG45">
        <v>260.64432671995633</v>
      </c>
      <c r="CH45">
        <f t="shared" si="16"/>
        <v>-0.59650434081101433</v>
      </c>
      <c r="CI45">
        <f t="shared" si="9"/>
        <v>-1.5709502363386263</v>
      </c>
      <c r="CJ45">
        <f t="shared" si="10"/>
        <v>-0.64519626471073888</v>
      </c>
      <c r="CK45">
        <f t="shared" si="11"/>
        <v>0.89272949731183815</v>
      </c>
      <c r="CL45">
        <f t="shared" si="12"/>
        <v>1.0377285833375591</v>
      </c>
      <c r="CM45">
        <f t="shared" si="13"/>
        <v>1.162132333274895</v>
      </c>
      <c r="CN45">
        <f t="shared" si="14"/>
        <v>-1.160775771249577</v>
      </c>
      <c r="CO45" s="2">
        <f t="shared" si="15"/>
        <v>0.88083619918566403</v>
      </c>
      <c r="CP45">
        <v>-1.39368794214411</v>
      </c>
      <c r="CQ45">
        <v>0.158409218095906</v>
      </c>
      <c r="CR45">
        <v>-0.38751304140857001</v>
      </c>
      <c r="CS45">
        <v>0.98500745418101299</v>
      </c>
      <c r="CT45">
        <v>1.00124087692487</v>
      </c>
      <c r="CU45">
        <v>0.92880530452513099</v>
      </c>
      <c r="CV45">
        <v>-0.43689066603694199</v>
      </c>
      <c r="CW45">
        <v>0.93498012157746502</v>
      </c>
      <c r="CX45" t="s">
        <v>1826</v>
      </c>
    </row>
    <row r="46" spans="1:102" x14ac:dyDescent="0.35">
      <c r="A46" t="s">
        <v>941</v>
      </c>
      <c r="B46" t="s">
        <v>142</v>
      </c>
      <c r="C46" t="s">
        <v>942</v>
      </c>
      <c r="D46" t="s">
        <v>72</v>
      </c>
      <c r="E46" t="s">
        <v>72</v>
      </c>
      <c r="F46" t="s">
        <v>72</v>
      </c>
      <c r="G46" t="s">
        <v>73</v>
      </c>
      <c r="H46" t="s">
        <v>109</v>
      </c>
      <c r="I46" t="s">
        <v>110</v>
      </c>
      <c r="J46" t="s">
        <v>111</v>
      </c>
      <c r="K46" t="s">
        <v>112</v>
      </c>
      <c r="L46" t="s">
        <v>113</v>
      </c>
      <c r="M46" t="s">
        <v>114</v>
      </c>
      <c r="N46">
        <v>48</v>
      </c>
      <c r="O46" t="s">
        <v>80</v>
      </c>
      <c r="P46">
        <v>621</v>
      </c>
      <c r="Q46">
        <v>0.68400000000000005</v>
      </c>
      <c r="R46">
        <v>175</v>
      </c>
      <c r="S46">
        <v>0.81130000000000002</v>
      </c>
      <c r="T46" t="s">
        <v>115</v>
      </c>
      <c r="U46" t="s">
        <v>116</v>
      </c>
      <c r="V46" t="s">
        <v>117</v>
      </c>
      <c r="W46" t="s">
        <v>118</v>
      </c>
      <c r="X46" t="s">
        <v>119</v>
      </c>
      <c r="Y46" t="s">
        <v>120</v>
      </c>
      <c r="Z46" t="s">
        <v>121</v>
      </c>
      <c r="AA46" t="s">
        <v>88</v>
      </c>
      <c r="AB46">
        <v>1059</v>
      </c>
      <c r="AC46">
        <v>12</v>
      </c>
      <c r="AE46">
        <v>1</v>
      </c>
      <c r="AF46" t="s">
        <v>89</v>
      </c>
      <c r="AG46" t="s">
        <v>384</v>
      </c>
      <c r="AH46" t="s">
        <v>72</v>
      </c>
      <c r="AI46" t="s">
        <v>72</v>
      </c>
      <c r="AJ46" t="s">
        <v>91</v>
      </c>
      <c r="AK46" t="s">
        <v>92</v>
      </c>
      <c r="AL46" t="s">
        <v>93</v>
      </c>
      <c r="AM46" t="s">
        <v>94</v>
      </c>
      <c r="AN46" t="s">
        <v>144</v>
      </c>
      <c r="AO46" t="s">
        <v>145</v>
      </c>
      <c r="AP46" t="s">
        <v>97</v>
      </c>
      <c r="AQ46">
        <v>39</v>
      </c>
      <c r="AR46" t="s">
        <v>80</v>
      </c>
      <c r="AS46">
        <v>1359</v>
      </c>
      <c r="AT46">
        <v>0.96879999999999999</v>
      </c>
      <c r="AU46">
        <v>172</v>
      </c>
      <c r="AV46">
        <v>0.94740000000000002</v>
      </c>
      <c r="AW46" t="s">
        <v>98</v>
      </c>
      <c r="AX46" t="s">
        <v>146</v>
      </c>
      <c r="AY46" t="s">
        <v>127</v>
      </c>
      <c r="AZ46" t="s">
        <v>101</v>
      </c>
      <c r="BA46" t="s">
        <v>128</v>
      </c>
      <c r="BB46" t="s">
        <v>103</v>
      </c>
      <c r="BC46" t="s">
        <v>104</v>
      </c>
      <c r="BD46" t="s">
        <v>105</v>
      </c>
      <c r="BE46">
        <v>12311</v>
      </c>
      <c r="BF46" t="s">
        <v>106</v>
      </c>
      <c r="BG46">
        <v>152</v>
      </c>
      <c r="BH46" t="s">
        <v>80</v>
      </c>
      <c r="BI46">
        <v>1</v>
      </c>
      <c r="BJ46">
        <v>66</v>
      </c>
      <c r="BK46">
        <v>0</v>
      </c>
      <c r="BL46">
        <v>14</v>
      </c>
      <c r="BM46">
        <v>465</v>
      </c>
      <c r="BN46">
        <v>680</v>
      </c>
      <c r="BO46">
        <v>906</v>
      </c>
      <c r="BP46">
        <v>0</v>
      </c>
      <c r="BQ46" s="2">
        <v>439</v>
      </c>
      <c r="BR46">
        <f t="shared" si="0"/>
        <v>67</v>
      </c>
      <c r="BS46">
        <f t="shared" si="1"/>
        <v>1</v>
      </c>
      <c r="BT46">
        <f t="shared" si="2"/>
        <v>15</v>
      </c>
      <c r="BU46">
        <f t="shared" si="3"/>
        <v>466</v>
      </c>
      <c r="BV46">
        <f t="shared" si="4"/>
        <v>681</v>
      </c>
      <c r="BW46">
        <f t="shared" si="5"/>
        <v>907</v>
      </c>
      <c r="BX46">
        <f t="shared" si="6"/>
        <v>1</v>
      </c>
      <c r="BY46" s="2">
        <f t="shared" si="7"/>
        <v>440</v>
      </c>
      <c r="BZ46">
        <f t="shared" si="8"/>
        <v>57.9555299941619</v>
      </c>
      <c r="CA46">
        <v>57.9555299941619</v>
      </c>
      <c r="CB46">
        <v>57.9555299941619</v>
      </c>
      <c r="CC46">
        <v>57.9555299941619</v>
      </c>
      <c r="CD46">
        <v>57.9555299941619</v>
      </c>
      <c r="CE46">
        <v>57.9555299941619</v>
      </c>
      <c r="CF46">
        <v>57.9555299941619</v>
      </c>
      <c r="CG46">
        <v>57.9555299941619</v>
      </c>
      <c r="CH46">
        <f t="shared" si="16"/>
        <v>6.2979920962629457E-2</v>
      </c>
      <c r="CI46">
        <f t="shared" si="9"/>
        <v>-1.7630948817381968</v>
      </c>
      <c r="CJ46">
        <f t="shared" si="10"/>
        <v>-0.58700362268251571</v>
      </c>
      <c r="CK46">
        <f t="shared" si="11"/>
        <v>0.9052910349518033</v>
      </c>
      <c r="CL46">
        <f t="shared" si="12"/>
        <v>1.0700522301745883</v>
      </c>
      <c r="CM46">
        <f t="shared" si="13"/>
        <v>1.1945124053218983</v>
      </c>
      <c r="CN46">
        <f t="shared" si="14"/>
        <v>-1.7630948817381968</v>
      </c>
      <c r="CO46" s="2">
        <f t="shared" si="15"/>
        <v>0.88035779474799047</v>
      </c>
      <c r="CP46">
        <v>-0.60136221741170504</v>
      </c>
      <c r="CQ46">
        <v>-2.2527165794045199</v>
      </c>
      <c r="CR46">
        <v>-0.12751544662772099</v>
      </c>
      <c r="CS46">
        <v>1.0220193955527199</v>
      </c>
      <c r="CT46">
        <v>1.0912174691208401</v>
      </c>
      <c r="CU46">
        <v>1.0223122814042001</v>
      </c>
      <c r="CV46">
        <v>-2.6172399890044602</v>
      </c>
      <c r="CW46">
        <v>0.93366611041038094</v>
      </c>
      <c r="CX46" t="s">
        <v>1826</v>
      </c>
    </row>
    <row r="47" spans="1:102" x14ac:dyDescent="0.35">
      <c r="A47" t="s">
        <v>1793</v>
      </c>
      <c r="B47" t="s">
        <v>70</v>
      </c>
      <c r="C47" t="s">
        <v>108</v>
      </c>
      <c r="D47" t="s">
        <v>72</v>
      </c>
      <c r="E47" t="s">
        <v>72</v>
      </c>
      <c r="F47" t="s">
        <v>72</v>
      </c>
      <c r="G47" t="s">
        <v>73</v>
      </c>
      <c r="H47" t="s">
        <v>109</v>
      </c>
      <c r="I47" t="s">
        <v>110</v>
      </c>
      <c r="J47" t="s">
        <v>111</v>
      </c>
      <c r="K47" t="s">
        <v>112</v>
      </c>
      <c r="L47" t="s">
        <v>113</v>
      </c>
      <c r="M47" t="s">
        <v>114</v>
      </c>
      <c r="N47">
        <v>48</v>
      </c>
      <c r="O47" t="s">
        <v>80</v>
      </c>
      <c r="P47">
        <v>621</v>
      </c>
      <c r="Q47">
        <v>0.68400000000000005</v>
      </c>
      <c r="R47">
        <v>175</v>
      </c>
      <c r="S47">
        <v>0.81130000000000002</v>
      </c>
      <c r="T47" t="s">
        <v>115</v>
      </c>
      <c r="U47" t="s">
        <v>116</v>
      </c>
      <c r="V47" t="s">
        <v>117</v>
      </c>
      <c r="W47" t="s">
        <v>118</v>
      </c>
      <c r="X47" t="s">
        <v>119</v>
      </c>
      <c r="Y47" t="s">
        <v>120</v>
      </c>
      <c r="Z47" t="s">
        <v>121</v>
      </c>
      <c r="AA47" t="s">
        <v>88</v>
      </c>
      <c r="AB47">
        <v>1374</v>
      </c>
      <c r="AC47">
        <v>19</v>
      </c>
      <c r="AE47">
        <v>1</v>
      </c>
      <c r="AF47" t="s">
        <v>89</v>
      </c>
      <c r="AG47" t="s">
        <v>1794</v>
      </c>
      <c r="AH47" t="s">
        <v>72</v>
      </c>
      <c r="AI47" t="s">
        <v>72</v>
      </c>
      <c r="AJ47" t="s">
        <v>91</v>
      </c>
      <c r="AK47" t="s">
        <v>92</v>
      </c>
      <c r="AL47" t="s">
        <v>93</v>
      </c>
      <c r="AM47" t="s">
        <v>94</v>
      </c>
      <c r="AN47" t="s">
        <v>144</v>
      </c>
      <c r="AO47" t="s">
        <v>145</v>
      </c>
      <c r="AP47" t="s">
        <v>97</v>
      </c>
      <c r="AQ47">
        <v>39</v>
      </c>
      <c r="AR47" t="s">
        <v>80</v>
      </c>
      <c r="AS47">
        <v>1359</v>
      </c>
      <c r="AT47">
        <v>0.96879999999999999</v>
      </c>
      <c r="AU47">
        <v>172</v>
      </c>
      <c r="AV47">
        <v>0.94740000000000002</v>
      </c>
      <c r="AW47" t="s">
        <v>98</v>
      </c>
      <c r="AX47" t="s">
        <v>146</v>
      </c>
      <c r="AY47" t="s">
        <v>127</v>
      </c>
      <c r="AZ47" t="s">
        <v>101</v>
      </c>
      <c r="BA47" t="s">
        <v>128</v>
      </c>
      <c r="BB47" t="s">
        <v>103</v>
      </c>
      <c r="BC47" t="s">
        <v>104</v>
      </c>
      <c r="BD47" t="s">
        <v>105</v>
      </c>
      <c r="BE47">
        <v>67097</v>
      </c>
      <c r="BF47" t="s">
        <v>106</v>
      </c>
      <c r="BG47">
        <v>1008</v>
      </c>
      <c r="BH47" t="s">
        <v>80</v>
      </c>
      <c r="BI47">
        <v>1</v>
      </c>
      <c r="BJ47">
        <v>81</v>
      </c>
      <c r="BK47">
        <v>4</v>
      </c>
      <c r="BL47">
        <v>45</v>
      </c>
      <c r="BM47">
        <v>2035</v>
      </c>
      <c r="BN47">
        <v>2697</v>
      </c>
      <c r="BO47">
        <v>3731</v>
      </c>
      <c r="BP47">
        <v>21</v>
      </c>
      <c r="BQ47" s="2">
        <v>1894</v>
      </c>
      <c r="BR47">
        <f t="shared" si="0"/>
        <v>82</v>
      </c>
      <c r="BS47">
        <f t="shared" si="1"/>
        <v>5</v>
      </c>
      <c r="BT47">
        <f t="shared" si="2"/>
        <v>46</v>
      </c>
      <c r="BU47">
        <f t="shared" si="3"/>
        <v>2036</v>
      </c>
      <c r="BV47">
        <f t="shared" si="4"/>
        <v>2698</v>
      </c>
      <c r="BW47">
        <f t="shared" si="5"/>
        <v>3732</v>
      </c>
      <c r="BX47">
        <f t="shared" si="6"/>
        <v>22</v>
      </c>
      <c r="BY47" s="2">
        <f t="shared" si="7"/>
        <v>1895</v>
      </c>
      <c r="BZ47">
        <f t="shared" si="8"/>
        <v>251.71950392952189</v>
      </c>
      <c r="CA47">
        <v>251.71950392952189</v>
      </c>
      <c r="CB47">
        <v>251.71950392952189</v>
      </c>
      <c r="CC47">
        <v>251.71950392952189</v>
      </c>
      <c r="CD47">
        <v>251.71950392952189</v>
      </c>
      <c r="CE47">
        <v>251.71950392952189</v>
      </c>
      <c r="CF47">
        <v>251.71950392952189</v>
      </c>
      <c r="CG47">
        <v>251.71950392952189</v>
      </c>
      <c r="CH47">
        <f t="shared" si="16"/>
        <v>-0.48710301481661783</v>
      </c>
      <c r="CI47">
        <f t="shared" si="9"/>
        <v>-1.7019468628643157</v>
      </c>
      <c r="CJ47">
        <f t="shared" si="10"/>
        <v>-0.73815903551876039</v>
      </c>
      <c r="CK47">
        <f t="shared" si="11"/>
        <v>0.90786090646438666</v>
      </c>
      <c r="CL47">
        <f t="shared" si="12"/>
        <v>1.0301250781355509</v>
      </c>
      <c r="CM47">
        <f t="shared" si="13"/>
        <v>1.1710247678741279</v>
      </c>
      <c r="CN47">
        <f t="shared" si="14"/>
        <v>-1.0584941863781283</v>
      </c>
      <c r="CO47" s="2">
        <f t="shared" si="15"/>
        <v>0.87669234710375665</v>
      </c>
      <c r="CP47">
        <v>-1.2622496502399601</v>
      </c>
      <c r="CQ47">
        <v>-0.22858160420864099</v>
      </c>
      <c r="CR47">
        <v>-0.80285931151822598</v>
      </c>
      <c r="CS47">
        <v>1.02959139322392</v>
      </c>
      <c r="CT47">
        <v>0.98007564484971299</v>
      </c>
      <c r="CU47">
        <v>0.95448482355961795</v>
      </c>
      <c r="CV47">
        <v>-0.162574135971328</v>
      </c>
      <c r="CW47">
        <v>0.92359839623885798</v>
      </c>
      <c r="CX47" t="s">
        <v>1826</v>
      </c>
    </row>
    <row r="48" spans="1:102" x14ac:dyDescent="0.35">
      <c r="A48" t="s">
        <v>1216</v>
      </c>
      <c r="B48" t="s">
        <v>153</v>
      </c>
      <c r="C48" t="s">
        <v>255</v>
      </c>
      <c r="D48" t="s">
        <v>72</v>
      </c>
      <c r="E48" t="s">
        <v>72</v>
      </c>
      <c r="F48" t="s">
        <v>72</v>
      </c>
      <c r="G48" t="s">
        <v>73</v>
      </c>
      <c r="H48" t="s">
        <v>109</v>
      </c>
      <c r="I48" t="s">
        <v>110</v>
      </c>
      <c r="J48" t="s">
        <v>111</v>
      </c>
      <c r="K48" t="s">
        <v>112</v>
      </c>
      <c r="L48" t="s">
        <v>113</v>
      </c>
      <c r="M48" t="s">
        <v>114</v>
      </c>
      <c r="N48">
        <v>48</v>
      </c>
      <c r="O48" t="s">
        <v>80</v>
      </c>
      <c r="P48">
        <v>621</v>
      </c>
      <c r="Q48">
        <v>0.68400000000000005</v>
      </c>
      <c r="R48">
        <v>175</v>
      </c>
      <c r="S48">
        <v>0.81130000000000002</v>
      </c>
      <c r="T48" t="s">
        <v>115</v>
      </c>
      <c r="U48" t="s">
        <v>116</v>
      </c>
      <c r="V48" t="s">
        <v>117</v>
      </c>
      <c r="W48" t="s">
        <v>118</v>
      </c>
      <c r="X48" t="s">
        <v>119</v>
      </c>
      <c r="Y48" t="s">
        <v>120</v>
      </c>
      <c r="Z48" t="s">
        <v>121</v>
      </c>
      <c r="AA48" t="s">
        <v>88</v>
      </c>
      <c r="AB48">
        <v>591</v>
      </c>
      <c r="AC48">
        <v>14</v>
      </c>
      <c r="AE48">
        <v>1</v>
      </c>
      <c r="AF48" t="s">
        <v>89</v>
      </c>
      <c r="AG48" t="s">
        <v>1217</v>
      </c>
      <c r="AH48" t="s">
        <v>72</v>
      </c>
      <c r="AI48" t="s">
        <v>72</v>
      </c>
      <c r="AJ48" t="s">
        <v>91</v>
      </c>
      <c r="AK48" t="s">
        <v>92</v>
      </c>
      <c r="AL48" t="s">
        <v>93</v>
      </c>
      <c r="AM48" t="s">
        <v>94</v>
      </c>
      <c r="AN48" t="s">
        <v>144</v>
      </c>
      <c r="AO48" t="s">
        <v>145</v>
      </c>
      <c r="AP48" t="s">
        <v>97</v>
      </c>
      <c r="AQ48">
        <v>39</v>
      </c>
      <c r="AR48" t="s">
        <v>80</v>
      </c>
      <c r="AS48">
        <v>1359</v>
      </c>
      <c r="AT48">
        <v>0.96879999999999999</v>
      </c>
      <c r="AU48">
        <v>172</v>
      </c>
      <c r="AV48">
        <v>0.94740000000000002</v>
      </c>
      <c r="AW48" t="s">
        <v>98</v>
      </c>
      <c r="AX48" t="s">
        <v>146</v>
      </c>
      <c r="AY48" t="s">
        <v>127</v>
      </c>
      <c r="AZ48" t="s">
        <v>101</v>
      </c>
      <c r="BA48" t="s">
        <v>128</v>
      </c>
      <c r="BB48" t="s">
        <v>103</v>
      </c>
      <c r="BC48" t="s">
        <v>104</v>
      </c>
      <c r="BD48" t="s">
        <v>105</v>
      </c>
      <c r="BE48">
        <v>122036</v>
      </c>
      <c r="BF48" t="s">
        <v>106</v>
      </c>
      <c r="BG48">
        <v>1434</v>
      </c>
      <c r="BH48" t="s">
        <v>80</v>
      </c>
      <c r="BI48">
        <v>1</v>
      </c>
      <c r="BJ48">
        <v>91</v>
      </c>
      <c r="BK48">
        <v>17</v>
      </c>
      <c r="BL48">
        <v>105</v>
      </c>
      <c r="BM48">
        <v>4067</v>
      </c>
      <c r="BN48">
        <v>5220</v>
      </c>
      <c r="BO48">
        <v>6972</v>
      </c>
      <c r="BP48">
        <v>46</v>
      </c>
      <c r="BQ48" s="2">
        <v>3839</v>
      </c>
      <c r="BR48">
        <f t="shared" si="0"/>
        <v>92</v>
      </c>
      <c r="BS48">
        <f t="shared" si="1"/>
        <v>18</v>
      </c>
      <c r="BT48">
        <f t="shared" si="2"/>
        <v>106</v>
      </c>
      <c r="BU48">
        <f t="shared" si="3"/>
        <v>4068</v>
      </c>
      <c r="BV48">
        <f t="shared" si="4"/>
        <v>5221</v>
      </c>
      <c r="BW48">
        <f t="shared" si="5"/>
        <v>6973</v>
      </c>
      <c r="BX48">
        <f t="shared" si="6"/>
        <v>47</v>
      </c>
      <c r="BY48" s="2">
        <f t="shared" si="7"/>
        <v>3840</v>
      </c>
      <c r="BZ48">
        <f t="shared" si="8"/>
        <v>511.58605502997426</v>
      </c>
      <c r="CA48">
        <v>511.58605502997426</v>
      </c>
      <c r="CB48">
        <v>511.58605502997426</v>
      </c>
      <c r="CC48">
        <v>511.58605502997426</v>
      </c>
      <c r="CD48">
        <v>511.58605502997426</v>
      </c>
      <c r="CE48">
        <v>511.58605502997426</v>
      </c>
      <c r="CF48">
        <v>511.58605502997426</v>
      </c>
      <c r="CG48">
        <v>511.58605502997426</v>
      </c>
      <c r="CH48">
        <f t="shared" si="16"/>
        <v>-0.74513087048984727</v>
      </c>
      <c r="CI48">
        <f t="shared" si="9"/>
        <v>-1.4536461927320965</v>
      </c>
      <c r="CJ48">
        <f t="shared" si="10"/>
        <v>-0.68361283257063232</v>
      </c>
      <c r="CK48">
        <f t="shared" si="11"/>
        <v>0.90046224641530437</v>
      </c>
      <c r="CL48">
        <f t="shared" si="12"/>
        <v>1.0088349953753131</v>
      </c>
      <c r="CM48">
        <f t="shared" si="13"/>
        <v>1.1345009673695157</v>
      </c>
      <c r="CN48">
        <f t="shared" si="14"/>
        <v>-1.0368208398996852</v>
      </c>
      <c r="CO48" s="2">
        <f t="shared" si="15"/>
        <v>0.8754125265321282</v>
      </c>
      <c r="CP48">
        <v>-1.57225266259025</v>
      </c>
      <c r="CQ48">
        <v>0.50494935045600897</v>
      </c>
      <c r="CR48">
        <v>-0.559153559783098</v>
      </c>
      <c r="CS48">
        <v>1.0077916120335499</v>
      </c>
      <c r="CT48">
        <v>0.92081224848869603</v>
      </c>
      <c r="CU48">
        <v>0.84901161261793701</v>
      </c>
      <c r="CV48">
        <v>-0.104446788723544</v>
      </c>
      <c r="CW48">
        <v>0.92008317273641305</v>
      </c>
      <c r="CX48" t="s">
        <v>1826</v>
      </c>
    </row>
    <row r="49" spans="1:102" x14ac:dyDescent="0.35">
      <c r="A49" t="s">
        <v>1482</v>
      </c>
      <c r="B49" t="s">
        <v>211</v>
      </c>
      <c r="C49" t="s">
        <v>375</v>
      </c>
      <c r="D49" t="s">
        <v>72</v>
      </c>
      <c r="E49" t="s">
        <v>72</v>
      </c>
      <c r="F49" t="s">
        <v>72</v>
      </c>
      <c r="G49" t="s">
        <v>73</v>
      </c>
      <c r="H49" t="s">
        <v>109</v>
      </c>
      <c r="I49" t="s">
        <v>110</v>
      </c>
      <c r="J49" t="s">
        <v>111</v>
      </c>
      <c r="K49" t="s">
        <v>112</v>
      </c>
      <c r="L49" t="s">
        <v>113</v>
      </c>
      <c r="M49" t="s">
        <v>114</v>
      </c>
      <c r="N49">
        <v>48</v>
      </c>
      <c r="O49" t="s">
        <v>80</v>
      </c>
      <c r="P49">
        <v>621</v>
      </c>
      <c r="Q49">
        <v>0.68400000000000005</v>
      </c>
      <c r="R49">
        <v>175</v>
      </c>
      <c r="S49">
        <v>0.81130000000000002</v>
      </c>
      <c r="T49" t="s">
        <v>115</v>
      </c>
      <c r="U49" t="s">
        <v>116</v>
      </c>
      <c r="V49" t="s">
        <v>117</v>
      </c>
      <c r="W49" t="s">
        <v>118</v>
      </c>
      <c r="X49" t="s">
        <v>119</v>
      </c>
      <c r="Y49" t="s">
        <v>120</v>
      </c>
      <c r="Z49" t="s">
        <v>121</v>
      </c>
      <c r="AA49" t="s">
        <v>88</v>
      </c>
      <c r="AB49">
        <v>326</v>
      </c>
      <c r="AC49">
        <v>6</v>
      </c>
      <c r="AE49">
        <v>1</v>
      </c>
      <c r="AF49" t="s">
        <v>89</v>
      </c>
      <c r="AG49" t="s">
        <v>1483</v>
      </c>
      <c r="AH49" t="s">
        <v>72</v>
      </c>
      <c r="AI49" t="s">
        <v>72</v>
      </c>
      <c r="AJ49" t="s">
        <v>91</v>
      </c>
      <c r="AK49" t="s">
        <v>92</v>
      </c>
      <c r="AL49" t="s">
        <v>93</v>
      </c>
      <c r="AM49" t="s">
        <v>94</v>
      </c>
      <c r="AN49" t="s">
        <v>1061</v>
      </c>
      <c r="AO49" t="s">
        <v>1062</v>
      </c>
      <c r="AP49" t="s">
        <v>97</v>
      </c>
      <c r="AQ49">
        <v>39</v>
      </c>
      <c r="AR49" t="s">
        <v>80</v>
      </c>
      <c r="AS49">
        <v>1350</v>
      </c>
      <c r="AT49">
        <v>0.96530000000000005</v>
      </c>
      <c r="AU49">
        <v>172</v>
      </c>
      <c r="AV49">
        <v>0.94740000000000002</v>
      </c>
      <c r="AW49" t="s">
        <v>98</v>
      </c>
      <c r="AX49" t="s">
        <v>146</v>
      </c>
      <c r="AY49" t="s">
        <v>1063</v>
      </c>
      <c r="AZ49" t="s">
        <v>101</v>
      </c>
      <c r="BA49" t="s">
        <v>128</v>
      </c>
      <c r="BB49" t="s">
        <v>103</v>
      </c>
      <c r="BC49" t="s">
        <v>104</v>
      </c>
      <c r="BD49" t="s">
        <v>105</v>
      </c>
      <c r="BE49">
        <v>66506</v>
      </c>
      <c r="BF49" t="s">
        <v>106</v>
      </c>
      <c r="BG49">
        <v>787</v>
      </c>
      <c r="BH49" t="s">
        <v>80</v>
      </c>
      <c r="BI49">
        <v>1</v>
      </c>
      <c r="BJ49">
        <v>48</v>
      </c>
      <c r="BK49">
        <v>5</v>
      </c>
      <c r="BL49">
        <v>58</v>
      </c>
      <c r="BM49">
        <v>2155</v>
      </c>
      <c r="BN49">
        <v>2559</v>
      </c>
      <c r="BO49">
        <v>3518</v>
      </c>
      <c r="BP49">
        <v>20</v>
      </c>
      <c r="BQ49" s="2">
        <v>1837</v>
      </c>
      <c r="BR49">
        <f t="shared" si="0"/>
        <v>49</v>
      </c>
      <c r="BS49">
        <f t="shared" si="1"/>
        <v>6</v>
      </c>
      <c r="BT49">
        <f t="shared" si="2"/>
        <v>59</v>
      </c>
      <c r="BU49">
        <f t="shared" si="3"/>
        <v>2156</v>
      </c>
      <c r="BV49">
        <f t="shared" si="4"/>
        <v>2560</v>
      </c>
      <c r="BW49">
        <f t="shared" si="5"/>
        <v>3519</v>
      </c>
      <c r="BX49">
        <f t="shared" si="6"/>
        <v>21</v>
      </c>
      <c r="BY49" s="2">
        <f t="shared" si="7"/>
        <v>1838</v>
      </c>
      <c r="BZ49">
        <f t="shared" si="8"/>
        <v>245.0524317615469</v>
      </c>
      <c r="CA49">
        <v>245.0524317615469</v>
      </c>
      <c r="CB49">
        <v>245.0524317615469</v>
      </c>
      <c r="CC49">
        <v>245.0524317615469</v>
      </c>
      <c r="CD49">
        <v>245.0524317615469</v>
      </c>
      <c r="CE49">
        <v>245.0524317615469</v>
      </c>
      <c r="CF49">
        <v>245.0524317615469</v>
      </c>
      <c r="CG49">
        <v>245.0524317615469</v>
      </c>
      <c r="CH49">
        <f t="shared" si="16"/>
        <v>-0.69906293653399332</v>
      </c>
      <c r="CI49">
        <f t="shared" si="9"/>
        <v>-1.6111077661788633</v>
      </c>
      <c r="CJ49">
        <f t="shared" si="10"/>
        <v>-0.61840700492036282</v>
      </c>
      <c r="CK49">
        <f t="shared" si="11"/>
        <v>0.94438973995219411</v>
      </c>
      <c r="CL49">
        <f t="shared" si="12"/>
        <v>1.0189809487493426</v>
      </c>
      <c r="CM49">
        <f t="shared" si="13"/>
        <v>1.1571602502726848</v>
      </c>
      <c r="CN49">
        <f t="shared" si="14"/>
        <v>-1.0670397218285876</v>
      </c>
      <c r="CO49" s="2">
        <f t="shared" si="15"/>
        <v>0.87508649048758547</v>
      </c>
      <c r="CP49">
        <v>-1.51690515655526</v>
      </c>
      <c r="CQ49">
        <v>3.9775663120007097E-2</v>
      </c>
      <c r="CR49">
        <v>-0.26782191090311802</v>
      </c>
      <c r="CS49">
        <v>1.1372217711424599</v>
      </c>
      <c r="CT49">
        <v>0.94905467774728403</v>
      </c>
      <c r="CU49">
        <v>0.91444695320171299</v>
      </c>
      <c r="CV49">
        <v>-0.185493038091088</v>
      </c>
      <c r="CW49">
        <v>0.91918766473175395</v>
      </c>
      <c r="CX49" t="s">
        <v>1826</v>
      </c>
    </row>
    <row r="50" spans="1:102" x14ac:dyDescent="0.35">
      <c r="A50" t="s">
        <v>436</v>
      </c>
      <c r="B50" t="s">
        <v>231</v>
      </c>
      <c r="C50" t="s">
        <v>437</v>
      </c>
      <c r="D50" t="s">
        <v>72</v>
      </c>
      <c r="E50" t="s">
        <v>72</v>
      </c>
      <c r="F50" t="s">
        <v>72</v>
      </c>
      <c r="G50" t="s">
        <v>73</v>
      </c>
      <c r="H50" t="s">
        <v>109</v>
      </c>
      <c r="I50" t="s">
        <v>110</v>
      </c>
      <c r="J50" t="s">
        <v>111</v>
      </c>
      <c r="K50" t="s">
        <v>112</v>
      </c>
      <c r="L50" t="s">
        <v>113</v>
      </c>
      <c r="M50" t="s">
        <v>114</v>
      </c>
      <c r="N50">
        <v>48</v>
      </c>
      <c r="O50" t="s">
        <v>80</v>
      </c>
      <c r="P50">
        <v>621</v>
      </c>
      <c r="Q50">
        <v>0.68400000000000005</v>
      </c>
      <c r="R50">
        <v>175</v>
      </c>
      <c r="S50">
        <v>0.81130000000000002</v>
      </c>
      <c r="T50" t="s">
        <v>115</v>
      </c>
      <c r="U50" t="s">
        <v>116</v>
      </c>
      <c r="V50" t="s">
        <v>117</v>
      </c>
      <c r="W50" t="s">
        <v>118</v>
      </c>
      <c r="X50" t="s">
        <v>119</v>
      </c>
      <c r="Y50" t="s">
        <v>120</v>
      </c>
      <c r="Z50" t="s">
        <v>121</v>
      </c>
      <c r="AA50" t="s">
        <v>88</v>
      </c>
      <c r="AB50">
        <v>468</v>
      </c>
      <c r="AC50">
        <v>9</v>
      </c>
      <c r="AE50">
        <v>1</v>
      </c>
      <c r="AF50" t="s">
        <v>89</v>
      </c>
      <c r="AG50" t="s">
        <v>438</v>
      </c>
      <c r="AH50" t="s">
        <v>72</v>
      </c>
      <c r="AI50" t="s">
        <v>72</v>
      </c>
      <c r="AJ50" t="s">
        <v>91</v>
      </c>
      <c r="AK50" t="s">
        <v>92</v>
      </c>
      <c r="AL50" t="s">
        <v>93</v>
      </c>
      <c r="AM50" t="s">
        <v>94</v>
      </c>
      <c r="AN50" t="s">
        <v>439</v>
      </c>
      <c r="AO50" t="s">
        <v>440</v>
      </c>
      <c r="AP50" t="s">
        <v>97</v>
      </c>
      <c r="AQ50">
        <v>39</v>
      </c>
      <c r="AR50" t="s">
        <v>80</v>
      </c>
      <c r="AS50">
        <v>1314</v>
      </c>
      <c r="AT50">
        <v>0.95140000000000002</v>
      </c>
      <c r="AU50">
        <v>163</v>
      </c>
      <c r="AV50">
        <v>0.92110000000000003</v>
      </c>
      <c r="AW50" t="s">
        <v>441</v>
      </c>
      <c r="AX50" t="s">
        <v>146</v>
      </c>
      <c r="AY50" t="s">
        <v>442</v>
      </c>
      <c r="AZ50" t="s">
        <v>136</v>
      </c>
      <c r="BA50" t="s">
        <v>128</v>
      </c>
      <c r="BB50" t="s">
        <v>103</v>
      </c>
      <c r="BC50" t="s">
        <v>104</v>
      </c>
      <c r="BD50" t="s">
        <v>105</v>
      </c>
      <c r="BE50">
        <v>181884</v>
      </c>
      <c r="BF50" t="s">
        <v>106</v>
      </c>
      <c r="BG50">
        <v>1841</v>
      </c>
      <c r="BH50" t="s">
        <v>80</v>
      </c>
      <c r="BI50">
        <v>1</v>
      </c>
      <c r="BJ50">
        <v>60</v>
      </c>
      <c r="BK50">
        <v>11</v>
      </c>
      <c r="BL50">
        <v>58</v>
      </c>
      <c r="BM50">
        <v>1861</v>
      </c>
      <c r="BN50">
        <v>2382</v>
      </c>
      <c r="BO50">
        <v>3608</v>
      </c>
      <c r="BP50">
        <v>12</v>
      </c>
      <c r="BQ50" s="2">
        <v>1897</v>
      </c>
      <c r="BR50">
        <f t="shared" si="0"/>
        <v>61</v>
      </c>
      <c r="BS50">
        <f t="shared" si="1"/>
        <v>12</v>
      </c>
      <c r="BT50">
        <f t="shared" si="2"/>
        <v>59</v>
      </c>
      <c r="BU50">
        <f t="shared" si="3"/>
        <v>1862</v>
      </c>
      <c r="BV50">
        <f t="shared" si="4"/>
        <v>2383</v>
      </c>
      <c r="BW50">
        <f t="shared" si="5"/>
        <v>3609</v>
      </c>
      <c r="BX50">
        <f t="shared" si="6"/>
        <v>13</v>
      </c>
      <c r="BY50" s="2">
        <f t="shared" si="7"/>
        <v>1898</v>
      </c>
      <c r="BZ50">
        <f t="shared" si="8"/>
        <v>253.51966760430423</v>
      </c>
      <c r="CA50">
        <v>253.51966760430423</v>
      </c>
      <c r="CB50">
        <v>253.51966760430423</v>
      </c>
      <c r="CC50">
        <v>253.51966760430423</v>
      </c>
      <c r="CD50">
        <v>253.51966760430423</v>
      </c>
      <c r="CE50">
        <v>253.51966760430423</v>
      </c>
      <c r="CF50">
        <v>253.51966760430423</v>
      </c>
      <c r="CG50">
        <v>253.51966760430423</v>
      </c>
      <c r="CH50">
        <f t="shared" si="16"/>
        <v>-0.6186818217579747</v>
      </c>
      <c r="CI50">
        <f t="shared" si="9"/>
        <v>-1.3248304107211168</v>
      </c>
      <c r="CJ50">
        <f t="shared" si="10"/>
        <v>-0.63315964512659761</v>
      </c>
      <c r="CK50">
        <f t="shared" si="11"/>
        <v>0.86596801987658212</v>
      </c>
      <c r="CL50">
        <f t="shared" si="12"/>
        <v>0.9731123855777144</v>
      </c>
      <c r="CM50">
        <f t="shared" si="13"/>
        <v>1.1533752252907654</v>
      </c>
      <c r="CN50">
        <f t="shared" si="14"/>
        <v>-1.290068304461905</v>
      </c>
      <c r="CO50" s="2">
        <f t="shared" si="15"/>
        <v>0.87428455132253213</v>
      </c>
      <c r="CP50">
        <v>-1.42033268513885</v>
      </c>
      <c r="CQ50">
        <v>0.88549751210241801</v>
      </c>
      <c r="CR50">
        <v>-0.33373489984127302</v>
      </c>
      <c r="CS50">
        <v>0.90615610156454995</v>
      </c>
      <c r="CT50">
        <v>0.82137425159002397</v>
      </c>
      <c r="CU50">
        <v>0.90351658087402797</v>
      </c>
      <c r="CV50">
        <v>-0.78364985165941003</v>
      </c>
      <c r="CW50">
        <v>0.91698501581125702</v>
      </c>
      <c r="CX50" t="s">
        <v>1826</v>
      </c>
    </row>
    <row r="51" spans="1:102" x14ac:dyDescent="0.35">
      <c r="A51" t="s">
        <v>1180</v>
      </c>
      <c r="B51" t="s">
        <v>211</v>
      </c>
      <c r="C51" t="s">
        <v>1181</v>
      </c>
      <c r="D51" t="s">
        <v>72</v>
      </c>
      <c r="E51" t="s">
        <v>72</v>
      </c>
      <c r="F51" t="s">
        <v>72</v>
      </c>
      <c r="G51" t="s">
        <v>73</v>
      </c>
      <c r="H51" t="s">
        <v>109</v>
      </c>
      <c r="I51" t="s">
        <v>110</v>
      </c>
      <c r="J51" t="s">
        <v>111</v>
      </c>
      <c r="K51" t="s">
        <v>112</v>
      </c>
      <c r="L51" t="s">
        <v>113</v>
      </c>
      <c r="M51" t="s">
        <v>114</v>
      </c>
      <c r="N51">
        <v>48</v>
      </c>
      <c r="O51" t="s">
        <v>80</v>
      </c>
      <c r="P51">
        <v>621</v>
      </c>
      <c r="Q51">
        <v>0.68400000000000005</v>
      </c>
      <c r="R51">
        <v>175</v>
      </c>
      <c r="S51">
        <v>0.81130000000000002</v>
      </c>
      <c r="T51" t="s">
        <v>115</v>
      </c>
      <c r="U51" t="s">
        <v>116</v>
      </c>
      <c r="V51" t="s">
        <v>117</v>
      </c>
      <c r="W51" t="s">
        <v>118</v>
      </c>
      <c r="X51" t="s">
        <v>119</v>
      </c>
      <c r="Y51" t="s">
        <v>120</v>
      </c>
      <c r="Z51" t="s">
        <v>121</v>
      </c>
      <c r="AA51" t="s">
        <v>88</v>
      </c>
      <c r="AB51">
        <v>2060</v>
      </c>
      <c r="AC51">
        <v>18</v>
      </c>
      <c r="AE51">
        <v>1</v>
      </c>
      <c r="AF51" t="s">
        <v>89</v>
      </c>
      <c r="AG51" t="s">
        <v>1182</v>
      </c>
      <c r="AH51" t="s">
        <v>72</v>
      </c>
      <c r="AI51" t="s">
        <v>72</v>
      </c>
      <c r="AJ51" t="s">
        <v>91</v>
      </c>
      <c r="AK51" t="s">
        <v>92</v>
      </c>
      <c r="AL51" t="s">
        <v>93</v>
      </c>
      <c r="AM51" t="s">
        <v>94</v>
      </c>
      <c r="AN51" t="s">
        <v>1183</v>
      </c>
      <c r="AO51" t="s">
        <v>1184</v>
      </c>
      <c r="AP51" t="s">
        <v>97</v>
      </c>
      <c r="AQ51">
        <v>39</v>
      </c>
      <c r="AR51" t="s">
        <v>80</v>
      </c>
      <c r="AS51">
        <v>1350</v>
      </c>
      <c r="AT51">
        <v>0.96530000000000005</v>
      </c>
      <c r="AU51">
        <v>172</v>
      </c>
      <c r="AV51">
        <v>0.94740000000000002</v>
      </c>
      <c r="AW51" t="s">
        <v>98</v>
      </c>
      <c r="AX51" t="s">
        <v>146</v>
      </c>
      <c r="AY51" t="s">
        <v>1185</v>
      </c>
      <c r="AZ51" t="s">
        <v>101</v>
      </c>
      <c r="BA51" t="s">
        <v>128</v>
      </c>
      <c r="BB51" t="s">
        <v>103</v>
      </c>
      <c r="BC51" t="s">
        <v>104</v>
      </c>
      <c r="BD51" t="s">
        <v>105</v>
      </c>
      <c r="BE51">
        <v>91824</v>
      </c>
      <c r="BF51" t="s">
        <v>106</v>
      </c>
      <c r="BG51">
        <v>1100</v>
      </c>
      <c r="BH51" t="s">
        <v>80</v>
      </c>
      <c r="BI51">
        <v>1</v>
      </c>
      <c r="BJ51">
        <v>65</v>
      </c>
      <c r="BK51">
        <v>6</v>
      </c>
      <c r="BL51">
        <v>35</v>
      </c>
      <c r="BM51">
        <v>1948</v>
      </c>
      <c r="BN51">
        <v>2744</v>
      </c>
      <c r="BO51">
        <v>3737</v>
      </c>
      <c r="BP51">
        <v>21</v>
      </c>
      <c r="BQ51" s="2">
        <v>1838</v>
      </c>
      <c r="BR51">
        <f t="shared" si="0"/>
        <v>66</v>
      </c>
      <c r="BS51">
        <f t="shared" si="1"/>
        <v>7</v>
      </c>
      <c r="BT51">
        <f t="shared" si="2"/>
        <v>36</v>
      </c>
      <c r="BU51">
        <f t="shared" si="3"/>
        <v>1949</v>
      </c>
      <c r="BV51">
        <f t="shared" si="4"/>
        <v>2745</v>
      </c>
      <c r="BW51">
        <f t="shared" si="5"/>
        <v>3738</v>
      </c>
      <c r="BX51">
        <f t="shared" si="6"/>
        <v>22</v>
      </c>
      <c r="BY51" s="2">
        <f t="shared" si="7"/>
        <v>1839</v>
      </c>
      <c r="BZ51">
        <f t="shared" si="8"/>
        <v>246.10350355963752</v>
      </c>
      <c r="CA51">
        <v>246.10350355963752</v>
      </c>
      <c r="CB51">
        <v>246.10350355963752</v>
      </c>
      <c r="CC51">
        <v>246.10350355963752</v>
      </c>
      <c r="CD51">
        <v>246.10350355963752</v>
      </c>
      <c r="CE51">
        <v>246.10350355963752</v>
      </c>
      <c r="CF51">
        <v>246.10350355963752</v>
      </c>
      <c r="CG51">
        <v>246.10350355963752</v>
      </c>
      <c r="CH51">
        <f t="shared" si="16"/>
        <v>-0.57157386087441153</v>
      </c>
      <c r="CI51">
        <f t="shared" si="9"/>
        <v>-1.5460197564020235</v>
      </c>
      <c r="CJ51">
        <f t="shared" si="10"/>
        <v>-0.83481529564899293</v>
      </c>
      <c r="CK51">
        <f t="shared" si="11"/>
        <v>0.89869404270134123</v>
      </c>
      <c r="CL51">
        <f t="shared" si="12"/>
        <v>1.0474245523698305</v>
      </c>
      <c r="CM51">
        <f t="shared" si="13"/>
        <v>1.1815215006265329</v>
      </c>
      <c r="CN51">
        <f t="shared" si="14"/>
        <v>-1.048695115594074</v>
      </c>
      <c r="CO51" s="2">
        <f t="shared" si="15"/>
        <v>0.87346393282179724</v>
      </c>
      <c r="CP51">
        <v>-1.36373565711069</v>
      </c>
      <c r="CQ51">
        <v>0.23205895387151401</v>
      </c>
      <c r="CR51">
        <v>-1.2347076393907499</v>
      </c>
      <c r="CS51">
        <v>1.0025816883705301</v>
      </c>
      <c r="CT51">
        <v>1.02823072296421</v>
      </c>
      <c r="CU51">
        <v>0.984797225130562</v>
      </c>
      <c r="CV51">
        <v>-0.136293284939076</v>
      </c>
      <c r="CW51">
        <v>0.91473106123022296</v>
      </c>
      <c r="CX51" t="s">
        <v>1826</v>
      </c>
    </row>
    <row r="52" spans="1:102" x14ac:dyDescent="0.35">
      <c r="A52" t="s">
        <v>995</v>
      </c>
      <c r="B52" t="s">
        <v>231</v>
      </c>
      <c r="C52" t="s">
        <v>996</v>
      </c>
      <c r="D52" t="s">
        <v>72</v>
      </c>
      <c r="E52" t="s">
        <v>72</v>
      </c>
      <c r="F52" t="s">
        <v>72</v>
      </c>
      <c r="G52" t="s">
        <v>73</v>
      </c>
      <c r="H52" t="s">
        <v>109</v>
      </c>
      <c r="I52" t="s">
        <v>110</v>
      </c>
      <c r="J52" t="s">
        <v>111</v>
      </c>
      <c r="K52" t="s">
        <v>112</v>
      </c>
      <c r="L52" t="s">
        <v>113</v>
      </c>
      <c r="M52" t="s">
        <v>114</v>
      </c>
      <c r="N52">
        <v>48</v>
      </c>
      <c r="O52" t="s">
        <v>80</v>
      </c>
      <c r="P52">
        <v>621</v>
      </c>
      <c r="Q52">
        <v>0.68400000000000005</v>
      </c>
      <c r="R52">
        <v>175</v>
      </c>
      <c r="S52">
        <v>0.81130000000000002</v>
      </c>
      <c r="T52" t="s">
        <v>115</v>
      </c>
      <c r="U52" t="s">
        <v>116</v>
      </c>
      <c r="V52" t="s">
        <v>117</v>
      </c>
      <c r="W52" t="s">
        <v>118</v>
      </c>
      <c r="X52" t="s">
        <v>119</v>
      </c>
      <c r="Y52" t="s">
        <v>120</v>
      </c>
      <c r="Z52" t="s">
        <v>121</v>
      </c>
      <c r="AA52" t="s">
        <v>88</v>
      </c>
      <c r="AB52">
        <v>726</v>
      </c>
      <c r="AC52">
        <v>10</v>
      </c>
      <c r="AE52">
        <v>1</v>
      </c>
      <c r="AF52" t="s">
        <v>89</v>
      </c>
      <c r="AG52" t="s">
        <v>997</v>
      </c>
      <c r="AH52" t="s">
        <v>72</v>
      </c>
      <c r="AI52" t="s">
        <v>72</v>
      </c>
      <c r="AJ52" t="s">
        <v>91</v>
      </c>
      <c r="AK52" t="s">
        <v>92</v>
      </c>
      <c r="AL52" t="s">
        <v>93</v>
      </c>
      <c r="AM52" t="s">
        <v>94</v>
      </c>
      <c r="AN52" t="s">
        <v>998</v>
      </c>
      <c r="AO52" t="s">
        <v>999</v>
      </c>
      <c r="AP52" t="s">
        <v>1000</v>
      </c>
      <c r="AQ52">
        <v>39</v>
      </c>
      <c r="AR52" t="s">
        <v>80</v>
      </c>
      <c r="AS52">
        <v>1350</v>
      </c>
      <c r="AT52">
        <v>0.96530000000000005</v>
      </c>
      <c r="AU52">
        <v>172</v>
      </c>
      <c r="AV52">
        <v>0.94740000000000002</v>
      </c>
      <c r="AW52" t="s">
        <v>98</v>
      </c>
      <c r="AX52" t="s">
        <v>1001</v>
      </c>
      <c r="AY52" t="s">
        <v>127</v>
      </c>
      <c r="AZ52" t="s">
        <v>101</v>
      </c>
      <c r="BA52" t="s">
        <v>128</v>
      </c>
      <c r="BB52" t="s">
        <v>103</v>
      </c>
      <c r="BC52" t="s">
        <v>1002</v>
      </c>
      <c r="BD52" t="s">
        <v>105</v>
      </c>
      <c r="BE52">
        <v>64410</v>
      </c>
      <c r="BF52" t="s">
        <v>1003</v>
      </c>
      <c r="BG52">
        <v>829</v>
      </c>
      <c r="BH52" t="s">
        <v>80</v>
      </c>
      <c r="BI52">
        <v>1</v>
      </c>
      <c r="BJ52">
        <v>140</v>
      </c>
      <c r="BK52">
        <v>7</v>
      </c>
      <c r="BL52">
        <v>60</v>
      </c>
      <c r="BM52">
        <v>2753</v>
      </c>
      <c r="BN52">
        <v>3602</v>
      </c>
      <c r="BO52">
        <v>5085</v>
      </c>
      <c r="BP52">
        <v>30</v>
      </c>
      <c r="BQ52" s="2">
        <v>2693</v>
      </c>
      <c r="BR52">
        <f t="shared" si="0"/>
        <v>141</v>
      </c>
      <c r="BS52">
        <f t="shared" si="1"/>
        <v>8</v>
      </c>
      <c r="BT52">
        <f t="shared" si="2"/>
        <v>61</v>
      </c>
      <c r="BU52">
        <f t="shared" si="3"/>
        <v>2754</v>
      </c>
      <c r="BV52">
        <f t="shared" si="4"/>
        <v>3603</v>
      </c>
      <c r="BW52">
        <f t="shared" si="5"/>
        <v>5086</v>
      </c>
      <c r="BX52">
        <f t="shared" si="6"/>
        <v>31</v>
      </c>
      <c r="BY52" s="2">
        <f t="shared" si="7"/>
        <v>2694</v>
      </c>
      <c r="BZ52">
        <f t="shared" si="8"/>
        <v>361.2437539643887</v>
      </c>
      <c r="CA52">
        <v>361.2437539643887</v>
      </c>
      <c r="CB52">
        <v>361.2437539643887</v>
      </c>
      <c r="CC52">
        <v>361.2437539643887</v>
      </c>
      <c r="CD52">
        <v>361.2437539643887</v>
      </c>
      <c r="CE52">
        <v>361.2437539643887</v>
      </c>
      <c r="CF52">
        <v>361.2437539643887</v>
      </c>
      <c r="CG52">
        <v>361.2437539643887</v>
      </c>
      <c r="CH52">
        <f t="shared" si="16"/>
        <v>-0.40858123406493174</v>
      </c>
      <c r="CI52">
        <f t="shared" si="9"/>
        <v>-1.6547103597283681</v>
      </c>
      <c r="CJ52">
        <f t="shared" si="10"/>
        <v>-0.77247051170954462</v>
      </c>
      <c r="CK52">
        <f t="shared" si="11"/>
        <v>0.88216358920059323</v>
      </c>
      <c r="CL52">
        <f t="shared" si="12"/>
        <v>0.99886391540225683</v>
      </c>
      <c r="CM52">
        <f t="shared" si="13"/>
        <v>1.1485760091193784</v>
      </c>
      <c r="CN52">
        <f t="shared" si="14"/>
        <v>-1.066438652886039</v>
      </c>
      <c r="CO52" s="2">
        <f t="shared" si="15"/>
        <v>0.87259724466665511</v>
      </c>
      <c r="CP52">
        <v>-1.1679110428651001</v>
      </c>
      <c r="CQ52">
        <v>-8.9035314535396398E-2</v>
      </c>
      <c r="CR52">
        <v>-0.95615878327373904</v>
      </c>
      <c r="CS52">
        <v>0.95387553524236202</v>
      </c>
      <c r="CT52">
        <v>0.89305659947382998</v>
      </c>
      <c r="CU52">
        <v>0.889657433342666</v>
      </c>
      <c r="CV52">
        <v>-0.183880986939775</v>
      </c>
      <c r="CW52">
        <v>0.91235056927706604</v>
      </c>
      <c r="CX52" t="s">
        <v>1826</v>
      </c>
    </row>
    <row r="53" spans="1:102" x14ac:dyDescent="0.35">
      <c r="A53" t="s">
        <v>1075</v>
      </c>
      <c r="B53" t="s">
        <v>89</v>
      </c>
      <c r="C53" t="s">
        <v>108</v>
      </c>
      <c r="D53" t="s">
        <v>72</v>
      </c>
      <c r="E53" t="s">
        <v>72</v>
      </c>
      <c r="F53" t="s">
        <v>72</v>
      </c>
      <c r="G53" t="s">
        <v>73</v>
      </c>
      <c r="H53" t="s">
        <v>109</v>
      </c>
      <c r="I53" t="s">
        <v>110</v>
      </c>
      <c r="J53" t="s">
        <v>111</v>
      </c>
      <c r="K53" t="s">
        <v>112</v>
      </c>
      <c r="L53" t="s">
        <v>113</v>
      </c>
      <c r="M53" t="s">
        <v>114</v>
      </c>
      <c r="N53">
        <v>48</v>
      </c>
      <c r="O53" t="s">
        <v>80</v>
      </c>
      <c r="P53">
        <v>621</v>
      </c>
      <c r="Q53">
        <v>0.68400000000000005</v>
      </c>
      <c r="R53">
        <v>175</v>
      </c>
      <c r="S53">
        <v>0.81130000000000002</v>
      </c>
      <c r="T53" t="s">
        <v>115</v>
      </c>
      <c r="U53" t="s">
        <v>116</v>
      </c>
      <c r="V53" t="s">
        <v>117</v>
      </c>
      <c r="W53" t="s">
        <v>118</v>
      </c>
      <c r="X53" t="s">
        <v>119</v>
      </c>
      <c r="Y53" t="s">
        <v>120</v>
      </c>
      <c r="Z53" t="s">
        <v>121</v>
      </c>
      <c r="AA53" t="s">
        <v>88</v>
      </c>
      <c r="AB53">
        <v>1147</v>
      </c>
      <c r="AC53">
        <v>9</v>
      </c>
      <c r="AE53">
        <v>1</v>
      </c>
      <c r="AF53" t="s">
        <v>159</v>
      </c>
      <c r="AG53" t="s">
        <v>1076</v>
      </c>
      <c r="AH53" t="s">
        <v>72</v>
      </c>
      <c r="AI53" t="s">
        <v>72</v>
      </c>
      <c r="AJ53" t="s">
        <v>91</v>
      </c>
      <c r="AK53" t="s">
        <v>92</v>
      </c>
      <c r="AL53" t="s">
        <v>93</v>
      </c>
      <c r="AM53" t="s">
        <v>94</v>
      </c>
      <c r="AN53" t="s">
        <v>1077</v>
      </c>
      <c r="AO53" t="s">
        <v>1078</v>
      </c>
      <c r="AP53" t="s">
        <v>97</v>
      </c>
      <c r="AQ53">
        <v>39</v>
      </c>
      <c r="AR53" t="s">
        <v>80</v>
      </c>
      <c r="AS53">
        <v>1323</v>
      </c>
      <c r="AT53">
        <v>0.95489999999999997</v>
      </c>
      <c r="AU53">
        <v>172</v>
      </c>
      <c r="AV53">
        <v>0.94740000000000002</v>
      </c>
      <c r="AW53" t="s">
        <v>1079</v>
      </c>
      <c r="AX53" t="s">
        <v>1080</v>
      </c>
      <c r="AY53" t="s">
        <v>127</v>
      </c>
      <c r="AZ53" t="s">
        <v>101</v>
      </c>
      <c r="BA53" t="s">
        <v>276</v>
      </c>
      <c r="BB53" t="s">
        <v>103</v>
      </c>
      <c r="BC53" t="s">
        <v>104</v>
      </c>
      <c r="BD53" t="s">
        <v>105</v>
      </c>
      <c r="BE53">
        <v>6304</v>
      </c>
      <c r="BF53" t="s">
        <v>106</v>
      </c>
      <c r="BG53">
        <v>81</v>
      </c>
      <c r="BH53" t="s">
        <v>80</v>
      </c>
      <c r="BI53">
        <v>1</v>
      </c>
      <c r="BJ53">
        <v>70</v>
      </c>
      <c r="BK53">
        <v>4</v>
      </c>
      <c r="BL53">
        <v>40</v>
      </c>
      <c r="BM53">
        <v>1111</v>
      </c>
      <c r="BN53">
        <v>1361</v>
      </c>
      <c r="BO53">
        <v>1996</v>
      </c>
      <c r="BP53">
        <v>4</v>
      </c>
      <c r="BQ53" s="2">
        <v>1111</v>
      </c>
      <c r="BR53">
        <f t="shared" si="0"/>
        <v>71</v>
      </c>
      <c r="BS53">
        <f t="shared" si="1"/>
        <v>5</v>
      </c>
      <c r="BT53">
        <f t="shared" si="2"/>
        <v>41</v>
      </c>
      <c r="BU53">
        <f t="shared" si="3"/>
        <v>1112</v>
      </c>
      <c r="BV53">
        <f t="shared" si="4"/>
        <v>1362</v>
      </c>
      <c r="BW53">
        <f t="shared" si="5"/>
        <v>1997</v>
      </c>
      <c r="BX53">
        <f t="shared" si="6"/>
        <v>5</v>
      </c>
      <c r="BY53" s="2">
        <f t="shared" si="7"/>
        <v>1112</v>
      </c>
      <c r="BZ53">
        <f t="shared" si="8"/>
        <v>149.13973604918485</v>
      </c>
      <c r="CA53">
        <v>149.13973604918485</v>
      </c>
      <c r="CB53">
        <v>149.13973604918485</v>
      </c>
      <c r="CC53">
        <v>149.13973604918485</v>
      </c>
      <c r="CD53">
        <v>149.13973604918485</v>
      </c>
      <c r="CE53">
        <v>149.13973604918485</v>
      </c>
      <c r="CF53">
        <v>149.13973604918485</v>
      </c>
      <c r="CG53">
        <v>149.13973604918485</v>
      </c>
      <c r="CH53">
        <f t="shared" si="16"/>
        <v>-0.32233502141222403</v>
      </c>
      <c r="CI53">
        <f t="shared" si="9"/>
        <v>-1.4746233657952805</v>
      </c>
      <c r="CJ53">
        <f t="shared" si="10"/>
        <v>-0.56080951341156382</v>
      </c>
      <c r="CK53">
        <f t="shared" si="11"/>
        <v>0.87251141711473934</v>
      </c>
      <c r="CL53">
        <f t="shared" si="12"/>
        <v>0.96058373744546699</v>
      </c>
      <c r="CM53">
        <f t="shared" si="13"/>
        <v>1.1267846947394033</v>
      </c>
      <c r="CN53">
        <f t="shared" si="14"/>
        <v>-1.4746233657952805</v>
      </c>
      <c r="CO53" s="2">
        <f t="shared" si="15"/>
        <v>0.87251141711473934</v>
      </c>
      <c r="CP53">
        <v>-1.0642920531386499</v>
      </c>
      <c r="CQ53">
        <v>0.44297849159763703</v>
      </c>
      <c r="CR53">
        <v>-1.04833757248188E-2</v>
      </c>
      <c r="CS53">
        <v>0.92543589372788504</v>
      </c>
      <c r="CT53">
        <v>0.78649931716676402</v>
      </c>
      <c r="CU53">
        <v>0.82672860702829198</v>
      </c>
      <c r="CV53">
        <v>-1.2786216894017299</v>
      </c>
      <c r="CW53">
        <v>0.91211483074125899</v>
      </c>
      <c r="CX53" t="s">
        <v>1826</v>
      </c>
    </row>
    <row r="54" spans="1:102" x14ac:dyDescent="0.35">
      <c r="A54" t="s">
        <v>570</v>
      </c>
      <c r="B54" t="s">
        <v>130</v>
      </c>
      <c r="C54" t="s">
        <v>571</v>
      </c>
      <c r="D54" t="s">
        <v>72</v>
      </c>
      <c r="E54" t="s">
        <v>72</v>
      </c>
      <c r="F54" t="s">
        <v>72</v>
      </c>
      <c r="G54" t="s">
        <v>73</v>
      </c>
      <c r="H54" t="s">
        <v>109</v>
      </c>
      <c r="I54" t="s">
        <v>110</v>
      </c>
      <c r="J54" t="s">
        <v>111</v>
      </c>
      <c r="K54" t="s">
        <v>112</v>
      </c>
      <c r="L54" t="s">
        <v>113</v>
      </c>
      <c r="M54" t="s">
        <v>114</v>
      </c>
      <c r="N54">
        <v>48</v>
      </c>
      <c r="O54" t="s">
        <v>80</v>
      </c>
      <c r="P54">
        <v>621</v>
      </c>
      <c r="Q54">
        <v>0.68400000000000005</v>
      </c>
      <c r="R54">
        <v>175</v>
      </c>
      <c r="S54">
        <v>0.81130000000000002</v>
      </c>
      <c r="T54" t="s">
        <v>115</v>
      </c>
      <c r="U54" t="s">
        <v>116</v>
      </c>
      <c r="V54" t="s">
        <v>117</v>
      </c>
      <c r="W54" t="s">
        <v>118</v>
      </c>
      <c r="X54" t="s">
        <v>119</v>
      </c>
      <c r="Y54" t="s">
        <v>120</v>
      </c>
      <c r="Z54" t="s">
        <v>121</v>
      </c>
      <c r="AA54" t="s">
        <v>88</v>
      </c>
      <c r="AB54">
        <v>1101</v>
      </c>
      <c r="AC54">
        <v>11</v>
      </c>
      <c r="AE54">
        <v>1</v>
      </c>
      <c r="AF54" t="s">
        <v>89</v>
      </c>
      <c r="AG54" t="s">
        <v>572</v>
      </c>
      <c r="AH54" t="s">
        <v>72</v>
      </c>
      <c r="AI54" t="s">
        <v>72</v>
      </c>
      <c r="AJ54" t="s">
        <v>91</v>
      </c>
      <c r="AK54" t="s">
        <v>92</v>
      </c>
      <c r="AL54" t="s">
        <v>93</v>
      </c>
      <c r="AM54" t="s">
        <v>94</v>
      </c>
      <c r="AN54" t="s">
        <v>573</v>
      </c>
      <c r="AO54" t="s">
        <v>574</v>
      </c>
      <c r="AP54" t="s">
        <v>575</v>
      </c>
      <c r="AQ54">
        <v>39</v>
      </c>
      <c r="AR54" t="s">
        <v>80</v>
      </c>
      <c r="AS54">
        <v>1341</v>
      </c>
      <c r="AT54">
        <v>0.96179999999999999</v>
      </c>
      <c r="AU54">
        <v>163</v>
      </c>
      <c r="AV54">
        <v>0.92110000000000003</v>
      </c>
      <c r="AW54" t="s">
        <v>576</v>
      </c>
      <c r="AX54" t="s">
        <v>146</v>
      </c>
      <c r="AY54" t="s">
        <v>127</v>
      </c>
      <c r="AZ54" t="s">
        <v>101</v>
      </c>
      <c r="BA54" t="s">
        <v>128</v>
      </c>
      <c r="BB54" t="s">
        <v>103</v>
      </c>
      <c r="BC54" t="s">
        <v>577</v>
      </c>
      <c r="BD54" t="s">
        <v>105</v>
      </c>
      <c r="BE54">
        <v>90624</v>
      </c>
      <c r="BF54" t="s">
        <v>578</v>
      </c>
      <c r="BG54">
        <v>1080</v>
      </c>
      <c r="BH54" t="s">
        <v>80</v>
      </c>
      <c r="BI54">
        <v>1</v>
      </c>
      <c r="BJ54">
        <v>127</v>
      </c>
      <c r="BK54">
        <v>4</v>
      </c>
      <c r="BL54">
        <v>52</v>
      </c>
      <c r="BM54">
        <v>2276</v>
      </c>
      <c r="BN54">
        <v>2839</v>
      </c>
      <c r="BO54">
        <v>4202</v>
      </c>
      <c r="BP54">
        <v>24</v>
      </c>
      <c r="BQ54" s="2">
        <v>2158</v>
      </c>
      <c r="BR54">
        <f t="shared" si="0"/>
        <v>128</v>
      </c>
      <c r="BS54">
        <f t="shared" si="1"/>
        <v>5</v>
      </c>
      <c r="BT54">
        <f t="shared" si="2"/>
        <v>53</v>
      </c>
      <c r="BU54">
        <f t="shared" si="3"/>
        <v>2277</v>
      </c>
      <c r="BV54">
        <f t="shared" si="4"/>
        <v>2840</v>
      </c>
      <c r="BW54">
        <f t="shared" si="5"/>
        <v>4203</v>
      </c>
      <c r="BX54">
        <f t="shared" si="6"/>
        <v>25</v>
      </c>
      <c r="BY54" s="2">
        <f t="shared" si="7"/>
        <v>2159</v>
      </c>
      <c r="BZ54">
        <f t="shared" si="8"/>
        <v>289.80852525966981</v>
      </c>
      <c r="CA54">
        <v>289.80852525966981</v>
      </c>
      <c r="CB54">
        <v>289.80852525966981</v>
      </c>
      <c r="CC54">
        <v>289.80852525966981</v>
      </c>
      <c r="CD54">
        <v>289.80852525966981</v>
      </c>
      <c r="CE54">
        <v>289.80852525966981</v>
      </c>
      <c r="CF54">
        <v>289.80852525966981</v>
      </c>
      <c r="CG54">
        <v>289.80852525966981</v>
      </c>
      <c r="CH54">
        <f t="shared" si="16"/>
        <v>-0.35490118725945186</v>
      </c>
      <c r="CI54">
        <f t="shared" si="9"/>
        <v>-1.7631411525713014</v>
      </c>
      <c r="CJ54">
        <f t="shared" si="10"/>
        <v>-0.73783528730653125</v>
      </c>
      <c r="CK54">
        <f t="shared" si="11"/>
        <v>0.89525187370782255</v>
      </c>
      <c r="CL54">
        <f t="shared" si="12"/>
        <v>0.99120718313971734</v>
      </c>
      <c r="CM54">
        <f t="shared" si="13"/>
        <v>1.1614482330981168</v>
      </c>
      <c r="CN54">
        <f t="shared" si="14"/>
        <v>-1.0641711482352827</v>
      </c>
      <c r="CO54" s="2">
        <f t="shared" si="15"/>
        <v>0.8721414854269105</v>
      </c>
      <c r="CP54">
        <v>-1.1034180982201001</v>
      </c>
      <c r="CQ54">
        <v>-0.40936204964556999</v>
      </c>
      <c r="CR54">
        <v>-0.80141284417183301</v>
      </c>
      <c r="CS54">
        <v>0.99243950987047902</v>
      </c>
      <c r="CT54">
        <v>0.87174320374797998</v>
      </c>
      <c r="CU54">
        <v>0.92682976415820095</v>
      </c>
      <c r="CV54">
        <v>-0.17779959889240701</v>
      </c>
      <c r="CW54">
        <v>0.91109875661947803</v>
      </c>
      <c r="CX54" t="s">
        <v>1826</v>
      </c>
    </row>
    <row r="55" spans="1:102" x14ac:dyDescent="0.35">
      <c r="A55" t="s">
        <v>1785</v>
      </c>
      <c r="B55" t="s">
        <v>211</v>
      </c>
      <c r="C55" t="s">
        <v>301</v>
      </c>
      <c r="D55" t="s">
        <v>72</v>
      </c>
      <c r="E55" t="s">
        <v>72</v>
      </c>
      <c r="F55" t="s">
        <v>72</v>
      </c>
      <c r="G55" t="s">
        <v>73</v>
      </c>
      <c r="H55" t="s">
        <v>109</v>
      </c>
      <c r="I55" t="s">
        <v>110</v>
      </c>
      <c r="J55" t="s">
        <v>111</v>
      </c>
      <c r="K55" t="s">
        <v>112</v>
      </c>
      <c r="L55" t="s">
        <v>113</v>
      </c>
      <c r="M55" t="s">
        <v>114</v>
      </c>
      <c r="N55">
        <v>48</v>
      </c>
      <c r="O55" t="s">
        <v>80</v>
      </c>
      <c r="P55">
        <v>621</v>
      </c>
      <c r="Q55">
        <v>0.68400000000000005</v>
      </c>
      <c r="R55">
        <v>175</v>
      </c>
      <c r="S55">
        <v>0.81130000000000002</v>
      </c>
      <c r="T55" t="s">
        <v>115</v>
      </c>
      <c r="U55" t="s">
        <v>116</v>
      </c>
      <c r="V55" t="s">
        <v>117</v>
      </c>
      <c r="W55" t="s">
        <v>118</v>
      </c>
      <c r="X55" t="s">
        <v>119</v>
      </c>
      <c r="Y55" t="s">
        <v>120</v>
      </c>
      <c r="Z55" t="s">
        <v>121</v>
      </c>
      <c r="AA55" t="s">
        <v>88</v>
      </c>
      <c r="AB55">
        <v>770</v>
      </c>
      <c r="AC55">
        <v>10</v>
      </c>
      <c r="AE55">
        <v>1</v>
      </c>
      <c r="AF55" t="s">
        <v>89</v>
      </c>
      <c r="AG55" t="s">
        <v>1786</v>
      </c>
      <c r="AH55" t="s">
        <v>72</v>
      </c>
      <c r="AI55" t="s">
        <v>72</v>
      </c>
      <c r="AJ55" t="s">
        <v>91</v>
      </c>
      <c r="AK55" t="s">
        <v>92</v>
      </c>
      <c r="AL55" t="s">
        <v>93</v>
      </c>
      <c r="AM55" t="s">
        <v>94</v>
      </c>
      <c r="AN55" t="s">
        <v>1787</v>
      </c>
      <c r="AO55" t="s">
        <v>1788</v>
      </c>
      <c r="AP55" t="s">
        <v>97</v>
      </c>
      <c r="AQ55">
        <v>39</v>
      </c>
      <c r="AR55" t="s">
        <v>80</v>
      </c>
      <c r="AS55">
        <v>1350</v>
      </c>
      <c r="AT55">
        <v>0.96530000000000005</v>
      </c>
      <c r="AU55">
        <v>163</v>
      </c>
      <c r="AV55">
        <v>0.92110000000000003</v>
      </c>
      <c r="AW55" t="s">
        <v>98</v>
      </c>
      <c r="AX55" t="s">
        <v>146</v>
      </c>
      <c r="AY55" t="s">
        <v>127</v>
      </c>
      <c r="AZ55" t="s">
        <v>136</v>
      </c>
      <c r="BA55" t="s">
        <v>276</v>
      </c>
      <c r="BB55" t="s">
        <v>103</v>
      </c>
      <c r="BC55" t="s">
        <v>104</v>
      </c>
      <c r="BD55" t="s">
        <v>105</v>
      </c>
      <c r="BE55">
        <v>7338</v>
      </c>
      <c r="BF55" t="s">
        <v>106</v>
      </c>
      <c r="BG55">
        <v>85</v>
      </c>
      <c r="BH55" t="s">
        <v>80</v>
      </c>
      <c r="BI55">
        <v>1</v>
      </c>
      <c r="BJ55">
        <v>82</v>
      </c>
      <c r="BK55">
        <v>0</v>
      </c>
      <c r="BL55">
        <v>32</v>
      </c>
      <c r="BM55">
        <v>1034</v>
      </c>
      <c r="BN55">
        <v>1363</v>
      </c>
      <c r="BO55">
        <v>1751</v>
      </c>
      <c r="BP55">
        <v>9</v>
      </c>
      <c r="BQ55" s="2">
        <v>937</v>
      </c>
      <c r="BR55">
        <f t="shared" si="0"/>
        <v>83</v>
      </c>
      <c r="BS55">
        <f t="shared" si="1"/>
        <v>1</v>
      </c>
      <c r="BT55">
        <f t="shared" si="2"/>
        <v>33</v>
      </c>
      <c r="BU55">
        <f t="shared" si="3"/>
        <v>1035</v>
      </c>
      <c r="BV55">
        <f t="shared" si="4"/>
        <v>1364</v>
      </c>
      <c r="BW55">
        <f t="shared" si="5"/>
        <v>1752</v>
      </c>
      <c r="BX55">
        <f t="shared" si="6"/>
        <v>10</v>
      </c>
      <c r="BY55" s="2">
        <f t="shared" si="7"/>
        <v>938</v>
      </c>
      <c r="BZ55">
        <f t="shared" si="8"/>
        <v>126.00432772151954</v>
      </c>
      <c r="CA55">
        <v>126.00432772151954</v>
      </c>
      <c r="CB55">
        <v>126.00432772151954</v>
      </c>
      <c r="CC55">
        <v>126.00432772151954</v>
      </c>
      <c r="CD55">
        <v>126.00432772151954</v>
      </c>
      <c r="CE55">
        <v>126.00432772151954</v>
      </c>
      <c r="CF55">
        <v>126.00432772151954</v>
      </c>
      <c r="CG55">
        <v>126.00432772151954</v>
      </c>
      <c r="CH55">
        <f t="shared" si="16"/>
        <v>-0.18130736919623663</v>
      </c>
      <c r="CI55">
        <f t="shared" si="9"/>
        <v>-2.1003854615723103</v>
      </c>
      <c r="CJ55">
        <f t="shared" si="10"/>
        <v>-0.58187152169442313</v>
      </c>
      <c r="CK55">
        <f t="shared" si="11"/>
        <v>0.91455488822062603</v>
      </c>
      <c r="CL55">
        <f t="shared" si="12"/>
        <v>1.0344289087481495</v>
      </c>
      <c r="CM55">
        <f t="shared" si="13"/>
        <v>1.1431486402597513</v>
      </c>
      <c r="CN55">
        <f t="shared" si="14"/>
        <v>-1.1003854615723105</v>
      </c>
      <c r="CO55" s="2">
        <f t="shared" si="15"/>
        <v>0.87181737680675386</v>
      </c>
      <c r="CP55">
        <v>-0.894856869880716</v>
      </c>
      <c r="CQ55">
        <v>-2.2527165794045199</v>
      </c>
      <c r="CR55">
        <v>-0.104585848201354</v>
      </c>
      <c r="CS55">
        <v>1.0493148751260799</v>
      </c>
      <c r="CT55">
        <v>0.99205585283375397</v>
      </c>
      <c r="CU55">
        <v>0.87398431026453904</v>
      </c>
      <c r="CV55">
        <v>-0.274925438170396</v>
      </c>
      <c r="CW55">
        <v>0.91020854258152895</v>
      </c>
      <c r="CX55" t="s">
        <v>1826</v>
      </c>
    </row>
    <row r="56" spans="1:102" x14ac:dyDescent="0.35">
      <c r="A56" t="s">
        <v>363</v>
      </c>
      <c r="B56" t="s">
        <v>130</v>
      </c>
      <c r="C56" t="s">
        <v>301</v>
      </c>
      <c r="D56" t="s">
        <v>72</v>
      </c>
      <c r="E56" t="s">
        <v>72</v>
      </c>
      <c r="F56" t="s">
        <v>72</v>
      </c>
      <c r="G56" t="s">
        <v>73</v>
      </c>
      <c r="H56" t="s">
        <v>109</v>
      </c>
      <c r="I56" t="s">
        <v>110</v>
      </c>
      <c r="J56" t="s">
        <v>111</v>
      </c>
      <c r="K56" t="s">
        <v>112</v>
      </c>
      <c r="L56" t="s">
        <v>113</v>
      </c>
      <c r="M56" t="s">
        <v>114</v>
      </c>
      <c r="N56">
        <v>48</v>
      </c>
      <c r="O56" t="s">
        <v>80</v>
      </c>
      <c r="P56">
        <v>621</v>
      </c>
      <c r="Q56">
        <v>0.68400000000000005</v>
      </c>
      <c r="R56">
        <v>175</v>
      </c>
      <c r="S56">
        <v>0.81130000000000002</v>
      </c>
      <c r="T56" t="s">
        <v>115</v>
      </c>
      <c r="U56" t="s">
        <v>116</v>
      </c>
      <c r="V56" t="s">
        <v>117</v>
      </c>
      <c r="W56" t="s">
        <v>118</v>
      </c>
      <c r="X56" t="s">
        <v>119</v>
      </c>
      <c r="Y56" t="s">
        <v>120</v>
      </c>
      <c r="Z56" t="s">
        <v>121</v>
      </c>
      <c r="AA56" t="s">
        <v>88</v>
      </c>
      <c r="AB56">
        <v>941</v>
      </c>
      <c r="AC56">
        <v>11</v>
      </c>
      <c r="AE56">
        <v>1</v>
      </c>
      <c r="AF56" t="s">
        <v>89</v>
      </c>
      <c r="AG56" t="s">
        <v>364</v>
      </c>
      <c r="AH56" t="s">
        <v>72</v>
      </c>
      <c r="AI56" t="s">
        <v>72</v>
      </c>
      <c r="AJ56" t="s">
        <v>91</v>
      </c>
      <c r="AK56" t="s">
        <v>92</v>
      </c>
      <c r="AL56" t="s">
        <v>93</v>
      </c>
      <c r="AM56" t="s">
        <v>94</v>
      </c>
      <c r="AN56" t="s">
        <v>365</v>
      </c>
      <c r="AO56" t="s">
        <v>366</v>
      </c>
      <c r="AP56" t="s">
        <v>97</v>
      </c>
      <c r="AQ56">
        <v>39</v>
      </c>
      <c r="AR56" t="s">
        <v>80</v>
      </c>
      <c r="AS56">
        <v>1350</v>
      </c>
      <c r="AT56">
        <v>0.96530000000000005</v>
      </c>
      <c r="AU56">
        <v>145</v>
      </c>
      <c r="AV56">
        <v>0.86839999999999995</v>
      </c>
      <c r="AW56" t="s">
        <v>98</v>
      </c>
      <c r="AX56" t="s">
        <v>367</v>
      </c>
      <c r="AY56" t="s">
        <v>127</v>
      </c>
      <c r="AZ56" t="s">
        <v>368</v>
      </c>
      <c r="BA56" t="s">
        <v>128</v>
      </c>
      <c r="BB56" t="s">
        <v>103</v>
      </c>
      <c r="BC56" t="s">
        <v>104</v>
      </c>
      <c r="BD56" t="s">
        <v>105</v>
      </c>
      <c r="BE56">
        <v>112520</v>
      </c>
      <c r="BF56" t="s">
        <v>106</v>
      </c>
      <c r="BG56">
        <v>1190</v>
      </c>
      <c r="BH56" t="s">
        <v>80</v>
      </c>
      <c r="BI56">
        <v>1</v>
      </c>
      <c r="BJ56">
        <v>66</v>
      </c>
      <c r="BK56">
        <v>7</v>
      </c>
      <c r="BL56">
        <v>70</v>
      </c>
      <c r="BM56">
        <v>1937</v>
      </c>
      <c r="BN56">
        <v>2554</v>
      </c>
      <c r="BO56">
        <v>3581</v>
      </c>
      <c r="BP56">
        <v>13</v>
      </c>
      <c r="BQ56" s="2">
        <v>1895</v>
      </c>
      <c r="BR56">
        <f t="shared" si="0"/>
        <v>67</v>
      </c>
      <c r="BS56">
        <f t="shared" si="1"/>
        <v>8</v>
      </c>
      <c r="BT56">
        <f t="shared" si="2"/>
        <v>71</v>
      </c>
      <c r="BU56">
        <f t="shared" si="3"/>
        <v>1938</v>
      </c>
      <c r="BV56">
        <f t="shared" si="4"/>
        <v>2555</v>
      </c>
      <c r="BW56">
        <f t="shared" si="5"/>
        <v>3582</v>
      </c>
      <c r="BX56">
        <f t="shared" si="6"/>
        <v>14</v>
      </c>
      <c r="BY56" s="2">
        <f t="shared" si="7"/>
        <v>1896</v>
      </c>
      <c r="BZ56">
        <f t="shared" si="8"/>
        <v>255.06887737308594</v>
      </c>
      <c r="CA56">
        <v>255.06887737308594</v>
      </c>
      <c r="CB56">
        <v>255.06887737308594</v>
      </c>
      <c r="CC56">
        <v>255.06887737308594</v>
      </c>
      <c r="CD56">
        <v>255.06887737308594</v>
      </c>
      <c r="CE56">
        <v>255.06887737308594</v>
      </c>
      <c r="CF56">
        <v>255.06887737308594</v>
      </c>
      <c r="CG56">
        <v>255.06887737308594</v>
      </c>
      <c r="CH56">
        <f t="shared" si="16"/>
        <v>-0.58058266802300129</v>
      </c>
      <c r="CI56">
        <f t="shared" si="9"/>
        <v>-1.5035674837318842</v>
      </c>
      <c r="CJ56">
        <f t="shared" si="10"/>
        <v>-0.5553991220047525</v>
      </c>
      <c r="CK56">
        <f t="shared" si="11"/>
        <v>0.88069630199091875</v>
      </c>
      <c r="CL56">
        <f t="shared" si="12"/>
        <v>1.0007334337469038</v>
      </c>
      <c r="CM56">
        <f t="shared" si="13"/>
        <v>1.1474681107891849</v>
      </c>
      <c r="CN56">
        <f t="shared" si="14"/>
        <v>-1.2605294350455898</v>
      </c>
      <c r="CO56" s="2">
        <f t="shared" si="15"/>
        <v>0.87118086227821967</v>
      </c>
      <c r="CP56">
        <v>-1.37455912943099</v>
      </c>
      <c r="CQ56">
        <v>0.357471648419737</v>
      </c>
      <c r="CR56">
        <v>1.3689590196056801E-2</v>
      </c>
      <c r="CS56">
        <v>0.94955224698447105</v>
      </c>
      <c r="CT56">
        <v>0.89826061901244503</v>
      </c>
      <c r="CU56">
        <v>0.88645805122284405</v>
      </c>
      <c r="CV56">
        <v>-0.70442737802909805</v>
      </c>
      <c r="CW56">
        <v>0.90846025779852702</v>
      </c>
      <c r="CX56" t="s">
        <v>1826</v>
      </c>
    </row>
    <row r="57" spans="1:102" x14ac:dyDescent="0.35">
      <c r="A57" t="s">
        <v>1165</v>
      </c>
      <c r="B57" t="s">
        <v>148</v>
      </c>
      <c r="C57" t="s">
        <v>1166</v>
      </c>
      <c r="D57" t="s">
        <v>72</v>
      </c>
      <c r="E57" t="s">
        <v>72</v>
      </c>
      <c r="F57" t="s">
        <v>72</v>
      </c>
      <c r="G57" t="s">
        <v>73</v>
      </c>
      <c r="H57" t="s">
        <v>109</v>
      </c>
      <c r="I57" t="s">
        <v>110</v>
      </c>
      <c r="J57" t="s">
        <v>111</v>
      </c>
      <c r="K57" t="s">
        <v>112</v>
      </c>
      <c r="L57" t="s">
        <v>113</v>
      </c>
      <c r="M57" t="s">
        <v>114</v>
      </c>
      <c r="N57">
        <v>48</v>
      </c>
      <c r="O57" t="s">
        <v>80</v>
      </c>
      <c r="P57">
        <v>621</v>
      </c>
      <c r="Q57">
        <v>0.68400000000000005</v>
      </c>
      <c r="R57">
        <v>175</v>
      </c>
      <c r="S57">
        <v>0.81130000000000002</v>
      </c>
      <c r="T57" t="s">
        <v>115</v>
      </c>
      <c r="U57" t="s">
        <v>116</v>
      </c>
      <c r="V57" t="s">
        <v>117</v>
      </c>
      <c r="W57" t="s">
        <v>118</v>
      </c>
      <c r="X57" t="s">
        <v>119</v>
      </c>
      <c r="Y57" t="s">
        <v>120</v>
      </c>
      <c r="Z57" t="s">
        <v>121</v>
      </c>
      <c r="AA57" t="s">
        <v>88</v>
      </c>
      <c r="AB57">
        <v>426</v>
      </c>
      <c r="AC57">
        <v>7</v>
      </c>
      <c r="AE57">
        <v>1</v>
      </c>
      <c r="AF57" t="s">
        <v>89</v>
      </c>
      <c r="AG57" t="s">
        <v>1167</v>
      </c>
      <c r="AH57" t="s">
        <v>72</v>
      </c>
      <c r="AI57" t="s">
        <v>72</v>
      </c>
      <c r="AJ57" t="s">
        <v>91</v>
      </c>
      <c r="AK57" t="s">
        <v>92</v>
      </c>
      <c r="AL57" t="s">
        <v>93</v>
      </c>
      <c r="AM57" t="s">
        <v>94</v>
      </c>
      <c r="AN57" t="s">
        <v>1168</v>
      </c>
      <c r="AO57" t="s">
        <v>1169</v>
      </c>
      <c r="AP57" t="s">
        <v>1000</v>
      </c>
      <c r="AQ57">
        <v>39</v>
      </c>
      <c r="AR57" t="s">
        <v>80</v>
      </c>
      <c r="AS57">
        <v>1359</v>
      </c>
      <c r="AT57">
        <v>0.96879999999999999</v>
      </c>
      <c r="AU57">
        <v>172</v>
      </c>
      <c r="AV57">
        <v>0.94740000000000002</v>
      </c>
      <c r="AW57" t="s">
        <v>98</v>
      </c>
      <c r="AX57" t="s">
        <v>146</v>
      </c>
      <c r="AY57" t="s">
        <v>127</v>
      </c>
      <c r="AZ57" t="s">
        <v>101</v>
      </c>
      <c r="BA57" t="s">
        <v>128</v>
      </c>
      <c r="BB57" t="s">
        <v>103</v>
      </c>
      <c r="BC57" t="s">
        <v>1002</v>
      </c>
      <c r="BD57" t="s">
        <v>105</v>
      </c>
      <c r="BE57">
        <v>108487</v>
      </c>
      <c r="BF57" t="s">
        <v>1003</v>
      </c>
      <c r="BG57">
        <v>1380</v>
      </c>
      <c r="BH57" t="s">
        <v>80</v>
      </c>
      <c r="BI57">
        <v>1</v>
      </c>
      <c r="BJ57">
        <v>454</v>
      </c>
      <c r="BK57">
        <v>0</v>
      </c>
      <c r="BL57">
        <v>54</v>
      </c>
      <c r="BM57">
        <v>1472</v>
      </c>
      <c r="BN57">
        <v>2002</v>
      </c>
      <c r="BO57">
        <v>2823</v>
      </c>
      <c r="BP57">
        <v>8</v>
      </c>
      <c r="BQ57" s="2">
        <v>1498</v>
      </c>
      <c r="BR57">
        <f t="shared" si="0"/>
        <v>455</v>
      </c>
      <c r="BS57">
        <f t="shared" si="1"/>
        <v>1</v>
      </c>
      <c r="BT57">
        <f t="shared" si="2"/>
        <v>55</v>
      </c>
      <c r="BU57">
        <f t="shared" si="3"/>
        <v>1473</v>
      </c>
      <c r="BV57">
        <f t="shared" si="4"/>
        <v>2003</v>
      </c>
      <c r="BW57">
        <f t="shared" si="5"/>
        <v>2824</v>
      </c>
      <c r="BX57">
        <f t="shared" si="6"/>
        <v>9</v>
      </c>
      <c r="BY57" s="2">
        <f t="shared" si="7"/>
        <v>1499</v>
      </c>
      <c r="BZ57">
        <f t="shared" si="8"/>
        <v>202.36985808037889</v>
      </c>
      <c r="CA57">
        <v>202.36985808037889</v>
      </c>
      <c r="CB57">
        <v>202.36985808037889</v>
      </c>
      <c r="CC57">
        <v>202.36985808037889</v>
      </c>
      <c r="CD57">
        <v>202.36985808037889</v>
      </c>
      <c r="CE57">
        <v>202.36985808037889</v>
      </c>
      <c r="CF57">
        <v>202.36985808037889</v>
      </c>
      <c r="CG57">
        <v>202.36985808037889</v>
      </c>
      <c r="CH57">
        <f t="shared" si="16"/>
        <v>0.35186556953774567</v>
      </c>
      <c r="CI57">
        <f t="shared" si="9"/>
        <v>-2.3061458271193667</v>
      </c>
      <c r="CJ57">
        <f t="shared" si="10"/>
        <v>-0.56578313762512289</v>
      </c>
      <c r="CK57">
        <f t="shared" si="11"/>
        <v>0.86205691972326415</v>
      </c>
      <c r="CL57">
        <f t="shared" si="12"/>
        <v>0.99553512217420947</v>
      </c>
      <c r="CM57">
        <f t="shared" si="13"/>
        <v>1.1447188652603995</v>
      </c>
      <c r="CN57">
        <f t="shared" si="14"/>
        <v>-1.3519033176800419</v>
      </c>
      <c r="CO57" s="2">
        <f t="shared" si="15"/>
        <v>0.86965580572891277</v>
      </c>
      <c r="CP57">
        <v>-0.25428565449801599</v>
      </c>
      <c r="CQ57">
        <v>-2.2527165794045199</v>
      </c>
      <c r="CR57">
        <v>-3.2704919339250002E-2</v>
      </c>
      <c r="CS57">
        <v>0.89463224089379001</v>
      </c>
      <c r="CT57">
        <v>0.88379052029981797</v>
      </c>
      <c r="CU57">
        <v>0.87851879655652099</v>
      </c>
      <c r="CV57">
        <v>-0.94948973656029001</v>
      </c>
      <c r="CW57">
        <v>0.90427145606840698</v>
      </c>
      <c r="CX57" t="s">
        <v>1826</v>
      </c>
    </row>
    <row r="58" spans="1:102" x14ac:dyDescent="0.35">
      <c r="A58" t="s">
        <v>414</v>
      </c>
      <c r="B58" t="s">
        <v>178</v>
      </c>
      <c r="C58" t="s">
        <v>108</v>
      </c>
      <c r="D58" t="s">
        <v>72</v>
      </c>
      <c r="E58" t="s">
        <v>72</v>
      </c>
      <c r="F58" t="s">
        <v>72</v>
      </c>
      <c r="G58" t="s">
        <v>73</v>
      </c>
      <c r="H58" t="s">
        <v>109</v>
      </c>
      <c r="I58" t="s">
        <v>110</v>
      </c>
      <c r="J58" t="s">
        <v>111</v>
      </c>
      <c r="K58" t="s">
        <v>112</v>
      </c>
      <c r="L58" t="s">
        <v>113</v>
      </c>
      <c r="M58" t="s">
        <v>114</v>
      </c>
      <c r="N58">
        <v>48</v>
      </c>
      <c r="O58" t="s">
        <v>80</v>
      </c>
      <c r="P58">
        <v>621</v>
      </c>
      <c r="Q58">
        <v>0.68400000000000005</v>
      </c>
      <c r="R58">
        <v>175</v>
      </c>
      <c r="S58">
        <v>0.81130000000000002</v>
      </c>
      <c r="T58" t="s">
        <v>115</v>
      </c>
      <c r="U58" t="s">
        <v>116</v>
      </c>
      <c r="V58" t="s">
        <v>117</v>
      </c>
      <c r="W58" t="s">
        <v>118</v>
      </c>
      <c r="X58" t="s">
        <v>119</v>
      </c>
      <c r="Y58" t="s">
        <v>120</v>
      </c>
      <c r="Z58" t="s">
        <v>121</v>
      </c>
      <c r="AA58" t="s">
        <v>88</v>
      </c>
      <c r="AB58">
        <v>431</v>
      </c>
      <c r="AC58">
        <v>8</v>
      </c>
      <c r="AE58">
        <v>1</v>
      </c>
      <c r="AF58" t="s">
        <v>89</v>
      </c>
      <c r="AG58" t="s">
        <v>415</v>
      </c>
      <c r="AH58" t="s">
        <v>72</v>
      </c>
      <c r="AI58" t="s">
        <v>72</v>
      </c>
      <c r="AJ58" t="s">
        <v>91</v>
      </c>
      <c r="AK58" t="s">
        <v>92</v>
      </c>
      <c r="AL58" t="s">
        <v>93</v>
      </c>
      <c r="AM58" t="s">
        <v>94</v>
      </c>
      <c r="AN58" t="s">
        <v>416</v>
      </c>
      <c r="AO58" t="s">
        <v>417</v>
      </c>
      <c r="AP58" t="s">
        <v>97</v>
      </c>
      <c r="AQ58">
        <v>39</v>
      </c>
      <c r="AR58" t="s">
        <v>80</v>
      </c>
      <c r="AS58">
        <v>1314</v>
      </c>
      <c r="AT58">
        <v>0.95140000000000002</v>
      </c>
      <c r="AU58">
        <v>154</v>
      </c>
      <c r="AV58">
        <v>0.89470000000000005</v>
      </c>
      <c r="AW58" t="s">
        <v>418</v>
      </c>
      <c r="AX58" t="s">
        <v>419</v>
      </c>
      <c r="AY58" t="s">
        <v>420</v>
      </c>
      <c r="AZ58" t="s">
        <v>421</v>
      </c>
      <c r="BA58" t="s">
        <v>128</v>
      </c>
      <c r="BB58" t="s">
        <v>103</v>
      </c>
      <c r="BC58" t="s">
        <v>104</v>
      </c>
      <c r="BD58" t="s">
        <v>105</v>
      </c>
      <c r="BE58">
        <v>51789</v>
      </c>
      <c r="BF58" t="s">
        <v>106</v>
      </c>
      <c r="BG58">
        <v>582</v>
      </c>
      <c r="BH58" t="s">
        <v>80</v>
      </c>
      <c r="BI58">
        <v>1</v>
      </c>
      <c r="BJ58">
        <v>110</v>
      </c>
      <c r="BK58">
        <v>8</v>
      </c>
      <c r="BL58">
        <v>79</v>
      </c>
      <c r="BM58">
        <v>2727</v>
      </c>
      <c r="BN58">
        <v>3734</v>
      </c>
      <c r="BO58">
        <v>5271</v>
      </c>
      <c r="BP58">
        <v>13</v>
      </c>
      <c r="BQ58" s="2">
        <v>2458</v>
      </c>
      <c r="BR58">
        <f t="shared" si="0"/>
        <v>111</v>
      </c>
      <c r="BS58">
        <f t="shared" si="1"/>
        <v>9</v>
      </c>
      <c r="BT58">
        <f t="shared" si="2"/>
        <v>80</v>
      </c>
      <c r="BU58">
        <f t="shared" si="3"/>
        <v>2728</v>
      </c>
      <c r="BV58">
        <f t="shared" si="4"/>
        <v>3735</v>
      </c>
      <c r="BW58">
        <f t="shared" si="5"/>
        <v>5272</v>
      </c>
      <c r="BX58">
        <f t="shared" si="6"/>
        <v>14</v>
      </c>
      <c r="BY58" s="2">
        <f t="shared" si="7"/>
        <v>2459</v>
      </c>
      <c r="BZ58">
        <f t="shared" si="8"/>
        <v>332.05234502726069</v>
      </c>
      <c r="CA58">
        <v>332.05234502726069</v>
      </c>
      <c r="CB58">
        <v>332.05234502726069</v>
      </c>
      <c r="CC58">
        <v>332.05234502726069</v>
      </c>
      <c r="CD58">
        <v>332.05234502726069</v>
      </c>
      <c r="CE58">
        <v>332.05234502726069</v>
      </c>
      <c r="CF58">
        <v>332.05234502726069</v>
      </c>
      <c r="CG58">
        <v>332.05234502726069</v>
      </c>
      <c r="CH58">
        <f t="shared" si="16"/>
        <v>-0.47588357288292921</v>
      </c>
      <c r="CI58">
        <f t="shared" si="9"/>
        <v>-1.5669640422302618</v>
      </c>
      <c r="CJ58">
        <f t="shared" si="10"/>
        <v>-0.61811656467764298</v>
      </c>
      <c r="CK58">
        <f t="shared" si="11"/>
        <v>0.91463781431485458</v>
      </c>
      <c r="CL58">
        <f t="shared" si="12"/>
        <v>1.051084054481831</v>
      </c>
      <c r="CM58">
        <f t="shared" si="13"/>
        <v>1.2007688499163669</v>
      </c>
      <c r="CN58">
        <f t="shared" si="14"/>
        <v>-1.3750785159913486</v>
      </c>
      <c r="CO58" s="2">
        <f t="shared" si="15"/>
        <v>0.86955197706913046</v>
      </c>
      <c r="CP58">
        <v>-1.2487702497804301</v>
      </c>
      <c r="CQ58">
        <v>0.17018525063029299</v>
      </c>
      <c r="CR58">
        <v>-0.266524259483579</v>
      </c>
      <c r="CS58">
        <v>1.0495592127084501</v>
      </c>
      <c r="CT58">
        <v>1.0384173683892099</v>
      </c>
      <c r="CU58">
        <v>1.04037960439196</v>
      </c>
      <c r="CV58">
        <v>-1.01164501106381</v>
      </c>
      <c r="CW58">
        <v>0.90398627472878401</v>
      </c>
      <c r="CX58" t="s">
        <v>1826</v>
      </c>
    </row>
    <row r="59" spans="1:102" x14ac:dyDescent="0.35">
      <c r="A59" t="s">
        <v>1193</v>
      </c>
      <c r="B59" t="s">
        <v>178</v>
      </c>
      <c r="C59" t="s">
        <v>1194</v>
      </c>
      <c r="D59" t="s">
        <v>72</v>
      </c>
      <c r="E59" t="s">
        <v>72</v>
      </c>
      <c r="F59" t="s">
        <v>72</v>
      </c>
      <c r="G59" t="s">
        <v>73</v>
      </c>
      <c r="H59" t="s">
        <v>109</v>
      </c>
      <c r="I59" t="s">
        <v>110</v>
      </c>
      <c r="J59" t="s">
        <v>111</v>
      </c>
      <c r="K59" t="s">
        <v>112</v>
      </c>
      <c r="L59" t="s">
        <v>113</v>
      </c>
      <c r="M59" t="s">
        <v>114</v>
      </c>
      <c r="N59">
        <v>48</v>
      </c>
      <c r="O59" t="s">
        <v>80</v>
      </c>
      <c r="P59">
        <v>621</v>
      </c>
      <c r="Q59">
        <v>0.68400000000000005</v>
      </c>
      <c r="R59">
        <v>175</v>
      </c>
      <c r="S59">
        <v>0.81130000000000002</v>
      </c>
      <c r="T59" t="s">
        <v>115</v>
      </c>
      <c r="U59" t="s">
        <v>116</v>
      </c>
      <c r="V59" t="s">
        <v>117</v>
      </c>
      <c r="W59" t="s">
        <v>118</v>
      </c>
      <c r="X59" t="s">
        <v>119</v>
      </c>
      <c r="Y59" t="s">
        <v>120</v>
      </c>
      <c r="Z59" t="s">
        <v>121</v>
      </c>
      <c r="AA59" t="s">
        <v>88</v>
      </c>
      <c r="AB59">
        <v>292</v>
      </c>
      <c r="AC59">
        <v>4</v>
      </c>
      <c r="AE59">
        <v>1</v>
      </c>
      <c r="AF59" t="s">
        <v>153</v>
      </c>
      <c r="AG59" t="s">
        <v>1195</v>
      </c>
      <c r="AH59" t="s">
        <v>72</v>
      </c>
      <c r="AI59" t="s">
        <v>72</v>
      </c>
      <c r="AJ59" t="s">
        <v>91</v>
      </c>
      <c r="AK59" t="s">
        <v>92</v>
      </c>
      <c r="AL59" t="s">
        <v>93</v>
      </c>
      <c r="AM59" t="s">
        <v>94</v>
      </c>
      <c r="AN59" t="s">
        <v>1196</v>
      </c>
      <c r="AO59" t="s">
        <v>1197</v>
      </c>
      <c r="AP59" t="s">
        <v>97</v>
      </c>
      <c r="AQ59">
        <v>39</v>
      </c>
      <c r="AR59" t="s">
        <v>80</v>
      </c>
      <c r="AS59">
        <v>1350</v>
      </c>
      <c r="AT59">
        <v>0.96530000000000005</v>
      </c>
      <c r="AU59">
        <v>163</v>
      </c>
      <c r="AV59">
        <v>0.92110000000000003</v>
      </c>
      <c r="AW59" t="s">
        <v>98</v>
      </c>
      <c r="AX59" t="s">
        <v>183</v>
      </c>
      <c r="AY59" t="s">
        <v>184</v>
      </c>
      <c r="AZ59" t="s">
        <v>136</v>
      </c>
      <c r="BA59" t="s">
        <v>185</v>
      </c>
      <c r="BB59" t="s">
        <v>1198</v>
      </c>
      <c r="BC59" t="s">
        <v>104</v>
      </c>
      <c r="BD59" t="s">
        <v>105</v>
      </c>
      <c r="BE59">
        <v>146</v>
      </c>
      <c r="BF59" t="s">
        <v>106</v>
      </c>
      <c r="BG59">
        <v>3</v>
      </c>
      <c r="BH59" t="s">
        <v>80</v>
      </c>
      <c r="BI59">
        <v>1</v>
      </c>
      <c r="BJ59">
        <v>129</v>
      </c>
      <c r="BK59">
        <v>0</v>
      </c>
      <c r="BL59">
        <v>24</v>
      </c>
      <c r="BM59">
        <v>929</v>
      </c>
      <c r="BN59">
        <v>1253</v>
      </c>
      <c r="BO59">
        <v>1682</v>
      </c>
      <c r="BP59">
        <v>11</v>
      </c>
      <c r="BQ59" s="2">
        <v>944</v>
      </c>
      <c r="BR59">
        <f t="shared" si="0"/>
        <v>130</v>
      </c>
      <c r="BS59">
        <f t="shared" si="1"/>
        <v>1</v>
      </c>
      <c r="BT59">
        <f t="shared" si="2"/>
        <v>25</v>
      </c>
      <c r="BU59">
        <f t="shared" si="3"/>
        <v>930</v>
      </c>
      <c r="BV59">
        <f t="shared" si="4"/>
        <v>1254</v>
      </c>
      <c r="BW59">
        <f t="shared" si="5"/>
        <v>1683</v>
      </c>
      <c r="BX59">
        <f t="shared" si="6"/>
        <v>12</v>
      </c>
      <c r="BY59" s="2">
        <f t="shared" si="7"/>
        <v>945</v>
      </c>
      <c r="BZ59">
        <f t="shared" si="8"/>
        <v>128.06195487341131</v>
      </c>
      <c r="CA59">
        <v>128.06195487341131</v>
      </c>
      <c r="CB59">
        <v>128.06195487341131</v>
      </c>
      <c r="CC59">
        <v>128.06195487341131</v>
      </c>
      <c r="CD59">
        <v>128.06195487341131</v>
      </c>
      <c r="CE59">
        <v>128.06195487341131</v>
      </c>
      <c r="CF59">
        <v>128.06195487341131</v>
      </c>
      <c r="CG59">
        <v>128.06195487341131</v>
      </c>
      <c r="CH59">
        <f t="shared" si="16"/>
        <v>6.5232252368093704E-3</v>
      </c>
      <c r="CI59">
        <f t="shared" si="9"/>
        <v>-2.1074201270700272</v>
      </c>
      <c r="CJ59">
        <f t="shared" si="10"/>
        <v>-0.70948011839798975</v>
      </c>
      <c r="CK59">
        <f t="shared" si="11"/>
        <v>0.86106282148390778</v>
      </c>
      <c r="CL59">
        <f t="shared" si="12"/>
        <v>0.99087740942467029</v>
      </c>
      <c r="CM59">
        <f t="shared" si="13"/>
        <v>1.1186639889057965</v>
      </c>
      <c r="CN59">
        <f t="shared" si="14"/>
        <v>-1.0282388810224026</v>
      </c>
      <c r="CO59" s="2">
        <f t="shared" si="15"/>
        <v>0.86801168143923557</v>
      </c>
      <c r="CP59">
        <v>-0.66919111788713603</v>
      </c>
      <c r="CQ59">
        <v>-2.2527165794045199</v>
      </c>
      <c r="CR59">
        <v>-0.67472542358264598</v>
      </c>
      <c r="CS59">
        <v>0.89170318023200301</v>
      </c>
      <c r="CT59">
        <v>0.87082524064730205</v>
      </c>
      <c r="CU59">
        <v>0.80327768167141</v>
      </c>
      <c r="CV59">
        <v>-8.1430199927616506E-2</v>
      </c>
      <c r="CW59">
        <v>0.899755616526416</v>
      </c>
      <c r="CX59" t="s">
        <v>1826</v>
      </c>
    </row>
    <row r="60" spans="1:102" x14ac:dyDescent="0.35">
      <c r="A60" t="s">
        <v>587</v>
      </c>
      <c r="B60" t="s">
        <v>178</v>
      </c>
      <c r="C60" t="s">
        <v>108</v>
      </c>
      <c r="D60" t="s">
        <v>72</v>
      </c>
      <c r="E60" t="s">
        <v>72</v>
      </c>
      <c r="F60" t="s">
        <v>72</v>
      </c>
      <c r="G60" t="s">
        <v>73</v>
      </c>
      <c r="H60" t="s">
        <v>109</v>
      </c>
      <c r="I60" t="s">
        <v>110</v>
      </c>
      <c r="J60" t="s">
        <v>111</v>
      </c>
      <c r="K60" t="s">
        <v>112</v>
      </c>
      <c r="L60" t="s">
        <v>113</v>
      </c>
      <c r="M60" t="s">
        <v>114</v>
      </c>
      <c r="N60">
        <v>48</v>
      </c>
      <c r="O60" t="s">
        <v>80</v>
      </c>
      <c r="P60">
        <v>621</v>
      </c>
      <c r="Q60">
        <v>0.68400000000000005</v>
      </c>
      <c r="R60">
        <v>175</v>
      </c>
      <c r="S60">
        <v>0.81130000000000002</v>
      </c>
      <c r="T60" t="s">
        <v>115</v>
      </c>
      <c r="U60" t="s">
        <v>116</v>
      </c>
      <c r="V60" t="s">
        <v>117</v>
      </c>
      <c r="W60" t="s">
        <v>118</v>
      </c>
      <c r="X60" t="s">
        <v>119</v>
      </c>
      <c r="Y60" t="s">
        <v>120</v>
      </c>
      <c r="Z60" t="s">
        <v>121</v>
      </c>
      <c r="AA60" t="s">
        <v>88</v>
      </c>
      <c r="AB60">
        <v>626</v>
      </c>
      <c r="AC60">
        <v>5</v>
      </c>
      <c r="AE60">
        <v>1</v>
      </c>
      <c r="AF60" t="s">
        <v>211</v>
      </c>
      <c r="AG60" t="s">
        <v>593</v>
      </c>
      <c r="AH60" t="s">
        <v>72</v>
      </c>
      <c r="AI60" t="s">
        <v>72</v>
      </c>
      <c r="AJ60" t="s">
        <v>91</v>
      </c>
      <c r="AK60" t="s">
        <v>92</v>
      </c>
      <c r="AL60" t="s">
        <v>93</v>
      </c>
      <c r="AM60" t="s">
        <v>94</v>
      </c>
      <c r="AN60" t="s">
        <v>594</v>
      </c>
      <c r="AO60" t="s">
        <v>595</v>
      </c>
      <c r="AP60" t="s">
        <v>97</v>
      </c>
      <c r="AQ60">
        <v>39</v>
      </c>
      <c r="AR60" t="s">
        <v>80</v>
      </c>
      <c r="AS60">
        <v>1350</v>
      </c>
      <c r="AT60">
        <v>0.96530000000000005</v>
      </c>
      <c r="AU60">
        <v>172</v>
      </c>
      <c r="AV60">
        <v>0.94740000000000002</v>
      </c>
      <c r="AW60" t="s">
        <v>98</v>
      </c>
      <c r="AX60" t="s">
        <v>146</v>
      </c>
      <c r="AY60" t="s">
        <v>127</v>
      </c>
      <c r="AZ60" t="s">
        <v>101</v>
      </c>
      <c r="BA60" t="s">
        <v>592</v>
      </c>
      <c r="BB60" t="s">
        <v>103</v>
      </c>
      <c r="BC60" t="s">
        <v>104</v>
      </c>
      <c r="BD60" t="s">
        <v>105</v>
      </c>
      <c r="BE60">
        <v>464</v>
      </c>
      <c r="BF60" t="s">
        <v>106</v>
      </c>
      <c r="BG60">
        <v>11</v>
      </c>
      <c r="BH60" t="s">
        <v>80</v>
      </c>
      <c r="BI60">
        <v>2</v>
      </c>
      <c r="BJ60">
        <v>99</v>
      </c>
      <c r="BK60">
        <v>4</v>
      </c>
      <c r="BL60">
        <v>41</v>
      </c>
      <c r="BM60">
        <v>1682</v>
      </c>
      <c r="BN60">
        <v>2169</v>
      </c>
      <c r="BO60">
        <v>3211</v>
      </c>
      <c r="BP60">
        <v>14</v>
      </c>
      <c r="BQ60" s="2">
        <v>1641</v>
      </c>
      <c r="BR60">
        <f t="shared" si="0"/>
        <v>100</v>
      </c>
      <c r="BS60">
        <f t="shared" si="1"/>
        <v>5</v>
      </c>
      <c r="BT60">
        <f t="shared" si="2"/>
        <v>42</v>
      </c>
      <c r="BU60">
        <f t="shared" si="3"/>
        <v>1683</v>
      </c>
      <c r="BV60">
        <f t="shared" si="4"/>
        <v>2170</v>
      </c>
      <c r="BW60">
        <f t="shared" si="5"/>
        <v>3212</v>
      </c>
      <c r="BX60">
        <f t="shared" si="6"/>
        <v>15</v>
      </c>
      <c r="BY60" s="2">
        <f t="shared" si="7"/>
        <v>1642</v>
      </c>
      <c r="BZ60">
        <f t="shared" si="8"/>
        <v>222.77958296390949</v>
      </c>
      <c r="CA60">
        <v>222.77958296390949</v>
      </c>
      <c r="CB60">
        <v>222.77958296390949</v>
      </c>
      <c r="CC60">
        <v>222.77958296390949</v>
      </c>
      <c r="CD60">
        <v>222.77958296390949</v>
      </c>
      <c r="CE60">
        <v>222.77958296390949</v>
      </c>
      <c r="CF60">
        <v>222.77958296390949</v>
      </c>
      <c r="CG60">
        <v>222.77958296390949</v>
      </c>
      <c r="CH60">
        <f t="shared" si="16"/>
        <v>-0.34787538662550238</v>
      </c>
      <c r="CI60">
        <f t="shared" si="9"/>
        <v>-1.6489053822894835</v>
      </c>
      <c r="CJ60">
        <f t="shared" si="10"/>
        <v>-0.72462609622760188</v>
      </c>
      <c r="CK60">
        <f t="shared" si="11"/>
        <v>0.87820872935032146</v>
      </c>
      <c r="CL60">
        <f t="shared" si="12"/>
        <v>0.98858434722302713</v>
      </c>
      <c r="CM60">
        <f t="shared" si="13"/>
        <v>1.1589001499811409</v>
      </c>
      <c r="CN60">
        <f t="shared" si="14"/>
        <v>-1.1717841275698211</v>
      </c>
      <c r="CO60" s="2">
        <f t="shared" si="15"/>
        <v>0.86749776615791963</v>
      </c>
      <c r="CP60">
        <v>-1.0949770740717</v>
      </c>
      <c r="CQ60">
        <v>-7.1886224118990094E-2</v>
      </c>
      <c r="CR60">
        <v>-0.74239579683006396</v>
      </c>
      <c r="CS60">
        <v>0.94222273881671903</v>
      </c>
      <c r="CT60">
        <v>0.86444223802270703</v>
      </c>
      <c r="CU60">
        <v>0.91947142509214996</v>
      </c>
      <c r="CV60">
        <v>-0.46641478918472601</v>
      </c>
      <c r="CW60">
        <v>0.89834406938051503</v>
      </c>
      <c r="CX60" t="s">
        <v>1826</v>
      </c>
    </row>
    <row r="61" spans="1:102" x14ac:dyDescent="0.35">
      <c r="A61" t="s">
        <v>587</v>
      </c>
      <c r="B61" t="s">
        <v>178</v>
      </c>
      <c r="C61" t="s">
        <v>108</v>
      </c>
      <c r="D61" t="s">
        <v>72</v>
      </c>
      <c r="E61" t="s">
        <v>72</v>
      </c>
      <c r="F61" t="s">
        <v>72</v>
      </c>
      <c r="G61" t="s">
        <v>73</v>
      </c>
      <c r="H61" t="s">
        <v>109</v>
      </c>
      <c r="I61" t="s">
        <v>110</v>
      </c>
      <c r="J61" t="s">
        <v>111</v>
      </c>
      <c r="K61" t="s">
        <v>112</v>
      </c>
      <c r="L61" t="s">
        <v>113</v>
      </c>
      <c r="M61" t="s">
        <v>114</v>
      </c>
      <c r="N61">
        <v>48</v>
      </c>
      <c r="O61" t="s">
        <v>80</v>
      </c>
      <c r="P61">
        <v>621</v>
      </c>
      <c r="Q61">
        <v>0.68400000000000005</v>
      </c>
      <c r="R61">
        <v>175</v>
      </c>
      <c r="S61">
        <v>0.81130000000000002</v>
      </c>
      <c r="T61" t="s">
        <v>115</v>
      </c>
      <c r="U61" t="s">
        <v>116</v>
      </c>
      <c r="V61" t="s">
        <v>117</v>
      </c>
      <c r="W61" t="s">
        <v>118</v>
      </c>
      <c r="X61" t="s">
        <v>119</v>
      </c>
      <c r="Y61" t="s">
        <v>120</v>
      </c>
      <c r="Z61" t="s">
        <v>121</v>
      </c>
      <c r="AA61" t="s">
        <v>88</v>
      </c>
      <c r="AB61">
        <v>626</v>
      </c>
      <c r="AC61">
        <v>5</v>
      </c>
      <c r="AE61">
        <v>1</v>
      </c>
      <c r="AF61" t="s">
        <v>89</v>
      </c>
      <c r="AG61" t="s">
        <v>588</v>
      </c>
      <c r="AH61" t="s">
        <v>72</v>
      </c>
      <c r="AI61" t="s">
        <v>72</v>
      </c>
      <c r="AJ61" t="s">
        <v>72</v>
      </c>
      <c r="AK61" t="s">
        <v>92</v>
      </c>
      <c r="AL61" t="s">
        <v>93</v>
      </c>
      <c r="AM61" t="s">
        <v>94</v>
      </c>
      <c r="AN61" t="s">
        <v>589</v>
      </c>
      <c r="AO61" t="s">
        <v>590</v>
      </c>
      <c r="AP61" t="s">
        <v>97</v>
      </c>
      <c r="AQ61">
        <v>39</v>
      </c>
      <c r="AR61" t="s">
        <v>80</v>
      </c>
      <c r="AS61">
        <v>1235</v>
      </c>
      <c r="AT61">
        <v>0.96230000000000004</v>
      </c>
      <c r="AU61">
        <v>172</v>
      </c>
      <c r="AV61">
        <v>0.94740000000000002</v>
      </c>
      <c r="AW61" t="s">
        <v>591</v>
      </c>
      <c r="AX61" t="s">
        <v>146</v>
      </c>
      <c r="AY61" t="s">
        <v>127</v>
      </c>
      <c r="AZ61" t="s">
        <v>101</v>
      </c>
      <c r="BA61" t="s">
        <v>592</v>
      </c>
      <c r="BB61" t="s">
        <v>103</v>
      </c>
      <c r="BC61" t="s">
        <v>104</v>
      </c>
      <c r="BD61" t="s">
        <v>105</v>
      </c>
      <c r="BE61">
        <v>40876</v>
      </c>
      <c r="BG61">
        <v>454</v>
      </c>
      <c r="BH61" t="s">
        <v>80</v>
      </c>
      <c r="BI61">
        <v>2</v>
      </c>
      <c r="BJ61">
        <v>99</v>
      </c>
      <c r="BK61">
        <v>4</v>
      </c>
      <c r="BL61">
        <v>41</v>
      </c>
      <c r="BM61">
        <v>1682</v>
      </c>
      <c r="BN61">
        <v>2169</v>
      </c>
      <c r="BO61">
        <v>3211</v>
      </c>
      <c r="BP61">
        <v>14</v>
      </c>
      <c r="BQ61" s="2">
        <v>1641</v>
      </c>
      <c r="BR61">
        <f t="shared" si="0"/>
        <v>100</v>
      </c>
      <c r="BS61">
        <f t="shared" si="1"/>
        <v>5</v>
      </c>
      <c r="BT61">
        <f t="shared" si="2"/>
        <v>42</v>
      </c>
      <c r="BU61">
        <f t="shared" si="3"/>
        <v>1683</v>
      </c>
      <c r="BV61">
        <f t="shared" si="4"/>
        <v>2170</v>
      </c>
      <c r="BW61">
        <f t="shared" si="5"/>
        <v>3212</v>
      </c>
      <c r="BX61">
        <f t="shared" si="6"/>
        <v>15</v>
      </c>
      <c r="BY61" s="2">
        <f t="shared" si="7"/>
        <v>1642</v>
      </c>
      <c r="BZ61">
        <f t="shared" si="8"/>
        <v>222.77958296390949</v>
      </c>
      <c r="CA61">
        <v>222.77958296390949</v>
      </c>
      <c r="CB61">
        <v>222.77958296390949</v>
      </c>
      <c r="CC61">
        <v>222.77958296390949</v>
      </c>
      <c r="CD61">
        <v>222.77958296390949</v>
      </c>
      <c r="CE61">
        <v>222.77958296390949</v>
      </c>
      <c r="CF61">
        <v>222.77958296390949</v>
      </c>
      <c r="CG61">
        <v>222.77958296390949</v>
      </c>
      <c r="CH61">
        <f t="shared" si="16"/>
        <v>-0.34787538662550238</v>
      </c>
      <c r="CI61">
        <f t="shared" si="9"/>
        <v>-1.6489053822894835</v>
      </c>
      <c r="CJ61">
        <f t="shared" si="10"/>
        <v>-0.72462609622760188</v>
      </c>
      <c r="CK61">
        <f t="shared" si="11"/>
        <v>0.87820872935032146</v>
      </c>
      <c r="CL61">
        <f t="shared" si="12"/>
        <v>0.98858434722302713</v>
      </c>
      <c r="CM61">
        <f t="shared" si="13"/>
        <v>1.1589001499811409</v>
      </c>
      <c r="CN61">
        <f t="shared" si="14"/>
        <v>-1.1717841275698211</v>
      </c>
      <c r="CO61" s="2">
        <f t="shared" si="15"/>
        <v>0.86749776615791963</v>
      </c>
      <c r="CP61">
        <v>-1.0949770740717</v>
      </c>
      <c r="CQ61">
        <v>-7.1886224118990094E-2</v>
      </c>
      <c r="CR61">
        <v>-0.74239579683006396</v>
      </c>
      <c r="CS61">
        <v>0.94222273881671903</v>
      </c>
      <c r="CT61">
        <v>0.86444223802270703</v>
      </c>
      <c r="CU61">
        <v>0.91947142509214996</v>
      </c>
      <c r="CV61">
        <v>-0.46641478918472601</v>
      </c>
      <c r="CW61">
        <v>0.89834406938051503</v>
      </c>
      <c r="CX61" t="s">
        <v>1826</v>
      </c>
    </row>
    <row r="62" spans="1:102" x14ac:dyDescent="0.35">
      <c r="A62" t="s">
        <v>1146</v>
      </c>
      <c r="B62" t="s">
        <v>178</v>
      </c>
      <c r="C62" t="s">
        <v>571</v>
      </c>
      <c r="D62" t="s">
        <v>72</v>
      </c>
      <c r="E62" t="s">
        <v>72</v>
      </c>
      <c r="F62" t="s">
        <v>72</v>
      </c>
      <c r="G62" t="s">
        <v>73</v>
      </c>
      <c r="H62" t="s">
        <v>109</v>
      </c>
      <c r="I62" t="s">
        <v>110</v>
      </c>
      <c r="J62" t="s">
        <v>111</v>
      </c>
      <c r="K62" t="s">
        <v>112</v>
      </c>
      <c r="L62" t="s">
        <v>113</v>
      </c>
      <c r="M62" t="s">
        <v>114</v>
      </c>
      <c r="N62">
        <v>48</v>
      </c>
      <c r="O62" t="s">
        <v>80</v>
      </c>
      <c r="P62">
        <v>621</v>
      </c>
      <c r="Q62">
        <v>0.68400000000000005</v>
      </c>
      <c r="R62">
        <v>175</v>
      </c>
      <c r="S62">
        <v>0.81130000000000002</v>
      </c>
      <c r="T62" t="s">
        <v>115</v>
      </c>
      <c r="U62" t="s">
        <v>116</v>
      </c>
      <c r="V62" t="s">
        <v>117</v>
      </c>
      <c r="W62" t="s">
        <v>118</v>
      </c>
      <c r="X62" t="s">
        <v>119</v>
      </c>
      <c r="Y62" t="s">
        <v>120</v>
      </c>
      <c r="Z62" t="s">
        <v>121</v>
      </c>
      <c r="AA62" t="s">
        <v>88</v>
      </c>
      <c r="AB62">
        <v>384</v>
      </c>
      <c r="AC62">
        <v>10</v>
      </c>
      <c r="AE62">
        <v>1</v>
      </c>
      <c r="AF62" t="s">
        <v>89</v>
      </c>
      <c r="AG62" t="s">
        <v>1147</v>
      </c>
      <c r="AH62" t="s">
        <v>72</v>
      </c>
      <c r="AI62" t="s">
        <v>72</v>
      </c>
      <c r="AJ62" t="s">
        <v>91</v>
      </c>
      <c r="AK62" t="s">
        <v>92</v>
      </c>
      <c r="AL62" t="s">
        <v>93</v>
      </c>
      <c r="AM62" t="s">
        <v>94</v>
      </c>
      <c r="AN62" t="s">
        <v>1148</v>
      </c>
      <c r="AO62" t="s">
        <v>1149</v>
      </c>
      <c r="AP62" t="s">
        <v>97</v>
      </c>
      <c r="AQ62">
        <v>39</v>
      </c>
      <c r="AR62" t="s">
        <v>80</v>
      </c>
      <c r="AS62">
        <v>1341</v>
      </c>
      <c r="AT62">
        <v>0.96179999999999999</v>
      </c>
      <c r="AU62">
        <v>163</v>
      </c>
      <c r="AV62">
        <v>0.92110000000000003</v>
      </c>
      <c r="AW62" t="s">
        <v>216</v>
      </c>
      <c r="AX62" t="s">
        <v>146</v>
      </c>
      <c r="AY62" t="s">
        <v>1150</v>
      </c>
      <c r="AZ62" t="s">
        <v>136</v>
      </c>
      <c r="BA62" t="s">
        <v>128</v>
      </c>
      <c r="BB62" t="s">
        <v>103</v>
      </c>
      <c r="BC62" t="s">
        <v>104</v>
      </c>
      <c r="BD62" t="s">
        <v>105</v>
      </c>
      <c r="BE62">
        <v>89175</v>
      </c>
      <c r="BF62" t="s">
        <v>106</v>
      </c>
      <c r="BG62">
        <v>1037</v>
      </c>
      <c r="BH62" t="s">
        <v>80</v>
      </c>
      <c r="BI62">
        <v>1</v>
      </c>
      <c r="BJ62">
        <v>105</v>
      </c>
      <c r="BK62">
        <v>12</v>
      </c>
      <c r="BL62">
        <v>144</v>
      </c>
      <c r="BM62">
        <v>4545</v>
      </c>
      <c r="BN62">
        <v>5580</v>
      </c>
      <c r="BO62">
        <v>7962</v>
      </c>
      <c r="BP62">
        <v>52</v>
      </c>
      <c r="BQ62" s="2">
        <v>4067</v>
      </c>
      <c r="BR62">
        <f t="shared" si="0"/>
        <v>106</v>
      </c>
      <c r="BS62">
        <f t="shared" si="1"/>
        <v>13</v>
      </c>
      <c r="BT62">
        <f t="shared" si="2"/>
        <v>145</v>
      </c>
      <c r="BU62">
        <f t="shared" si="3"/>
        <v>4546</v>
      </c>
      <c r="BV62">
        <f t="shared" si="4"/>
        <v>5581</v>
      </c>
      <c r="BW62">
        <f t="shared" si="5"/>
        <v>7963</v>
      </c>
      <c r="BX62">
        <f t="shared" si="6"/>
        <v>53</v>
      </c>
      <c r="BY62" s="2">
        <f t="shared" si="7"/>
        <v>4068</v>
      </c>
      <c r="BZ62">
        <f t="shared" si="8"/>
        <v>552.66444467176552</v>
      </c>
      <c r="CA62">
        <v>552.66444467176552</v>
      </c>
      <c r="CB62">
        <v>552.66444467176552</v>
      </c>
      <c r="CC62">
        <v>552.66444467176552</v>
      </c>
      <c r="CD62">
        <v>552.66444467176552</v>
      </c>
      <c r="CE62">
        <v>552.66444467176552</v>
      </c>
      <c r="CF62">
        <v>552.66444467176552</v>
      </c>
      <c r="CG62">
        <v>552.66444467176552</v>
      </c>
      <c r="CH62">
        <f t="shared" si="16"/>
        <v>-0.71715566014647292</v>
      </c>
      <c r="CI62">
        <f t="shared" si="9"/>
        <v>-1.6285181731044065</v>
      </c>
      <c r="CJ62">
        <f t="shared" si="10"/>
        <v>-0.58109352317626828</v>
      </c>
      <c r="CK62">
        <f t="shared" si="11"/>
        <v>0.91516790597770881</v>
      </c>
      <c r="CL62">
        <f t="shared" si="12"/>
        <v>1.0042504971054171</v>
      </c>
      <c r="CM62">
        <f t="shared" si="13"/>
        <v>1.1586151903150117</v>
      </c>
      <c r="CN62">
        <f t="shared" si="14"/>
        <v>-1.0181856558104541</v>
      </c>
      <c r="CO62" s="2">
        <f t="shared" si="15"/>
        <v>0.86691941883946377</v>
      </c>
      <c r="CP62">
        <v>-1.5386423399568601</v>
      </c>
      <c r="CQ62">
        <v>-1.16582391984731E-2</v>
      </c>
      <c r="CR62">
        <v>-0.10110984614313399</v>
      </c>
      <c r="CS62">
        <v>1.0511211012375099</v>
      </c>
      <c r="CT62">
        <v>0.90805076976900601</v>
      </c>
      <c r="CU62">
        <v>0.918648520285961</v>
      </c>
      <c r="CV62">
        <v>-5.4467713380542203E-2</v>
      </c>
      <c r="CW62">
        <v>0.89675554976184302</v>
      </c>
      <c r="CX62" t="s">
        <v>1826</v>
      </c>
    </row>
    <row r="63" spans="1:102" x14ac:dyDescent="0.35">
      <c r="A63" t="s">
        <v>422</v>
      </c>
      <c r="B63" t="s">
        <v>148</v>
      </c>
      <c r="C63" t="s">
        <v>278</v>
      </c>
      <c r="D63" t="s">
        <v>72</v>
      </c>
      <c r="E63" t="s">
        <v>72</v>
      </c>
      <c r="F63" t="s">
        <v>72</v>
      </c>
      <c r="G63" t="s">
        <v>73</v>
      </c>
      <c r="H63" t="s">
        <v>109</v>
      </c>
      <c r="I63" t="s">
        <v>110</v>
      </c>
      <c r="J63" t="s">
        <v>111</v>
      </c>
      <c r="K63" t="s">
        <v>112</v>
      </c>
      <c r="L63" t="s">
        <v>113</v>
      </c>
      <c r="M63" t="s">
        <v>114</v>
      </c>
      <c r="N63">
        <v>48</v>
      </c>
      <c r="O63" t="s">
        <v>80</v>
      </c>
      <c r="P63">
        <v>621</v>
      </c>
      <c r="Q63">
        <v>0.68400000000000005</v>
      </c>
      <c r="R63">
        <v>175</v>
      </c>
      <c r="S63">
        <v>0.81130000000000002</v>
      </c>
      <c r="T63" t="s">
        <v>115</v>
      </c>
      <c r="U63" t="s">
        <v>116</v>
      </c>
      <c r="V63" t="s">
        <v>117</v>
      </c>
      <c r="W63" t="s">
        <v>118</v>
      </c>
      <c r="X63" t="s">
        <v>119</v>
      </c>
      <c r="Y63" t="s">
        <v>120</v>
      </c>
      <c r="Z63" t="s">
        <v>121</v>
      </c>
      <c r="AA63" t="s">
        <v>88</v>
      </c>
      <c r="AB63">
        <v>629</v>
      </c>
      <c r="AC63">
        <v>11</v>
      </c>
      <c r="AE63">
        <v>1</v>
      </c>
      <c r="AF63" t="s">
        <v>89</v>
      </c>
      <c r="AG63" t="s">
        <v>423</v>
      </c>
      <c r="AH63" t="s">
        <v>72</v>
      </c>
      <c r="AI63" t="s">
        <v>72</v>
      </c>
      <c r="AJ63" t="s">
        <v>91</v>
      </c>
      <c r="AK63" t="s">
        <v>92</v>
      </c>
      <c r="AL63" t="s">
        <v>93</v>
      </c>
      <c r="AM63" t="s">
        <v>94</v>
      </c>
      <c r="AN63" t="s">
        <v>424</v>
      </c>
      <c r="AO63" t="s">
        <v>425</v>
      </c>
      <c r="AP63" t="s">
        <v>97</v>
      </c>
      <c r="AQ63">
        <v>39</v>
      </c>
      <c r="AR63" t="s">
        <v>80</v>
      </c>
      <c r="AS63">
        <v>1350</v>
      </c>
      <c r="AT63">
        <v>0.96530000000000005</v>
      </c>
      <c r="AU63">
        <v>172</v>
      </c>
      <c r="AV63">
        <v>0.94740000000000002</v>
      </c>
      <c r="AW63" t="s">
        <v>426</v>
      </c>
      <c r="AX63" t="s">
        <v>146</v>
      </c>
      <c r="AY63" t="s">
        <v>127</v>
      </c>
      <c r="AZ63" t="s">
        <v>101</v>
      </c>
      <c r="BA63" t="s">
        <v>128</v>
      </c>
      <c r="BB63" t="s">
        <v>103</v>
      </c>
      <c r="BC63" t="s">
        <v>104</v>
      </c>
      <c r="BD63" t="s">
        <v>105</v>
      </c>
      <c r="BE63">
        <v>94522</v>
      </c>
      <c r="BF63" t="s">
        <v>106</v>
      </c>
      <c r="BG63">
        <v>1147</v>
      </c>
      <c r="BH63" t="s">
        <v>80</v>
      </c>
      <c r="BI63">
        <v>1</v>
      </c>
      <c r="BJ63">
        <v>193</v>
      </c>
      <c r="BK63">
        <v>8</v>
      </c>
      <c r="BL63">
        <v>85</v>
      </c>
      <c r="BM63">
        <v>2834</v>
      </c>
      <c r="BN63">
        <v>3705</v>
      </c>
      <c r="BO63">
        <v>4942</v>
      </c>
      <c r="BP63">
        <v>12</v>
      </c>
      <c r="BQ63" s="2">
        <v>2596</v>
      </c>
      <c r="BR63">
        <f t="shared" si="0"/>
        <v>194</v>
      </c>
      <c r="BS63">
        <f t="shared" si="1"/>
        <v>9</v>
      </c>
      <c r="BT63">
        <f t="shared" si="2"/>
        <v>86</v>
      </c>
      <c r="BU63">
        <f t="shared" si="3"/>
        <v>2835</v>
      </c>
      <c r="BV63">
        <f t="shared" si="4"/>
        <v>3706</v>
      </c>
      <c r="BW63">
        <f t="shared" si="5"/>
        <v>4943</v>
      </c>
      <c r="BX63">
        <f t="shared" si="6"/>
        <v>13</v>
      </c>
      <c r="BY63" s="2">
        <f t="shared" si="7"/>
        <v>2597</v>
      </c>
      <c r="BZ63">
        <f t="shared" si="8"/>
        <v>356.90356429433967</v>
      </c>
      <c r="CA63">
        <v>356.90356429433967</v>
      </c>
      <c r="CB63">
        <v>356.90356429433967</v>
      </c>
      <c r="CC63">
        <v>356.90356429433967</v>
      </c>
      <c r="CD63">
        <v>356.90356429433967</v>
      </c>
      <c r="CE63">
        <v>356.90356429433967</v>
      </c>
      <c r="CF63">
        <v>356.90356429433967</v>
      </c>
      <c r="CG63">
        <v>356.90356429433967</v>
      </c>
      <c r="CH63">
        <f t="shared" si="16"/>
        <v>-0.26474915522250381</v>
      </c>
      <c r="CI63">
        <f t="shared" si="9"/>
        <v>-1.5983083757134051</v>
      </c>
      <c r="CJ63">
        <f t="shared" si="10"/>
        <v>-0.61805243390916209</v>
      </c>
      <c r="CK63">
        <f t="shared" si="11"/>
        <v>0.90000217807619554</v>
      </c>
      <c r="CL63">
        <f t="shared" si="12"/>
        <v>1.0163545298301488</v>
      </c>
      <c r="CM63">
        <f t="shared" si="13"/>
        <v>1.1414397253080468</v>
      </c>
      <c r="CN63">
        <f t="shared" si="14"/>
        <v>-1.4386075328458932</v>
      </c>
      <c r="CO63" s="2">
        <f t="shared" si="15"/>
        <v>0.8619210644765728</v>
      </c>
      <c r="CP63">
        <v>-0.99510653074209998</v>
      </c>
      <c r="CQ63">
        <v>7.7587679906967993E-2</v>
      </c>
      <c r="CR63">
        <v>-0.26623773106734999</v>
      </c>
      <c r="CS63">
        <v>1.0064360437200099</v>
      </c>
      <c r="CT63">
        <v>0.94174373832205405</v>
      </c>
      <c r="CU63">
        <v>0.86904931596788104</v>
      </c>
      <c r="CV63">
        <v>-1.1820281693216901</v>
      </c>
      <c r="CW63">
        <v>0.88302680284255897</v>
      </c>
      <c r="CX63" t="s">
        <v>1826</v>
      </c>
    </row>
    <row r="64" spans="1:102" x14ac:dyDescent="0.35">
      <c r="A64" t="s">
        <v>334</v>
      </c>
      <c r="B64" t="s">
        <v>211</v>
      </c>
      <c r="C64" t="s">
        <v>255</v>
      </c>
      <c r="D64" t="s">
        <v>72</v>
      </c>
      <c r="E64" t="s">
        <v>72</v>
      </c>
      <c r="F64" t="s">
        <v>72</v>
      </c>
      <c r="G64" t="s">
        <v>73</v>
      </c>
      <c r="H64" t="s">
        <v>109</v>
      </c>
      <c r="I64" t="s">
        <v>110</v>
      </c>
      <c r="J64" t="s">
        <v>111</v>
      </c>
      <c r="K64" t="s">
        <v>112</v>
      </c>
      <c r="L64" t="s">
        <v>113</v>
      </c>
      <c r="M64" t="s">
        <v>114</v>
      </c>
      <c r="N64">
        <v>48</v>
      </c>
      <c r="O64" t="s">
        <v>80</v>
      </c>
      <c r="P64">
        <v>621</v>
      </c>
      <c r="Q64">
        <v>0.68400000000000005</v>
      </c>
      <c r="R64">
        <v>175</v>
      </c>
      <c r="S64">
        <v>0.81130000000000002</v>
      </c>
      <c r="T64" t="s">
        <v>115</v>
      </c>
      <c r="U64" t="s">
        <v>116</v>
      </c>
      <c r="V64" t="s">
        <v>117</v>
      </c>
      <c r="W64" t="s">
        <v>118</v>
      </c>
      <c r="X64" t="s">
        <v>119</v>
      </c>
      <c r="Y64" t="s">
        <v>120</v>
      </c>
      <c r="Z64" t="s">
        <v>121</v>
      </c>
      <c r="AA64" t="s">
        <v>88</v>
      </c>
      <c r="AB64">
        <v>466</v>
      </c>
      <c r="AC64">
        <v>4</v>
      </c>
      <c r="AE64">
        <v>1</v>
      </c>
      <c r="AF64" t="s">
        <v>89</v>
      </c>
      <c r="AG64" t="s">
        <v>335</v>
      </c>
      <c r="AH64" t="s">
        <v>72</v>
      </c>
      <c r="AI64" t="s">
        <v>72</v>
      </c>
      <c r="AJ64" t="s">
        <v>91</v>
      </c>
      <c r="AK64" t="s">
        <v>92</v>
      </c>
      <c r="AL64" t="s">
        <v>93</v>
      </c>
      <c r="AM64" t="s">
        <v>94</v>
      </c>
      <c r="AN64" t="s">
        <v>336</v>
      </c>
      <c r="AO64" t="s">
        <v>337</v>
      </c>
      <c r="AP64" t="s">
        <v>97</v>
      </c>
      <c r="AQ64">
        <v>39</v>
      </c>
      <c r="AR64" t="s">
        <v>80</v>
      </c>
      <c r="AS64">
        <v>1350</v>
      </c>
      <c r="AT64">
        <v>0.96530000000000005</v>
      </c>
      <c r="AU64">
        <v>163</v>
      </c>
      <c r="AV64">
        <v>0.92110000000000003</v>
      </c>
      <c r="AW64" t="s">
        <v>98</v>
      </c>
      <c r="AX64" t="s">
        <v>338</v>
      </c>
      <c r="AY64" t="s">
        <v>127</v>
      </c>
      <c r="AZ64" t="s">
        <v>307</v>
      </c>
      <c r="BA64" t="s">
        <v>128</v>
      </c>
      <c r="BB64" t="s">
        <v>103</v>
      </c>
      <c r="BC64" t="s">
        <v>104</v>
      </c>
      <c r="BD64" t="s">
        <v>105</v>
      </c>
      <c r="BE64">
        <v>86519</v>
      </c>
      <c r="BF64" t="s">
        <v>106</v>
      </c>
      <c r="BG64">
        <v>1490</v>
      </c>
      <c r="BH64" t="s">
        <v>80</v>
      </c>
      <c r="BI64">
        <v>1</v>
      </c>
      <c r="BJ64">
        <v>144</v>
      </c>
      <c r="BK64">
        <v>0</v>
      </c>
      <c r="BL64">
        <v>19</v>
      </c>
      <c r="BM64">
        <v>856</v>
      </c>
      <c r="BN64">
        <v>1245</v>
      </c>
      <c r="BO64">
        <v>1820</v>
      </c>
      <c r="BP64">
        <v>8</v>
      </c>
      <c r="BQ64" s="2">
        <v>873</v>
      </c>
      <c r="BR64">
        <f t="shared" si="0"/>
        <v>145</v>
      </c>
      <c r="BS64">
        <f t="shared" si="1"/>
        <v>1</v>
      </c>
      <c r="BT64">
        <f t="shared" si="2"/>
        <v>20</v>
      </c>
      <c r="BU64">
        <f t="shared" si="3"/>
        <v>857</v>
      </c>
      <c r="BV64">
        <f t="shared" si="4"/>
        <v>1246</v>
      </c>
      <c r="BW64">
        <f t="shared" si="5"/>
        <v>1821</v>
      </c>
      <c r="BX64">
        <f t="shared" si="6"/>
        <v>9</v>
      </c>
      <c r="BY64" s="2">
        <f t="shared" si="7"/>
        <v>874</v>
      </c>
      <c r="BZ64">
        <f t="shared" si="8"/>
        <v>120.46755436951365</v>
      </c>
      <c r="CA64">
        <v>120.46755436951365</v>
      </c>
      <c r="CB64">
        <v>120.46755436951365</v>
      </c>
      <c r="CC64">
        <v>120.46755436951365</v>
      </c>
      <c r="CD64">
        <v>120.46755436951365</v>
      </c>
      <c r="CE64">
        <v>120.46755436951365</v>
      </c>
      <c r="CF64">
        <v>120.46755436951365</v>
      </c>
      <c r="CG64">
        <v>120.46755436951365</v>
      </c>
      <c r="CH64">
        <f t="shared" si="16"/>
        <v>8.0497908483230809E-2</v>
      </c>
      <c r="CI64">
        <f t="shared" si="9"/>
        <v>-2.0808700937517441</v>
      </c>
      <c r="CJ64">
        <f t="shared" si="10"/>
        <v>-0.77984009808776289</v>
      </c>
      <c r="CK64">
        <f t="shared" si="11"/>
        <v>0.85211072817145406</v>
      </c>
      <c r="CL64">
        <f t="shared" si="12"/>
        <v>1.0146479485714066</v>
      </c>
      <c r="CM64">
        <f t="shared" si="13"/>
        <v>1.1794398520431759</v>
      </c>
      <c r="CN64">
        <f t="shared" si="14"/>
        <v>-1.1266275843124192</v>
      </c>
      <c r="CO64" s="2">
        <f t="shared" si="15"/>
        <v>0.86064133888265892</v>
      </c>
      <c r="CP64">
        <v>-0.58031554054214096</v>
      </c>
      <c r="CQ64">
        <v>-2.2527165794045199</v>
      </c>
      <c r="CR64">
        <v>-0.98908519228498804</v>
      </c>
      <c r="CS64">
        <v>0.86532628575211101</v>
      </c>
      <c r="CT64">
        <v>0.936993272920012</v>
      </c>
      <c r="CU64">
        <v>0.97878585289915498</v>
      </c>
      <c r="CV64">
        <v>-0.345306123615093</v>
      </c>
      <c r="CW64">
        <v>0.87951184021097495</v>
      </c>
      <c r="CX64" t="s">
        <v>1826</v>
      </c>
    </row>
    <row r="65" spans="1:102" x14ac:dyDescent="0.35">
      <c r="A65" t="s">
        <v>349</v>
      </c>
      <c r="B65" t="s">
        <v>178</v>
      </c>
      <c r="C65" t="s">
        <v>350</v>
      </c>
      <c r="D65" t="s">
        <v>72</v>
      </c>
      <c r="E65" t="s">
        <v>72</v>
      </c>
      <c r="F65" t="s">
        <v>72</v>
      </c>
      <c r="G65" t="s">
        <v>73</v>
      </c>
      <c r="H65" t="s">
        <v>109</v>
      </c>
      <c r="I65" t="s">
        <v>110</v>
      </c>
      <c r="J65" t="s">
        <v>111</v>
      </c>
      <c r="K65" t="s">
        <v>112</v>
      </c>
      <c r="L65" t="s">
        <v>113</v>
      </c>
      <c r="M65" t="s">
        <v>114</v>
      </c>
      <c r="N65">
        <v>48</v>
      </c>
      <c r="O65" t="s">
        <v>80</v>
      </c>
      <c r="P65">
        <v>621</v>
      </c>
      <c r="Q65">
        <v>0.68400000000000005</v>
      </c>
      <c r="R65">
        <v>175</v>
      </c>
      <c r="S65">
        <v>0.81130000000000002</v>
      </c>
      <c r="T65" t="s">
        <v>115</v>
      </c>
      <c r="U65" t="s">
        <v>116</v>
      </c>
      <c r="V65" t="s">
        <v>117</v>
      </c>
      <c r="W65" t="s">
        <v>118</v>
      </c>
      <c r="X65" t="s">
        <v>119</v>
      </c>
      <c r="Y65" t="s">
        <v>120</v>
      </c>
      <c r="Z65" t="s">
        <v>121</v>
      </c>
      <c r="AA65" t="s">
        <v>88</v>
      </c>
      <c r="AB65">
        <v>1196</v>
      </c>
      <c r="AC65">
        <v>13</v>
      </c>
      <c r="AE65">
        <v>1</v>
      </c>
      <c r="AF65" t="s">
        <v>89</v>
      </c>
      <c r="AG65" t="s">
        <v>351</v>
      </c>
      <c r="AH65" t="s">
        <v>72</v>
      </c>
      <c r="AI65" t="s">
        <v>72</v>
      </c>
      <c r="AJ65" t="s">
        <v>91</v>
      </c>
      <c r="AK65" t="s">
        <v>92</v>
      </c>
      <c r="AL65" t="s">
        <v>93</v>
      </c>
      <c r="AM65" t="s">
        <v>94</v>
      </c>
      <c r="AN65" t="s">
        <v>352</v>
      </c>
      <c r="AO65" t="s">
        <v>353</v>
      </c>
      <c r="AP65" t="s">
        <v>243</v>
      </c>
      <c r="AQ65">
        <v>39</v>
      </c>
      <c r="AR65" t="s">
        <v>80</v>
      </c>
      <c r="AS65">
        <v>1341</v>
      </c>
      <c r="AT65">
        <v>0.96179999999999999</v>
      </c>
      <c r="AU65">
        <v>172</v>
      </c>
      <c r="AV65">
        <v>0.94740000000000002</v>
      </c>
      <c r="AW65" t="s">
        <v>98</v>
      </c>
      <c r="AX65" t="s">
        <v>146</v>
      </c>
      <c r="AY65" t="s">
        <v>127</v>
      </c>
      <c r="AZ65" t="s">
        <v>101</v>
      </c>
      <c r="BA65" t="s">
        <v>354</v>
      </c>
      <c r="BB65" t="s">
        <v>103</v>
      </c>
      <c r="BC65" t="s">
        <v>246</v>
      </c>
      <c r="BD65" t="s">
        <v>105</v>
      </c>
      <c r="BE65">
        <v>99175</v>
      </c>
      <c r="BF65" t="s">
        <v>247</v>
      </c>
      <c r="BG65">
        <v>1189</v>
      </c>
      <c r="BH65" t="s">
        <v>80</v>
      </c>
      <c r="BI65">
        <v>1</v>
      </c>
      <c r="BJ65">
        <v>135</v>
      </c>
      <c r="BK65">
        <v>4</v>
      </c>
      <c r="BL65">
        <v>69</v>
      </c>
      <c r="BM65">
        <v>1603</v>
      </c>
      <c r="BN65">
        <v>2419</v>
      </c>
      <c r="BO65">
        <v>3770</v>
      </c>
      <c r="BP65">
        <v>16</v>
      </c>
      <c r="BQ65" s="2">
        <v>1900</v>
      </c>
      <c r="BR65">
        <f t="shared" si="0"/>
        <v>136</v>
      </c>
      <c r="BS65">
        <f t="shared" si="1"/>
        <v>5</v>
      </c>
      <c r="BT65">
        <f t="shared" si="2"/>
        <v>70</v>
      </c>
      <c r="BU65">
        <f t="shared" si="3"/>
        <v>1604</v>
      </c>
      <c r="BV65">
        <f t="shared" si="4"/>
        <v>2420</v>
      </c>
      <c r="BW65">
        <f t="shared" si="5"/>
        <v>3771</v>
      </c>
      <c r="BX65">
        <f t="shared" si="6"/>
        <v>17</v>
      </c>
      <c r="BY65" s="2">
        <f t="shared" si="7"/>
        <v>1901</v>
      </c>
      <c r="BZ65">
        <f t="shared" si="8"/>
        <v>262.46069932083083</v>
      </c>
      <c r="CA65">
        <v>262.46069932083083</v>
      </c>
      <c r="CB65">
        <v>262.46069932083083</v>
      </c>
      <c r="CC65">
        <v>262.46069932083083</v>
      </c>
      <c r="CD65">
        <v>262.46069932083083</v>
      </c>
      <c r="CE65">
        <v>262.46069932083083</v>
      </c>
      <c r="CF65">
        <v>262.46069932083083</v>
      </c>
      <c r="CG65">
        <v>262.46069932083083</v>
      </c>
      <c r="CH65">
        <f t="shared" si="16"/>
        <v>-0.28552537329208333</v>
      </c>
      <c r="CI65">
        <f t="shared" si="9"/>
        <v>-1.720094277326282</v>
      </c>
      <c r="CJ65">
        <f t="shared" si="10"/>
        <v>-0.573966241648044</v>
      </c>
      <c r="CK65">
        <f t="shared" si="11"/>
        <v>0.78614008228584387</v>
      </c>
      <c r="CL65">
        <f t="shared" si="12"/>
        <v>0.9647510843181305</v>
      </c>
      <c r="CM65">
        <f t="shared" si="13"/>
        <v>1.1573922507433194</v>
      </c>
      <c r="CN65">
        <f t="shared" si="14"/>
        <v>-1.1886153602840268</v>
      </c>
      <c r="CO65" s="2">
        <f t="shared" si="15"/>
        <v>0.85991783520314236</v>
      </c>
      <c r="CP65">
        <v>-1.02006775118867</v>
      </c>
      <c r="CQ65">
        <v>-0.28219277750065402</v>
      </c>
      <c r="CR65">
        <v>-6.9266025514307106E-2</v>
      </c>
      <c r="CS65">
        <v>0.67094708252437596</v>
      </c>
      <c r="CT65">
        <v>0.79809960694815196</v>
      </c>
      <c r="CU65">
        <v>0.915116922762375</v>
      </c>
      <c r="CV65">
        <v>-0.51155571421723001</v>
      </c>
      <c r="CW65">
        <v>0.87752462638216</v>
      </c>
      <c r="CX65" t="s">
        <v>1826</v>
      </c>
    </row>
    <row r="66" spans="1:102" x14ac:dyDescent="0.35">
      <c r="A66" t="s">
        <v>1679</v>
      </c>
      <c r="B66" t="s">
        <v>148</v>
      </c>
      <c r="C66" t="s">
        <v>1680</v>
      </c>
      <c r="D66" t="s">
        <v>72</v>
      </c>
      <c r="E66" t="s">
        <v>72</v>
      </c>
      <c r="F66" t="s">
        <v>72</v>
      </c>
      <c r="G66" t="s">
        <v>73</v>
      </c>
      <c r="H66" t="s">
        <v>109</v>
      </c>
      <c r="I66" t="s">
        <v>110</v>
      </c>
      <c r="J66" t="s">
        <v>111</v>
      </c>
      <c r="K66" t="s">
        <v>112</v>
      </c>
      <c r="L66" t="s">
        <v>113</v>
      </c>
      <c r="M66" t="s">
        <v>114</v>
      </c>
      <c r="N66">
        <v>48</v>
      </c>
      <c r="O66" t="s">
        <v>80</v>
      </c>
      <c r="P66">
        <v>621</v>
      </c>
      <c r="Q66">
        <v>0.68400000000000005</v>
      </c>
      <c r="R66">
        <v>175</v>
      </c>
      <c r="S66">
        <v>0.81130000000000002</v>
      </c>
      <c r="T66" t="s">
        <v>115</v>
      </c>
      <c r="U66" t="s">
        <v>116</v>
      </c>
      <c r="V66" t="s">
        <v>117</v>
      </c>
      <c r="W66" t="s">
        <v>118</v>
      </c>
      <c r="X66" t="s">
        <v>119</v>
      </c>
      <c r="Y66" t="s">
        <v>120</v>
      </c>
      <c r="Z66" t="s">
        <v>121</v>
      </c>
      <c r="AA66" t="s">
        <v>88</v>
      </c>
      <c r="AB66">
        <v>335</v>
      </c>
      <c r="AC66">
        <v>9</v>
      </c>
      <c r="AE66">
        <v>1</v>
      </c>
      <c r="AF66" t="s">
        <v>89</v>
      </c>
      <c r="AG66" t="s">
        <v>1681</v>
      </c>
      <c r="AH66" t="s">
        <v>72</v>
      </c>
      <c r="AI66" t="s">
        <v>72</v>
      </c>
      <c r="AJ66" t="s">
        <v>91</v>
      </c>
      <c r="AK66" t="s">
        <v>92</v>
      </c>
      <c r="AL66" t="s">
        <v>93</v>
      </c>
      <c r="AM66" t="s">
        <v>94</v>
      </c>
      <c r="AN66" t="s">
        <v>1682</v>
      </c>
      <c r="AO66" t="s">
        <v>1683</v>
      </c>
      <c r="AP66" t="s">
        <v>97</v>
      </c>
      <c r="AQ66">
        <v>39</v>
      </c>
      <c r="AR66" t="s">
        <v>80</v>
      </c>
      <c r="AS66">
        <v>1350</v>
      </c>
      <c r="AT66">
        <v>0.96530000000000005</v>
      </c>
      <c r="AU66">
        <v>163</v>
      </c>
      <c r="AV66">
        <v>0.92110000000000003</v>
      </c>
      <c r="AW66" t="s">
        <v>98</v>
      </c>
      <c r="AX66" t="s">
        <v>146</v>
      </c>
      <c r="AY66" t="s">
        <v>1684</v>
      </c>
      <c r="AZ66" t="s">
        <v>136</v>
      </c>
      <c r="BA66" t="s">
        <v>128</v>
      </c>
      <c r="BB66" t="s">
        <v>103</v>
      </c>
      <c r="BC66" t="s">
        <v>104</v>
      </c>
      <c r="BD66" t="s">
        <v>105</v>
      </c>
      <c r="BE66">
        <v>41298</v>
      </c>
      <c r="BF66" t="s">
        <v>106</v>
      </c>
      <c r="BG66">
        <v>494</v>
      </c>
      <c r="BH66" t="s">
        <v>80</v>
      </c>
      <c r="BI66">
        <v>1</v>
      </c>
      <c r="BJ66">
        <v>83</v>
      </c>
      <c r="BK66">
        <v>0</v>
      </c>
      <c r="BL66">
        <v>23</v>
      </c>
      <c r="BM66">
        <v>913</v>
      </c>
      <c r="BN66">
        <v>1221</v>
      </c>
      <c r="BO66">
        <v>1779</v>
      </c>
      <c r="BP66">
        <v>9</v>
      </c>
      <c r="BQ66" s="2">
        <v>842</v>
      </c>
      <c r="BR66">
        <f t="shared" ref="BR66:BR129" si="17">BJ66+1</f>
        <v>84</v>
      </c>
      <c r="BS66">
        <f t="shared" ref="BS66:BS129" si="18">BK66+1</f>
        <v>1</v>
      </c>
      <c r="BT66">
        <f t="shared" ref="BT66:BT129" si="19">BL66+1</f>
        <v>24</v>
      </c>
      <c r="BU66">
        <f t="shared" ref="BU66:BU129" si="20">BM66+1</f>
        <v>914</v>
      </c>
      <c r="BV66">
        <f t="shared" ref="BV66:BV129" si="21">BN66+1</f>
        <v>1222</v>
      </c>
      <c r="BW66">
        <f t="shared" ref="BW66:BW129" si="22">BO66+1</f>
        <v>1780</v>
      </c>
      <c r="BX66">
        <f t="shared" ref="BX66:BX129" si="23">BP66+1</f>
        <v>10</v>
      </c>
      <c r="BY66" s="2">
        <f t="shared" ref="BY66:BY129" si="24">BQ66+1</f>
        <v>843</v>
      </c>
      <c r="BZ66">
        <f t="shared" ref="BZ66:BZ129" si="25">GEOMEAN(BR66:BY66)</f>
        <v>116.43791987095474</v>
      </c>
      <c r="CA66">
        <v>116.43791987095474</v>
      </c>
      <c r="CB66">
        <v>116.43791987095474</v>
      </c>
      <c r="CC66">
        <v>116.43791987095474</v>
      </c>
      <c r="CD66">
        <v>116.43791987095474</v>
      </c>
      <c r="CE66">
        <v>116.43791987095474</v>
      </c>
      <c r="CF66">
        <v>116.43791987095474</v>
      </c>
      <c r="CG66">
        <v>116.43791987095474</v>
      </c>
      <c r="CH66">
        <f t="shared" ref="CH66:CH129" si="26">LOG(BR66/BZ66)</f>
        <v>-0.14181515223155472</v>
      </c>
      <c r="CI66">
        <f t="shared" ref="CI66:CI129" si="27">LOG(BS66/CA66)</f>
        <v>-2.0660944382934363</v>
      </c>
      <c r="CJ66">
        <f t="shared" ref="CJ66:CJ129" si="28">LOG(BT66/CB66)</f>
        <v>-0.68588319658183028</v>
      </c>
      <c r="CK66">
        <f t="shared" ref="CK66:CK129" si="29">LOG(BU66/CC66)</f>
        <v>0.89485175744039502</v>
      </c>
      <c r="CL66">
        <f t="shared" ref="CL66:CL129" si="30">LOG(BV66/CD66)</f>
        <v>1.0209767676130992</v>
      </c>
      <c r="CM66">
        <f t="shared" ref="CM66:CM129" si="31">LOG(BW66/CE66)</f>
        <v>1.1843255640154577</v>
      </c>
      <c r="CN66">
        <f t="shared" ref="CN66:CN129" si="32">LOG(BX66/CF66)</f>
        <v>-1.0660944382934363</v>
      </c>
      <c r="CO66" s="2">
        <f t="shared" ref="CO66:CO129" si="33">LOG(BY66/CG66)</f>
        <v>0.85973313633130599</v>
      </c>
      <c r="CP66">
        <v>-0.84740964294663201</v>
      </c>
      <c r="CQ66">
        <v>-2.2527165794045199</v>
      </c>
      <c r="CR66">
        <v>-0.56929726801862002</v>
      </c>
      <c r="CS66">
        <v>0.991260587332781</v>
      </c>
      <c r="CT66">
        <v>0.95461026932105197</v>
      </c>
      <c r="CU66">
        <v>0.99289478248296703</v>
      </c>
      <c r="CV66">
        <v>-0.18295781242346901</v>
      </c>
      <c r="CW66">
        <v>0.87701732260103105</v>
      </c>
      <c r="CX66" t="s">
        <v>1826</v>
      </c>
    </row>
    <row r="67" spans="1:102" x14ac:dyDescent="0.35">
      <c r="A67" t="s">
        <v>1251</v>
      </c>
      <c r="B67" t="s">
        <v>153</v>
      </c>
      <c r="C67" t="s">
        <v>1252</v>
      </c>
      <c r="D67" t="s">
        <v>72</v>
      </c>
      <c r="E67" t="s">
        <v>72</v>
      </c>
      <c r="F67" t="s">
        <v>72</v>
      </c>
      <c r="G67" t="s">
        <v>73</v>
      </c>
      <c r="H67" t="s">
        <v>109</v>
      </c>
      <c r="I67" t="s">
        <v>110</v>
      </c>
      <c r="J67" t="s">
        <v>111</v>
      </c>
      <c r="K67" t="s">
        <v>112</v>
      </c>
      <c r="L67" t="s">
        <v>113</v>
      </c>
      <c r="M67" t="s">
        <v>114</v>
      </c>
      <c r="N67">
        <v>48</v>
      </c>
      <c r="O67" t="s">
        <v>80</v>
      </c>
      <c r="P67">
        <v>621</v>
      </c>
      <c r="Q67">
        <v>0.68400000000000005</v>
      </c>
      <c r="R67">
        <v>175</v>
      </c>
      <c r="S67">
        <v>0.81130000000000002</v>
      </c>
      <c r="T67" t="s">
        <v>115</v>
      </c>
      <c r="U67" t="s">
        <v>116</v>
      </c>
      <c r="V67" t="s">
        <v>117</v>
      </c>
      <c r="W67" t="s">
        <v>118</v>
      </c>
      <c r="X67" t="s">
        <v>119</v>
      </c>
      <c r="Y67" t="s">
        <v>120</v>
      </c>
      <c r="Z67" t="s">
        <v>121</v>
      </c>
      <c r="AA67" t="s">
        <v>88</v>
      </c>
      <c r="AB67">
        <v>221</v>
      </c>
      <c r="AC67">
        <v>5</v>
      </c>
      <c r="AE67">
        <v>1</v>
      </c>
      <c r="AF67" t="s">
        <v>70</v>
      </c>
      <c r="AG67" t="s">
        <v>1253</v>
      </c>
      <c r="AH67" t="s">
        <v>72</v>
      </c>
      <c r="AI67" t="s">
        <v>72</v>
      </c>
      <c r="AJ67" t="s">
        <v>91</v>
      </c>
      <c r="AK67" t="s">
        <v>92</v>
      </c>
      <c r="AL67" t="s">
        <v>93</v>
      </c>
      <c r="AM67" t="s">
        <v>94</v>
      </c>
      <c r="AN67" t="s">
        <v>1254</v>
      </c>
      <c r="AO67" t="s">
        <v>1255</v>
      </c>
      <c r="AP67" t="s">
        <v>97</v>
      </c>
      <c r="AQ67">
        <v>39</v>
      </c>
      <c r="AR67" t="s">
        <v>80</v>
      </c>
      <c r="AS67">
        <v>1350</v>
      </c>
      <c r="AT67">
        <v>0.96530000000000005</v>
      </c>
      <c r="AU67">
        <v>163</v>
      </c>
      <c r="AV67">
        <v>0.92110000000000003</v>
      </c>
      <c r="AW67" t="s">
        <v>98</v>
      </c>
      <c r="AX67" t="s">
        <v>183</v>
      </c>
      <c r="AY67" t="s">
        <v>184</v>
      </c>
      <c r="AZ67" t="s">
        <v>136</v>
      </c>
      <c r="BA67" t="s">
        <v>1256</v>
      </c>
      <c r="BB67" t="s">
        <v>186</v>
      </c>
      <c r="BC67" t="s">
        <v>104</v>
      </c>
      <c r="BD67" t="s">
        <v>105</v>
      </c>
      <c r="BE67">
        <v>376</v>
      </c>
      <c r="BF67" t="s">
        <v>106</v>
      </c>
      <c r="BG67">
        <v>6</v>
      </c>
      <c r="BH67" t="s">
        <v>80</v>
      </c>
      <c r="BI67">
        <v>1</v>
      </c>
      <c r="BJ67">
        <v>101</v>
      </c>
      <c r="BK67">
        <v>0</v>
      </c>
      <c r="BL67">
        <v>22</v>
      </c>
      <c r="BM67">
        <v>922</v>
      </c>
      <c r="BN67">
        <v>1223</v>
      </c>
      <c r="BO67">
        <v>1788</v>
      </c>
      <c r="BP67">
        <v>14</v>
      </c>
      <c r="BQ67" s="2">
        <v>910</v>
      </c>
      <c r="BR67">
        <f t="shared" si="17"/>
        <v>102</v>
      </c>
      <c r="BS67">
        <f t="shared" si="18"/>
        <v>1</v>
      </c>
      <c r="BT67">
        <f t="shared" si="19"/>
        <v>23</v>
      </c>
      <c r="BU67">
        <f t="shared" si="20"/>
        <v>923</v>
      </c>
      <c r="BV67">
        <f t="shared" si="21"/>
        <v>1224</v>
      </c>
      <c r="BW67">
        <f t="shared" si="22"/>
        <v>1789</v>
      </c>
      <c r="BX67">
        <f t="shared" si="23"/>
        <v>15</v>
      </c>
      <c r="BY67" s="2">
        <f t="shared" si="24"/>
        <v>911</v>
      </c>
      <c r="BZ67">
        <f t="shared" si="25"/>
        <v>126.31106237217931</v>
      </c>
      <c r="CA67">
        <v>126.31106237217931</v>
      </c>
      <c r="CB67">
        <v>126.31106237217931</v>
      </c>
      <c r="CC67">
        <v>126.31106237217931</v>
      </c>
      <c r="CD67">
        <v>126.31106237217931</v>
      </c>
      <c r="CE67">
        <v>126.31106237217931</v>
      </c>
      <c r="CF67">
        <v>126.31106237217931</v>
      </c>
      <c r="CG67">
        <v>126.31106237217931</v>
      </c>
      <c r="CH67">
        <f t="shared" si="26"/>
        <v>-9.2841216139459629E-2</v>
      </c>
      <c r="CI67">
        <f t="shared" si="27"/>
        <v>-2.1014413879013771</v>
      </c>
      <c r="CJ67">
        <f t="shared" si="28"/>
        <v>-0.73971355188378429</v>
      </c>
      <c r="CK67">
        <f t="shared" si="29"/>
        <v>0.86376031312453494</v>
      </c>
      <c r="CL67">
        <f t="shared" si="30"/>
        <v>0.98634002990816527</v>
      </c>
      <c r="CM67">
        <f t="shared" si="31"/>
        <v>1.1511689526659958</v>
      </c>
      <c r="CN67">
        <f t="shared" si="32"/>
        <v>-0.9253501288456959</v>
      </c>
      <c r="CO67" s="2">
        <f t="shared" si="33"/>
        <v>0.85807698907162111</v>
      </c>
      <c r="CP67">
        <v>-0.78857077194339098</v>
      </c>
      <c r="CQ67">
        <v>-2.2527165794045199</v>
      </c>
      <c r="CR67">
        <v>-0.80980470017677297</v>
      </c>
      <c r="CS67">
        <v>0.89965120421721201</v>
      </c>
      <c r="CT67">
        <v>0.85819492240216999</v>
      </c>
      <c r="CU67">
        <v>0.89714532008702996</v>
      </c>
      <c r="CV67">
        <v>0.19451473693827301</v>
      </c>
      <c r="CW67">
        <v>0.872468460127797</v>
      </c>
      <c r="CX67" t="s">
        <v>1826</v>
      </c>
    </row>
    <row r="68" spans="1:102" x14ac:dyDescent="0.35">
      <c r="A68" t="s">
        <v>1124</v>
      </c>
      <c r="B68" t="s">
        <v>130</v>
      </c>
      <c r="C68" t="s">
        <v>1125</v>
      </c>
      <c r="D68" t="s">
        <v>72</v>
      </c>
      <c r="E68" t="s">
        <v>72</v>
      </c>
      <c r="F68" t="s">
        <v>72</v>
      </c>
      <c r="G68" t="s">
        <v>73</v>
      </c>
      <c r="H68" t="s">
        <v>109</v>
      </c>
      <c r="I68" t="s">
        <v>1126</v>
      </c>
      <c r="J68" t="s">
        <v>111</v>
      </c>
      <c r="K68" t="s">
        <v>1127</v>
      </c>
      <c r="L68" t="s">
        <v>1128</v>
      </c>
      <c r="M68" t="s">
        <v>1129</v>
      </c>
      <c r="N68">
        <v>48</v>
      </c>
      <c r="O68" t="s">
        <v>80</v>
      </c>
      <c r="P68">
        <v>621</v>
      </c>
      <c r="Q68">
        <v>0.68400000000000005</v>
      </c>
      <c r="R68">
        <v>175</v>
      </c>
      <c r="S68">
        <v>0.81130000000000002</v>
      </c>
      <c r="T68" t="s">
        <v>115</v>
      </c>
      <c r="U68" t="s">
        <v>116</v>
      </c>
      <c r="V68" t="s">
        <v>117</v>
      </c>
      <c r="W68" t="s">
        <v>118</v>
      </c>
      <c r="X68" t="s">
        <v>119</v>
      </c>
      <c r="Y68" t="s">
        <v>120</v>
      </c>
      <c r="Z68" t="s">
        <v>1130</v>
      </c>
      <c r="AA68" t="s">
        <v>88</v>
      </c>
      <c r="AB68">
        <v>823</v>
      </c>
      <c r="AC68">
        <v>14</v>
      </c>
      <c r="AE68">
        <v>1</v>
      </c>
      <c r="AF68" t="s">
        <v>89</v>
      </c>
      <c r="AG68" t="s">
        <v>1131</v>
      </c>
      <c r="AH68" t="s">
        <v>72</v>
      </c>
      <c r="AI68" t="s">
        <v>72</v>
      </c>
      <c r="AJ68" t="s">
        <v>91</v>
      </c>
      <c r="AK68" t="s">
        <v>92</v>
      </c>
      <c r="AL68" t="s">
        <v>93</v>
      </c>
      <c r="AM68" t="s">
        <v>94</v>
      </c>
      <c r="AN68" t="s">
        <v>1132</v>
      </c>
      <c r="AO68" t="s">
        <v>1133</v>
      </c>
      <c r="AP68" t="s">
        <v>97</v>
      </c>
      <c r="AQ68">
        <v>39</v>
      </c>
      <c r="AR68" t="s">
        <v>80</v>
      </c>
      <c r="AS68">
        <v>1323</v>
      </c>
      <c r="AT68">
        <v>0.95489999999999997</v>
      </c>
      <c r="AU68">
        <v>172</v>
      </c>
      <c r="AV68">
        <v>0.94740000000000002</v>
      </c>
      <c r="AW68" t="s">
        <v>644</v>
      </c>
      <c r="AX68" t="s">
        <v>1134</v>
      </c>
      <c r="AY68" t="s">
        <v>894</v>
      </c>
      <c r="AZ68" t="s">
        <v>101</v>
      </c>
      <c r="BA68" t="s">
        <v>128</v>
      </c>
      <c r="BB68" t="s">
        <v>450</v>
      </c>
      <c r="BC68" t="s">
        <v>104</v>
      </c>
      <c r="BD68" t="s">
        <v>105</v>
      </c>
      <c r="BE68">
        <v>85879</v>
      </c>
      <c r="BF68" t="s">
        <v>106</v>
      </c>
      <c r="BG68">
        <v>1023</v>
      </c>
      <c r="BH68" t="s">
        <v>80</v>
      </c>
      <c r="BI68">
        <v>1</v>
      </c>
      <c r="BJ68">
        <v>91</v>
      </c>
      <c r="BK68">
        <v>8</v>
      </c>
      <c r="BL68">
        <v>88</v>
      </c>
      <c r="BM68">
        <v>2829</v>
      </c>
      <c r="BN68">
        <v>3571</v>
      </c>
      <c r="BO68">
        <v>5102</v>
      </c>
      <c r="BP68">
        <v>36</v>
      </c>
      <c r="BQ68" s="2">
        <v>2691</v>
      </c>
      <c r="BR68">
        <f t="shared" si="17"/>
        <v>92</v>
      </c>
      <c r="BS68">
        <f t="shared" si="18"/>
        <v>9</v>
      </c>
      <c r="BT68">
        <f t="shared" si="19"/>
        <v>89</v>
      </c>
      <c r="BU68">
        <f t="shared" si="20"/>
        <v>2830</v>
      </c>
      <c r="BV68">
        <f t="shared" si="21"/>
        <v>3572</v>
      </c>
      <c r="BW68">
        <f t="shared" si="22"/>
        <v>5103</v>
      </c>
      <c r="BX68">
        <f t="shared" si="23"/>
        <v>37</v>
      </c>
      <c r="BY68" s="2">
        <f t="shared" si="24"/>
        <v>2692</v>
      </c>
      <c r="BZ68">
        <f t="shared" si="25"/>
        <v>373.48879071612942</v>
      </c>
      <c r="CA68">
        <v>373.48879071612942</v>
      </c>
      <c r="CB68">
        <v>373.48879071612942</v>
      </c>
      <c r="CC68">
        <v>373.48879071612942</v>
      </c>
      <c r="CD68">
        <v>373.48879071612942</v>
      </c>
      <c r="CE68">
        <v>373.48879071612942</v>
      </c>
      <c r="CF68">
        <v>373.48879071612942</v>
      </c>
      <c r="CG68">
        <v>373.48879071612942</v>
      </c>
      <c r="CH68">
        <f t="shared" si="26"/>
        <v>-0.60848974479466444</v>
      </c>
      <c r="CI68">
        <f t="shared" si="27"/>
        <v>-1.6180350627008948</v>
      </c>
      <c r="CJ68">
        <f t="shared" si="28"/>
        <v>-0.62288756549530688</v>
      </c>
      <c r="CK68">
        <f t="shared" si="29"/>
        <v>0.87950886338407053</v>
      </c>
      <c r="CL68">
        <f t="shared" si="30"/>
        <v>0.98063387807628921</v>
      </c>
      <c r="CM68">
        <f t="shared" si="31"/>
        <v>1.1355479961920119</v>
      </c>
      <c r="CN68">
        <f t="shared" si="32"/>
        <v>-1.0040758480732246</v>
      </c>
      <c r="CO68" s="2">
        <f t="shared" si="33"/>
        <v>0.85779748341171957</v>
      </c>
      <c r="CP68">
        <v>-1.4080875941873801</v>
      </c>
      <c r="CQ68">
        <v>1.9311012628548199E-2</v>
      </c>
      <c r="CR68">
        <v>-0.28784050659070298</v>
      </c>
      <c r="CS68">
        <v>0.94605351861547404</v>
      </c>
      <c r="CT68">
        <v>0.84231119186354697</v>
      </c>
      <c r="CU68">
        <v>0.85203521614033695</v>
      </c>
      <c r="CV68">
        <v>-1.6625578814145399E-2</v>
      </c>
      <c r="CW68">
        <v>0.871700754961516</v>
      </c>
      <c r="CX68" t="s">
        <v>1826</v>
      </c>
    </row>
    <row r="69" spans="1:102" x14ac:dyDescent="0.35">
      <c r="A69" t="s">
        <v>606</v>
      </c>
      <c r="B69" t="s">
        <v>211</v>
      </c>
      <c r="C69" t="s">
        <v>607</v>
      </c>
      <c r="D69" t="s">
        <v>72</v>
      </c>
      <c r="E69" t="s">
        <v>72</v>
      </c>
      <c r="F69" t="s">
        <v>72</v>
      </c>
      <c r="G69" t="s">
        <v>73</v>
      </c>
      <c r="H69" t="s">
        <v>109</v>
      </c>
      <c r="I69" t="s">
        <v>110</v>
      </c>
      <c r="J69" t="s">
        <v>111</v>
      </c>
      <c r="K69" t="s">
        <v>112</v>
      </c>
      <c r="L69" t="s">
        <v>113</v>
      </c>
      <c r="M69" t="s">
        <v>114</v>
      </c>
      <c r="N69">
        <v>48</v>
      </c>
      <c r="O69" t="s">
        <v>80</v>
      </c>
      <c r="P69">
        <v>621</v>
      </c>
      <c r="Q69">
        <v>0.68400000000000005</v>
      </c>
      <c r="R69">
        <v>175</v>
      </c>
      <c r="S69">
        <v>0.81130000000000002</v>
      </c>
      <c r="T69" t="s">
        <v>115</v>
      </c>
      <c r="U69" t="s">
        <v>116</v>
      </c>
      <c r="V69" t="s">
        <v>117</v>
      </c>
      <c r="W69" t="s">
        <v>118</v>
      </c>
      <c r="X69" t="s">
        <v>119</v>
      </c>
      <c r="Y69" t="s">
        <v>120</v>
      </c>
      <c r="Z69" t="s">
        <v>121</v>
      </c>
      <c r="AA69" t="s">
        <v>88</v>
      </c>
      <c r="AB69">
        <v>434</v>
      </c>
      <c r="AC69">
        <v>2</v>
      </c>
      <c r="AE69">
        <v>1</v>
      </c>
      <c r="AF69" t="s">
        <v>89</v>
      </c>
      <c r="AG69" t="s">
        <v>608</v>
      </c>
      <c r="AH69" t="s">
        <v>72</v>
      </c>
      <c r="AI69" t="s">
        <v>72</v>
      </c>
      <c r="AJ69" t="s">
        <v>91</v>
      </c>
      <c r="AK69" t="s">
        <v>92</v>
      </c>
      <c r="AL69" t="s">
        <v>93</v>
      </c>
      <c r="AM69" t="s">
        <v>94</v>
      </c>
      <c r="AN69" t="s">
        <v>144</v>
      </c>
      <c r="AO69" t="s">
        <v>145</v>
      </c>
      <c r="AP69" t="s">
        <v>97</v>
      </c>
      <c r="AQ69">
        <v>39</v>
      </c>
      <c r="AR69" t="s">
        <v>80</v>
      </c>
      <c r="AS69">
        <v>1359</v>
      </c>
      <c r="AT69">
        <v>0.96879999999999999</v>
      </c>
      <c r="AU69">
        <v>172</v>
      </c>
      <c r="AV69">
        <v>0.94740000000000002</v>
      </c>
      <c r="AW69" t="s">
        <v>98</v>
      </c>
      <c r="AX69" t="s">
        <v>146</v>
      </c>
      <c r="AY69" t="s">
        <v>127</v>
      </c>
      <c r="AZ69" t="s">
        <v>101</v>
      </c>
      <c r="BA69" t="s">
        <v>128</v>
      </c>
      <c r="BB69" t="s">
        <v>103</v>
      </c>
      <c r="BC69" t="s">
        <v>104</v>
      </c>
      <c r="BD69" t="s">
        <v>105</v>
      </c>
      <c r="BE69">
        <v>57143</v>
      </c>
      <c r="BF69" t="s">
        <v>106</v>
      </c>
      <c r="BG69">
        <v>717</v>
      </c>
      <c r="BH69" t="s">
        <v>80</v>
      </c>
      <c r="BI69">
        <v>1</v>
      </c>
      <c r="BJ69">
        <v>50</v>
      </c>
      <c r="BK69">
        <v>0</v>
      </c>
      <c r="BL69">
        <v>22</v>
      </c>
      <c r="BM69">
        <v>642</v>
      </c>
      <c r="BN69">
        <v>892</v>
      </c>
      <c r="BO69">
        <v>1332</v>
      </c>
      <c r="BP69">
        <v>4</v>
      </c>
      <c r="BQ69" s="2">
        <v>612</v>
      </c>
      <c r="BR69">
        <f t="shared" si="17"/>
        <v>51</v>
      </c>
      <c r="BS69">
        <f t="shared" si="18"/>
        <v>1</v>
      </c>
      <c r="BT69">
        <f t="shared" si="19"/>
        <v>23</v>
      </c>
      <c r="BU69">
        <f t="shared" si="20"/>
        <v>643</v>
      </c>
      <c r="BV69">
        <f t="shared" si="21"/>
        <v>893</v>
      </c>
      <c r="BW69">
        <f t="shared" si="22"/>
        <v>1333</v>
      </c>
      <c r="BX69">
        <f t="shared" si="23"/>
        <v>5</v>
      </c>
      <c r="BY69" s="2">
        <f t="shared" si="24"/>
        <v>613</v>
      </c>
      <c r="BZ69">
        <f t="shared" si="25"/>
        <v>85.10452145845295</v>
      </c>
      <c r="CA69">
        <v>85.10452145845295</v>
      </c>
      <c r="CB69">
        <v>85.10452145845295</v>
      </c>
      <c r="CC69">
        <v>85.10452145845295</v>
      </c>
      <c r="CD69">
        <v>85.10452145845295</v>
      </c>
      <c r="CE69">
        <v>85.10452145845295</v>
      </c>
      <c r="CF69">
        <v>85.10452145845295</v>
      </c>
      <c r="CG69">
        <v>85.10452145845295</v>
      </c>
      <c r="CH69">
        <f t="shared" si="26"/>
        <v>-0.22238245792663744</v>
      </c>
      <c r="CI69">
        <f t="shared" si="27"/>
        <v>-1.9299526340245738</v>
      </c>
      <c r="CJ69">
        <f t="shared" si="28"/>
        <v>-0.56822479800698089</v>
      </c>
      <c r="CK69">
        <f t="shared" si="29"/>
        <v>0.87825833889964822</v>
      </c>
      <c r="CL69">
        <f t="shared" si="30"/>
        <v>1.0208988248639725</v>
      </c>
      <c r="CM69">
        <f t="shared" si="31"/>
        <v>1.1948775153892854</v>
      </c>
      <c r="CN69">
        <f t="shared" si="32"/>
        <v>-1.2309826296885549</v>
      </c>
      <c r="CO69" s="2">
        <f t="shared" si="33"/>
        <v>0.85750784049384121</v>
      </c>
      <c r="CP69">
        <v>-0.94420581015600802</v>
      </c>
      <c r="CQ69">
        <v>-2.2527165794045199</v>
      </c>
      <c r="CR69">
        <v>-4.3613958771535802E-2</v>
      </c>
      <c r="CS69">
        <v>0.942368910868564</v>
      </c>
      <c r="CT69">
        <v>0.95439330670578304</v>
      </c>
      <c r="CU69">
        <v>1.0233666440560101</v>
      </c>
      <c r="CV69">
        <v>-0.62518362041375897</v>
      </c>
      <c r="CW69">
        <v>0.87090520626131995</v>
      </c>
      <c r="CX69" t="s">
        <v>1826</v>
      </c>
    </row>
    <row r="70" spans="1:102" x14ac:dyDescent="0.35">
      <c r="A70" t="s">
        <v>323</v>
      </c>
      <c r="B70" t="s">
        <v>178</v>
      </c>
      <c r="C70" t="s">
        <v>324</v>
      </c>
      <c r="D70" t="s">
        <v>72</v>
      </c>
      <c r="E70" t="s">
        <v>72</v>
      </c>
      <c r="F70" t="s">
        <v>72</v>
      </c>
      <c r="G70" t="s">
        <v>73</v>
      </c>
      <c r="H70" t="s">
        <v>109</v>
      </c>
      <c r="I70" t="s">
        <v>110</v>
      </c>
      <c r="J70" t="s">
        <v>111</v>
      </c>
      <c r="K70" t="s">
        <v>112</v>
      </c>
      <c r="L70" t="s">
        <v>113</v>
      </c>
      <c r="M70" t="s">
        <v>114</v>
      </c>
      <c r="N70">
        <v>48</v>
      </c>
      <c r="O70" t="s">
        <v>80</v>
      </c>
      <c r="P70">
        <v>621</v>
      </c>
      <c r="Q70">
        <v>0.68400000000000005</v>
      </c>
      <c r="R70">
        <v>175</v>
      </c>
      <c r="S70">
        <v>0.81130000000000002</v>
      </c>
      <c r="T70" t="s">
        <v>115</v>
      </c>
      <c r="U70" t="s">
        <v>116</v>
      </c>
      <c r="V70" t="s">
        <v>117</v>
      </c>
      <c r="W70" t="s">
        <v>118</v>
      </c>
      <c r="X70" t="s">
        <v>119</v>
      </c>
      <c r="Y70" t="s">
        <v>120</v>
      </c>
      <c r="Z70" t="s">
        <v>121</v>
      </c>
      <c r="AA70" t="s">
        <v>88</v>
      </c>
      <c r="AB70">
        <v>456</v>
      </c>
      <c r="AC70">
        <v>7</v>
      </c>
      <c r="AE70">
        <v>1</v>
      </c>
      <c r="AF70" t="s">
        <v>89</v>
      </c>
      <c r="AG70" t="s">
        <v>325</v>
      </c>
      <c r="AH70" t="s">
        <v>72</v>
      </c>
      <c r="AI70" t="s">
        <v>72</v>
      </c>
      <c r="AJ70" t="s">
        <v>91</v>
      </c>
      <c r="AK70" t="s">
        <v>92</v>
      </c>
      <c r="AL70" t="s">
        <v>93</v>
      </c>
      <c r="AM70" t="s">
        <v>94</v>
      </c>
      <c r="AN70" t="s">
        <v>326</v>
      </c>
      <c r="AO70" t="s">
        <v>327</v>
      </c>
      <c r="AP70" t="s">
        <v>97</v>
      </c>
      <c r="AQ70">
        <v>39</v>
      </c>
      <c r="AR70" t="s">
        <v>80</v>
      </c>
      <c r="AS70">
        <v>1350</v>
      </c>
      <c r="AT70">
        <v>0.96530000000000005</v>
      </c>
      <c r="AU70">
        <v>163</v>
      </c>
      <c r="AV70">
        <v>0.92110000000000003</v>
      </c>
      <c r="AW70" t="s">
        <v>328</v>
      </c>
      <c r="AX70" t="s">
        <v>146</v>
      </c>
      <c r="AY70" t="s">
        <v>127</v>
      </c>
      <c r="AZ70" t="s">
        <v>136</v>
      </c>
      <c r="BA70" t="s">
        <v>128</v>
      </c>
      <c r="BB70" t="s">
        <v>103</v>
      </c>
      <c r="BC70" t="s">
        <v>104</v>
      </c>
      <c r="BD70" t="s">
        <v>105</v>
      </c>
      <c r="BE70">
        <v>53466</v>
      </c>
      <c r="BF70" t="s">
        <v>106</v>
      </c>
      <c r="BG70">
        <v>632</v>
      </c>
      <c r="BH70" t="s">
        <v>80</v>
      </c>
      <c r="BI70">
        <v>1</v>
      </c>
      <c r="BJ70">
        <v>73</v>
      </c>
      <c r="BK70">
        <v>5</v>
      </c>
      <c r="BL70">
        <v>52</v>
      </c>
      <c r="BM70">
        <v>1800</v>
      </c>
      <c r="BN70">
        <v>2494</v>
      </c>
      <c r="BO70">
        <v>3446</v>
      </c>
      <c r="BP70">
        <v>20</v>
      </c>
      <c r="BQ70" s="2">
        <v>1766</v>
      </c>
      <c r="BR70">
        <f t="shared" si="17"/>
        <v>74</v>
      </c>
      <c r="BS70">
        <f t="shared" si="18"/>
        <v>6</v>
      </c>
      <c r="BT70">
        <f t="shared" si="19"/>
        <v>53</v>
      </c>
      <c r="BU70">
        <f t="shared" si="20"/>
        <v>1801</v>
      </c>
      <c r="BV70">
        <f t="shared" si="21"/>
        <v>2495</v>
      </c>
      <c r="BW70">
        <f t="shared" si="22"/>
        <v>3447</v>
      </c>
      <c r="BX70">
        <f t="shared" si="23"/>
        <v>21</v>
      </c>
      <c r="BY70" s="2">
        <f t="shared" si="24"/>
        <v>1767</v>
      </c>
      <c r="BZ70">
        <f t="shared" si="25"/>
        <v>246.25923656403467</v>
      </c>
      <c r="CA70">
        <v>246.25923656403467</v>
      </c>
      <c r="CB70">
        <v>246.25923656403467</v>
      </c>
      <c r="CC70">
        <v>246.25923656403467</v>
      </c>
      <c r="CD70">
        <v>246.25923656403467</v>
      </c>
      <c r="CE70">
        <v>246.25923656403467</v>
      </c>
      <c r="CF70">
        <v>246.25923656403467</v>
      </c>
      <c r="CG70">
        <v>246.25923656403467</v>
      </c>
      <c r="CH70">
        <f t="shared" si="26"/>
        <v>-0.52216080903689654</v>
      </c>
      <c r="CI70">
        <f t="shared" si="27"/>
        <v>-1.6132412783842291</v>
      </c>
      <c r="CJ70">
        <f t="shared" si="28"/>
        <v>-0.66711665916708363</v>
      </c>
      <c r="CK70">
        <f t="shared" si="29"/>
        <v>0.86412118405166061</v>
      </c>
      <c r="CL70">
        <f t="shared" si="30"/>
        <v>1.0056780211915359</v>
      </c>
      <c r="CM70">
        <f t="shared" si="31"/>
        <v>1.1460487546400748</v>
      </c>
      <c r="CN70">
        <f t="shared" si="32"/>
        <v>-1.0691732340339535</v>
      </c>
      <c r="CO70" s="2">
        <f t="shared" si="33"/>
        <v>0.85584402073889132</v>
      </c>
      <c r="CP70">
        <v>-1.30436921824662</v>
      </c>
      <c r="CQ70">
        <v>3.3472831782671603E-2</v>
      </c>
      <c r="CR70">
        <v>-0.48545067813819298</v>
      </c>
      <c r="CS70">
        <v>0.90071449232575096</v>
      </c>
      <c r="CT70">
        <v>0.91202444740489397</v>
      </c>
      <c r="CU70">
        <v>0.88235924309093705</v>
      </c>
      <c r="CV70">
        <v>-0.191215061911546</v>
      </c>
      <c r="CW70">
        <v>0.86633527010301203</v>
      </c>
      <c r="CX70" t="s">
        <v>1826</v>
      </c>
    </row>
    <row r="71" spans="1:102" x14ac:dyDescent="0.35">
      <c r="A71" t="s">
        <v>198</v>
      </c>
      <c r="B71" t="s">
        <v>199</v>
      </c>
      <c r="C71" t="s">
        <v>188</v>
      </c>
      <c r="D71" t="s">
        <v>72</v>
      </c>
      <c r="E71" t="s">
        <v>72</v>
      </c>
      <c r="F71" t="s">
        <v>72</v>
      </c>
      <c r="G71" t="s">
        <v>73</v>
      </c>
      <c r="H71" t="s">
        <v>109</v>
      </c>
      <c r="I71" t="s">
        <v>110</v>
      </c>
      <c r="J71" t="s">
        <v>111</v>
      </c>
      <c r="K71" t="s">
        <v>112</v>
      </c>
      <c r="L71" t="s">
        <v>113</v>
      </c>
      <c r="M71" t="s">
        <v>114</v>
      </c>
      <c r="N71">
        <v>48</v>
      </c>
      <c r="O71" t="s">
        <v>80</v>
      </c>
      <c r="P71">
        <v>621</v>
      </c>
      <c r="Q71">
        <v>0.68400000000000005</v>
      </c>
      <c r="R71">
        <v>175</v>
      </c>
      <c r="S71">
        <v>0.81130000000000002</v>
      </c>
      <c r="T71" t="s">
        <v>115</v>
      </c>
      <c r="U71" t="s">
        <v>116</v>
      </c>
      <c r="V71" t="s">
        <v>117</v>
      </c>
      <c r="W71" t="s">
        <v>118</v>
      </c>
      <c r="X71" t="s">
        <v>119</v>
      </c>
      <c r="Y71" t="s">
        <v>120</v>
      </c>
      <c r="Z71" t="s">
        <v>121</v>
      </c>
      <c r="AA71" t="s">
        <v>88</v>
      </c>
      <c r="AB71">
        <v>640</v>
      </c>
      <c r="AC71">
        <v>13</v>
      </c>
      <c r="AE71">
        <v>1</v>
      </c>
      <c r="AF71" t="s">
        <v>89</v>
      </c>
      <c r="AG71" t="s">
        <v>200</v>
      </c>
      <c r="AH71" t="s">
        <v>72</v>
      </c>
      <c r="AI71" t="s">
        <v>72</v>
      </c>
      <c r="AJ71" t="s">
        <v>91</v>
      </c>
      <c r="AK71" t="s">
        <v>92</v>
      </c>
      <c r="AL71" t="s">
        <v>93</v>
      </c>
      <c r="AM71" t="s">
        <v>94</v>
      </c>
      <c r="AN71" t="s">
        <v>201</v>
      </c>
      <c r="AO71" t="s">
        <v>202</v>
      </c>
      <c r="AP71" t="s">
        <v>97</v>
      </c>
      <c r="AQ71">
        <v>39</v>
      </c>
      <c r="AR71" t="s">
        <v>80</v>
      </c>
      <c r="AS71">
        <v>1341</v>
      </c>
      <c r="AT71">
        <v>0.96179999999999999</v>
      </c>
      <c r="AU71">
        <v>163</v>
      </c>
      <c r="AV71">
        <v>0.92110000000000003</v>
      </c>
      <c r="AW71" t="s">
        <v>203</v>
      </c>
      <c r="AX71" t="s">
        <v>146</v>
      </c>
      <c r="AY71" t="s">
        <v>127</v>
      </c>
      <c r="AZ71" t="s">
        <v>136</v>
      </c>
      <c r="BA71" t="s">
        <v>128</v>
      </c>
      <c r="BB71" t="s">
        <v>103</v>
      </c>
      <c r="BC71" t="s">
        <v>104</v>
      </c>
      <c r="BD71" t="s">
        <v>105</v>
      </c>
      <c r="BE71">
        <v>81415</v>
      </c>
      <c r="BF71" t="s">
        <v>106</v>
      </c>
      <c r="BG71">
        <v>865</v>
      </c>
      <c r="BH71" t="s">
        <v>80</v>
      </c>
      <c r="BI71">
        <v>1</v>
      </c>
      <c r="BJ71">
        <v>216</v>
      </c>
      <c r="BK71">
        <v>5</v>
      </c>
      <c r="BL71">
        <v>99</v>
      </c>
      <c r="BM71">
        <v>2881</v>
      </c>
      <c r="BN71">
        <v>3616</v>
      </c>
      <c r="BO71">
        <v>5092</v>
      </c>
      <c r="BP71">
        <v>22</v>
      </c>
      <c r="BQ71" s="2">
        <v>2724</v>
      </c>
      <c r="BR71">
        <f t="shared" si="17"/>
        <v>217</v>
      </c>
      <c r="BS71">
        <f t="shared" si="18"/>
        <v>6</v>
      </c>
      <c r="BT71">
        <f t="shared" si="19"/>
        <v>100</v>
      </c>
      <c r="BU71">
        <f t="shared" si="20"/>
        <v>2882</v>
      </c>
      <c r="BV71">
        <f t="shared" si="21"/>
        <v>3617</v>
      </c>
      <c r="BW71">
        <f t="shared" si="22"/>
        <v>5093</v>
      </c>
      <c r="BX71">
        <f t="shared" si="23"/>
        <v>23</v>
      </c>
      <c r="BY71" s="2">
        <f t="shared" si="24"/>
        <v>2725</v>
      </c>
      <c r="BZ71">
        <f t="shared" si="25"/>
        <v>379.83080683465556</v>
      </c>
      <c r="CA71">
        <v>379.83080683465556</v>
      </c>
      <c r="CB71">
        <v>379.83080683465556</v>
      </c>
      <c r="CC71">
        <v>379.83080683465556</v>
      </c>
      <c r="CD71">
        <v>379.83080683465556</v>
      </c>
      <c r="CE71">
        <v>379.83080683465556</v>
      </c>
      <c r="CF71">
        <v>379.83080683465556</v>
      </c>
      <c r="CG71">
        <v>379.83080683465556</v>
      </c>
      <c r="CH71">
        <f t="shared" si="26"/>
        <v>-0.24313045218624496</v>
      </c>
      <c r="CI71">
        <f t="shared" si="27"/>
        <v>-1.8014389356511309</v>
      </c>
      <c r="CJ71">
        <f t="shared" si="28"/>
        <v>-0.57959018603477452</v>
      </c>
      <c r="CK71">
        <f t="shared" si="29"/>
        <v>0.88010379044319609</v>
      </c>
      <c r="CL71">
        <f t="shared" si="30"/>
        <v>0.97875832272684526</v>
      </c>
      <c r="CM71">
        <f t="shared" si="31"/>
        <v>1.1273834901414037</v>
      </c>
      <c r="CN71">
        <f t="shared" si="32"/>
        <v>-1.2178623500171817</v>
      </c>
      <c r="CO71" s="2">
        <f t="shared" si="33"/>
        <v>0.85577632057788677</v>
      </c>
      <c r="CP71">
        <v>-0.96913312160431297</v>
      </c>
      <c r="CQ71">
        <v>-0.522501532390935</v>
      </c>
      <c r="CR71">
        <v>-9.4393119984807802E-2</v>
      </c>
      <c r="CS71">
        <v>0.94780644139164305</v>
      </c>
      <c r="CT71">
        <v>0.837090367627076</v>
      </c>
      <c r="CU71">
        <v>0.82845780478081299</v>
      </c>
      <c r="CV71">
        <v>-0.58999537418678505</v>
      </c>
      <c r="CW71">
        <v>0.86614932122677302</v>
      </c>
      <c r="CX71" t="s">
        <v>1826</v>
      </c>
    </row>
    <row r="72" spans="1:102" x14ac:dyDescent="0.35">
      <c r="A72" t="s">
        <v>848</v>
      </c>
      <c r="B72" t="s">
        <v>148</v>
      </c>
      <c r="C72" t="s">
        <v>849</v>
      </c>
      <c r="D72" t="s">
        <v>72</v>
      </c>
      <c r="E72" t="s">
        <v>72</v>
      </c>
      <c r="F72" t="s">
        <v>72</v>
      </c>
      <c r="G72" t="s">
        <v>73</v>
      </c>
      <c r="H72" t="s">
        <v>109</v>
      </c>
      <c r="I72" t="s">
        <v>110</v>
      </c>
      <c r="J72" t="s">
        <v>111</v>
      </c>
      <c r="K72" t="s">
        <v>112</v>
      </c>
      <c r="L72" t="s">
        <v>113</v>
      </c>
      <c r="M72" t="s">
        <v>114</v>
      </c>
      <c r="N72">
        <v>48</v>
      </c>
      <c r="O72" t="s">
        <v>80</v>
      </c>
      <c r="P72">
        <v>621</v>
      </c>
      <c r="Q72">
        <v>0.68400000000000005</v>
      </c>
      <c r="R72">
        <v>175</v>
      </c>
      <c r="S72">
        <v>0.81130000000000002</v>
      </c>
      <c r="T72" t="s">
        <v>115</v>
      </c>
      <c r="U72" t="s">
        <v>116</v>
      </c>
      <c r="V72" t="s">
        <v>117</v>
      </c>
      <c r="W72" t="s">
        <v>118</v>
      </c>
      <c r="X72" t="s">
        <v>119</v>
      </c>
      <c r="Y72" t="s">
        <v>120</v>
      </c>
      <c r="Z72" t="s">
        <v>121</v>
      </c>
      <c r="AA72" t="s">
        <v>88</v>
      </c>
      <c r="AB72">
        <v>578</v>
      </c>
      <c r="AC72">
        <v>3</v>
      </c>
      <c r="AE72">
        <v>1</v>
      </c>
      <c r="AF72" t="s">
        <v>89</v>
      </c>
      <c r="AG72" t="s">
        <v>850</v>
      </c>
      <c r="AH72" t="s">
        <v>72</v>
      </c>
      <c r="AI72" t="s">
        <v>72</v>
      </c>
      <c r="AJ72" t="s">
        <v>91</v>
      </c>
      <c r="AK72" t="s">
        <v>92</v>
      </c>
      <c r="AL72" t="s">
        <v>93</v>
      </c>
      <c r="AM72" t="s">
        <v>94</v>
      </c>
      <c r="AN72" t="s">
        <v>144</v>
      </c>
      <c r="AO72" t="s">
        <v>145</v>
      </c>
      <c r="AP72" t="s">
        <v>97</v>
      </c>
      <c r="AQ72">
        <v>39</v>
      </c>
      <c r="AR72" t="s">
        <v>80</v>
      </c>
      <c r="AS72">
        <v>1359</v>
      </c>
      <c r="AT72">
        <v>0.96879999999999999</v>
      </c>
      <c r="AU72">
        <v>172</v>
      </c>
      <c r="AV72">
        <v>0.94740000000000002</v>
      </c>
      <c r="AW72" t="s">
        <v>98</v>
      </c>
      <c r="AX72" t="s">
        <v>146</v>
      </c>
      <c r="AY72" t="s">
        <v>127</v>
      </c>
      <c r="AZ72" t="s">
        <v>101</v>
      </c>
      <c r="BA72" t="s">
        <v>128</v>
      </c>
      <c r="BB72" t="s">
        <v>103</v>
      </c>
      <c r="BC72" t="s">
        <v>104</v>
      </c>
      <c r="BD72" t="s">
        <v>105</v>
      </c>
      <c r="BE72">
        <v>107676</v>
      </c>
      <c r="BF72" t="s">
        <v>106</v>
      </c>
      <c r="BG72">
        <v>1412</v>
      </c>
      <c r="BH72" t="s">
        <v>80</v>
      </c>
      <c r="BI72">
        <v>1</v>
      </c>
      <c r="BJ72">
        <v>99</v>
      </c>
      <c r="BK72">
        <v>7</v>
      </c>
      <c r="BL72">
        <v>56</v>
      </c>
      <c r="BM72">
        <v>2104</v>
      </c>
      <c r="BN72">
        <v>2479</v>
      </c>
      <c r="BO72">
        <v>3614</v>
      </c>
      <c r="BP72">
        <v>28</v>
      </c>
      <c r="BQ72" s="2">
        <v>2080</v>
      </c>
      <c r="BR72">
        <f t="shared" si="17"/>
        <v>100</v>
      </c>
      <c r="BS72">
        <f t="shared" si="18"/>
        <v>8</v>
      </c>
      <c r="BT72">
        <f t="shared" si="19"/>
        <v>57</v>
      </c>
      <c r="BU72">
        <f t="shared" si="20"/>
        <v>2105</v>
      </c>
      <c r="BV72">
        <f t="shared" si="21"/>
        <v>2480</v>
      </c>
      <c r="BW72">
        <f t="shared" si="22"/>
        <v>3615</v>
      </c>
      <c r="BX72">
        <f t="shared" si="23"/>
        <v>29</v>
      </c>
      <c r="BY72" s="2">
        <f t="shared" si="24"/>
        <v>2081</v>
      </c>
      <c r="BZ72">
        <f t="shared" si="25"/>
        <v>291.36063530813442</v>
      </c>
      <c r="CA72">
        <v>291.36063530813442</v>
      </c>
      <c r="CB72">
        <v>291.36063530813442</v>
      </c>
      <c r="CC72">
        <v>291.36063530813442</v>
      </c>
      <c r="CD72">
        <v>291.36063530813442</v>
      </c>
      <c r="CE72">
        <v>291.36063530813442</v>
      </c>
      <c r="CF72">
        <v>291.36063530813442</v>
      </c>
      <c r="CG72">
        <v>291.36063530813442</v>
      </c>
      <c r="CH72">
        <f t="shared" si="26"/>
        <v>-0.46443087542543388</v>
      </c>
      <c r="CI72">
        <f t="shared" si="27"/>
        <v>-1.5613408884334903</v>
      </c>
      <c r="CJ72">
        <f t="shared" si="28"/>
        <v>-0.70855601975294247</v>
      </c>
      <c r="CK72">
        <f t="shared" si="29"/>
        <v>0.85882122474625322</v>
      </c>
      <c r="CL72">
        <f t="shared" si="30"/>
        <v>0.93002080540078236</v>
      </c>
      <c r="CM72">
        <f t="shared" si="31"/>
        <v>1.0936774262051157</v>
      </c>
      <c r="CN72">
        <f t="shared" si="32"/>
        <v>-1.0020328775264777</v>
      </c>
      <c r="CO72" s="2">
        <f t="shared" si="33"/>
        <v>0.85384120478619308</v>
      </c>
      <c r="CP72">
        <v>-1.2350106085893799</v>
      </c>
      <c r="CQ72">
        <v>0.186797196826715</v>
      </c>
      <c r="CR72">
        <v>-0.67059666405775598</v>
      </c>
      <c r="CS72">
        <v>0.88509842773983105</v>
      </c>
      <c r="CT72">
        <v>0.70142387729568401</v>
      </c>
      <c r="CU72">
        <v>0.73112163651659001</v>
      </c>
      <c r="CV72">
        <v>-1.11463853492197E-2</v>
      </c>
      <c r="CW72">
        <v>0.86083422889140104</v>
      </c>
      <c r="CX72" t="s">
        <v>1826</v>
      </c>
    </row>
    <row r="73" spans="1:102" x14ac:dyDescent="0.35">
      <c r="A73" t="s">
        <v>763</v>
      </c>
      <c r="B73" t="s">
        <v>159</v>
      </c>
      <c r="C73" t="s">
        <v>108</v>
      </c>
      <c r="D73" t="s">
        <v>72</v>
      </c>
      <c r="E73" t="s">
        <v>72</v>
      </c>
      <c r="F73" t="s">
        <v>72</v>
      </c>
      <c r="G73" t="s">
        <v>73</v>
      </c>
      <c r="H73" t="s">
        <v>109</v>
      </c>
      <c r="I73" t="s">
        <v>110</v>
      </c>
      <c r="J73" t="s">
        <v>111</v>
      </c>
      <c r="K73" t="s">
        <v>112</v>
      </c>
      <c r="L73" t="s">
        <v>113</v>
      </c>
      <c r="M73" t="s">
        <v>114</v>
      </c>
      <c r="N73">
        <v>48</v>
      </c>
      <c r="O73" t="s">
        <v>80</v>
      </c>
      <c r="P73">
        <v>621</v>
      </c>
      <c r="Q73">
        <v>0.68400000000000005</v>
      </c>
      <c r="R73">
        <v>175</v>
      </c>
      <c r="S73">
        <v>0.81130000000000002</v>
      </c>
      <c r="T73" t="s">
        <v>115</v>
      </c>
      <c r="U73" t="s">
        <v>116</v>
      </c>
      <c r="V73" t="s">
        <v>117</v>
      </c>
      <c r="W73" t="s">
        <v>118</v>
      </c>
      <c r="X73" t="s">
        <v>119</v>
      </c>
      <c r="Y73" t="s">
        <v>120</v>
      </c>
      <c r="Z73" t="s">
        <v>121</v>
      </c>
      <c r="AA73" t="s">
        <v>88</v>
      </c>
      <c r="AB73">
        <v>307</v>
      </c>
      <c r="AC73">
        <v>6</v>
      </c>
      <c r="AE73">
        <v>1</v>
      </c>
      <c r="AF73" t="s">
        <v>153</v>
      </c>
      <c r="AG73" t="s">
        <v>764</v>
      </c>
      <c r="AH73" t="s">
        <v>72</v>
      </c>
      <c r="AI73" t="s">
        <v>72</v>
      </c>
      <c r="AJ73" t="s">
        <v>91</v>
      </c>
      <c r="AK73" t="s">
        <v>92</v>
      </c>
      <c r="AL73" t="s">
        <v>93</v>
      </c>
      <c r="AM73" t="s">
        <v>94</v>
      </c>
      <c r="AN73" t="s">
        <v>765</v>
      </c>
      <c r="AO73" t="s">
        <v>766</v>
      </c>
      <c r="AP73" t="s">
        <v>97</v>
      </c>
      <c r="AQ73">
        <v>39</v>
      </c>
      <c r="AR73" t="s">
        <v>80</v>
      </c>
      <c r="AS73">
        <v>1332</v>
      </c>
      <c r="AT73">
        <v>0.95830000000000004</v>
      </c>
      <c r="AU73">
        <v>172</v>
      </c>
      <c r="AV73">
        <v>0.94740000000000002</v>
      </c>
      <c r="AW73" t="s">
        <v>767</v>
      </c>
      <c r="AX73" t="s">
        <v>478</v>
      </c>
      <c r="AY73" t="s">
        <v>768</v>
      </c>
      <c r="AZ73" t="s">
        <v>101</v>
      </c>
      <c r="BA73" t="s">
        <v>128</v>
      </c>
      <c r="BB73" t="s">
        <v>103</v>
      </c>
      <c r="BC73" t="s">
        <v>104</v>
      </c>
      <c r="BD73" t="s">
        <v>105</v>
      </c>
      <c r="BE73">
        <v>29431</v>
      </c>
      <c r="BF73" t="s">
        <v>106</v>
      </c>
      <c r="BG73">
        <v>870</v>
      </c>
      <c r="BH73" t="s">
        <v>80</v>
      </c>
      <c r="BI73">
        <v>1</v>
      </c>
      <c r="BJ73">
        <v>145</v>
      </c>
      <c r="BK73">
        <v>0</v>
      </c>
      <c r="BL73">
        <v>39</v>
      </c>
      <c r="BM73">
        <v>1077</v>
      </c>
      <c r="BN73">
        <v>1516</v>
      </c>
      <c r="BO73">
        <v>2164</v>
      </c>
      <c r="BP73">
        <v>13</v>
      </c>
      <c r="BQ73" s="2">
        <v>1097</v>
      </c>
      <c r="BR73">
        <f t="shared" si="17"/>
        <v>146</v>
      </c>
      <c r="BS73">
        <f t="shared" si="18"/>
        <v>1</v>
      </c>
      <c r="BT73">
        <f t="shared" si="19"/>
        <v>40</v>
      </c>
      <c r="BU73">
        <f t="shared" si="20"/>
        <v>1078</v>
      </c>
      <c r="BV73">
        <f t="shared" si="21"/>
        <v>1517</v>
      </c>
      <c r="BW73">
        <f t="shared" si="22"/>
        <v>2165</v>
      </c>
      <c r="BX73">
        <f t="shared" si="23"/>
        <v>14</v>
      </c>
      <c r="BY73" s="2">
        <f t="shared" si="24"/>
        <v>1098</v>
      </c>
      <c r="BZ73">
        <f t="shared" si="25"/>
        <v>154.0904356980069</v>
      </c>
      <c r="CA73">
        <v>154.0904356980069</v>
      </c>
      <c r="CB73">
        <v>154.0904356980069</v>
      </c>
      <c r="CC73">
        <v>154.0904356980069</v>
      </c>
      <c r="CD73">
        <v>154.0904356980069</v>
      </c>
      <c r="CE73">
        <v>154.0904356980069</v>
      </c>
      <c r="CF73">
        <v>154.0904356980069</v>
      </c>
      <c r="CG73">
        <v>154.0904356980069</v>
      </c>
      <c r="CH73">
        <f t="shared" si="26"/>
        <v>-2.3422827369506093E-2</v>
      </c>
      <c r="CI73">
        <f t="shared" si="27"/>
        <v>-2.187775683153943</v>
      </c>
      <c r="CJ73">
        <f t="shared" si="28"/>
        <v>-0.58571569182598071</v>
      </c>
      <c r="CK73">
        <f t="shared" si="29"/>
        <v>0.84484307769677669</v>
      </c>
      <c r="CL73">
        <f t="shared" si="30"/>
        <v>0.99320989763278733</v>
      </c>
      <c r="CM73">
        <f t="shared" si="31"/>
        <v>1.1476822175354411</v>
      </c>
      <c r="CN73">
        <f t="shared" si="32"/>
        <v>-1.041647647475705</v>
      </c>
      <c r="CO73" s="2">
        <f t="shared" si="33"/>
        <v>0.85282665696012994</v>
      </c>
      <c r="CP73">
        <v>-0.70516927416695496</v>
      </c>
      <c r="CQ73">
        <v>-2.2527165794045199</v>
      </c>
      <c r="CR73">
        <v>-0.121761129358869</v>
      </c>
      <c r="CS73">
        <v>0.84391251770965503</v>
      </c>
      <c r="CT73">
        <v>0.87731799009979305</v>
      </c>
      <c r="CU73">
        <v>0.88707634739410501</v>
      </c>
      <c r="CV73">
        <v>-0.117392160143164</v>
      </c>
      <c r="CW73">
        <v>0.85804761767292903</v>
      </c>
      <c r="CX73" t="s">
        <v>1826</v>
      </c>
    </row>
    <row r="74" spans="1:102" x14ac:dyDescent="0.35">
      <c r="A74" t="s">
        <v>1271</v>
      </c>
      <c r="B74" t="s">
        <v>70</v>
      </c>
      <c r="C74" t="s">
        <v>301</v>
      </c>
      <c r="D74" t="s">
        <v>72</v>
      </c>
      <c r="E74" t="s">
        <v>72</v>
      </c>
      <c r="F74" t="s">
        <v>72</v>
      </c>
      <c r="G74" t="s">
        <v>73</v>
      </c>
      <c r="H74" t="s">
        <v>109</v>
      </c>
      <c r="I74" t="s">
        <v>110</v>
      </c>
      <c r="J74" t="s">
        <v>111</v>
      </c>
      <c r="K74" t="s">
        <v>112</v>
      </c>
      <c r="L74" t="s">
        <v>113</v>
      </c>
      <c r="M74" t="s">
        <v>114</v>
      </c>
      <c r="N74">
        <v>48</v>
      </c>
      <c r="O74" t="s">
        <v>80</v>
      </c>
      <c r="P74">
        <v>621</v>
      </c>
      <c r="Q74">
        <v>0.68400000000000005</v>
      </c>
      <c r="R74">
        <v>175</v>
      </c>
      <c r="S74">
        <v>0.81130000000000002</v>
      </c>
      <c r="T74" t="s">
        <v>115</v>
      </c>
      <c r="U74" t="s">
        <v>116</v>
      </c>
      <c r="V74" t="s">
        <v>117</v>
      </c>
      <c r="W74" t="s">
        <v>118</v>
      </c>
      <c r="X74" t="s">
        <v>119</v>
      </c>
      <c r="Y74" t="s">
        <v>120</v>
      </c>
      <c r="Z74" t="s">
        <v>121</v>
      </c>
      <c r="AA74" t="s">
        <v>88</v>
      </c>
      <c r="AB74">
        <v>1006</v>
      </c>
      <c r="AC74">
        <v>7</v>
      </c>
      <c r="AE74">
        <v>1</v>
      </c>
      <c r="AF74" t="s">
        <v>159</v>
      </c>
      <c r="AG74" t="s">
        <v>1272</v>
      </c>
      <c r="AH74" t="s">
        <v>72</v>
      </c>
      <c r="AI74" t="s">
        <v>72</v>
      </c>
      <c r="AJ74" t="s">
        <v>91</v>
      </c>
      <c r="AK74" t="s">
        <v>92</v>
      </c>
      <c r="AL74" t="s">
        <v>93</v>
      </c>
      <c r="AM74" t="s">
        <v>94</v>
      </c>
      <c r="AN74" t="s">
        <v>1273</v>
      </c>
      <c r="AO74" t="s">
        <v>1274</v>
      </c>
      <c r="AP74" t="s">
        <v>97</v>
      </c>
      <c r="AQ74">
        <v>39</v>
      </c>
      <c r="AR74" t="s">
        <v>80</v>
      </c>
      <c r="AS74">
        <v>1332</v>
      </c>
      <c r="AT74">
        <v>0.95830000000000004</v>
      </c>
      <c r="AU74">
        <v>172</v>
      </c>
      <c r="AV74">
        <v>0.94740000000000002</v>
      </c>
      <c r="AW74" t="s">
        <v>682</v>
      </c>
      <c r="AX74" t="s">
        <v>146</v>
      </c>
      <c r="AY74" t="s">
        <v>1275</v>
      </c>
      <c r="AZ74" t="s">
        <v>101</v>
      </c>
      <c r="BA74" t="s">
        <v>128</v>
      </c>
      <c r="BB74" t="s">
        <v>103</v>
      </c>
      <c r="BC74" t="s">
        <v>104</v>
      </c>
      <c r="BD74" t="s">
        <v>105</v>
      </c>
      <c r="BE74">
        <v>455</v>
      </c>
      <c r="BF74" t="s">
        <v>106</v>
      </c>
      <c r="BG74">
        <v>5</v>
      </c>
      <c r="BH74" t="s">
        <v>80</v>
      </c>
      <c r="BI74">
        <v>1</v>
      </c>
      <c r="BJ74">
        <v>137</v>
      </c>
      <c r="BK74">
        <v>6</v>
      </c>
      <c r="BL74">
        <v>47</v>
      </c>
      <c r="BM74">
        <v>1984</v>
      </c>
      <c r="BN74">
        <v>2447</v>
      </c>
      <c r="BO74">
        <v>3399</v>
      </c>
      <c r="BP74">
        <v>16</v>
      </c>
      <c r="BQ74" s="2">
        <v>1879</v>
      </c>
      <c r="BR74">
        <f t="shared" si="17"/>
        <v>138</v>
      </c>
      <c r="BS74">
        <f t="shared" si="18"/>
        <v>7</v>
      </c>
      <c r="BT74">
        <f t="shared" si="19"/>
        <v>48</v>
      </c>
      <c r="BU74">
        <f t="shared" si="20"/>
        <v>1985</v>
      </c>
      <c r="BV74">
        <f t="shared" si="21"/>
        <v>2448</v>
      </c>
      <c r="BW74">
        <f t="shared" si="22"/>
        <v>3400</v>
      </c>
      <c r="BX74">
        <f t="shared" si="23"/>
        <v>17</v>
      </c>
      <c r="BY74" s="2">
        <f t="shared" si="24"/>
        <v>1880</v>
      </c>
      <c r="BZ74">
        <f t="shared" si="25"/>
        <v>265.22197027241964</v>
      </c>
      <c r="CA74">
        <v>265.22197027241964</v>
      </c>
      <c r="CB74">
        <v>265.22197027241964</v>
      </c>
      <c r="CC74">
        <v>265.22197027241964</v>
      </c>
      <c r="CD74">
        <v>265.22197027241964</v>
      </c>
      <c r="CE74">
        <v>265.22197027241964</v>
      </c>
      <c r="CF74">
        <v>265.22197027241964</v>
      </c>
      <c r="CG74">
        <v>265.22197027241964</v>
      </c>
      <c r="CH74">
        <f t="shared" si="26"/>
        <v>-0.28373041060475679</v>
      </c>
      <c r="CI74">
        <f t="shared" si="27"/>
        <v>-1.5785114569917365</v>
      </c>
      <c r="CJ74">
        <f t="shared" si="28"/>
        <v>-0.74236825963040609</v>
      </c>
      <c r="CK74">
        <f t="shared" si="29"/>
        <v>0.87415101409314055</v>
      </c>
      <c r="CL74">
        <f t="shared" si="30"/>
        <v>0.96520191646753017</v>
      </c>
      <c r="CM74">
        <f t="shared" si="31"/>
        <v>1.1078694200362618</v>
      </c>
      <c r="CN74">
        <f t="shared" si="32"/>
        <v>-1.1931605756277195</v>
      </c>
      <c r="CO74" s="2">
        <f t="shared" si="33"/>
        <v>0.85054835225768655</v>
      </c>
      <c r="CP74">
        <v>-1.0179112249536499</v>
      </c>
      <c r="CQ74">
        <v>0.13607182608986501</v>
      </c>
      <c r="CR74">
        <v>-0.82166560913211895</v>
      </c>
      <c r="CS74">
        <v>0.93026688408727698</v>
      </c>
      <c r="CT74">
        <v>0.79935455013757295</v>
      </c>
      <c r="CU74">
        <v>0.77210519075669304</v>
      </c>
      <c r="CV74">
        <v>-0.52374586264961698</v>
      </c>
      <c r="CW74">
        <v>0.85178990435490598</v>
      </c>
      <c r="CX74" t="s">
        <v>1826</v>
      </c>
    </row>
    <row r="75" spans="1:102" x14ac:dyDescent="0.35">
      <c r="A75" t="s">
        <v>1692</v>
      </c>
      <c r="B75" t="s">
        <v>211</v>
      </c>
      <c r="C75" t="s">
        <v>1693</v>
      </c>
      <c r="D75" t="s">
        <v>72</v>
      </c>
      <c r="E75" t="s">
        <v>72</v>
      </c>
      <c r="F75" t="s">
        <v>72</v>
      </c>
      <c r="G75" t="s">
        <v>73</v>
      </c>
      <c r="H75" t="s">
        <v>109</v>
      </c>
      <c r="I75" t="s">
        <v>110</v>
      </c>
      <c r="J75" t="s">
        <v>111</v>
      </c>
      <c r="K75" t="s">
        <v>112</v>
      </c>
      <c r="L75" t="s">
        <v>113</v>
      </c>
      <c r="M75" t="s">
        <v>114</v>
      </c>
      <c r="N75">
        <v>48</v>
      </c>
      <c r="O75" t="s">
        <v>80</v>
      </c>
      <c r="P75">
        <v>621</v>
      </c>
      <c r="Q75">
        <v>0.68400000000000005</v>
      </c>
      <c r="R75">
        <v>175</v>
      </c>
      <c r="S75">
        <v>0.81130000000000002</v>
      </c>
      <c r="T75" t="s">
        <v>115</v>
      </c>
      <c r="U75" t="s">
        <v>116</v>
      </c>
      <c r="V75" t="s">
        <v>117</v>
      </c>
      <c r="W75" t="s">
        <v>118</v>
      </c>
      <c r="X75" t="s">
        <v>119</v>
      </c>
      <c r="Y75" t="s">
        <v>120</v>
      </c>
      <c r="Z75" t="s">
        <v>121</v>
      </c>
      <c r="AA75" t="s">
        <v>88</v>
      </c>
      <c r="AB75">
        <v>469</v>
      </c>
      <c r="AC75">
        <v>9</v>
      </c>
      <c r="AE75">
        <v>1</v>
      </c>
      <c r="AF75" t="s">
        <v>89</v>
      </c>
      <c r="AG75" t="s">
        <v>1694</v>
      </c>
      <c r="AH75" t="s">
        <v>72</v>
      </c>
      <c r="AI75" t="s">
        <v>72</v>
      </c>
      <c r="AJ75" t="s">
        <v>72</v>
      </c>
      <c r="AK75" t="s">
        <v>92</v>
      </c>
      <c r="AL75" t="s">
        <v>93</v>
      </c>
      <c r="AM75" t="s">
        <v>94</v>
      </c>
      <c r="AN75" t="s">
        <v>1695</v>
      </c>
      <c r="AO75" t="s">
        <v>1696</v>
      </c>
      <c r="AP75" t="s">
        <v>1697</v>
      </c>
      <c r="AQ75">
        <v>39</v>
      </c>
      <c r="AR75" t="s">
        <v>80</v>
      </c>
      <c r="AS75">
        <v>1323</v>
      </c>
      <c r="AT75">
        <v>0.95489999999999997</v>
      </c>
      <c r="AU75">
        <v>163</v>
      </c>
      <c r="AV75">
        <v>0.92110000000000003</v>
      </c>
      <c r="AW75" t="s">
        <v>98</v>
      </c>
      <c r="AX75" t="s">
        <v>1698</v>
      </c>
      <c r="AY75" t="s">
        <v>1699</v>
      </c>
      <c r="AZ75" t="s">
        <v>136</v>
      </c>
      <c r="BA75" t="s">
        <v>1700</v>
      </c>
      <c r="BB75" t="s">
        <v>103</v>
      </c>
      <c r="BC75" t="s">
        <v>104</v>
      </c>
      <c r="BD75" t="s">
        <v>105</v>
      </c>
      <c r="BE75">
        <v>57960</v>
      </c>
      <c r="BG75">
        <v>692</v>
      </c>
      <c r="BH75" t="s">
        <v>80</v>
      </c>
      <c r="BI75">
        <v>1</v>
      </c>
      <c r="BJ75">
        <v>65</v>
      </c>
      <c r="BK75">
        <v>4</v>
      </c>
      <c r="BL75">
        <v>58</v>
      </c>
      <c r="BM75">
        <v>1349</v>
      </c>
      <c r="BN75">
        <v>2033</v>
      </c>
      <c r="BO75">
        <v>2746</v>
      </c>
      <c r="BP75">
        <v>14</v>
      </c>
      <c r="BQ75" s="2">
        <v>1455</v>
      </c>
      <c r="BR75">
        <f t="shared" si="17"/>
        <v>66</v>
      </c>
      <c r="BS75">
        <f t="shared" si="18"/>
        <v>5</v>
      </c>
      <c r="BT75">
        <f t="shared" si="19"/>
        <v>59</v>
      </c>
      <c r="BU75">
        <f t="shared" si="20"/>
        <v>1350</v>
      </c>
      <c r="BV75">
        <f t="shared" si="21"/>
        <v>2034</v>
      </c>
      <c r="BW75">
        <f t="shared" si="22"/>
        <v>2747</v>
      </c>
      <c r="BX75">
        <f t="shared" si="23"/>
        <v>15</v>
      </c>
      <c r="BY75" s="2">
        <f t="shared" si="24"/>
        <v>1456</v>
      </c>
      <c r="BZ75">
        <f t="shared" si="25"/>
        <v>205.71702981313436</v>
      </c>
      <c r="CA75">
        <v>205.71702981313436</v>
      </c>
      <c r="CB75">
        <v>205.71702981313436</v>
      </c>
      <c r="CC75">
        <v>205.71702981313436</v>
      </c>
      <c r="CD75">
        <v>205.71702981313436</v>
      </c>
      <c r="CE75">
        <v>205.71702981313436</v>
      </c>
      <c r="CF75">
        <v>205.71702981313436</v>
      </c>
      <c r="CG75">
        <v>205.71702981313436</v>
      </c>
      <c r="CH75">
        <f t="shared" si="26"/>
        <v>-0.49372630971500947</v>
      </c>
      <c r="CI75">
        <f t="shared" si="27"/>
        <v>-1.6143002409208593</v>
      </c>
      <c r="CJ75">
        <f t="shared" si="28"/>
        <v>-0.54241823361473396</v>
      </c>
      <c r="CK75">
        <f t="shared" si="29"/>
        <v>0.81706352323812803</v>
      </c>
      <c r="CL75">
        <f t="shared" si="30"/>
        <v>0.99508070332984766</v>
      </c>
      <c r="CM75">
        <f t="shared" si="31"/>
        <v>1.1255884141636838</v>
      </c>
      <c r="CN75">
        <f t="shared" si="32"/>
        <v>-1.137178986201197</v>
      </c>
      <c r="CO75" s="2">
        <f t="shared" si="33"/>
        <v>0.84989112972014025</v>
      </c>
      <c r="CP75">
        <v>-1.27020709097762</v>
      </c>
      <c r="CQ75">
        <v>3.0344439901833099E-2</v>
      </c>
      <c r="CR75">
        <v>7.1686609095569398E-2</v>
      </c>
      <c r="CS75">
        <v>0.76206145214548704</v>
      </c>
      <c r="CT75">
        <v>0.88252559313205603</v>
      </c>
      <c r="CU75">
        <v>0.82327399519258304</v>
      </c>
      <c r="CV75">
        <v>-0.37360470695338499</v>
      </c>
      <c r="CW75">
        <v>0.84998474184890005</v>
      </c>
      <c r="CX75" t="s">
        <v>1826</v>
      </c>
    </row>
    <row r="76" spans="1:102" x14ac:dyDescent="0.35">
      <c r="A76" t="s">
        <v>177</v>
      </c>
      <c r="B76" t="s">
        <v>178</v>
      </c>
      <c r="C76" t="s">
        <v>179</v>
      </c>
      <c r="D76" t="s">
        <v>72</v>
      </c>
      <c r="E76" t="s">
        <v>72</v>
      </c>
      <c r="F76" t="s">
        <v>72</v>
      </c>
      <c r="G76" t="s">
        <v>73</v>
      </c>
      <c r="H76" t="s">
        <v>109</v>
      </c>
      <c r="I76" t="s">
        <v>110</v>
      </c>
      <c r="J76" t="s">
        <v>111</v>
      </c>
      <c r="K76" t="s">
        <v>112</v>
      </c>
      <c r="L76" t="s">
        <v>113</v>
      </c>
      <c r="M76" t="s">
        <v>114</v>
      </c>
      <c r="N76">
        <v>48</v>
      </c>
      <c r="O76" t="s">
        <v>80</v>
      </c>
      <c r="P76">
        <v>621</v>
      </c>
      <c r="Q76">
        <v>0.68400000000000005</v>
      </c>
      <c r="R76">
        <v>175</v>
      </c>
      <c r="S76">
        <v>0.81130000000000002</v>
      </c>
      <c r="T76" t="s">
        <v>115</v>
      </c>
      <c r="U76" t="s">
        <v>116</v>
      </c>
      <c r="V76" t="s">
        <v>117</v>
      </c>
      <c r="W76" t="s">
        <v>118</v>
      </c>
      <c r="X76" t="s">
        <v>119</v>
      </c>
      <c r="Y76" t="s">
        <v>120</v>
      </c>
      <c r="Z76" t="s">
        <v>121</v>
      </c>
      <c r="AA76" t="s">
        <v>88</v>
      </c>
      <c r="AB76">
        <v>314</v>
      </c>
      <c r="AC76">
        <v>13</v>
      </c>
      <c r="AE76">
        <v>1</v>
      </c>
      <c r="AF76" t="s">
        <v>153</v>
      </c>
      <c r="AG76" t="s">
        <v>180</v>
      </c>
      <c r="AH76" t="s">
        <v>72</v>
      </c>
      <c r="AI76" t="s">
        <v>72</v>
      </c>
      <c r="AJ76" t="s">
        <v>91</v>
      </c>
      <c r="AK76" t="s">
        <v>92</v>
      </c>
      <c r="AL76" t="s">
        <v>93</v>
      </c>
      <c r="AM76" t="s">
        <v>94</v>
      </c>
      <c r="AN76" t="s">
        <v>181</v>
      </c>
      <c r="AO76" t="s">
        <v>182</v>
      </c>
      <c r="AP76" t="s">
        <v>97</v>
      </c>
      <c r="AQ76">
        <v>39</v>
      </c>
      <c r="AR76" t="s">
        <v>80</v>
      </c>
      <c r="AS76">
        <v>1359</v>
      </c>
      <c r="AT76">
        <v>0.96879999999999999</v>
      </c>
      <c r="AU76">
        <v>172</v>
      </c>
      <c r="AV76">
        <v>0.94740000000000002</v>
      </c>
      <c r="AW76" t="s">
        <v>98</v>
      </c>
      <c r="AX76" t="s">
        <v>183</v>
      </c>
      <c r="AY76" t="s">
        <v>184</v>
      </c>
      <c r="AZ76" t="s">
        <v>101</v>
      </c>
      <c r="BA76" t="s">
        <v>185</v>
      </c>
      <c r="BB76" t="s">
        <v>186</v>
      </c>
      <c r="BC76" t="s">
        <v>104</v>
      </c>
      <c r="BD76" t="s">
        <v>105</v>
      </c>
      <c r="BE76">
        <v>473</v>
      </c>
      <c r="BF76" t="s">
        <v>106</v>
      </c>
      <c r="BG76">
        <v>5</v>
      </c>
      <c r="BH76" t="s">
        <v>80</v>
      </c>
      <c r="BI76">
        <v>1</v>
      </c>
      <c r="BJ76">
        <v>86</v>
      </c>
      <c r="BK76">
        <v>5</v>
      </c>
      <c r="BL76">
        <v>51</v>
      </c>
      <c r="BM76">
        <v>1729</v>
      </c>
      <c r="BN76">
        <v>2373</v>
      </c>
      <c r="BO76">
        <v>3140</v>
      </c>
      <c r="BP76">
        <v>19</v>
      </c>
      <c r="BQ76" s="2">
        <v>1706</v>
      </c>
      <c r="BR76">
        <f t="shared" si="17"/>
        <v>87</v>
      </c>
      <c r="BS76">
        <f t="shared" si="18"/>
        <v>6</v>
      </c>
      <c r="BT76">
        <f t="shared" si="19"/>
        <v>52</v>
      </c>
      <c r="BU76">
        <f t="shared" si="20"/>
        <v>1730</v>
      </c>
      <c r="BV76">
        <f t="shared" si="21"/>
        <v>2374</v>
      </c>
      <c r="BW76">
        <f t="shared" si="22"/>
        <v>3141</v>
      </c>
      <c r="BX76">
        <f t="shared" si="23"/>
        <v>20</v>
      </c>
      <c r="BY76" s="2">
        <f t="shared" si="24"/>
        <v>1707</v>
      </c>
      <c r="BZ76">
        <f t="shared" si="25"/>
        <v>242.48870527968151</v>
      </c>
      <c r="CA76">
        <v>242.48870527968151</v>
      </c>
      <c r="CB76">
        <v>242.48870527968151</v>
      </c>
      <c r="CC76">
        <v>242.48870527968151</v>
      </c>
      <c r="CD76">
        <v>242.48870527968151</v>
      </c>
      <c r="CE76">
        <v>242.48870527968151</v>
      </c>
      <c r="CF76">
        <v>242.48870527968151</v>
      </c>
      <c r="CG76">
        <v>242.48870527968151</v>
      </c>
      <c r="CH76">
        <f t="shared" si="26"/>
        <v>-0.44517226207658755</v>
      </c>
      <c r="CI76">
        <f t="shared" si="27"/>
        <v>-1.6065402643115625</v>
      </c>
      <c r="CJ76">
        <f t="shared" si="28"/>
        <v>-0.6686881710604069</v>
      </c>
      <c r="CK76">
        <f t="shared" si="29"/>
        <v>0.85335458843358936</v>
      </c>
      <c r="CL76">
        <f t="shared" si="30"/>
        <v>0.99078919992336634</v>
      </c>
      <c r="CM76">
        <f t="shared" si="31"/>
        <v>1.1123764217032988</v>
      </c>
      <c r="CN76">
        <f t="shared" si="32"/>
        <v>-1.0836615190312249</v>
      </c>
      <c r="CO76" s="2">
        <f t="shared" si="33"/>
        <v>0.84754200641952748</v>
      </c>
      <c r="CP76">
        <v>-1.2118726875449399</v>
      </c>
      <c r="CQ76">
        <v>5.3268997646126498E-2</v>
      </c>
      <c r="CR76">
        <v>-0.49247200073487701</v>
      </c>
      <c r="CS76">
        <v>0.868991257701904</v>
      </c>
      <c r="CT76">
        <v>0.87057969934539803</v>
      </c>
      <c r="CU76">
        <v>0.78512048300378201</v>
      </c>
      <c r="CV76">
        <v>-0.230072262570377</v>
      </c>
      <c r="CW76">
        <v>0.84353251438864996</v>
      </c>
      <c r="CX76" t="s">
        <v>1826</v>
      </c>
    </row>
    <row r="77" spans="1:102" x14ac:dyDescent="0.35">
      <c r="A77" t="s">
        <v>529</v>
      </c>
      <c r="B77" t="s">
        <v>211</v>
      </c>
      <c r="C77" t="s">
        <v>261</v>
      </c>
      <c r="D77" t="s">
        <v>72</v>
      </c>
      <c r="E77" t="s">
        <v>72</v>
      </c>
      <c r="F77" t="s">
        <v>72</v>
      </c>
      <c r="G77" t="s">
        <v>73</v>
      </c>
      <c r="H77" t="s">
        <v>109</v>
      </c>
      <c r="I77" t="s">
        <v>110</v>
      </c>
      <c r="J77" t="s">
        <v>111</v>
      </c>
      <c r="K77" t="s">
        <v>112</v>
      </c>
      <c r="L77" t="s">
        <v>113</v>
      </c>
      <c r="M77" t="s">
        <v>114</v>
      </c>
      <c r="N77">
        <v>48</v>
      </c>
      <c r="O77" t="s">
        <v>80</v>
      </c>
      <c r="P77">
        <v>621</v>
      </c>
      <c r="Q77">
        <v>0.68400000000000005</v>
      </c>
      <c r="R77">
        <v>175</v>
      </c>
      <c r="S77">
        <v>0.81130000000000002</v>
      </c>
      <c r="T77" t="s">
        <v>115</v>
      </c>
      <c r="U77" t="s">
        <v>116</v>
      </c>
      <c r="V77" t="s">
        <v>117</v>
      </c>
      <c r="W77" t="s">
        <v>118</v>
      </c>
      <c r="X77" t="s">
        <v>119</v>
      </c>
      <c r="Y77" t="s">
        <v>120</v>
      </c>
      <c r="Z77" t="s">
        <v>121</v>
      </c>
      <c r="AA77" t="s">
        <v>88</v>
      </c>
      <c r="AB77">
        <v>440</v>
      </c>
      <c r="AC77">
        <v>11</v>
      </c>
      <c r="AE77">
        <v>1</v>
      </c>
      <c r="AF77" t="s">
        <v>89</v>
      </c>
      <c r="AG77" t="s">
        <v>530</v>
      </c>
      <c r="AH77" t="s">
        <v>72</v>
      </c>
      <c r="AI77" t="s">
        <v>72</v>
      </c>
      <c r="AJ77" t="s">
        <v>91</v>
      </c>
      <c r="AK77" t="s">
        <v>92</v>
      </c>
      <c r="AL77" t="s">
        <v>93</v>
      </c>
      <c r="AM77" t="s">
        <v>94</v>
      </c>
      <c r="AN77" t="s">
        <v>531</v>
      </c>
      <c r="AO77" t="s">
        <v>532</v>
      </c>
      <c r="AP77" t="s">
        <v>97</v>
      </c>
      <c r="AQ77">
        <v>39</v>
      </c>
      <c r="AR77" t="s">
        <v>80</v>
      </c>
      <c r="AS77">
        <v>1341</v>
      </c>
      <c r="AT77">
        <v>0.96179999999999999</v>
      </c>
      <c r="AU77">
        <v>163</v>
      </c>
      <c r="AV77">
        <v>0.92110000000000003</v>
      </c>
      <c r="AW77" t="s">
        <v>98</v>
      </c>
      <c r="AX77" t="s">
        <v>293</v>
      </c>
      <c r="AY77" t="s">
        <v>127</v>
      </c>
      <c r="AZ77" t="s">
        <v>136</v>
      </c>
      <c r="BA77" t="s">
        <v>533</v>
      </c>
      <c r="BB77" t="s">
        <v>103</v>
      </c>
      <c r="BC77" t="s">
        <v>104</v>
      </c>
      <c r="BD77" t="s">
        <v>105</v>
      </c>
      <c r="BE77">
        <v>87510</v>
      </c>
      <c r="BF77" t="s">
        <v>106</v>
      </c>
      <c r="BG77">
        <v>953</v>
      </c>
      <c r="BH77" t="s">
        <v>80</v>
      </c>
      <c r="BI77">
        <v>1</v>
      </c>
      <c r="BJ77">
        <v>97</v>
      </c>
      <c r="BK77">
        <v>13</v>
      </c>
      <c r="BL77">
        <v>124</v>
      </c>
      <c r="BM77">
        <v>3909</v>
      </c>
      <c r="BN77">
        <v>4750</v>
      </c>
      <c r="BO77">
        <v>6829</v>
      </c>
      <c r="BP77">
        <v>50</v>
      </c>
      <c r="BQ77" s="2">
        <v>3510</v>
      </c>
      <c r="BR77">
        <f t="shared" si="17"/>
        <v>98</v>
      </c>
      <c r="BS77">
        <f t="shared" si="18"/>
        <v>14</v>
      </c>
      <c r="BT77">
        <f t="shared" si="19"/>
        <v>125</v>
      </c>
      <c r="BU77">
        <f t="shared" si="20"/>
        <v>3910</v>
      </c>
      <c r="BV77">
        <f t="shared" si="21"/>
        <v>4751</v>
      </c>
      <c r="BW77">
        <f t="shared" si="22"/>
        <v>6830</v>
      </c>
      <c r="BX77">
        <f t="shared" si="23"/>
        <v>51</v>
      </c>
      <c r="BY77" s="2">
        <f t="shared" si="24"/>
        <v>3511</v>
      </c>
      <c r="BZ77">
        <f t="shared" si="25"/>
        <v>499.83993649045402</v>
      </c>
      <c r="CA77">
        <v>499.83993649045402</v>
      </c>
      <c r="CB77">
        <v>499.83993649045402</v>
      </c>
      <c r="CC77">
        <v>499.83993649045402</v>
      </c>
      <c r="CD77">
        <v>499.83993649045402</v>
      </c>
      <c r="CE77">
        <v>499.83993649045402</v>
      </c>
      <c r="CF77">
        <v>499.83993649045402</v>
      </c>
      <c r="CG77">
        <v>499.83993649045402</v>
      </c>
      <c r="CH77">
        <f t="shared" si="26"/>
        <v>-0.70760487698734043</v>
      </c>
      <c r="CI77">
        <f t="shared" si="27"/>
        <v>-1.5527029170015971</v>
      </c>
      <c r="CJ77">
        <f t="shared" si="28"/>
        <v>-0.60192093967177884</v>
      </c>
      <c r="CK77">
        <f t="shared" si="29"/>
        <v>0.89334580471603153</v>
      </c>
      <c r="CL77">
        <f t="shared" si="30"/>
        <v>0.97795407773937026</v>
      </c>
      <c r="CM77">
        <f t="shared" si="31"/>
        <v>1.1355897510016972</v>
      </c>
      <c r="CN77">
        <f t="shared" si="32"/>
        <v>-0.99126077658189893</v>
      </c>
      <c r="CO77" s="2">
        <f t="shared" si="33"/>
        <v>0.84659987678551596</v>
      </c>
      <c r="CP77">
        <v>-1.5271677201259499</v>
      </c>
      <c r="CQ77">
        <v>0.21231553081843799</v>
      </c>
      <c r="CR77">
        <v>-0.19416419125613801</v>
      </c>
      <c r="CS77">
        <v>0.98682337307285195</v>
      </c>
      <c r="CT77">
        <v>0.83485165911659898</v>
      </c>
      <c r="CU77">
        <v>0.85215579542805997</v>
      </c>
      <c r="CV77">
        <v>1.7744107072728301E-2</v>
      </c>
      <c r="CW77">
        <v>0.84094481084235295</v>
      </c>
      <c r="CX77" t="s">
        <v>1826</v>
      </c>
    </row>
    <row r="78" spans="1:102" x14ac:dyDescent="0.35">
      <c r="A78" t="s">
        <v>282</v>
      </c>
      <c r="B78" t="s">
        <v>89</v>
      </c>
      <c r="C78" t="s">
        <v>108</v>
      </c>
      <c r="D78" t="s">
        <v>72</v>
      </c>
      <c r="E78" t="s">
        <v>72</v>
      </c>
      <c r="F78" t="s">
        <v>72</v>
      </c>
      <c r="G78" t="s">
        <v>73</v>
      </c>
      <c r="H78" t="s">
        <v>109</v>
      </c>
      <c r="I78" t="s">
        <v>110</v>
      </c>
      <c r="J78" t="s">
        <v>111</v>
      </c>
      <c r="K78" t="s">
        <v>112</v>
      </c>
      <c r="L78" t="s">
        <v>113</v>
      </c>
      <c r="M78" t="s">
        <v>114</v>
      </c>
      <c r="N78">
        <v>48</v>
      </c>
      <c r="O78" t="s">
        <v>80</v>
      </c>
      <c r="P78">
        <v>621</v>
      </c>
      <c r="Q78">
        <v>0.68400000000000005</v>
      </c>
      <c r="R78">
        <v>175</v>
      </c>
      <c r="S78">
        <v>0.81130000000000002</v>
      </c>
      <c r="T78" t="s">
        <v>115</v>
      </c>
      <c r="U78" t="s">
        <v>116</v>
      </c>
      <c r="V78" t="s">
        <v>117</v>
      </c>
      <c r="W78" t="s">
        <v>118</v>
      </c>
      <c r="X78" t="s">
        <v>119</v>
      </c>
      <c r="Y78" t="s">
        <v>120</v>
      </c>
      <c r="Z78" t="s">
        <v>121</v>
      </c>
      <c r="AA78" t="s">
        <v>88</v>
      </c>
      <c r="AB78">
        <v>248</v>
      </c>
      <c r="AC78">
        <v>2</v>
      </c>
      <c r="AE78">
        <v>1</v>
      </c>
      <c r="AF78" t="s">
        <v>159</v>
      </c>
      <c r="AG78" t="s">
        <v>283</v>
      </c>
      <c r="AH78" t="s">
        <v>72</v>
      </c>
      <c r="AI78" t="s">
        <v>72</v>
      </c>
      <c r="AJ78" t="s">
        <v>72</v>
      </c>
      <c r="AK78" t="s">
        <v>92</v>
      </c>
      <c r="AL78" t="s">
        <v>93</v>
      </c>
      <c r="AM78" t="s">
        <v>94</v>
      </c>
      <c r="AN78" t="s">
        <v>284</v>
      </c>
      <c r="AO78" t="s">
        <v>285</v>
      </c>
      <c r="AP78" t="s">
        <v>286</v>
      </c>
      <c r="AQ78">
        <v>39</v>
      </c>
      <c r="AR78" t="s">
        <v>80</v>
      </c>
      <c r="AS78">
        <v>1332</v>
      </c>
      <c r="AT78">
        <v>0.95830000000000004</v>
      </c>
      <c r="AU78">
        <v>172</v>
      </c>
      <c r="AV78">
        <v>0.94740000000000002</v>
      </c>
      <c r="AW78" t="s">
        <v>287</v>
      </c>
      <c r="AX78" t="s">
        <v>146</v>
      </c>
      <c r="AY78" t="s">
        <v>288</v>
      </c>
      <c r="AZ78" t="s">
        <v>101</v>
      </c>
      <c r="BA78" t="s">
        <v>128</v>
      </c>
      <c r="BB78" t="s">
        <v>103</v>
      </c>
      <c r="BC78" t="s">
        <v>104</v>
      </c>
      <c r="BD78" t="s">
        <v>105</v>
      </c>
      <c r="BE78">
        <v>5322</v>
      </c>
      <c r="BG78">
        <v>59</v>
      </c>
      <c r="BH78" t="s">
        <v>80</v>
      </c>
      <c r="BI78">
        <v>1</v>
      </c>
      <c r="BJ78">
        <v>90</v>
      </c>
      <c r="BK78">
        <v>5</v>
      </c>
      <c r="BL78">
        <v>82</v>
      </c>
      <c r="BM78">
        <v>2279</v>
      </c>
      <c r="BN78">
        <v>3045</v>
      </c>
      <c r="BO78">
        <v>4083</v>
      </c>
      <c r="BP78">
        <v>22</v>
      </c>
      <c r="BQ78" s="2">
        <v>2090</v>
      </c>
      <c r="BR78">
        <f t="shared" si="17"/>
        <v>91</v>
      </c>
      <c r="BS78">
        <f t="shared" si="18"/>
        <v>6</v>
      </c>
      <c r="BT78">
        <f t="shared" si="19"/>
        <v>83</v>
      </c>
      <c r="BU78">
        <f t="shared" si="20"/>
        <v>2280</v>
      </c>
      <c r="BV78">
        <f t="shared" si="21"/>
        <v>3046</v>
      </c>
      <c r="BW78">
        <f t="shared" si="22"/>
        <v>4084</v>
      </c>
      <c r="BX78">
        <f t="shared" si="23"/>
        <v>23</v>
      </c>
      <c r="BY78" s="2">
        <f t="shared" si="24"/>
        <v>2091</v>
      </c>
      <c r="BZ78">
        <f t="shared" si="25"/>
        <v>297.77476146191248</v>
      </c>
      <c r="CA78">
        <v>297.77476146191248</v>
      </c>
      <c r="CB78">
        <v>297.77476146191248</v>
      </c>
      <c r="CC78">
        <v>297.77476146191248</v>
      </c>
      <c r="CD78">
        <v>297.77476146191248</v>
      </c>
      <c r="CE78">
        <v>297.77476146191248</v>
      </c>
      <c r="CF78">
        <v>297.77476146191248</v>
      </c>
      <c r="CG78">
        <v>297.77476146191248</v>
      </c>
      <c r="CH78">
        <f t="shared" si="26"/>
        <v>-0.51484649309533459</v>
      </c>
      <c r="CI78">
        <f t="shared" si="27"/>
        <v>-1.6957366350327845</v>
      </c>
      <c r="CJ78">
        <f t="shared" si="28"/>
        <v>-0.55480979304035427</v>
      </c>
      <c r="CK78">
        <f t="shared" si="29"/>
        <v>0.88404696158402551</v>
      </c>
      <c r="CL78">
        <f t="shared" si="30"/>
        <v>1.0098420135835955</v>
      </c>
      <c r="CM78">
        <f t="shared" si="31"/>
        <v>1.1371978479984444</v>
      </c>
      <c r="CN78">
        <f t="shared" si="32"/>
        <v>-1.1121600493988353</v>
      </c>
      <c r="CO78" s="2">
        <f t="shared" si="33"/>
        <v>0.8464661474012436</v>
      </c>
      <c r="CP78">
        <v>-1.2955815624749301</v>
      </c>
      <c r="CQ78">
        <v>-0.21023532126255701</v>
      </c>
      <c r="CR78">
        <v>1.6322639804010702E-2</v>
      </c>
      <c r="CS78">
        <v>0.95942479762047295</v>
      </c>
      <c r="CT78">
        <v>0.92361539960334005</v>
      </c>
      <c r="CU78">
        <v>0.85679964824209498</v>
      </c>
      <c r="CV78">
        <v>-0.30650457413690102</v>
      </c>
      <c r="CW78">
        <v>0.84057750257666097</v>
      </c>
      <c r="CX78" t="s">
        <v>1826</v>
      </c>
    </row>
    <row r="79" spans="1:102" x14ac:dyDescent="0.35">
      <c r="A79" t="s">
        <v>1025</v>
      </c>
      <c r="B79" t="s">
        <v>70</v>
      </c>
      <c r="C79" t="s">
        <v>108</v>
      </c>
      <c r="D79" t="s">
        <v>72</v>
      </c>
      <c r="E79" t="s">
        <v>72</v>
      </c>
      <c r="F79" t="s">
        <v>72</v>
      </c>
      <c r="G79" t="s">
        <v>73</v>
      </c>
      <c r="H79" t="s">
        <v>109</v>
      </c>
      <c r="I79" t="s">
        <v>110</v>
      </c>
      <c r="J79" t="s">
        <v>111</v>
      </c>
      <c r="K79" t="s">
        <v>112</v>
      </c>
      <c r="L79" t="s">
        <v>113</v>
      </c>
      <c r="M79" t="s">
        <v>114</v>
      </c>
      <c r="N79">
        <v>48</v>
      </c>
      <c r="O79" t="s">
        <v>80</v>
      </c>
      <c r="P79">
        <v>621</v>
      </c>
      <c r="Q79">
        <v>0.68400000000000005</v>
      </c>
      <c r="R79">
        <v>175</v>
      </c>
      <c r="S79">
        <v>0.81130000000000002</v>
      </c>
      <c r="T79" t="s">
        <v>115</v>
      </c>
      <c r="U79" t="s">
        <v>116</v>
      </c>
      <c r="V79" t="s">
        <v>117</v>
      </c>
      <c r="W79" t="s">
        <v>118</v>
      </c>
      <c r="X79" t="s">
        <v>119</v>
      </c>
      <c r="Y79" t="s">
        <v>120</v>
      </c>
      <c r="Z79" t="s">
        <v>121</v>
      </c>
      <c r="AA79" t="s">
        <v>88</v>
      </c>
      <c r="AB79">
        <v>317</v>
      </c>
      <c r="AC79">
        <v>8</v>
      </c>
      <c r="AE79">
        <v>1</v>
      </c>
      <c r="AF79" t="s">
        <v>153</v>
      </c>
      <c r="AG79" t="s">
        <v>1026</v>
      </c>
      <c r="AH79" t="s">
        <v>72</v>
      </c>
      <c r="AI79" t="s">
        <v>72</v>
      </c>
      <c r="AJ79" t="s">
        <v>91</v>
      </c>
      <c r="AK79" t="s">
        <v>92</v>
      </c>
      <c r="AL79" t="s">
        <v>93</v>
      </c>
      <c r="AM79" t="s">
        <v>94</v>
      </c>
      <c r="AN79" t="s">
        <v>1027</v>
      </c>
      <c r="AO79" t="s">
        <v>1028</v>
      </c>
      <c r="AP79" t="s">
        <v>97</v>
      </c>
      <c r="AQ79">
        <v>39</v>
      </c>
      <c r="AR79" t="s">
        <v>80</v>
      </c>
      <c r="AS79">
        <v>1350</v>
      </c>
      <c r="AT79">
        <v>0.96530000000000005</v>
      </c>
      <c r="AU79">
        <v>172</v>
      </c>
      <c r="AV79">
        <v>0.94740000000000002</v>
      </c>
      <c r="AW79" t="s">
        <v>98</v>
      </c>
      <c r="AX79" t="s">
        <v>183</v>
      </c>
      <c r="AY79" t="s">
        <v>1029</v>
      </c>
      <c r="AZ79" t="s">
        <v>101</v>
      </c>
      <c r="BA79" t="s">
        <v>185</v>
      </c>
      <c r="BB79" t="s">
        <v>186</v>
      </c>
      <c r="BC79" t="s">
        <v>104</v>
      </c>
      <c r="BD79" t="s">
        <v>105</v>
      </c>
      <c r="BE79">
        <v>472</v>
      </c>
      <c r="BF79" t="s">
        <v>106</v>
      </c>
      <c r="BG79">
        <v>4</v>
      </c>
      <c r="BH79" t="s">
        <v>80</v>
      </c>
      <c r="BI79">
        <v>1</v>
      </c>
      <c r="BJ79">
        <v>93</v>
      </c>
      <c r="BK79">
        <v>7</v>
      </c>
      <c r="BL79">
        <v>39</v>
      </c>
      <c r="BM79">
        <v>1529</v>
      </c>
      <c r="BN79">
        <v>1827</v>
      </c>
      <c r="BO79">
        <v>2634</v>
      </c>
      <c r="BP79">
        <v>11</v>
      </c>
      <c r="BQ79" s="2">
        <v>1478</v>
      </c>
      <c r="BR79">
        <f t="shared" si="17"/>
        <v>94</v>
      </c>
      <c r="BS79">
        <f t="shared" si="18"/>
        <v>8</v>
      </c>
      <c r="BT79">
        <f t="shared" si="19"/>
        <v>40</v>
      </c>
      <c r="BU79">
        <f t="shared" si="20"/>
        <v>1530</v>
      </c>
      <c r="BV79">
        <f t="shared" si="21"/>
        <v>1828</v>
      </c>
      <c r="BW79">
        <f t="shared" si="22"/>
        <v>2635</v>
      </c>
      <c r="BX79">
        <f t="shared" si="23"/>
        <v>12</v>
      </c>
      <c r="BY79" s="2">
        <f t="shared" si="24"/>
        <v>1479</v>
      </c>
      <c r="BZ79">
        <f t="shared" si="25"/>
        <v>211.037404387164</v>
      </c>
      <c r="CA79">
        <v>211.037404387164</v>
      </c>
      <c r="CB79">
        <v>211.037404387164</v>
      </c>
      <c r="CC79">
        <v>211.037404387164</v>
      </c>
      <c r="CD79">
        <v>211.037404387164</v>
      </c>
      <c r="CE79">
        <v>211.037404387164</v>
      </c>
      <c r="CF79">
        <v>211.037404387164</v>
      </c>
      <c r="CG79">
        <v>211.037404387164</v>
      </c>
      <c r="CH79">
        <f t="shared" si="26"/>
        <v>-0.35123158311631364</v>
      </c>
      <c r="CI79">
        <f t="shared" si="27"/>
        <v>-1.4212694497240688</v>
      </c>
      <c r="CJ79">
        <f t="shared" si="28"/>
        <v>-0.72229944538804991</v>
      </c>
      <c r="CK79">
        <f t="shared" si="29"/>
        <v>0.86033199410158656</v>
      </c>
      <c r="CL79">
        <f t="shared" si="30"/>
        <v>0.93761675468180028</v>
      </c>
      <c r="CM79">
        <f t="shared" si="31"/>
        <v>1.0964211828325532</v>
      </c>
      <c r="CN79">
        <f t="shared" si="32"/>
        <v>-1.2451781906683874</v>
      </c>
      <c r="CO79" s="2">
        <f t="shared" si="33"/>
        <v>0.84560873728088015</v>
      </c>
      <c r="CP79">
        <v>-1.09900931710018</v>
      </c>
      <c r="CQ79">
        <v>0.60059687003364204</v>
      </c>
      <c r="CR79">
        <v>-0.73200060594175598</v>
      </c>
      <c r="CS79">
        <v>0.88954983396161902</v>
      </c>
      <c r="CT79">
        <v>0.72256807659489297</v>
      </c>
      <c r="CU79">
        <v>0.73904504036668395</v>
      </c>
      <c r="CV79">
        <v>-0.66325574292942602</v>
      </c>
      <c r="CW79">
        <v>0.83822249416911498</v>
      </c>
      <c r="CX79" t="s">
        <v>1826</v>
      </c>
    </row>
    <row r="80" spans="1:102" x14ac:dyDescent="0.35">
      <c r="A80" t="s">
        <v>879</v>
      </c>
      <c r="B80" t="s">
        <v>178</v>
      </c>
      <c r="C80" t="s">
        <v>255</v>
      </c>
      <c r="D80" t="s">
        <v>72</v>
      </c>
      <c r="E80" t="s">
        <v>72</v>
      </c>
      <c r="F80" t="s">
        <v>72</v>
      </c>
      <c r="G80" t="s">
        <v>73</v>
      </c>
      <c r="H80" t="s">
        <v>109</v>
      </c>
      <c r="I80" t="s">
        <v>110</v>
      </c>
      <c r="J80" t="s">
        <v>111</v>
      </c>
      <c r="K80" t="s">
        <v>112</v>
      </c>
      <c r="L80" t="s">
        <v>113</v>
      </c>
      <c r="M80" t="s">
        <v>114</v>
      </c>
      <c r="N80">
        <v>48</v>
      </c>
      <c r="O80" t="s">
        <v>80</v>
      </c>
      <c r="P80">
        <v>621</v>
      </c>
      <c r="Q80">
        <v>0.68400000000000005</v>
      </c>
      <c r="R80">
        <v>175</v>
      </c>
      <c r="S80">
        <v>0.81130000000000002</v>
      </c>
      <c r="T80" t="s">
        <v>115</v>
      </c>
      <c r="U80" t="s">
        <v>116</v>
      </c>
      <c r="V80" t="s">
        <v>117</v>
      </c>
      <c r="W80" t="s">
        <v>118</v>
      </c>
      <c r="X80" t="s">
        <v>119</v>
      </c>
      <c r="Y80" t="s">
        <v>120</v>
      </c>
      <c r="Z80" t="s">
        <v>121</v>
      </c>
      <c r="AA80" t="s">
        <v>88</v>
      </c>
      <c r="AB80">
        <v>239</v>
      </c>
      <c r="AC80">
        <v>5</v>
      </c>
      <c r="AE80">
        <v>1</v>
      </c>
      <c r="AF80" t="s">
        <v>89</v>
      </c>
      <c r="AG80" t="s">
        <v>880</v>
      </c>
      <c r="AH80" t="s">
        <v>72</v>
      </c>
      <c r="AI80" t="s">
        <v>72</v>
      </c>
      <c r="AJ80" t="s">
        <v>91</v>
      </c>
      <c r="AK80" t="s">
        <v>92</v>
      </c>
      <c r="AL80" t="s">
        <v>93</v>
      </c>
      <c r="AM80" t="s">
        <v>94</v>
      </c>
      <c r="AN80" t="s">
        <v>881</v>
      </c>
      <c r="AO80" t="s">
        <v>882</v>
      </c>
      <c r="AP80" t="s">
        <v>883</v>
      </c>
      <c r="AQ80">
        <v>39</v>
      </c>
      <c r="AR80" t="s">
        <v>80</v>
      </c>
      <c r="AS80">
        <v>1368</v>
      </c>
      <c r="AT80">
        <v>0.97219999999999995</v>
      </c>
      <c r="AU80">
        <v>172</v>
      </c>
      <c r="AV80">
        <v>0.94740000000000002</v>
      </c>
      <c r="AW80" t="s">
        <v>98</v>
      </c>
      <c r="AX80" t="s">
        <v>146</v>
      </c>
      <c r="AY80" t="s">
        <v>127</v>
      </c>
      <c r="AZ80" t="s">
        <v>101</v>
      </c>
      <c r="BA80" t="s">
        <v>128</v>
      </c>
      <c r="BB80" t="s">
        <v>103</v>
      </c>
      <c r="BC80" t="s">
        <v>884</v>
      </c>
      <c r="BD80" t="s">
        <v>105</v>
      </c>
      <c r="BE80">
        <v>29108</v>
      </c>
      <c r="BF80" t="s">
        <v>885</v>
      </c>
      <c r="BG80">
        <v>844</v>
      </c>
      <c r="BH80" t="s">
        <v>80</v>
      </c>
      <c r="BI80">
        <v>1</v>
      </c>
      <c r="BJ80">
        <v>48</v>
      </c>
      <c r="BK80">
        <v>4</v>
      </c>
      <c r="BL80">
        <v>34</v>
      </c>
      <c r="BM80">
        <v>1261</v>
      </c>
      <c r="BN80">
        <v>1681</v>
      </c>
      <c r="BO80">
        <v>2311</v>
      </c>
      <c r="BP80">
        <v>12</v>
      </c>
      <c r="BQ80" s="2">
        <v>1178</v>
      </c>
      <c r="BR80">
        <f t="shared" si="17"/>
        <v>49</v>
      </c>
      <c r="BS80">
        <f t="shared" si="18"/>
        <v>5</v>
      </c>
      <c r="BT80">
        <f t="shared" si="19"/>
        <v>35</v>
      </c>
      <c r="BU80">
        <f t="shared" si="20"/>
        <v>1262</v>
      </c>
      <c r="BV80">
        <f t="shared" si="21"/>
        <v>1682</v>
      </c>
      <c r="BW80">
        <f t="shared" si="22"/>
        <v>2312</v>
      </c>
      <c r="BX80">
        <f t="shared" si="23"/>
        <v>13</v>
      </c>
      <c r="BY80" s="2">
        <f t="shared" si="24"/>
        <v>1179</v>
      </c>
      <c r="BZ80">
        <f t="shared" si="25"/>
        <v>168.34319203425417</v>
      </c>
      <c r="CA80">
        <v>168.34319203425417</v>
      </c>
      <c r="CB80">
        <v>168.34319203425417</v>
      </c>
      <c r="CC80">
        <v>168.34319203425417</v>
      </c>
      <c r="CD80">
        <v>168.34319203425417</v>
      </c>
      <c r="CE80">
        <v>168.34319203425417</v>
      </c>
      <c r="CF80">
        <v>168.34319203425417</v>
      </c>
      <c r="CG80">
        <v>168.34319203425417</v>
      </c>
      <c r="CH80">
        <f t="shared" si="26"/>
        <v>-0.53599947775089063</v>
      </c>
      <c r="CI80">
        <f t="shared" si="27"/>
        <v>-1.5272255534433856</v>
      </c>
      <c r="CJ80">
        <f t="shared" si="28"/>
        <v>-0.6821275134291287</v>
      </c>
      <c r="CK80">
        <f t="shared" si="29"/>
        <v>0.87486379712871121</v>
      </c>
      <c r="CL80">
        <f t="shared" si="30"/>
        <v>0.99963043368248905</v>
      </c>
      <c r="CM80">
        <f t="shared" si="31"/>
        <v>1.1377922719690872</v>
      </c>
      <c r="CN80">
        <f t="shared" si="32"/>
        <v>-1.1122522054725674</v>
      </c>
      <c r="CO80" s="2">
        <f t="shared" si="33"/>
        <v>0.84531824731568483</v>
      </c>
      <c r="CP80">
        <v>-1.3209954424853301</v>
      </c>
      <c r="CQ80">
        <v>0.287580872644708</v>
      </c>
      <c r="CR80">
        <v>-0.55251733584115004</v>
      </c>
      <c r="CS80">
        <v>0.93236706359391197</v>
      </c>
      <c r="CT80">
        <v>0.89519029135145001</v>
      </c>
      <c r="CU80">
        <v>0.85851622220149104</v>
      </c>
      <c r="CV80">
        <v>-0.30675173431145702</v>
      </c>
      <c r="CW80">
        <v>0.83742461892354003</v>
      </c>
      <c r="CX80" t="s">
        <v>1826</v>
      </c>
    </row>
    <row r="81" spans="1:102" x14ac:dyDescent="0.35">
      <c r="A81" t="s">
        <v>913</v>
      </c>
      <c r="B81" t="s">
        <v>231</v>
      </c>
      <c r="C81" t="s">
        <v>914</v>
      </c>
      <c r="D81" t="s">
        <v>72</v>
      </c>
      <c r="E81" t="s">
        <v>72</v>
      </c>
      <c r="F81" t="s">
        <v>72</v>
      </c>
      <c r="G81" t="s">
        <v>73</v>
      </c>
      <c r="H81" t="s">
        <v>109</v>
      </c>
      <c r="I81" t="s">
        <v>110</v>
      </c>
      <c r="J81" t="s">
        <v>111</v>
      </c>
      <c r="K81" t="s">
        <v>112</v>
      </c>
      <c r="L81" t="s">
        <v>113</v>
      </c>
      <c r="M81" t="s">
        <v>114</v>
      </c>
      <c r="N81">
        <v>48</v>
      </c>
      <c r="O81" t="s">
        <v>80</v>
      </c>
      <c r="P81">
        <v>621</v>
      </c>
      <c r="Q81">
        <v>0.68400000000000005</v>
      </c>
      <c r="R81">
        <v>175</v>
      </c>
      <c r="S81">
        <v>0.81130000000000002</v>
      </c>
      <c r="T81" t="s">
        <v>115</v>
      </c>
      <c r="U81" t="s">
        <v>116</v>
      </c>
      <c r="V81" t="s">
        <v>117</v>
      </c>
      <c r="W81" t="s">
        <v>118</v>
      </c>
      <c r="X81" t="s">
        <v>119</v>
      </c>
      <c r="Y81" t="s">
        <v>120</v>
      </c>
      <c r="Z81" t="s">
        <v>121</v>
      </c>
      <c r="AA81" t="s">
        <v>88</v>
      </c>
      <c r="AB81">
        <v>438</v>
      </c>
      <c r="AC81">
        <v>5</v>
      </c>
      <c r="AE81">
        <v>1</v>
      </c>
      <c r="AF81" t="s">
        <v>89</v>
      </c>
      <c r="AG81" t="s">
        <v>915</v>
      </c>
      <c r="AH81" t="s">
        <v>72</v>
      </c>
      <c r="AI81" t="s">
        <v>72</v>
      </c>
      <c r="AJ81" t="s">
        <v>91</v>
      </c>
      <c r="AK81" t="s">
        <v>92</v>
      </c>
      <c r="AL81" t="s">
        <v>93</v>
      </c>
      <c r="AM81" t="s">
        <v>94</v>
      </c>
      <c r="AN81" t="s">
        <v>144</v>
      </c>
      <c r="AO81" t="s">
        <v>145</v>
      </c>
      <c r="AP81" t="s">
        <v>97</v>
      </c>
      <c r="AQ81">
        <v>39</v>
      </c>
      <c r="AR81" t="s">
        <v>80</v>
      </c>
      <c r="AS81">
        <v>1359</v>
      </c>
      <c r="AT81">
        <v>0.96879999999999999</v>
      </c>
      <c r="AU81">
        <v>172</v>
      </c>
      <c r="AV81">
        <v>0.94740000000000002</v>
      </c>
      <c r="AW81" t="s">
        <v>98</v>
      </c>
      <c r="AX81" t="s">
        <v>146</v>
      </c>
      <c r="AY81" t="s">
        <v>127</v>
      </c>
      <c r="AZ81" t="s">
        <v>101</v>
      </c>
      <c r="BA81" t="s">
        <v>128</v>
      </c>
      <c r="BB81" t="s">
        <v>103</v>
      </c>
      <c r="BC81" t="s">
        <v>104</v>
      </c>
      <c r="BD81" t="s">
        <v>105</v>
      </c>
      <c r="BE81">
        <v>109612</v>
      </c>
      <c r="BF81" t="s">
        <v>106</v>
      </c>
      <c r="BG81">
        <v>1238</v>
      </c>
      <c r="BH81" t="s">
        <v>80</v>
      </c>
      <c r="BI81">
        <v>1</v>
      </c>
      <c r="BJ81">
        <v>64</v>
      </c>
      <c r="BK81">
        <v>0</v>
      </c>
      <c r="BL81">
        <v>13</v>
      </c>
      <c r="BM81">
        <v>576</v>
      </c>
      <c r="BN81">
        <v>793</v>
      </c>
      <c r="BO81">
        <v>1113</v>
      </c>
      <c r="BP81">
        <v>5</v>
      </c>
      <c r="BQ81" s="2">
        <v>552</v>
      </c>
      <c r="BR81">
        <f t="shared" si="17"/>
        <v>65</v>
      </c>
      <c r="BS81">
        <f t="shared" si="18"/>
        <v>1</v>
      </c>
      <c r="BT81">
        <f t="shared" si="19"/>
        <v>14</v>
      </c>
      <c r="BU81">
        <f t="shared" si="20"/>
        <v>577</v>
      </c>
      <c r="BV81">
        <f t="shared" si="21"/>
        <v>794</v>
      </c>
      <c r="BW81">
        <f t="shared" si="22"/>
        <v>1114</v>
      </c>
      <c r="BX81">
        <f t="shared" si="23"/>
        <v>6</v>
      </c>
      <c r="BY81" s="2">
        <f t="shared" si="24"/>
        <v>553</v>
      </c>
      <c r="BZ81">
        <f t="shared" si="25"/>
        <v>79.154372444805716</v>
      </c>
      <c r="CA81">
        <v>79.154372444805716</v>
      </c>
      <c r="CB81">
        <v>79.154372444805716</v>
      </c>
      <c r="CC81">
        <v>79.154372444805716</v>
      </c>
      <c r="CD81">
        <v>79.154372444805716</v>
      </c>
      <c r="CE81">
        <v>79.154372444805716</v>
      </c>
      <c r="CF81">
        <v>79.154372444805716</v>
      </c>
      <c r="CG81">
        <v>79.154372444805716</v>
      </c>
      <c r="CH81">
        <f t="shared" si="26"/>
        <v>-8.556155341089107E-2</v>
      </c>
      <c r="CI81">
        <f t="shared" si="27"/>
        <v>-1.8984749100537466</v>
      </c>
      <c r="CJ81">
        <f t="shared" si="28"/>
        <v>-0.75234687437550862</v>
      </c>
      <c r="CK81">
        <f t="shared" si="29"/>
        <v>0.86270090310198477</v>
      </c>
      <c r="CL81">
        <f t="shared" si="30"/>
        <v>1.0013455923733496</v>
      </c>
      <c r="CM81">
        <f t="shared" si="31"/>
        <v>1.1484102807839636</v>
      </c>
      <c r="CN81">
        <f t="shared" si="32"/>
        <v>-1.1203236596701029</v>
      </c>
      <c r="CO81" s="2">
        <f t="shared" si="33"/>
        <v>0.84425022125095162</v>
      </c>
      <c r="CP81">
        <v>-0.77982474966272497</v>
      </c>
      <c r="CQ81">
        <v>-2.2527165794045199</v>
      </c>
      <c r="CR81">
        <v>-0.86624883722671298</v>
      </c>
      <c r="CS81">
        <v>0.89652970565811296</v>
      </c>
      <c r="CT81">
        <v>0.89996463302326102</v>
      </c>
      <c r="CU81">
        <v>0.88917884405462</v>
      </c>
      <c r="CV81">
        <v>-0.32839916293542998</v>
      </c>
      <c r="CW81">
        <v>0.834491121519919</v>
      </c>
      <c r="CX81" t="s">
        <v>1826</v>
      </c>
    </row>
    <row r="82" spans="1:102" x14ac:dyDescent="0.35">
      <c r="A82" t="s">
        <v>408</v>
      </c>
      <c r="B82" t="s">
        <v>89</v>
      </c>
      <c r="C82" t="s">
        <v>108</v>
      </c>
      <c r="D82" t="s">
        <v>72</v>
      </c>
      <c r="E82" t="s">
        <v>72</v>
      </c>
      <c r="F82" t="s">
        <v>72</v>
      </c>
      <c r="G82" t="s">
        <v>73</v>
      </c>
      <c r="H82" t="s">
        <v>109</v>
      </c>
      <c r="I82" t="s">
        <v>110</v>
      </c>
      <c r="J82" t="s">
        <v>111</v>
      </c>
      <c r="K82" t="s">
        <v>112</v>
      </c>
      <c r="L82" t="s">
        <v>113</v>
      </c>
      <c r="M82" t="s">
        <v>114</v>
      </c>
      <c r="N82">
        <v>48</v>
      </c>
      <c r="O82" t="s">
        <v>80</v>
      </c>
      <c r="P82">
        <v>621</v>
      </c>
      <c r="Q82">
        <v>0.68400000000000005</v>
      </c>
      <c r="R82">
        <v>175</v>
      </c>
      <c r="S82">
        <v>0.81130000000000002</v>
      </c>
      <c r="T82" t="s">
        <v>115</v>
      </c>
      <c r="U82" t="s">
        <v>116</v>
      </c>
      <c r="V82" t="s">
        <v>117</v>
      </c>
      <c r="W82" t="s">
        <v>118</v>
      </c>
      <c r="X82" t="s">
        <v>119</v>
      </c>
      <c r="Y82" t="s">
        <v>120</v>
      </c>
      <c r="Z82" t="s">
        <v>121</v>
      </c>
      <c r="AA82" t="s">
        <v>88</v>
      </c>
      <c r="AB82">
        <v>938</v>
      </c>
      <c r="AC82">
        <v>11</v>
      </c>
      <c r="AE82">
        <v>1</v>
      </c>
      <c r="AF82" t="s">
        <v>142</v>
      </c>
      <c r="AG82" t="s">
        <v>346</v>
      </c>
      <c r="AH82" t="s">
        <v>72</v>
      </c>
      <c r="AI82" t="s">
        <v>72</v>
      </c>
      <c r="AJ82" t="s">
        <v>91</v>
      </c>
      <c r="AK82" t="s">
        <v>92</v>
      </c>
      <c r="AL82" t="s">
        <v>93</v>
      </c>
      <c r="AM82" t="s">
        <v>94</v>
      </c>
      <c r="AN82" t="s">
        <v>144</v>
      </c>
      <c r="AO82" t="s">
        <v>145</v>
      </c>
      <c r="AP82" t="s">
        <v>97</v>
      </c>
      <c r="AQ82">
        <v>39</v>
      </c>
      <c r="AR82" t="s">
        <v>80</v>
      </c>
      <c r="AS82">
        <v>1359</v>
      </c>
      <c r="AT82">
        <v>0.96879999999999999</v>
      </c>
      <c r="AU82">
        <v>172</v>
      </c>
      <c r="AV82">
        <v>0.94740000000000002</v>
      </c>
      <c r="AW82" t="s">
        <v>98</v>
      </c>
      <c r="AX82" t="s">
        <v>146</v>
      </c>
      <c r="AY82" t="s">
        <v>127</v>
      </c>
      <c r="AZ82" t="s">
        <v>101</v>
      </c>
      <c r="BA82" t="s">
        <v>128</v>
      </c>
      <c r="BB82" t="s">
        <v>103</v>
      </c>
      <c r="BC82" t="s">
        <v>104</v>
      </c>
      <c r="BD82" t="s">
        <v>105</v>
      </c>
      <c r="BE82">
        <v>8686</v>
      </c>
      <c r="BF82" t="s">
        <v>106</v>
      </c>
      <c r="BG82">
        <v>108</v>
      </c>
      <c r="BH82" t="s">
        <v>80</v>
      </c>
      <c r="BI82">
        <v>1</v>
      </c>
      <c r="BJ82">
        <v>117</v>
      </c>
      <c r="BK82">
        <v>6</v>
      </c>
      <c r="BL82">
        <v>61</v>
      </c>
      <c r="BM82">
        <v>2036</v>
      </c>
      <c r="BN82">
        <v>2716</v>
      </c>
      <c r="BO82">
        <v>3631</v>
      </c>
      <c r="BP82">
        <v>13</v>
      </c>
      <c r="BQ82" s="2">
        <v>1868</v>
      </c>
      <c r="BR82">
        <f t="shared" si="17"/>
        <v>118</v>
      </c>
      <c r="BS82">
        <f t="shared" si="18"/>
        <v>7</v>
      </c>
      <c r="BT82">
        <f t="shared" si="19"/>
        <v>62</v>
      </c>
      <c r="BU82">
        <f t="shared" si="20"/>
        <v>2037</v>
      </c>
      <c r="BV82">
        <f t="shared" si="21"/>
        <v>2717</v>
      </c>
      <c r="BW82">
        <f t="shared" si="22"/>
        <v>3632</v>
      </c>
      <c r="BX82">
        <f t="shared" si="23"/>
        <v>14</v>
      </c>
      <c r="BY82" s="2">
        <f t="shared" si="24"/>
        <v>1869</v>
      </c>
      <c r="BZ82">
        <f t="shared" si="25"/>
        <v>268.4058317321049</v>
      </c>
      <c r="CA82">
        <v>268.4058317321049</v>
      </c>
      <c r="CB82">
        <v>268.4058317321049</v>
      </c>
      <c r="CC82">
        <v>268.4058317321049</v>
      </c>
      <c r="CD82">
        <v>268.4058317321049</v>
      </c>
      <c r="CE82">
        <v>268.4058317321049</v>
      </c>
      <c r="CF82">
        <v>268.4058317321049</v>
      </c>
      <c r="CG82">
        <v>268.4058317321049</v>
      </c>
      <c r="CH82">
        <f t="shared" si="26"/>
        <v>-0.35690994033672574</v>
      </c>
      <c r="CI82">
        <f t="shared" si="27"/>
        <v>-1.5836939076285943</v>
      </c>
      <c r="CJ82">
        <f t="shared" si="28"/>
        <v>-0.63640025814459722</v>
      </c>
      <c r="CK82">
        <f t="shared" si="29"/>
        <v>0.88019908135731295</v>
      </c>
      <c r="CL82">
        <f t="shared" si="30"/>
        <v>1.0052976907750397</v>
      </c>
      <c r="CM82">
        <f t="shared" si="31"/>
        <v>1.1313538922061963</v>
      </c>
      <c r="CN82">
        <f t="shared" si="32"/>
        <v>-1.282663911964613</v>
      </c>
      <c r="CO82" s="2">
        <f t="shared" si="33"/>
        <v>0.84281735373598099</v>
      </c>
      <c r="CP82">
        <v>-1.10583147914518</v>
      </c>
      <c r="CQ82">
        <v>0.120761807147377</v>
      </c>
      <c r="CR82">
        <v>-0.348213561763631</v>
      </c>
      <c r="CS82">
        <v>0.94808721129638196</v>
      </c>
      <c r="CT82">
        <v>0.91096575390544599</v>
      </c>
      <c r="CU82">
        <v>0.839923507931017</v>
      </c>
      <c r="CV82">
        <v>-0.76379146503337403</v>
      </c>
      <c r="CW82">
        <v>0.83055553111281599</v>
      </c>
      <c r="CX82" t="s">
        <v>1826</v>
      </c>
    </row>
    <row r="83" spans="1:102" x14ac:dyDescent="0.35">
      <c r="A83" t="s">
        <v>1757</v>
      </c>
      <c r="B83" t="s">
        <v>178</v>
      </c>
      <c r="C83" t="s">
        <v>564</v>
      </c>
      <c r="D83" t="s">
        <v>72</v>
      </c>
      <c r="E83" t="s">
        <v>72</v>
      </c>
      <c r="F83" t="s">
        <v>72</v>
      </c>
      <c r="G83" t="s">
        <v>73</v>
      </c>
      <c r="H83" t="s">
        <v>109</v>
      </c>
      <c r="I83" t="s">
        <v>110</v>
      </c>
      <c r="J83" t="s">
        <v>111</v>
      </c>
      <c r="K83" t="s">
        <v>112</v>
      </c>
      <c r="L83" t="s">
        <v>113</v>
      </c>
      <c r="M83" t="s">
        <v>114</v>
      </c>
      <c r="N83">
        <v>48</v>
      </c>
      <c r="O83" t="s">
        <v>80</v>
      </c>
      <c r="P83">
        <v>621</v>
      </c>
      <c r="Q83">
        <v>0.68400000000000005</v>
      </c>
      <c r="R83">
        <v>175</v>
      </c>
      <c r="S83">
        <v>0.81130000000000002</v>
      </c>
      <c r="T83" t="s">
        <v>115</v>
      </c>
      <c r="U83" t="s">
        <v>116</v>
      </c>
      <c r="V83" t="s">
        <v>117</v>
      </c>
      <c r="W83" t="s">
        <v>118</v>
      </c>
      <c r="X83" t="s">
        <v>119</v>
      </c>
      <c r="Y83" t="s">
        <v>120</v>
      </c>
      <c r="Z83" t="s">
        <v>121</v>
      </c>
      <c r="AA83" t="s">
        <v>88</v>
      </c>
      <c r="AB83">
        <v>383</v>
      </c>
      <c r="AC83">
        <v>6</v>
      </c>
      <c r="AE83">
        <v>1</v>
      </c>
      <c r="AF83" t="s">
        <v>153</v>
      </c>
      <c r="AG83" t="s">
        <v>1758</v>
      </c>
      <c r="AH83" t="s">
        <v>72</v>
      </c>
      <c r="AI83" t="s">
        <v>72</v>
      </c>
      <c r="AJ83" t="s">
        <v>91</v>
      </c>
      <c r="AK83" t="s">
        <v>92</v>
      </c>
      <c r="AL83" t="s">
        <v>93</v>
      </c>
      <c r="AM83" t="s">
        <v>94</v>
      </c>
      <c r="AN83" t="s">
        <v>1759</v>
      </c>
      <c r="AO83" t="s">
        <v>1760</v>
      </c>
      <c r="AP83" t="s">
        <v>97</v>
      </c>
      <c r="AQ83">
        <v>39</v>
      </c>
      <c r="AR83" t="s">
        <v>80</v>
      </c>
      <c r="AS83">
        <v>1350</v>
      </c>
      <c r="AT83">
        <v>0.96530000000000005</v>
      </c>
      <c r="AU83">
        <v>172</v>
      </c>
      <c r="AV83">
        <v>0.94740000000000002</v>
      </c>
      <c r="AW83" t="s">
        <v>98</v>
      </c>
      <c r="AX83" t="s">
        <v>1761</v>
      </c>
      <c r="AY83" t="s">
        <v>184</v>
      </c>
      <c r="AZ83" t="s">
        <v>101</v>
      </c>
      <c r="BA83" t="s">
        <v>185</v>
      </c>
      <c r="BB83" t="s">
        <v>186</v>
      </c>
      <c r="BC83" t="s">
        <v>104</v>
      </c>
      <c r="BD83" t="s">
        <v>105</v>
      </c>
      <c r="BE83">
        <v>159</v>
      </c>
      <c r="BF83" t="s">
        <v>106</v>
      </c>
      <c r="BG83">
        <v>2</v>
      </c>
      <c r="BH83" t="s">
        <v>80</v>
      </c>
      <c r="BI83">
        <v>1</v>
      </c>
      <c r="BJ83">
        <v>170</v>
      </c>
      <c r="BK83">
        <v>0</v>
      </c>
      <c r="BL83">
        <v>13</v>
      </c>
      <c r="BM83">
        <v>595</v>
      </c>
      <c r="BN83">
        <v>912</v>
      </c>
      <c r="BO83">
        <v>1241</v>
      </c>
      <c r="BP83">
        <v>7</v>
      </c>
      <c r="BQ83" s="2">
        <v>685</v>
      </c>
      <c r="BR83">
        <f t="shared" si="17"/>
        <v>171</v>
      </c>
      <c r="BS83">
        <f t="shared" si="18"/>
        <v>1</v>
      </c>
      <c r="BT83">
        <f t="shared" si="19"/>
        <v>14</v>
      </c>
      <c r="BU83">
        <f t="shared" si="20"/>
        <v>596</v>
      </c>
      <c r="BV83">
        <f t="shared" si="21"/>
        <v>913</v>
      </c>
      <c r="BW83">
        <f t="shared" si="22"/>
        <v>1242</v>
      </c>
      <c r="BX83">
        <f t="shared" si="23"/>
        <v>8</v>
      </c>
      <c r="BY83" s="2">
        <f t="shared" si="24"/>
        <v>686</v>
      </c>
      <c r="BZ83">
        <f t="shared" si="25"/>
        <v>98.525151248661928</v>
      </c>
      <c r="CA83">
        <v>98.525151248661928</v>
      </c>
      <c r="CB83">
        <v>98.525151248661928</v>
      </c>
      <c r="CC83">
        <v>98.525151248661928</v>
      </c>
      <c r="CD83">
        <v>98.525151248661928</v>
      </c>
      <c r="CE83">
        <v>98.525151248661928</v>
      </c>
      <c r="CF83">
        <v>98.525151248661928</v>
      </c>
      <c r="CG83">
        <v>98.525151248661928</v>
      </c>
      <c r="CH83">
        <f t="shared" si="26"/>
        <v>0.2394490001566309</v>
      </c>
      <c r="CI83">
        <f t="shared" si="27"/>
        <v>-1.9935471102355229</v>
      </c>
      <c r="CJ83">
        <f t="shared" si="28"/>
        <v>-0.84741907455728493</v>
      </c>
      <c r="CK83">
        <f t="shared" si="29"/>
        <v>0.78169914950471342</v>
      </c>
      <c r="CL83">
        <f t="shared" si="30"/>
        <v>0.96692366729877599</v>
      </c>
      <c r="CM83">
        <f t="shared" si="31"/>
        <v>1.1005744856050383</v>
      </c>
      <c r="CN83">
        <f t="shared" si="32"/>
        <v>-1.0904571232435794</v>
      </c>
      <c r="CO83" s="2">
        <f t="shared" si="33"/>
        <v>0.84277700547122869</v>
      </c>
      <c r="CP83">
        <v>-0.38934655734241702</v>
      </c>
      <c r="CQ83">
        <v>-2.2527165794045199</v>
      </c>
      <c r="CR83">
        <v>-1.2910197793296101</v>
      </c>
      <c r="CS83">
        <v>0.65786209655833205</v>
      </c>
      <c r="CT83">
        <v>0.80414724179105901</v>
      </c>
      <c r="CU83">
        <v>0.75103892307808795</v>
      </c>
      <c r="CV83">
        <v>-0.24829789497112001</v>
      </c>
      <c r="CW83">
        <v>0.830444708414944</v>
      </c>
      <c r="CX83" t="s">
        <v>1826</v>
      </c>
    </row>
    <row r="84" spans="1:102" x14ac:dyDescent="0.35">
      <c r="A84" t="s">
        <v>851</v>
      </c>
      <c r="B84" t="s">
        <v>178</v>
      </c>
      <c r="C84" t="s">
        <v>564</v>
      </c>
      <c r="D84" t="s">
        <v>72</v>
      </c>
      <c r="E84" t="s">
        <v>72</v>
      </c>
      <c r="F84" t="s">
        <v>72</v>
      </c>
      <c r="G84" t="s">
        <v>73</v>
      </c>
      <c r="H84" t="s">
        <v>109</v>
      </c>
      <c r="I84" t="s">
        <v>110</v>
      </c>
      <c r="J84" t="s">
        <v>111</v>
      </c>
      <c r="K84" t="s">
        <v>112</v>
      </c>
      <c r="L84" t="s">
        <v>113</v>
      </c>
      <c r="M84" t="s">
        <v>114</v>
      </c>
      <c r="N84">
        <v>48</v>
      </c>
      <c r="O84" t="s">
        <v>80</v>
      </c>
      <c r="P84">
        <v>621</v>
      </c>
      <c r="Q84">
        <v>0.68400000000000005</v>
      </c>
      <c r="R84">
        <v>175</v>
      </c>
      <c r="S84">
        <v>0.81130000000000002</v>
      </c>
      <c r="T84" t="s">
        <v>115</v>
      </c>
      <c r="U84" t="s">
        <v>116</v>
      </c>
      <c r="V84" t="s">
        <v>117</v>
      </c>
      <c r="W84" t="s">
        <v>118</v>
      </c>
      <c r="X84" t="s">
        <v>119</v>
      </c>
      <c r="Y84" t="s">
        <v>120</v>
      </c>
      <c r="Z84" t="s">
        <v>121</v>
      </c>
      <c r="AA84" t="s">
        <v>88</v>
      </c>
      <c r="AB84">
        <v>301</v>
      </c>
      <c r="AC84">
        <v>3</v>
      </c>
      <c r="AE84">
        <v>1</v>
      </c>
      <c r="AF84" t="s">
        <v>89</v>
      </c>
      <c r="AG84" t="s">
        <v>852</v>
      </c>
      <c r="AH84" t="s">
        <v>72</v>
      </c>
      <c r="AI84" t="s">
        <v>72</v>
      </c>
      <c r="AJ84" t="s">
        <v>91</v>
      </c>
      <c r="AK84" t="s">
        <v>92</v>
      </c>
      <c r="AL84" t="s">
        <v>93</v>
      </c>
      <c r="AM84" t="s">
        <v>94</v>
      </c>
      <c r="AN84" t="s">
        <v>190</v>
      </c>
      <c r="AO84" t="s">
        <v>191</v>
      </c>
      <c r="AP84" t="s">
        <v>97</v>
      </c>
      <c r="AQ84">
        <v>39</v>
      </c>
      <c r="AR84" t="s">
        <v>80</v>
      </c>
      <c r="AS84">
        <v>1323</v>
      </c>
      <c r="AT84">
        <v>0.95489999999999997</v>
      </c>
      <c r="AU84">
        <v>163</v>
      </c>
      <c r="AV84">
        <v>0.92110000000000003</v>
      </c>
      <c r="AW84" t="s">
        <v>192</v>
      </c>
      <c r="AX84" t="s">
        <v>193</v>
      </c>
      <c r="AY84" t="s">
        <v>127</v>
      </c>
      <c r="AZ84" t="s">
        <v>136</v>
      </c>
      <c r="BA84" t="s">
        <v>194</v>
      </c>
      <c r="BB84" t="s">
        <v>103</v>
      </c>
      <c r="BC84" t="s">
        <v>104</v>
      </c>
      <c r="BD84" t="s">
        <v>105</v>
      </c>
      <c r="BE84">
        <v>68233</v>
      </c>
      <c r="BF84" t="s">
        <v>106</v>
      </c>
      <c r="BG84">
        <v>809</v>
      </c>
      <c r="BH84" t="s">
        <v>80</v>
      </c>
      <c r="BI84">
        <v>1</v>
      </c>
      <c r="BJ84">
        <v>169</v>
      </c>
      <c r="BK84">
        <v>11</v>
      </c>
      <c r="BL84">
        <v>90</v>
      </c>
      <c r="BM84">
        <v>2791</v>
      </c>
      <c r="BN84">
        <v>3335</v>
      </c>
      <c r="BO84">
        <v>4908</v>
      </c>
      <c r="BP84">
        <v>26</v>
      </c>
      <c r="BQ84" s="2">
        <v>2773</v>
      </c>
      <c r="BR84">
        <f t="shared" si="17"/>
        <v>170</v>
      </c>
      <c r="BS84">
        <f t="shared" si="18"/>
        <v>12</v>
      </c>
      <c r="BT84">
        <f t="shared" si="19"/>
        <v>91</v>
      </c>
      <c r="BU84">
        <f t="shared" si="20"/>
        <v>2792</v>
      </c>
      <c r="BV84">
        <f t="shared" si="21"/>
        <v>3336</v>
      </c>
      <c r="BW84">
        <f t="shared" si="22"/>
        <v>4909</v>
      </c>
      <c r="BX84">
        <f t="shared" si="23"/>
        <v>27</v>
      </c>
      <c r="BY84" s="2">
        <f t="shared" si="24"/>
        <v>2774</v>
      </c>
      <c r="BZ84">
        <f t="shared" si="25"/>
        <v>398.4827570693941</v>
      </c>
      <c r="CA84">
        <v>398.4827570693941</v>
      </c>
      <c r="CB84">
        <v>398.4827570693941</v>
      </c>
      <c r="CC84">
        <v>398.4827570693941</v>
      </c>
      <c r="CD84">
        <v>398.4827570693941</v>
      </c>
      <c r="CE84">
        <v>398.4827570693941</v>
      </c>
      <c r="CF84">
        <v>398.4827570693941</v>
      </c>
      <c r="CG84">
        <v>398.4827570693941</v>
      </c>
      <c r="CH84">
        <f t="shared" si="26"/>
        <v>-0.36996061220421855</v>
      </c>
      <c r="CI84">
        <f t="shared" si="27"/>
        <v>-1.5212282875348677</v>
      </c>
      <c r="CJ84">
        <f t="shared" si="28"/>
        <v>-0.64136814126139885</v>
      </c>
      <c r="CK84">
        <f t="shared" si="29"/>
        <v>0.84550588036863106</v>
      </c>
      <c r="CL84">
        <f t="shared" si="30"/>
        <v>0.92281650838320861</v>
      </c>
      <c r="CM84">
        <f t="shared" si="31"/>
        <v>1.090583498517377</v>
      </c>
      <c r="CN84">
        <f t="shared" si="32"/>
        <v>-1.1690457694235052</v>
      </c>
      <c r="CO84" s="2">
        <f t="shared" si="33"/>
        <v>0.84269692315477362</v>
      </c>
      <c r="CP84">
        <v>-1.1215109784828099</v>
      </c>
      <c r="CQ84">
        <v>0.30529802252155003</v>
      </c>
      <c r="CR84">
        <v>-0.37040945486115301</v>
      </c>
      <c r="CS84">
        <v>0.84586543257842295</v>
      </c>
      <c r="CT84">
        <v>0.68136988716031599</v>
      </c>
      <c r="CU84">
        <v>0.72218701078929204</v>
      </c>
      <c r="CV84">
        <v>-0.45907058440222898</v>
      </c>
      <c r="CW84">
        <v>0.83022475004954999</v>
      </c>
      <c r="CX84" t="s">
        <v>1826</v>
      </c>
    </row>
    <row r="85" spans="1:102" x14ac:dyDescent="0.35">
      <c r="A85" t="s">
        <v>780</v>
      </c>
      <c r="B85" t="s">
        <v>148</v>
      </c>
      <c r="C85" t="s">
        <v>781</v>
      </c>
      <c r="D85" t="s">
        <v>72</v>
      </c>
      <c r="E85" t="s">
        <v>72</v>
      </c>
      <c r="F85" t="s">
        <v>72</v>
      </c>
      <c r="G85" t="s">
        <v>73</v>
      </c>
      <c r="H85" t="s">
        <v>109</v>
      </c>
      <c r="I85" t="s">
        <v>110</v>
      </c>
      <c r="J85" t="s">
        <v>111</v>
      </c>
      <c r="K85" t="s">
        <v>112</v>
      </c>
      <c r="L85" t="s">
        <v>113</v>
      </c>
      <c r="M85" t="s">
        <v>114</v>
      </c>
      <c r="N85">
        <v>48</v>
      </c>
      <c r="O85" t="s">
        <v>80</v>
      </c>
      <c r="P85">
        <v>621</v>
      </c>
      <c r="Q85">
        <v>0.68400000000000005</v>
      </c>
      <c r="R85">
        <v>175</v>
      </c>
      <c r="S85">
        <v>0.81130000000000002</v>
      </c>
      <c r="T85" t="s">
        <v>115</v>
      </c>
      <c r="U85" t="s">
        <v>116</v>
      </c>
      <c r="V85" t="s">
        <v>117</v>
      </c>
      <c r="W85" t="s">
        <v>118</v>
      </c>
      <c r="X85" t="s">
        <v>119</v>
      </c>
      <c r="Y85" t="s">
        <v>120</v>
      </c>
      <c r="Z85" t="s">
        <v>121</v>
      </c>
      <c r="AA85" t="s">
        <v>88</v>
      </c>
      <c r="AB85">
        <v>527</v>
      </c>
      <c r="AC85">
        <v>5</v>
      </c>
      <c r="AE85">
        <v>1</v>
      </c>
      <c r="AF85" t="s">
        <v>89</v>
      </c>
      <c r="AG85" t="s">
        <v>782</v>
      </c>
      <c r="AH85" t="s">
        <v>72</v>
      </c>
      <c r="AI85" t="s">
        <v>72</v>
      </c>
      <c r="AJ85" t="s">
        <v>91</v>
      </c>
      <c r="AK85" t="s">
        <v>92</v>
      </c>
      <c r="AL85" t="s">
        <v>93</v>
      </c>
      <c r="AM85" t="s">
        <v>94</v>
      </c>
      <c r="AN85" t="s">
        <v>783</v>
      </c>
      <c r="AO85" t="s">
        <v>784</v>
      </c>
      <c r="AP85" t="s">
        <v>97</v>
      </c>
      <c r="AQ85">
        <v>39</v>
      </c>
      <c r="AR85" t="s">
        <v>80</v>
      </c>
      <c r="AS85">
        <v>1350</v>
      </c>
      <c r="AT85">
        <v>0.96530000000000005</v>
      </c>
      <c r="AU85">
        <v>163</v>
      </c>
      <c r="AV85">
        <v>0.92110000000000003</v>
      </c>
      <c r="AW85" t="s">
        <v>98</v>
      </c>
      <c r="AX85" t="s">
        <v>146</v>
      </c>
      <c r="AY85" t="s">
        <v>785</v>
      </c>
      <c r="AZ85" t="s">
        <v>136</v>
      </c>
      <c r="BA85" t="s">
        <v>128</v>
      </c>
      <c r="BB85" t="s">
        <v>103</v>
      </c>
      <c r="BC85" t="s">
        <v>104</v>
      </c>
      <c r="BD85" t="s">
        <v>105</v>
      </c>
      <c r="BE85">
        <v>85879</v>
      </c>
      <c r="BF85" t="s">
        <v>106</v>
      </c>
      <c r="BG85">
        <v>972</v>
      </c>
      <c r="BH85" t="s">
        <v>80</v>
      </c>
      <c r="BI85">
        <v>1</v>
      </c>
      <c r="BJ85">
        <v>153</v>
      </c>
      <c r="BK85">
        <v>4</v>
      </c>
      <c r="BL85">
        <v>53</v>
      </c>
      <c r="BM85">
        <v>1877</v>
      </c>
      <c r="BN85">
        <v>2446</v>
      </c>
      <c r="BO85">
        <v>3472</v>
      </c>
      <c r="BP85">
        <v>17</v>
      </c>
      <c r="BQ85" s="2">
        <v>1812</v>
      </c>
      <c r="BR85">
        <f t="shared" si="17"/>
        <v>154</v>
      </c>
      <c r="BS85">
        <f t="shared" si="18"/>
        <v>5</v>
      </c>
      <c r="BT85">
        <f t="shared" si="19"/>
        <v>54</v>
      </c>
      <c r="BU85">
        <f t="shared" si="20"/>
        <v>1878</v>
      </c>
      <c r="BV85">
        <f t="shared" si="21"/>
        <v>2447</v>
      </c>
      <c r="BW85">
        <f t="shared" si="22"/>
        <v>3473</v>
      </c>
      <c r="BX85">
        <f t="shared" si="23"/>
        <v>18</v>
      </c>
      <c r="BY85" s="2">
        <f t="shared" si="24"/>
        <v>1813</v>
      </c>
      <c r="BZ85">
        <f t="shared" si="25"/>
        <v>261.18524675667845</v>
      </c>
      <c r="CA85">
        <v>261.18524675667845</v>
      </c>
      <c r="CB85">
        <v>261.18524675667845</v>
      </c>
      <c r="CC85">
        <v>261.18524675667845</v>
      </c>
      <c r="CD85">
        <v>261.18524675667845</v>
      </c>
      <c r="CE85">
        <v>261.18524675667845</v>
      </c>
      <c r="CF85">
        <v>261.18524675667845</v>
      </c>
      <c r="CG85">
        <v>261.18524675667845</v>
      </c>
      <c r="CH85">
        <f t="shared" si="26"/>
        <v>-0.22942792101190049</v>
      </c>
      <c r="CI85">
        <f t="shared" si="27"/>
        <v>-1.7179786375123447</v>
      </c>
      <c r="CJ85">
        <f t="shared" si="28"/>
        <v>-0.68455488202539505</v>
      </c>
      <c r="CK85">
        <f t="shared" si="29"/>
        <v>0.85674694608172852</v>
      </c>
      <c r="CL85">
        <f t="shared" si="30"/>
        <v>0.97168532750342562</v>
      </c>
      <c r="CM85">
        <f t="shared" si="31"/>
        <v>1.1237561414623989</v>
      </c>
      <c r="CN85">
        <f t="shared" si="32"/>
        <v>-1.1616761367450574</v>
      </c>
      <c r="CO85" s="2">
        <f t="shared" si="33"/>
        <v>0.84144916224714505</v>
      </c>
      <c r="CP85">
        <v>-0.952670457409444</v>
      </c>
      <c r="CQ85">
        <v>-0.27594274486233</v>
      </c>
      <c r="CR85">
        <v>-0.56336252132645104</v>
      </c>
      <c r="CS85">
        <v>0.87898666956814797</v>
      </c>
      <c r="CT85">
        <v>0.81740187115171503</v>
      </c>
      <c r="CU85">
        <v>0.81798276913025403</v>
      </c>
      <c r="CV85">
        <v>-0.43930542269935902</v>
      </c>
      <c r="CW85">
        <v>0.82679758333168196</v>
      </c>
      <c r="CX85" t="s">
        <v>1826</v>
      </c>
    </row>
    <row r="86" spans="1:102" x14ac:dyDescent="0.35">
      <c r="A86" t="s">
        <v>1161</v>
      </c>
      <c r="B86" t="s">
        <v>70</v>
      </c>
      <c r="C86" t="s">
        <v>261</v>
      </c>
      <c r="D86" t="s">
        <v>72</v>
      </c>
      <c r="E86" t="s">
        <v>72</v>
      </c>
      <c r="F86" t="s">
        <v>72</v>
      </c>
      <c r="G86" t="s">
        <v>73</v>
      </c>
      <c r="H86" t="s">
        <v>109</v>
      </c>
      <c r="I86" t="s">
        <v>110</v>
      </c>
      <c r="J86" t="s">
        <v>111</v>
      </c>
      <c r="K86" t="s">
        <v>112</v>
      </c>
      <c r="L86" t="s">
        <v>113</v>
      </c>
      <c r="M86" t="s">
        <v>114</v>
      </c>
      <c r="N86">
        <v>48</v>
      </c>
      <c r="O86" t="s">
        <v>80</v>
      </c>
      <c r="P86">
        <v>621</v>
      </c>
      <c r="Q86">
        <v>0.68400000000000005</v>
      </c>
      <c r="R86">
        <v>175</v>
      </c>
      <c r="S86">
        <v>0.81130000000000002</v>
      </c>
      <c r="T86" t="s">
        <v>115</v>
      </c>
      <c r="U86" t="s">
        <v>116</v>
      </c>
      <c r="V86" t="s">
        <v>117</v>
      </c>
      <c r="W86" t="s">
        <v>118</v>
      </c>
      <c r="X86" t="s">
        <v>119</v>
      </c>
      <c r="Y86" t="s">
        <v>120</v>
      </c>
      <c r="Z86" t="s">
        <v>121</v>
      </c>
      <c r="AA86" t="s">
        <v>88</v>
      </c>
      <c r="AB86">
        <v>617</v>
      </c>
      <c r="AC86">
        <v>11</v>
      </c>
      <c r="AE86">
        <v>1</v>
      </c>
      <c r="AF86" t="s">
        <v>89</v>
      </c>
      <c r="AG86" t="s">
        <v>1162</v>
      </c>
      <c r="AH86" t="s">
        <v>72</v>
      </c>
      <c r="AI86" t="s">
        <v>72</v>
      </c>
      <c r="AJ86" t="s">
        <v>91</v>
      </c>
      <c r="AK86" t="s">
        <v>92</v>
      </c>
      <c r="AL86" t="s">
        <v>93</v>
      </c>
      <c r="AM86" t="s">
        <v>94</v>
      </c>
      <c r="AN86" t="s">
        <v>1163</v>
      </c>
      <c r="AO86" t="s">
        <v>1164</v>
      </c>
      <c r="AP86" t="s">
        <v>97</v>
      </c>
      <c r="AQ86">
        <v>39</v>
      </c>
      <c r="AR86" t="s">
        <v>80</v>
      </c>
      <c r="AS86">
        <v>1350</v>
      </c>
      <c r="AT86">
        <v>0.96530000000000005</v>
      </c>
      <c r="AU86">
        <v>172</v>
      </c>
      <c r="AV86">
        <v>0.94740000000000002</v>
      </c>
      <c r="AW86" t="s">
        <v>624</v>
      </c>
      <c r="AX86" t="s">
        <v>146</v>
      </c>
      <c r="AY86" t="s">
        <v>127</v>
      </c>
      <c r="AZ86" t="s">
        <v>101</v>
      </c>
      <c r="BA86" t="s">
        <v>128</v>
      </c>
      <c r="BB86" t="s">
        <v>103</v>
      </c>
      <c r="BC86" t="s">
        <v>104</v>
      </c>
      <c r="BD86" t="s">
        <v>105</v>
      </c>
      <c r="BE86">
        <v>70853</v>
      </c>
      <c r="BF86" t="s">
        <v>106</v>
      </c>
      <c r="BG86">
        <v>854</v>
      </c>
      <c r="BH86" t="s">
        <v>80</v>
      </c>
      <c r="BI86">
        <v>1</v>
      </c>
      <c r="BJ86">
        <v>213</v>
      </c>
      <c r="BK86">
        <v>13</v>
      </c>
      <c r="BL86">
        <v>97</v>
      </c>
      <c r="BM86">
        <v>3006</v>
      </c>
      <c r="BN86">
        <v>3883</v>
      </c>
      <c r="BO86">
        <v>5178</v>
      </c>
      <c r="BP86">
        <v>16</v>
      </c>
      <c r="BQ86" s="2">
        <v>2865</v>
      </c>
      <c r="BR86">
        <f t="shared" si="17"/>
        <v>214</v>
      </c>
      <c r="BS86">
        <f t="shared" si="18"/>
        <v>14</v>
      </c>
      <c r="BT86">
        <f t="shared" si="19"/>
        <v>98</v>
      </c>
      <c r="BU86">
        <f t="shared" si="20"/>
        <v>3007</v>
      </c>
      <c r="BV86">
        <f t="shared" si="21"/>
        <v>3884</v>
      </c>
      <c r="BW86">
        <f t="shared" si="22"/>
        <v>5179</v>
      </c>
      <c r="BX86">
        <f t="shared" si="23"/>
        <v>17</v>
      </c>
      <c r="BY86" s="2">
        <f t="shared" si="24"/>
        <v>2866</v>
      </c>
      <c r="BZ86">
        <f t="shared" si="25"/>
        <v>414.13691504538963</v>
      </c>
      <c r="CA86">
        <v>414.13691504538963</v>
      </c>
      <c r="CB86">
        <v>414.13691504538963</v>
      </c>
      <c r="CC86">
        <v>414.13691504538963</v>
      </c>
      <c r="CD86">
        <v>414.13691504538963</v>
      </c>
      <c r="CE86">
        <v>414.13691504538963</v>
      </c>
      <c r="CF86">
        <v>414.13691504538963</v>
      </c>
      <c r="CG86">
        <v>414.13691504538963</v>
      </c>
      <c r="CH86">
        <f t="shared" si="26"/>
        <v>-0.28673017071504686</v>
      </c>
      <c r="CI86">
        <f t="shared" si="27"/>
        <v>-1.4710159083859997</v>
      </c>
      <c r="CJ86">
        <f t="shared" si="28"/>
        <v>-0.6259178683717429</v>
      </c>
      <c r="CK86">
        <f t="shared" si="29"/>
        <v>0.86098948403627973</v>
      </c>
      <c r="CL86">
        <f t="shared" si="30"/>
        <v>0.97213527717172954</v>
      </c>
      <c r="CM86">
        <f t="shared" si="31"/>
        <v>1.0971019669536564</v>
      </c>
      <c r="CN86">
        <f t="shared" si="32"/>
        <v>-1.3866950226859638</v>
      </c>
      <c r="CO86" s="2">
        <f t="shared" si="33"/>
        <v>0.84013224199708791</v>
      </c>
      <c r="CP86">
        <v>-1.02151523378475</v>
      </c>
      <c r="CQ86">
        <v>0.45363565847492598</v>
      </c>
      <c r="CR86">
        <v>-0.30137952856789302</v>
      </c>
      <c r="CS86">
        <v>0.89148709511649005</v>
      </c>
      <c r="CT86">
        <v>0.81865435785341101</v>
      </c>
      <c r="CU86">
        <v>0.74101100464802505</v>
      </c>
      <c r="CV86">
        <v>-1.04280017757747</v>
      </c>
      <c r="CW86">
        <v>0.82318045987197996</v>
      </c>
      <c r="CX86" t="s">
        <v>1826</v>
      </c>
    </row>
    <row r="87" spans="1:102" x14ac:dyDescent="0.35">
      <c r="A87" t="s">
        <v>1100</v>
      </c>
      <c r="B87" t="s">
        <v>231</v>
      </c>
      <c r="C87" t="s">
        <v>1101</v>
      </c>
      <c r="D87" t="s">
        <v>72</v>
      </c>
      <c r="E87" t="s">
        <v>72</v>
      </c>
      <c r="F87" t="s">
        <v>72</v>
      </c>
      <c r="G87" t="s">
        <v>73</v>
      </c>
      <c r="H87" t="s">
        <v>109</v>
      </c>
      <c r="I87" t="s">
        <v>110</v>
      </c>
      <c r="J87" t="s">
        <v>111</v>
      </c>
      <c r="K87" t="s">
        <v>112</v>
      </c>
      <c r="L87" t="s">
        <v>113</v>
      </c>
      <c r="M87" t="s">
        <v>114</v>
      </c>
      <c r="N87">
        <v>48</v>
      </c>
      <c r="O87" t="s">
        <v>80</v>
      </c>
      <c r="P87">
        <v>621</v>
      </c>
      <c r="Q87">
        <v>0.68400000000000005</v>
      </c>
      <c r="R87">
        <v>175</v>
      </c>
      <c r="S87">
        <v>0.81130000000000002</v>
      </c>
      <c r="T87" t="s">
        <v>115</v>
      </c>
      <c r="U87" t="s">
        <v>116</v>
      </c>
      <c r="V87" t="s">
        <v>117</v>
      </c>
      <c r="W87" t="s">
        <v>118</v>
      </c>
      <c r="X87" t="s">
        <v>119</v>
      </c>
      <c r="Y87" t="s">
        <v>120</v>
      </c>
      <c r="Z87" t="s">
        <v>121</v>
      </c>
      <c r="AA87" t="s">
        <v>88</v>
      </c>
      <c r="AB87">
        <v>1879</v>
      </c>
      <c r="AC87">
        <v>14</v>
      </c>
      <c r="AE87">
        <v>1</v>
      </c>
      <c r="AF87" t="s">
        <v>89</v>
      </c>
      <c r="AG87" t="s">
        <v>1102</v>
      </c>
      <c r="AH87" t="s">
        <v>72</v>
      </c>
      <c r="AI87" t="s">
        <v>72</v>
      </c>
      <c r="AJ87" t="s">
        <v>91</v>
      </c>
      <c r="AK87" t="s">
        <v>92</v>
      </c>
      <c r="AL87" t="s">
        <v>93</v>
      </c>
      <c r="AM87" t="s">
        <v>94</v>
      </c>
      <c r="AN87" t="s">
        <v>1103</v>
      </c>
      <c r="AO87" t="s">
        <v>1104</v>
      </c>
      <c r="AP87" t="s">
        <v>97</v>
      </c>
      <c r="AQ87">
        <v>39</v>
      </c>
      <c r="AR87" t="s">
        <v>80</v>
      </c>
      <c r="AS87">
        <v>1341</v>
      </c>
      <c r="AT87">
        <v>0.96179999999999999</v>
      </c>
      <c r="AU87">
        <v>172</v>
      </c>
      <c r="AV87">
        <v>0.94740000000000002</v>
      </c>
      <c r="AW87" t="s">
        <v>98</v>
      </c>
      <c r="AX87" t="s">
        <v>146</v>
      </c>
      <c r="AY87" t="s">
        <v>127</v>
      </c>
      <c r="AZ87" t="s">
        <v>101</v>
      </c>
      <c r="BA87" t="s">
        <v>1105</v>
      </c>
      <c r="BB87" t="s">
        <v>655</v>
      </c>
      <c r="BC87" t="s">
        <v>104</v>
      </c>
      <c r="BD87" t="s">
        <v>584</v>
      </c>
      <c r="BE87">
        <v>77306</v>
      </c>
      <c r="BF87" t="s">
        <v>106</v>
      </c>
      <c r="BG87">
        <v>891</v>
      </c>
      <c r="BH87" t="s">
        <v>80</v>
      </c>
      <c r="BI87">
        <v>1</v>
      </c>
      <c r="BJ87">
        <v>149</v>
      </c>
      <c r="BK87">
        <v>9</v>
      </c>
      <c r="BL87">
        <v>88</v>
      </c>
      <c r="BM87">
        <v>2868</v>
      </c>
      <c r="BN87">
        <v>3740</v>
      </c>
      <c r="BO87">
        <v>5017</v>
      </c>
      <c r="BP87">
        <v>29</v>
      </c>
      <c r="BQ87" s="2">
        <v>2729</v>
      </c>
      <c r="BR87">
        <f t="shared" si="17"/>
        <v>150</v>
      </c>
      <c r="BS87">
        <f t="shared" si="18"/>
        <v>10</v>
      </c>
      <c r="BT87">
        <f t="shared" si="19"/>
        <v>89</v>
      </c>
      <c r="BU87">
        <f t="shared" si="20"/>
        <v>2869</v>
      </c>
      <c r="BV87">
        <f t="shared" si="21"/>
        <v>3741</v>
      </c>
      <c r="BW87">
        <f t="shared" si="22"/>
        <v>5018</v>
      </c>
      <c r="BX87">
        <f t="shared" si="23"/>
        <v>30</v>
      </c>
      <c r="BY87" s="2">
        <f t="shared" si="24"/>
        <v>2730</v>
      </c>
      <c r="BZ87">
        <f t="shared" si="25"/>
        <v>394.68603490106074</v>
      </c>
      <c r="CA87">
        <v>394.68603490106074</v>
      </c>
      <c r="CB87">
        <v>394.68603490106074</v>
      </c>
      <c r="CC87">
        <v>394.68603490106074</v>
      </c>
      <c r="CD87">
        <v>394.68603490106074</v>
      </c>
      <c r="CE87">
        <v>394.68603490106074</v>
      </c>
      <c r="CF87">
        <v>394.68603490106074</v>
      </c>
      <c r="CG87">
        <v>394.68603490106074</v>
      </c>
      <c r="CH87">
        <f t="shared" si="26"/>
        <v>-0.42016050105479474</v>
      </c>
      <c r="CI87">
        <f t="shared" si="27"/>
        <v>-1.596251760110476</v>
      </c>
      <c r="CJ87">
        <f t="shared" si="28"/>
        <v>-0.64686175346556318</v>
      </c>
      <c r="CK87">
        <f t="shared" si="29"/>
        <v>0.86147878813552248</v>
      </c>
      <c r="CL87">
        <f t="shared" si="30"/>
        <v>0.97673594808772912</v>
      </c>
      <c r="CM87">
        <f t="shared" si="31"/>
        <v>1.1042788968681156</v>
      </c>
      <c r="CN87">
        <f t="shared" si="32"/>
        <v>-1.1191305053908136</v>
      </c>
      <c r="CO87" s="2">
        <f t="shared" si="33"/>
        <v>0.83991088693028004</v>
      </c>
      <c r="CP87">
        <v>-1.18182274878655</v>
      </c>
      <c r="CQ87">
        <v>8.3663342956090903E-2</v>
      </c>
      <c r="CR87">
        <v>-0.39495424110833399</v>
      </c>
      <c r="CS87">
        <v>0.89292880513266504</v>
      </c>
      <c r="CT87">
        <v>0.83146085499538902</v>
      </c>
      <c r="CU87">
        <v>0.76173649959441803</v>
      </c>
      <c r="CV87">
        <v>-0.32519915442814101</v>
      </c>
      <c r="CW87">
        <v>0.82257247422893198</v>
      </c>
      <c r="CX87" t="s">
        <v>1826</v>
      </c>
    </row>
    <row r="88" spans="1:102" x14ac:dyDescent="0.35">
      <c r="A88" t="s">
        <v>1817</v>
      </c>
      <c r="B88" t="s">
        <v>178</v>
      </c>
      <c r="C88" t="s">
        <v>108</v>
      </c>
      <c r="D88" t="s">
        <v>72</v>
      </c>
      <c r="E88" t="s">
        <v>72</v>
      </c>
      <c r="F88" t="s">
        <v>72</v>
      </c>
      <c r="G88" t="s">
        <v>73</v>
      </c>
      <c r="H88" t="s">
        <v>109</v>
      </c>
      <c r="I88" t="s">
        <v>110</v>
      </c>
      <c r="J88" t="s">
        <v>111</v>
      </c>
      <c r="K88" t="s">
        <v>112</v>
      </c>
      <c r="L88" t="s">
        <v>113</v>
      </c>
      <c r="M88" t="s">
        <v>114</v>
      </c>
      <c r="N88">
        <v>48</v>
      </c>
      <c r="O88" t="s">
        <v>80</v>
      </c>
      <c r="P88">
        <v>621</v>
      </c>
      <c r="Q88">
        <v>0.68400000000000005</v>
      </c>
      <c r="R88">
        <v>175</v>
      </c>
      <c r="S88">
        <v>0.81130000000000002</v>
      </c>
      <c r="T88" t="s">
        <v>115</v>
      </c>
      <c r="U88" t="s">
        <v>116</v>
      </c>
      <c r="V88" t="s">
        <v>117</v>
      </c>
      <c r="W88" t="s">
        <v>118</v>
      </c>
      <c r="X88" t="s">
        <v>119</v>
      </c>
      <c r="Y88" t="s">
        <v>120</v>
      </c>
      <c r="Z88" t="s">
        <v>121</v>
      </c>
      <c r="AA88" t="s">
        <v>88</v>
      </c>
      <c r="AB88">
        <v>378</v>
      </c>
      <c r="AC88">
        <v>5</v>
      </c>
      <c r="AE88">
        <v>1</v>
      </c>
      <c r="AF88" t="s">
        <v>89</v>
      </c>
      <c r="AG88" t="s">
        <v>1818</v>
      </c>
      <c r="AH88" t="s">
        <v>72</v>
      </c>
      <c r="AI88" t="s">
        <v>72</v>
      </c>
      <c r="AJ88" t="s">
        <v>91</v>
      </c>
      <c r="AK88" t="s">
        <v>92</v>
      </c>
      <c r="AL88" t="s">
        <v>93</v>
      </c>
      <c r="AM88" t="s">
        <v>94</v>
      </c>
      <c r="AN88" t="s">
        <v>1819</v>
      </c>
      <c r="AO88" t="s">
        <v>1820</v>
      </c>
      <c r="AP88" t="s">
        <v>97</v>
      </c>
      <c r="AQ88">
        <v>39</v>
      </c>
      <c r="AR88" t="s">
        <v>80</v>
      </c>
      <c r="AS88">
        <v>1350</v>
      </c>
      <c r="AT88">
        <v>0.96530000000000005</v>
      </c>
      <c r="AU88">
        <v>172</v>
      </c>
      <c r="AV88">
        <v>0.94740000000000002</v>
      </c>
      <c r="AW88" t="s">
        <v>98</v>
      </c>
      <c r="AX88" t="s">
        <v>146</v>
      </c>
      <c r="AY88" t="s">
        <v>127</v>
      </c>
      <c r="AZ88" t="s">
        <v>101</v>
      </c>
      <c r="BA88" t="s">
        <v>1821</v>
      </c>
      <c r="BB88" t="s">
        <v>103</v>
      </c>
      <c r="BC88" t="s">
        <v>104</v>
      </c>
      <c r="BD88" t="s">
        <v>105</v>
      </c>
      <c r="BE88">
        <v>97339</v>
      </c>
      <c r="BF88" t="s">
        <v>106</v>
      </c>
      <c r="BG88">
        <v>1291</v>
      </c>
      <c r="BH88" t="s">
        <v>80</v>
      </c>
      <c r="BI88">
        <v>1</v>
      </c>
      <c r="BJ88">
        <v>54</v>
      </c>
      <c r="BK88">
        <v>4</v>
      </c>
      <c r="BL88">
        <v>46</v>
      </c>
      <c r="BM88">
        <v>1320</v>
      </c>
      <c r="BN88">
        <v>1694</v>
      </c>
      <c r="BO88">
        <v>2420</v>
      </c>
      <c r="BP88">
        <v>11</v>
      </c>
      <c r="BQ88" s="2">
        <v>1232</v>
      </c>
      <c r="BR88">
        <f t="shared" si="17"/>
        <v>55</v>
      </c>
      <c r="BS88">
        <f t="shared" si="18"/>
        <v>5</v>
      </c>
      <c r="BT88">
        <f t="shared" si="19"/>
        <v>47</v>
      </c>
      <c r="BU88">
        <f t="shared" si="20"/>
        <v>1321</v>
      </c>
      <c r="BV88">
        <f t="shared" si="21"/>
        <v>1695</v>
      </c>
      <c r="BW88">
        <f t="shared" si="22"/>
        <v>2421</v>
      </c>
      <c r="BX88">
        <f t="shared" si="23"/>
        <v>12</v>
      </c>
      <c r="BY88" s="2">
        <f t="shared" si="24"/>
        <v>1233</v>
      </c>
      <c r="BZ88">
        <f t="shared" si="25"/>
        <v>178.63035980399917</v>
      </c>
      <c r="CA88">
        <v>178.63035980399917</v>
      </c>
      <c r="CB88">
        <v>178.63035980399917</v>
      </c>
      <c r="CC88">
        <v>178.63035980399917</v>
      </c>
      <c r="CD88">
        <v>178.63035980399917</v>
      </c>
      <c r="CE88">
        <v>178.63035980399917</v>
      </c>
      <c r="CF88">
        <v>178.63035980399917</v>
      </c>
      <c r="CG88">
        <v>178.63035980399917</v>
      </c>
      <c r="CH88">
        <f t="shared" si="26"/>
        <v>-0.51159258350634329</v>
      </c>
      <c r="CI88">
        <f t="shared" si="27"/>
        <v>-1.5529852686645684</v>
      </c>
      <c r="CJ88">
        <f t="shared" si="28"/>
        <v>-0.57985741506486976</v>
      </c>
      <c r="CK88">
        <f t="shared" si="29"/>
        <v>0.86894754461393997</v>
      </c>
      <c r="CL88">
        <f t="shared" si="30"/>
        <v>0.97721442953851378</v>
      </c>
      <c r="CM88">
        <f t="shared" si="31"/>
        <v>1.1320395164411456</v>
      </c>
      <c r="CN88">
        <f t="shared" si="32"/>
        <v>-1.1727740269529623</v>
      </c>
      <c r="CO88" s="2">
        <f t="shared" si="33"/>
        <v>0.83900780359514449</v>
      </c>
      <c r="CP88">
        <v>-1.2916722102390199</v>
      </c>
      <c r="CQ88">
        <v>0.21148140626782699</v>
      </c>
      <c r="CR88">
        <v>-9.5587066550194597E-2</v>
      </c>
      <c r="CS88">
        <v>0.91493512194050897</v>
      </c>
      <c r="CT88">
        <v>0.83279276319831097</v>
      </c>
      <c r="CU88">
        <v>0.84190344946394702</v>
      </c>
      <c r="CV88">
        <v>-0.46906967338737798</v>
      </c>
      <c r="CW88">
        <v>0.82009201733152803</v>
      </c>
      <c r="CX88" t="s">
        <v>1826</v>
      </c>
    </row>
    <row r="89" spans="1:102" x14ac:dyDescent="0.35">
      <c r="A89" t="s">
        <v>289</v>
      </c>
      <c r="B89" t="s">
        <v>142</v>
      </c>
      <c r="C89" t="s">
        <v>261</v>
      </c>
      <c r="D89" t="s">
        <v>72</v>
      </c>
      <c r="E89" t="s">
        <v>72</v>
      </c>
      <c r="F89" t="s">
        <v>72</v>
      </c>
      <c r="G89" t="s">
        <v>73</v>
      </c>
      <c r="H89" t="s">
        <v>109</v>
      </c>
      <c r="I89" t="s">
        <v>110</v>
      </c>
      <c r="J89" t="s">
        <v>111</v>
      </c>
      <c r="K89" t="s">
        <v>112</v>
      </c>
      <c r="L89" t="s">
        <v>113</v>
      </c>
      <c r="M89" t="s">
        <v>114</v>
      </c>
      <c r="N89">
        <v>48</v>
      </c>
      <c r="O89" t="s">
        <v>80</v>
      </c>
      <c r="P89">
        <v>621</v>
      </c>
      <c r="Q89">
        <v>0.68400000000000005</v>
      </c>
      <c r="R89">
        <v>175</v>
      </c>
      <c r="S89">
        <v>0.81130000000000002</v>
      </c>
      <c r="T89" t="s">
        <v>115</v>
      </c>
      <c r="U89" t="s">
        <v>116</v>
      </c>
      <c r="V89" t="s">
        <v>117</v>
      </c>
      <c r="W89" t="s">
        <v>118</v>
      </c>
      <c r="X89" t="s">
        <v>119</v>
      </c>
      <c r="Y89" t="s">
        <v>120</v>
      </c>
      <c r="Z89" t="s">
        <v>121</v>
      </c>
      <c r="AA89" t="s">
        <v>88</v>
      </c>
      <c r="AB89">
        <v>551</v>
      </c>
      <c r="AC89">
        <v>8</v>
      </c>
      <c r="AE89">
        <v>1</v>
      </c>
      <c r="AF89" t="s">
        <v>89</v>
      </c>
      <c r="AG89" t="s">
        <v>290</v>
      </c>
      <c r="AH89" t="s">
        <v>72</v>
      </c>
      <c r="AI89" t="s">
        <v>72</v>
      </c>
      <c r="AJ89" t="s">
        <v>91</v>
      </c>
      <c r="AK89" t="s">
        <v>92</v>
      </c>
      <c r="AL89" t="s">
        <v>93</v>
      </c>
      <c r="AM89" t="s">
        <v>94</v>
      </c>
      <c r="AN89" t="s">
        <v>291</v>
      </c>
      <c r="AO89" t="s">
        <v>292</v>
      </c>
      <c r="AP89" t="s">
        <v>97</v>
      </c>
      <c r="AQ89">
        <v>39</v>
      </c>
      <c r="AR89" t="s">
        <v>80</v>
      </c>
      <c r="AS89">
        <v>1350</v>
      </c>
      <c r="AT89">
        <v>0.96530000000000005</v>
      </c>
      <c r="AU89">
        <v>172</v>
      </c>
      <c r="AV89">
        <v>0.94740000000000002</v>
      </c>
      <c r="AW89" t="s">
        <v>98</v>
      </c>
      <c r="AX89" t="s">
        <v>293</v>
      </c>
      <c r="AY89" t="s">
        <v>127</v>
      </c>
      <c r="AZ89" t="s">
        <v>101</v>
      </c>
      <c r="BA89" t="s">
        <v>128</v>
      </c>
      <c r="BB89" t="s">
        <v>103</v>
      </c>
      <c r="BC89" t="s">
        <v>104</v>
      </c>
      <c r="BD89" t="s">
        <v>105</v>
      </c>
      <c r="BE89">
        <v>82472</v>
      </c>
      <c r="BF89" t="s">
        <v>106</v>
      </c>
      <c r="BG89">
        <v>991</v>
      </c>
      <c r="BH89" t="s">
        <v>80</v>
      </c>
      <c r="BI89">
        <v>1</v>
      </c>
      <c r="BJ89">
        <v>70</v>
      </c>
      <c r="BK89">
        <v>5</v>
      </c>
      <c r="BL89">
        <v>51</v>
      </c>
      <c r="BM89">
        <v>2012</v>
      </c>
      <c r="BN89">
        <v>2764</v>
      </c>
      <c r="BO89">
        <v>3617</v>
      </c>
      <c r="BP89">
        <v>24</v>
      </c>
      <c r="BQ89" s="2">
        <v>1767</v>
      </c>
      <c r="BR89">
        <f t="shared" si="17"/>
        <v>71</v>
      </c>
      <c r="BS89">
        <f t="shared" si="18"/>
        <v>6</v>
      </c>
      <c r="BT89">
        <f t="shared" si="19"/>
        <v>52</v>
      </c>
      <c r="BU89">
        <f t="shared" si="20"/>
        <v>2013</v>
      </c>
      <c r="BV89">
        <f t="shared" si="21"/>
        <v>2765</v>
      </c>
      <c r="BW89">
        <f t="shared" si="22"/>
        <v>3618</v>
      </c>
      <c r="BX89">
        <f t="shared" si="23"/>
        <v>25</v>
      </c>
      <c r="BY89" s="2">
        <f t="shared" si="24"/>
        <v>1768</v>
      </c>
      <c r="BZ89">
        <f t="shared" si="25"/>
        <v>258.1400177862248</v>
      </c>
      <c r="CA89">
        <v>258.1400177862248</v>
      </c>
      <c r="CB89">
        <v>258.1400177862248</v>
      </c>
      <c r="CC89">
        <v>258.1400177862248</v>
      </c>
      <c r="CD89">
        <v>258.1400177862248</v>
      </c>
      <c r="CE89">
        <v>258.1400177862248</v>
      </c>
      <c r="CF89">
        <v>258.1400177862248</v>
      </c>
      <c r="CG89">
        <v>258.1400177862248</v>
      </c>
      <c r="CH89">
        <f t="shared" si="26"/>
        <v>-0.56059698692339677</v>
      </c>
      <c r="CI89">
        <f t="shared" si="27"/>
        <v>-1.6337040852588285</v>
      </c>
      <c r="CJ89">
        <f t="shared" si="28"/>
        <v>-0.69585199200767289</v>
      </c>
      <c r="CK89">
        <f t="shared" si="29"/>
        <v>0.89198843924618243</v>
      </c>
      <c r="CL89">
        <f t="shared" si="30"/>
        <v>1.0298397999982449</v>
      </c>
      <c r="CM89">
        <f t="shared" si="31"/>
        <v>1.1466132268813229</v>
      </c>
      <c r="CN89">
        <f t="shared" si="32"/>
        <v>-1.0139153269704344</v>
      </c>
      <c r="CO89" s="2">
        <f t="shared" si="33"/>
        <v>0.83562692503458225</v>
      </c>
      <c r="CP89">
        <v>-1.350547685672</v>
      </c>
      <c r="CQ89">
        <v>-2.6978484171692699E-2</v>
      </c>
      <c r="CR89">
        <v>-0.61383662459783095</v>
      </c>
      <c r="CS89">
        <v>0.98282396371470204</v>
      </c>
      <c r="CT89">
        <v>0.97928154031218295</v>
      </c>
      <c r="CU89">
        <v>0.88398932262672703</v>
      </c>
      <c r="CV89">
        <v>-4.3014803346878003E-2</v>
      </c>
      <c r="CW89">
        <v>0.810805915796313</v>
      </c>
      <c r="CX89" t="s">
        <v>1826</v>
      </c>
    </row>
    <row r="90" spans="1:102" x14ac:dyDescent="0.35">
      <c r="A90" t="s">
        <v>905</v>
      </c>
      <c r="B90" t="s">
        <v>231</v>
      </c>
      <c r="C90" t="s">
        <v>108</v>
      </c>
      <c r="D90" t="s">
        <v>72</v>
      </c>
      <c r="E90" t="s">
        <v>72</v>
      </c>
      <c r="F90" t="s">
        <v>72</v>
      </c>
      <c r="G90" t="s">
        <v>73</v>
      </c>
      <c r="H90" t="s">
        <v>109</v>
      </c>
      <c r="I90" t="s">
        <v>110</v>
      </c>
      <c r="J90" t="s">
        <v>111</v>
      </c>
      <c r="K90" t="s">
        <v>112</v>
      </c>
      <c r="L90" t="s">
        <v>113</v>
      </c>
      <c r="M90" t="s">
        <v>114</v>
      </c>
      <c r="N90">
        <v>48</v>
      </c>
      <c r="O90" t="s">
        <v>80</v>
      </c>
      <c r="P90">
        <v>621</v>
      </c>
      <c r="Q90">
        <v>0.68400000000000005</v>
      </c>
      <c r="R90">
        <v>175</v>
      </c>
      <c r="S90">
        <v>0.81130000000000002</v>
      </c>
      <c r="T90" t="s">
        <v>115</v>
      </c>
      <c r="U90" t="s">
        <v>116</v>
      </c>
      <c r="V90" t="s">
        <v>117</v>
      </c>
      <c r="W90" t="s">
        <v>118</v>
      </c>
      <c r="X90" t="s">
        <v>119</v>
      </c>
      <c r="Y90" t="s">
        <v>120</v>
      </c>
      <c r="Z90" t="s">
        <v>121</v>
      </c>
      <c r="AA90" t="s">
        <v>88</v>
      </c>
      <c r="AB90">
        <v>541</v>
      </c>
      <c r="AC90">
        <v>7</v>
      </c>
      <c r="AE90">
        <v>1</v>
      </c>
      <c r="AF90" t="s">
        <v>89</v>
      </c>
      <c r="AG90" t="s">
        <v>906</v>
      </c>
      <c r="AH90" t="s">
        <v>72</v>
      </c>
      <c r="AI90" t="s">
        <v>72</v>
      </c>
      <c r="AJ90" t="s">
        <v>91</v>
      </c>
      <c r="AK90" t="s">
        <v>92</v>
      </c>
      <c r="AL90" t="s">
        <v>93</v>
      </c>
      <c r="AM90" t="s">
        <v>94</v>
      </c>
      <c r="AN90" t="s">
        <v>907</v>
      </c>
      <c r="AO90" t="s">
        <v>908</v>
      </c>
      <c r="AP90" t="s">
        <v>97</v>
      </c>
      <c r="AQ90">
        <v>39</v>
      </c>
      <c r="AR90" t="s">
        <v>80</v>
      </c>
      <c r="AS90">
        <v>1350</v>
      </c>
      <c r="AT90">
        <v>0.96530000000000005</v>
      </c>
      <c r="AU90">
        <v>172</v>
      </c>
      <c r="AV90">
        <v>0.94740000000000002</v>
      </c>
      <c r="AW90" t="s">
        <v>98</v>
      </c>
      <c r="AX90" t="s">
        <v>146</v>
      </c>
      <c r="AY90" t="s">
        <v>878</v>
      </c>
      <c r="AZ90" t="s">
        <v>101</v>
      </c>
      <c r="BA90" t="s">
        <v>128</v>
      </c>
      <c r="BB90" t="s">
        <v>103</v>
      </c>
      <c r="BC90" t="s">
        <v>104</v>
      </c>
      <c r="BD90" t="s">
        <v>105</v>
      </c>
      <c r="BE90">
        <v>20889</v>
      </c>
      <c r="BF90" t="s">
        <v>106</v>
      </c>
      <c r="BG90">
        <v>345</v>
      </c>
      <c r="BH90" t="s">
        <v>80</v>
      </c>
      <c r="BI90">
        <v>1</v>
      </c>
      <c r="BJ90">
        <v>84</v>
      </c>
      <c r="BK90">
        <v>0</v>
      </c>
      <c r="BL90">
        <v>12</v>
      </c>
      <c r="BM90">
        <v>566</v>
      </c>
      <c r="BN90">
        <v>773</v>
      </c>
      <c r="BO90">
        <v>1254</v>
      </c>
      <c r="BP90">
        <v>8</v>
      </c>
      <c r="BQ90" s="2">
        <v>591</v>
      </c>
      <c r="BR90">
        <f t="shared" si="17"/>
        <v>85</v>
      </c>
      <c r="BS90">
        <f t="shared" si="18"/>
        <v>1</v>
      </c>
      <c r="BT90">
        <f t="shared" si="19"/>
        <v>13</v>
      </c>
      <c r="BU90">
        <f t="shared" si="20"/>
        <v>567</v>
      </c>
      <c r="BV90">
        <f t="shared" si="21"/>
        <v>774</v>
      </c>
      <c r="BW90">
        <f t="shared" si="22"/>
        <v>1255</v>
      </c>
      <c r="BX90">
        <f t="shared" si="23"/>
        <v>9</v>
      </c>
      <c r="BY90" s="2">
        <f t="shared" si="24"/>
        <v>592</v>
      </c>
      <c r="BZ90">
        <f t="shared" si="25"/>
        <v>86.868391496101367</v>
      </c>
      <c r="CA90">
        <v>86.868391496101367</v>
      </c>
      <c r="CB90">
        <v>86.868391496101367</v>
      </c>
      <c r="CC90">
        <v>86.868391496101367</v>
      </c>
      <c r="CD90">
        <v>86.868391496101367</v>
      </c>
      <c r="CE90">
        <v>86.868391496101367</v>
      </c>
      <c r="CF90">
        <v>86.868391496101367</v>
      </c>
      <c r="CG90">
        <v>86.868391496101367</v>
      </c>
      <c r="CH90">
        <f t="shared" si="26"/>
        <v>-9.4428542327360462E-3</v>
      </c>
      <c r="CI90">
        <f t="shared" si="27"/>
        <v>-1.9388617799470287</v>
      </c>
      <c r="CJ90">
        <f t="shared" si="28"/>
        <v>-0.82491842764019196</v>
      </c>
      <c r="CK90">
        <f t="shared" si="29"/>
        <v>0.81472127894587787</v>
      </c>
      <c r="CL90">
        <f t="shared" si="30"/>
        <v>0.94987918073586386</v>
      </c>
      <c r="CM90">
        <f t="shared" si="31"/>
        <v>1.159781945870028</v>
      </c>
      <c r="CN90">
        <f t="shared" si="32"/>
        <v>-0.98461927050770393</v>
      </c>
      <c r="CO90" s="2">
        <f t="shared" si="33"/>
        <v>0.83345992677589098</v>
      </c>
      <c r="CP90">
        <v>-0.68837328222388605</v>
      </c>
      <c r="CQ90">
        <v>-2.2527165794045199</v>
      </c>
      <c r="CR90">
        <v>-1.1904896456982901</v>
      </c>
      <c r="CS90">
        <v>0.75516014667575204</v>
      </c>
      <c r="CT90">
        <v>0.75670195121499795</v>
      </c>
      <c r="CU90">
        <v>0.92201786994485302</v>
      </c>
      <c r="CV90">
        <v>3.5556452305476001E-2</v>
      </c>
      <c r="CW90">
        <v>0.80485392269854905</v>
      </c>
      <c r="CX90" t="s">
        <v>1826</v>
      </c>
    </row>
    <row r="91" spans="1:102" x14ac:dyDescent="0.35">
      <c r="A91" t="s">
        <v>1685</v>
      </c>
      <c r="B91" t="s">
        <v>178</v>
      </c>
      <c r="C91" t="s">
        <v>1107</v>
      </c>
      <c r="D91" t="s">
        <v>72</v>
      </c>
      <c r="E91" t="s">
        <v>72</v>
      </c>
      <c r="F91" t="s">
        <v>72</v>
      </c>
      <c r="G91" t="s">
        <v>73</v>
      </c>
      <c r="H91" t="s">
        <v>109</v>
      </c>
      <c r="I91" t="s">
        <v>110</v>
      </c>
      <c r="J91" t="s">
        <v>111</v>
      </c>
      <c r="K91" t="s">
        <v>112</v>
      </c>
      <c r="L91" t="s">
        <v>113</v>
      </c>
      <c r="M91" t="s">
        <v>114</v>
      </c>
      <c r="N91">
        <v>48</v>
      </c>
      <c r="O91" t="s">
        <v>80</v>
      </c>
      <c r="P91">
        <v>621</v>
      </c>
      <c r="Q91">
        <v>0.68400000000000005</v>
      </c>
      <c r="R91">
        <v>175</v>
      </c>
      <c r="S91">
        <v>0.81130000000000002</v>
      </c>
      <c r="T91" t="s">
        <v>115</v>
      </c>
      <c r="U91" t="s">
        <v>116</v>
      </c>
      <c r="V91" t="s">
        <v>117</v>
      </c>
      <c r="W91" t="s">
        <v>118</v>
      </c>
      <c r="X91" t="s">
        <v>119</v>
      </c>
      <c r="Y91" t="s">
        <v>120</v>
      </c>
      <c r="Z91" t="s">
        <v>121</v>
      </c>
      <c r="AA91" t="s">
        <v>88</v>
      </c>
      <c r="AB91">
        <v>786</v>
      </c>
      <c r="AC91">
        <v>10</v>
      </c>
      <c r="AE91">
        <v>1</v>
      </c>
      <c r="AF91" t="s">
        <v>89</v>
      </c>
      <c r="AG91" t="s">
        <v>1686</v>
      </c>
      <c r="AH91" t="s">
        <v>72</v>
      </c>
      <c r="AI91" t="s">
        <v>72</v>
      </c>
      <c r="AJ91" t="s">
        <v>91</v>
      </c>
      <c r="AK91" t="s">
        <v>92</v>
      </c>
      <c r="AL91" t="s">
        <v>93</v>
      </c>
      <c r="AM91" t="s">
        <v>94</v>
      </c>
      <c r="AN91" t="s">
        <v>1687</v>
      </c>
      <c r="AO91" t="s">
        <v>1688</v>
      </c>
      <c r="AP91" t="s">
        <v>97</v>
      </c>
      <c r="AQ91">
        <v>39</v>
      </c>
      <c r="AR91" t="s">
        <v>80</v>
      </c>
      <c r="AS91">
        <v>1341</v>
      </c>
      <c r="AT91">
        <v>0.96179999999999999</v>
      </c>
      <c r="AU91">
        <v>163</v>
      </c>
      <c r="AV91">
        <v>0.92110000000000003</v>
      </c>
      <c r="AW91" t="s">
        <v>98</v>
      </c>
      <c r="AX91" t="s">
        <v>146</v>
      </c>
      <c r="AY91" t="s">
        <v>127</v>
      </c>
      <c r="AZ91" t="s">
        <v>1689</v>
      </c>
      <c r="BA91" t="s">
        <v>1690</v>
      </c>
      <c r="BB91" t="s">
        <v>103</v>
      </c>
      <c r="BC91" t="s">
        <v>104</v>
      </c>
      <c r="BD91" t="s">
        <v>105</v>
      </c>
      <c r="BE91">
        <v>119485</v>
      </c>
      <c r="BF91" t="s">
        <v>106</v>
      </c>
      <c r="BG91">
        <v>1456</v>
      </c>
      <c r="BH91" t="s">
        <v>80</v>
      </c>
      <c r="BI91">
        <v>1</v>
      </c>
      <c r="BJ91">
        <v>71</v>
      </c>
      <c r="BK91">
        <v>0</v>
      </c>
      <c r="BL91">
        <v>21</v>
      </c>
      <c r="BM91">
        <v>538</v>
      </c>
      <c r="BN91">
        <v>948</v>
      </c>
      <c r="BO91">
        <v>1146</v>
      </c>
      <c r="BP91">
        <v>6</v>
      </c>
      <c r="BQ91" s="2">
        <v>605</v>
      </c>
      <c r="BR91">
        <f t="shared" si="17"/>
        <v>72</v>
      </c>
      <c r="BS91">
        <f t="shared" si="18"/>
        <v>1</v>
      </c>
      <c r="BT91">
        <f t="shared" si="19"/>
        <v>22</v>
      </c>
      <c r="BU91">
        <f t="shared" si="20"/>
        <v>539</v>
      </c>
      <c r="BV91">
        <f t="shared" si="21"/>
        <v>949</v>
      </c>
      <c r="BW91">
        <f t="shared" si="22"/>
        <v>1147</v>
      </c>
      <c r="BX91">
        <f t="shared" si="23"/>
        <v>7</v>
      </c>
      <c r="BY91" s="2">
        <f t="shared" si="24"/>
        <v>606</v>
      </c>
      <c r="BZ91">
        <f t="shared" si="25"/>
        <v>89.015990690085204</v>
      </c>
      <c r="CA91">
        <v>89.015990690085204</v>
      </c>
      <c r="CB91">
        <v>89.015990690085204</v>
      </c>
      <c r="CC91">
        <v>89.015990690085204</v>
      </c>
      <c r="CD91">
        <v>89.015990690085204</v>
      </c>
      <c r="CE91">
        <v>89.015990690085204</v>
      </c>
      <c r="CF91">
        <v>89.015990690085204</v>
      </c>
      <c r="CG91">
        <v>89.015990690085204</v>
      </c>
      <c r="CH91">
        <f t="shared" si="26"/>
        <v>-9.2135533187396146E-2</v>
      </c>
      <c r="CI91">
        <f t="shared" si="27"/>
        <v>-1.9494680296186646</v>
      </c>
      <c r="CJ91">
        <f t="shared" si="28"/>
        <v>-0.60704534879645833</v>
      </c>
      <c r="CK91">
        <f t="shared" si="29"/>
        <v>0.78212073556807415</v>
      </c>
      <c r="CL91">
        <f t="shared" si="30"/>
        <v>1.027798182808628</v>
      </c>
      <c r="CM91">
        <f t="shared" si="31"/>
        <v>1.110095388282603</v>
      </c>
      <c r="CN91">
        <f t="shared" si="32"/>
        <v>-1.1043699896044077</v>
      </c>
      <c r="CO91" s="2">
        <f t="shared" si="33"/>
        <v>0.83300459454762155</v>
      </c>
      <c r="CP91">
        <v>-0.78772294161773404</v>
      </c>
      <c r="CQ91">
        <v>-2.2527165794045199</v>
      </c>
      <c r="CR91">
        <v>-0.21705942337918699</v>
      </c>
      <c r="CS91">
        <v>0.65910427877419298</v>
      </c>
      <c r="CT91">
        <v>0.97359846382589899</v>
      </c>
      <c r="CU91">
        <v>0.77853332844094603</v>
      </c>
      <c r="CV91">
        <v>-0.28561183792737899</v>
      </c>
      <c r="CW91">
        <v>0.80360328289347405</v>
      </c>
      <c r="CX91" t="s">
        <v>1826</v>
      </c>
    </row>
    <row r="92" spans="1:102" x14ac:dyDescent="0.35">
      <c r="A92" t="s">
        <v>260</v>
      </c>
      <c r="B92" t="s">
        <v>70</v>
      </c>
      <c r="C92" t="s">
        <v>261</v>
      </c>
      <c r="D92" t="s">
        <v>72</v>
      </c>
      <c r="E92" t="s">
        <v>72</v>
      </c>
      <c r="F92" t="s">
        <v>72</v>
      </c>
      <c r="G92" t="s">
        <v>73</v>
      </c>
      <c r="H92" t="s">
        <v>109</v>
      </c>
      <c r="I92" t="s">
        <v>110</v>
      </c>
      <c r="J92" t="s">
        <v>111</v>
      </c>
      <c r="K92" t="s">
        <v>112</v>
      </c>
      <c r="L92" t="s">
        <v>113</v>
      </c>
      <c r="M92" t="s">
        <v>114</v>
      </c>
      <c r="N92">
        <v>48</v>
      </c>
      <c r="O92" t="s">
        <v>80</v>
      </c>
      <c r="P92">
        <v>621</v>
      </c>
      <c r="Q92">
        <v>0.68400000000000005</v>
      </c>
      <c r="R92">
        <v>175</v>
      </c>
      <c r="S92">
        <v>0.81130000000000002</v>
      </c>
      <c r="T92" t="s">
        <v>115</v>
      </c>
      <c r="U92" t="s">
        <v>116</v>
      </c>
      <c r="V92" t="s">
        <v>117</v>
      </c>
      <c r="W92" t="s">
        <v>118</v>
      </c>
      <c r="X92" t="s">
        <v>119</v>
      </c>
      <c r="Y92" t="s">
        <v>120</v>
      </c>
      <c r="Z92" t="s">
        <v>121</v>
      </c>
      <c r="AA92" t="s">
        <v>88</v>
      </c>
      <c r="AB92">
        <v>836</v>
      </c>
      <c r="AC92">
        <v>7</v>
      </c>
      <c r="AE92">
        <v>1</v>
      </c>
      <c r="AF92" t="s">
        <v>159</v>
      </c>
      <c r="AG92" t="s">
        <v>262</v>
      </c>
      <c r="AH92" t="s">
        <v>72</v>
      </c>
      <c r="AI92" t="s">
        <v>72</v>
      </c>
      <c r="AJ92" t="s">
        <v>91</v>
      </c>
      <c r="AK92" t="s">
        <v>92</v>
      </c>
      <c r="AL92" t="s">
        <v>93</v>
      </c>
      <c r="AM92" t="s">
        <v>94</v>
      </c>
      <c r="AN92" t="s">
        <v>263</v>
      </c>
      <c r="AO92" t="s">
        <v>264</v>
      </c>
      <c r="AP92" t="s">
        <v>97</v>
      </c>
      <c r="AQ92">
        <v>39</v>
      </c>
      <c r="AR92" t="s">
        <v>80</v>
      </c>
      <c r="AS92">
        <v>1341</v>
      </c>
      <c r="AT92">
        <v>0.96179999999999999</v>
      </c>
      <c r="AU92">
        <v>172</v>
      </c>
      <c r="AV92">
        <v>0.94740000000000002</v>
      </c>
      <c r="AW92" t="s">
        <v>98</v>
      </c>
      <c r="AX92" t="s">
        <v>265</v>
      </c>
      <c r="AY92" t="s">
        <v>127</v>
      </c>
      <c r="AZ92" t="s">
        <v>101</v>
      </c>
      <c r="BA92" t="s">
        <v>128</v>
      </c>
      <c r="BB92" t="s">
        <v>103</v>
      </c>
      <c r="BC92" t="s">
        <v>104</v>
      </c>
      <c r="BD92" t="s">
        <v>105</v>
      </c>
      <c r="BE92">
        <v>284</v>
      </c>
      <c r="BF92" t="s">
        <v>106</v>
      </c>
      <c r="BG92">
        <v>3</v>
      </c>
      <c r="BH92" t="s">
        <v>80</v>
      </c>
      <c r="BI92">
        <v>1</v>
      </c>
      <c r="BJ92">
        <v>121</v>
      </c>
      <c r="BK92">
        <v>0</v>
      </c>
      <c r="BL92">
        <v>15</v>
      </c>
      <c r="BM92">
        <v>447</v>
      </c>
      <c r="BN92">
        <v>614</v>
      </c>
      <c r="BO92">
        <v>917</v>
      </c>
      <c r="BP92">
        <v>0</v>
      </c>
      <c r="BQ92" s="2">
        <v>418</v>
      </c>
      <c r="BR92">
        <f t="shared" si="17"/>
        <v>122</v>
      </c>
      <c r="BS92">
        <f t="shared" si="18"/>
        <v>1</v>
      </c>
      <c r="BT92">
        <f t="shared" si="19"/>
        <v>16</v>
      </c>
      <c r="BU92">
        <f t="shared" si="20"/>
        <v>448</v>
      </c>
      <c r="BV92">
        <f t="shared" si="21"/>
        <v>615</v>
      </c>
      <c r="BW92">
        <f t="shared" si="22"/>
        <v>918</v>
      </c>
      <c r="BX92">
        <f t="shared" si="23"/>
        <v>1</v>
      </c>
      <c r="BY92" s="2">
        <f t="shared" si="24"/>
        <v>419</v>
      </c>
      <c r="BZ92">
        <f t="shared" si="25"/>
        <v>61.583051655317696</v>
      </c>
      <c r="CA92">
        <v>61.583051655317696</v>
      </c>
      <c r="CB92">
        <v>61.583051655317696</v>
      </c>
      <c r="CC92">
        <v>61.583051655317696</v>
      </c>
      <c r="CD92">
        <v>61.583051655317696</v>
      </c>
      <c r="CE92">
        <v>61.583051655317696</v>
      </c>
      <c r="CF92">
        <v>61.583051655317696</v>
      </c>
      <c r="CG92">
        <v>61.583051655317696</v>
      </c>
      <c r="CH92">
        <f t="shared" si="26"/>
        <v>0.29689862476577683</v>
      </c>
      <c r="CI92">
        <f t="shared" si="27"/>
        <v>-1.7894612059089714</v>
      </c>
      <c r="CJ92">
        <f t="shared" si="28"/>
        <v>-0.58534122325304661</v>
      </c>
      <c r="CK92">
        <f t="shared" si="29"/>
        <v>0.8618168080891726</v>
      </c>
      <c r="CL92">
        <f t="shared" si="30"/>
        <v>0.99941390986644529</v>
      </c>
      <c r="CM92">
        <f t="shared" si="31"/>
        <v>1.1733814752922711</v>
      </c>
      <c r="CN92">
        <f t="shared" si="32"/>
        <v>-1.7894612059089714</v>
      </c>
      <c r="CO92" s="2">
        <f t="shared" si="33"/>
        <v>0.83275281705732396</v>
      </c>
      <c r="CP92">
        <v>-0.32032471998783701</v>
      </c>
      <c r="CQ92">
        <v>-2.2527165794045199</v>
      </c>
      <c r="CR92">
        <v>-0.120088049655138</v>
      </c>
      <c r="CS92">
        <v>0.89392476399260301</v>
      </c>
      <c r="CT92">
        <v>0.89458757238242004</v>
      </c>
      <c r="CU92">
        <v>0.96129050903614</v>
      </c>
      <c r="CV92">
        <v>-2.6172399890044602</v>
      </c>
      <c r="CW92">
        <v>0.80291173739803401</v>
      </c>
      <c r="CX92" t="s">
        <v>1826</v>
      </c>
    </row>
    <row r="93" spans="1:102" x14ac:dyDescent="0.35">
      <c r="A93" t="s">
        <v>1663</v>
      </c>
      <c r="B93" t="s">
        <v>211</v>
      </c>
      <c r="C93" t="s">
        <v>1664</v>
      </c>
      <c r="D93" t="s">
        <v>72</v>
      </c>
      <c r="E93" t="s">
        <v>72</v>
      </c>
      <c r="F93" t="s">
        <v>72</v>
      </c>
      <c r="G93" t="s">
        <v>73</v>
      </c>
      <c r="H93" t="s">
        <v>109</v>
      </c>
      <c r="I93" t="s">
        <v>110</v>
      </c>
      <c r="J93" t="s">
        <v>111</v>
      </c>
      <c r="K93" t="s">
        <v>112</v>
      </c>
      <c r="L93" t="s">
        <v>113</v>
      </c>
      <c r="M93" t="s">
        <v>114</v>
      </c>
      <c r="N93">
        <v>48</v>
      </c>
      <c r="O93" t="s">
        <v>80</v>
      </c>
      <c r="P93">
        <v>621</v>
      </c>
      <c r="Q93">
        <v>0.68400000000000005</v>
      </c>
      <c r="R93">
        <v>175</v>
      </c>
      <c r="S93">
        <v>0.81130000000000002</v>
      </c>
      <c r="T93" t="s">
        <v>115</v>
      </c>
      <c r="U93" t="s">
        <v>116</v>
      </c>
      <c r="V93" t="s">
        <v>117</v>
      </c>
      <c r="W93" t="s">
        <v>118</v>
      </c>
      <c r="X93" t="s">
        <v>119</v>
      </c>
      <c r="Y93" t="s">
        <v>120</v>
      </c>
      <c r="Z93" t="s">
        <v>121</v>
      </c>
      <c r="AA93" t="s">
        <v>88</v>
      </c>
      <c r="AB93">
        <v>746</v>
      </c>
      <c r="AC93">
        <v>7</v>
      </c>
      <c r="AE93">
        <v>1</v>
      </c>
      <c r="AF93" t="s">
        <v>89</v>
      </c>
      <c r="AG93" t="s">
        <v>1665</v>
      </c>
      <c r="AH93" t="s">
        <v>72</v>
      </c>
      <c r="AI93" t="s">
        <v>72</v>
      </c>
      <c r="AJ93" t="s">
        <v>91</v>
      </c>
      <c r="AK93" t="s">
        <v>92</v>
      </c>
      <c r="AL93" t="s">
        <v>93</v>
      </c>
      <c r="AM93" t="s">
        <v>94</v>
      </c>
      <c r="AN93" t="s">
        <v>1666</v>
      </c>
      <c r="AO93" t="s">
        <v>1667</v>
      </c>
      <c r="AP93" t="s">
        <v>820</v>
      </c>
      <c r="AQ93">
        <v>39</v>
      </c>
      <c r="AR93" t="s">
        <v>80</v>
      </c>
      <c r="AS93">
        <v>1350</v>
      </c>
      <c r="AT93">
        <v>0.96530000000000005</v>
      </c>
      <c r="AU93">
        <v>154</v>
      </c>
      <c r="AV93">
        <v>0.89470000000000005</v>
      </c>
      <c r="AW93" t="s">
        <v>98</v>
      </c>
      <c r="AX93" t="s">
        <v>146</v>
      </c>
      <c r="AY93" t="s">
        <v>1668</v>
      </c>
      <c r="AZ93" t="s">
        <v>1669</v>
      </c>
      <c r="BA93" t="s">
        <v>128</v>
      </c>
      <c r="BB93" t="s">
        <v>103</v>
      </c>
      <c r="BC93" t="s">
        <v>822</v>
      </c>
      <c r="BD93" t="s">
        <v>105</v>
      </c>
      <c r="BE93">
        <v>28037</v>
      </c>
      <c r="BG93">
        <v>536</v>
      </c>
      <c r="BH93" t="s">
        <v>80</v>
      </c>
      <c r="BI93">
        <v>1</v>
      </c>
      <c r="BJ93">
        <v>105</v>
      </c>
      <c r="BK93">
        <v>5</v>
      </c>
      <c r="BL93">
        <v>32</v>
      </c>
      <c r="BM93">
        <v>1444</v>
      </c>
      <c r="BN93">
        <v>1577</v>
      </c>
      <c r="BO93">
        <v>2335</v>
      </c>
      <c r="BP93">
        <v>13</v>
      </c>
      <c r="BQ93" s="2">
        <v>1321</v>
      </c>
      <c r="BR93">
        <f t="shared" si="17"/>
        <v>106</v>
      </c>
      <c r="BS93">
        <f t="shared" si="18"/>
        <v>6</v>
      </c>
      <c r="BT93">
        <f t="shared" si="19"/>
        <v>33</v>
      </c>
      <c r="BU93">
        <f t="shared" si="20"/>
        <v>1445</v>
      </c>
      <c r="BV93">
        <f t="shared" si="21"/>
        <v>1578</v>
      </c>
      <c r="BW93">
        <f t="shared" si="22"/>
        <v>2336</v>
      </c>
      <c r="BX93">
        <f t="shared" si="23"/>
        <v>14</v>
      </c>
      <c r="BY93" s="2">
        <f t="shared" si="24"/>
        <v>1322</v>
      </c>
      <c r="BZ93">
        <f t="shared" si="25"/>
        <v>194.74767379153079</v>
      </c>
      <c r="CA93">
        <v>194.74767379153079</v>
      </c>
      <c r="CB93">
        <v>194.74767379153079</v>
      </c>
      <c r="CC93">
        <v>194.74767379153079</v>
      </c>
      <c r="CD93">
        <v>194.74767379153079</v>
      </c>
      <c r="CE93">
        <v>194.74767379153079</v>
      </c>
      <c r="CF93">
        <v>194.74767379153079</v>
      </c>
      <c r="CG93">
        <v>194.74767379153079</v>
      </c>
      <c r="CH93">
        <f t="shared" si="26"/>
        <v>-0.26416641358029108</v>
      </c>
      <c r="CI93">
        <f t="shared" si="27"/>
        <v>-1.5113210284614178</v>
      </c>
      <c r="CJ93">
        <f t="shared" si="28"/>
        <v>-0.77095833896717392</v>
      </c>
      <c r="CK93">
        <f t="shared" si="29"/>
        <v>0.8703955682475053</v>
      </c>
      <c r="CL93">
        <f t="shared" si="30"/>
        <v>0.90863472002834011</v>
      </c>
      <c r="CM93">
        <f t="shared" si="31"/>
        <v>1.0790005595953005</v>
      </c>
      <c r="CN93">
        <f t="shared" si="32"/>
        <v>-1.1433442431668233</v>
      </c>
      <c r="CO93" s="2">
        <f t="shared" si="33"/>
        <v>0.83175917630456009</v>
      </c>
      <c r="CP93">
        <v>-0.99440640608293696</v>
      </c>
      <c r="CQ93">
        <v>0.33456609176352198</v>
      </c>
      <c r="CR93">
        <v>-0.94940258073323802</v>
      </c>
      <c r="CS93">
        <v>0.91920165103642504</v>
      </c>
      <c r="CT93">
        <v>0.64189324661139902</v>
      </c>
      <c r="CU93">
        <v>0.68873786958892702</v>
      </c>
      <c r="CV93">
        <v>-0.390139764558321</v>
      </c>
      <c r="CW93">
        <v>0.80018255066316402</v>
      </c>
      <c r="CX93" t="s">
        <v>1826</v>
      </c>
    </row>
    <row r="94" spans="1:102" x14ac:dyDescent="0.35">
      <c r="A94" t="s">
        <v>1037</v>
      </c>
      <c r="B94" t="s">
        <v>178</v>
      </c>
      <c r="C94" t="s">
        <v>1038</v>
      </c>
      <c r="D94" t="s">
        <v>72</v>
      </c>
      <c r="E94" t="s">
        <v>72</v>
      </c>
      <c r="F94" t="s">
        <v>72</v>
      </c>
      <c r="G94" t="s">
        <v>73</v>
      </c>
      <c r="H94" t="s">
        <v>109</v>
      </c>
      <c r="I94" t="s">
        <v>110</v>
      </c>
      <c r="J94" t="s">
        <v>111</v>
      </c>
      <c r="K94" t="s">
        <v>112</v>
      </c>
      <c r="L94" t="s">
        <v>113</v>
      </c>
      <c r="M94" t="s">
        <v>114</v>
      </c>
      <c r="N94">
        <v>48</v>
      </c>
      <c r="O94" t="s">
        <v>80</v>
      </c>
      <c r="P94">
        <v>621</v>
      </c>
      <c r="Q94">
        <v>0.68400000000000005</v>
      </c>
      <c r="R94">
        <v>175</v>
      </c>
      <c r="S94">
        <v>0.81130000000000002</v>
      </c>
      <c r="T94" t="s">
        <v>115</v>
      </c>
      <c r="U94" t="s">
        <v>116</v>
      </c>
      <c r="V94" t="s">
        <v>117</v>
      </c>
      <c r="W94" t="s">
        <v>118</v>
      </c>
      <c r="X94" t="s">
        <v>119</v>
      </c>
      <c r="Y94" t="s">
        <v>120</v>
      </c>
      <c r="Z94" t="s">
        <v>121</v>
      </c>
      <c r="AA94" t="s">
        <v>88</v>
      </c>
      <c r="AB94">
        <v>430</v>
      </c>
      <c r="AC94">
        <v>7</v>
      </c>
      <c r="AE94">
        <v>1</v>
      </c>
      <c r="AF94" t="s">
        <v>89</v>
      </c>
      <c r="AG94" t="s">
        <v>1039</v>
      </c>
      <c r="AH94" t="s">
        <v>72</v>
      </c>
      <c r="AI94" t="s">
        <v>72</v>
      </c>
      <c r="AJ94" t="s">
        <v>91</v>
      </c>
      <c r="AK94" t="s">
        <v>92</v>
      </c>
      <c r="AL94" t="s">
        <v>93</v>
      </c>
      <c r="AM94" t="s">
        <v>94</v>
      </c>
      <c r="AN94" t="s">
        <v>1040</v>
      </c>
      <c r="AO94" t="s">
        <v>1041</v>
      </c>
      <c r="AP94" t="s">
        <v>1042</v>
      </c>
      <c r="AQ94">
        <v>39</v>
      </c>
      <c r="AR94" t="s">
        <v>80</v>
      </c>
      <c r="AS94">
        <v>1332</v>
      </c>
      <c r="AT94">
        <v>0.95830000000000004</v>
      </c>
      <c r="AU94">
        <v>163</v>
      </c>
      <c r="AV94">
        <v>0.92110000000000003</v>
      </c>
      <c r="AW94" t="s">
        <v>1043</v>
      </c>
      <c r="AX94" t="s">
        <v>146</v>
      </c>
      <c r="AY94" t="s">
        <v>127</v>
      </c>
      <c r="AZ94" t="s">
        <v>1044</v>
      </c>
      <c r="BA94" t="s">
        <v>194</v>
      </c>
      <c r="BB94" t="s">
        <v>103</v>
      </c>
      <c r="BC94" t="s">
        <v>104</v>
      </c>
      <c r="BD94" t="s">
        <v>105</v>
      </c>
      <c r="BE94">
        <v>75549</v>
      </c>
      <c r="BF94" t="s">
        <v>777</v>
      </c>
      <c r="BG94">
        <v>875</v>
      </c>
      <c r="BH94" t="s">
        <v>80</v>
      </c>
      <c r="BI94">
        <v>1</v>
      </c>
      <c r="BJ94">
        <v>73</v>
      </c>
      <c r="BK94">
        <v>13</v>
      </c>
      <c r="BL94">
        <v>79</v>
      </c>
      <c r="BM94">
        <v>2525</v>
      </c>
      <c r="BN94">
        <v>2997</v>
      </c>
      <c r="BO94">
        <v>4302</v>
      </c>
      <c r="BP94">
        <v>24</v>
      </c>
      <c r="BQ94" s="2">
        <v>2250</v>
      </c>
      <c r="BR94">
        <f t="shared" si="17"/>
        <v>74</v>
      </c>
      <c r="BS94">
        <f t="shared" si="18"/>
        <v>14</v>
      </c>
      <c r="BT94">
        <f t="shared" si="19"/>
        <v>80</v>
      </c>
      <c r="BU94">
        <f t="shared" si="20"/>
        <v>2526</v>
      </c>
      <c r="BV94">
        <f t="shared" si="21"/>
        <v>2998</v>
      </c>
      <c r="BW94">
        <f t="shared" si="22"/>
        <v>4303</v>
      </c>
      <c r="BX94">
        <f t="shared" si="23"/>
        <v>25</v>
      </c>
      <c r="BY94" s="2">
        <f t="shared" si="24"/>
        <v>2251</v>
      </c>
      <c r="BZ94">
        <f t="shared" si="25"/>
        <v>333.21550063037841</v>
      </c>
      <c r="CA94">
        <v>333.21550063037841</v>
      </c>
      <c r="CB94">
        <v>333.21550063037841</v>
      </c>
      <c r="CC94">
        <v>333.21550063037841</v>
      </c>
      <c r="CD94">
        <v>333.21550063037841</v>
      </c>
      <c r="CE94">
        <v>333.21550063037841</v>
      </c>
      <c r="CF94">
        <v>333.21550063037841</v>
      </c>
      <c r="CG94">
        <v>333.21550063037841</v>
      </c>
      <c r="CH94">
        <f t="shared" si="26"/>
        <v>-0.65349347613000419</v>
      </c>
      <c r="CI94">
        <f t="shared" si="27"/>
        <v>-1.3765971601827425</v>
      </c>
      <c r="CJ94">
        <f t="shared" si="28"/>
        <v>-0.61963520886903689</v>
      </c>
      <c r="CK94">
        <f t="shared" si="29"/>
        <v>0.8797081503583315</v>
      </c>
      <c r="CL94">
        <f t="shared" si="30"/>
        <v>0.95410643265128026</v>
      </c>
      <c r="CM94">
        <f t="shared" si="31"/>
        <v>1.1110461502215752</v>
      </c>
      <c r="CN94">
        <f t="shared" si="32"/>
        <v>-1.1247851871889427</v>
      </c>
      <c r="CO94" s="2">
        <f t="shared" si="33"/>
        <v>0.82965029913953958</v>
      </c>
      <c r="CP94">
        <v>-1.46215653276984</v>
      </c>
      <c r="CQ94">
        <v>0.73256794839140704</v>
      </c>
      <c r="CR94">
        <v>-0.27330937566542801</v>
      </c>
      <c r="CS94">
        <v>0.946640707701628</v>
      </c>
      <c r="CT94">
        <v>0.76846899357939302</v>
      </c>
      <c r="CU94">
        <v>0.78127893303737495</v>
      </c>
      <c r="CV94">
        <v>-0.34036486281482198</v>
      </c>
      <c r="CW94">
        <v>0.79439019606394401</v>
      </c>
      <c r="CX94" t="s">
        <v>1826</v>
      </c>
    </row>
    <row r="95" spans="1:102" x14ac:dyDescent="0.35">
      <c r="A95" t="s">
        <v>1478</v>
      </c>
      <c r="B95" t="s">
        <v>178</v>
      </c>
      <c r="C95" t="s">
        <v>301</v>
      </c>
      <c r="D95" t="s">
        <v>72</v>
      </c>
      <c r="E95" t="s">
        <v>72</v>
      </c>
      <c r="F95" t="s">
        <v>72</v>
      </c>
      <c r="G95" t="s">
        <v>73</v>
      </c>
      <c r="H95" t="s">
        <v>109</v>
      </c>
      <c r="I95" t="s">
        <v>110</v>
      </c>
      <c r="J95" t="s">
        <v>111</v>
      </c>
      <c r="K95" t="s">
        <v>112</v>
      </c>
      <c r="L95" t="s">
        <v>113</v>
      </c>
      <c r="M95" t="s">
        <v>114</v>
      </c>
      <c r="N95">
        <v>48</v>
      </c>
      <c r="O95" t="s">
        <v>80</v>
      </c>
      <c r="P95">
        <v>621</v>
      </c>
      <c r="Q95">
        <v>0.68400000000000005</v>
      </c>
      <c r="R95">
        <v>175</v>
      </c>
      <c r="S95">
        <v>0.81130000000000002</v>
      </c>
      <c r="T95" t="s">
        <v>115</v>
      </c>
      <c r="U95" t="s">
        <v>116</v>
      </c>
      <c r="V95" t="s">
        <v>117</v>
      </c>
      <c r="W95" t="s">
        <v>118</v>
      </c>
      <c r="X95" t="s">
        <v>119</v>
      </c>
      <c r="Y95" t="s">
        <v>120</v>
      </c>
      <c r="Z95" t="s">
        <v>121</v>
      </c>
      <c r="AA95" t="s">
        <v>88</v>
      </c>
      <c r="AB95">
        <v>310</v>
      </c>
      <c r="AC95">
        <v>7</v>
      </c>
      <c r="AE95">
        <v>1</v>
      </c>
      <c r="AF95" t="s">
        <v>89</v>
      </c>
      <c r="AG95" t="s">
        <v>1479</v>
      </c>
      <c r="AH95" t="s">
        <v>72</v>
      </c>
      <c r="AI95" t="s">
        <v>72</v>
      </c>
      <c r="AJ95" t="s">
        <v>72</v>
      </c>
      <c r="AK95" t="s">
        <v>92</v>
      </c>
      <c r="AL95" t="s">
        <v>93</v>
      </c>
      <c r="AM95" t="s">
        <v>94</v>
      </c>
      <c r="AN95" t="s">
        <v>1480</v>
      </c>
      <c r="AO95" t="s">
        <v>1481</v>
      </c>
      <c r="AP95" t="s">
        <v>552</v>
      </c>
      <c r="AQ95">
        <v>39</v>
      </c>
      <c r="AR95" t="s">
        <v>80</v>
      </c>
      <c r="AS95">
        <v>1323</v>
      </c>
      <c r="AT95">
        <v>0.95489999999999997</v>
      </c>
      <c r="AU95">
        <v>154</v>
      </c>
      <c r="AV95">
        <v>0.89470000000000005</v>
      </c>
      <c r="AW95" t="s">
        <v>98</v>
      </c>
      <c r="AX95" t="s">
        <v>146</v>
      </c>
      <c r="AY95" t="s">
        <v>288</v>
      </c>
      <c r="AZ95" t="s">
        <v>554</v>
      </c>
      <c r="BA95" t="s">
        <v>1192</v>
      </c>
      <c r="BB95" t="s">
        <v>103</v>
      </c>
      <c r="BC95" t="s">
        <v>556</v>
      </c>
      <c r="BD95" t="s">
        <v>105</v>
      </c>
      <c r="BE95">
        <v>41531</v>
      </c>
      <c r="BG95">
        <v>469</v>
      </c>
      <c r="BH95" t="s">
        <v>80</v>
      </c>
      <c r="BI95">
        <v>1</v>
      </c>
      <c r="BJ95">
        <v>245</v>
      </c>
      <c r="BK95">
        <v>7</v>
      </c>
      <c r="BL95">
        <v>65</v>
      </c>
      <c r="BM95">
        <v>2432</v>
      </c>
      <c r="BN95">
        <v>3064</v>
      </c>
      <c r="BO95">
        <v>4517</v>
      </c>
      <c r="BP95">
        <v>25</v>
      </c>
      <c r="BQ95" s="2">
        <v>2424</v>
      </c>
      <c r="BR95">
        <f t="shared" si="17"/>
        <v>246</v>
      </c>
      <c r="BS95">
        <f t="shared" si="18"/>
        <v>8</v>
      </c>
      <c r="BT95">
        <f t="shared" si="19"/>
        <v>66</v>
      </c>
      <c r="BU95">
        <f t="shared" si="20"/>
        <v>2433</v>
      </c>
      <c r="BV95">
        <f t="shared" si="21"/>
        <v>3065</v>
      </c>
      <c r="BW95">
        <f t="shared" si="22"/>
        <v>4518</v>
      </c>
      <c r="BX95">
        <f t="shared" si="23"/>
        <v>26</v>
      </c>
      <c r="BY95" s="2">
        <f t="shared" si="24"/>
        <v>2425</v>
      </c>
      <c r="BZ95">
        <f t="shared" si="25"/>
        <v>359.00179237063685</v>
      </c>
      <c r="CA95">
        <v>359.00179237063685</v>
      </c>
      <c r="CB95">
        <v>359.00179237063685</v>
      </c>
      <c r="CC95">
        <v>359.00179237063685</v>
      </c>
      <c r="CD95">
        <v>359.00179237063685</v>
      </c>
      <c r="CE95">
        <v>359.00179237063685</v>
      </c>
      <c r="CF95">
        <v>359.00179237063685</v>
      </c>
      <c r="CG95">
        <v>359.00179237063685</v>
      </c>
      <c r="CH95">
        <f t="shared" si="26"/>
        <v>-0.16416150976110694</v>
      </c>
      <c r="CI95">
        <f t="shared" si="27"/>
        <v>-1.6520066298725424</v>
      </c>
      <c r="CJ95">
        <f t="shared" si="28"/>
        <v>-0.73555268132261742</v>
      </c>
      <c r="CK95">
        <f t="shared" si="29"/>
        <v>0.83104549206633238</v>
      </c>
      <c r="CL95">
        <f t="shared" si="30"/>
        <v>0.93133386198994783</v>
      </c>
      <c r="CM95">
        <f t="shared" si="31"/>
        <v>1.099849609719858</v>
      </c>
      <c r="CN95">
        <f t="shared" si="32"/>
        <v>-1.1401232688936682</v>
      </c>
      <c r="CO95" s="2">
        <f t="shared" si="33"/>
        <v>0.82961512607379639</v>
      </c>
      <c r="CP95">
        <v>-0.87425727973043299</v>
      </c>
      <c r="CQ95">
        <v>-8.1047943654589005E-2</v>
      </c>
      <c r="CR95">
        <v>-0.79121444030211097</v>
      </c>
      <c r="CS95">
        <v>0.80325862285522798</v>
      </c>
      <c r="CT95">
        <v>0.70507892147585405</v>
      </c>
      <c r="CU95">
        <v>0.74894563086621901</v>
      </c>
      <c r="CV95">
        <v>-0.38150119597187299</v>
      </c>
      <c r="CW95">
        <v>0.794293587843937</v>
      </c>
      <c r="CX95" t="s">
        <v>1826</v>
      </c>
    </row>
    <row r="96" spans="1:102" x14ac:dyDescent="0.35">
      <c r="A96" t="s">
        <v>926</v>
      </c>
      <c r="B96" t="s">
        <v>142</v>
      </c>
      <c r="C96" t="s">
        <v>108</v>
      </c>
      <c r="D96" t="s">
        <v>72</v>
      </c>
      <c r="E96" t="s">
        <v>72</v>
      </c>
      <c r="F96" t="s">
        <v>72</v>
      </c>
      <c r="G96" t="s">
        <v>73</v>
      </c>
      <c r="H96" t="s">
        <v>109</v>
      </c>
      <c r="I96" t="s">
        <v>110</v>
      </c>
      <c r="J96" t="s">
        <v>111</v>
      </c>
      <c r="K96" t="s">
        <v>112</v>
      </c>
      <c r="L96" t="s">
        <v>113</v>
      </c>
      <c r="M96" t="s">
        <v>114</v>
      </c>
      <c r="N96">
        <v>48</v>
      </c>
      <c r="O96" t="s">
        <v>80</v>
      </c>
      <c r="P96">
        <v>621</v>
      </c>
      <c r="Q96">
        <v>0.68400000000000005</v>
      </c>
      <c r="R96">
        <v>175</v>
      </c>
      <c r="S96">
        <v>0.81130000000000002</v>
      </c>
      <c r="T96" t="s">
        <v>115</v>
      </c>
      <c r="U96" t="s">
        <v>116</v>
      </c>
      <c r="V96" t="s">
        <v>117</v>
      </c>
      <c r="W96" t="s">
        <v>118</v>
      </c>
      <c r="X96" t="s">
        <v>119</v>
      </c>
      <c r="Y96" t="s">
        <v>120</v>
      </c>
      <c r="Z96" t="s">
        <v>121</v>
      </c>
      <c r="AA96" t="s">
        <v>88</v>
      </c>
      <c r="AB96">
        <v>1457</v>
      </c>
      <c r="AC96">
        <v>17</v>
      </c>
      <c r="AE96">
        <v>1</v>
      </c>
      <c r="AF96" t="s">
        <v>89</v>
      </c>
      <c r="AG96" t="s">
        <v>927</v>
      </c>
      <c r="AH96" t="s">
        <v>72</v>
      </c>
      <c r="AI96" t="s">
        <v>72</v>
      </c>
      <c r="AJ96" t="s">
        <v>91</v>
      </c>
      <c r="AK96" t="s">
        <v>92</v>
      </c>
      <c r="AL96" t="s">
        <v>93</v>
      </c>
      <c r="AM96" t="s">
        <v>94</v>
      </c>
      <c r="AN96" t="s">
        <v>144</v>
      </c>
      <c r="AO96" t="s">
        <v>145</v>
      </c>
      <c r="AP96" t="s">
        <v>97</v>
      </c>
      <c r="AQ96">
        <v>39</v>
      </c>
      <c r="AR96" t="s">
        <v>80</v>
      </c>
      <c r="AS96">
        <v>1359</v>
      </c>
      <c r="AT96">
        <v>0.96879999999999999</v>
      </c>
      <c r="AU96">
        <v>172</v>
      </c>
      <c r="AV96">
        <v>0.94740000000000002</v>
      </c>
      <c r="AW96" t="s">
        <v>98</v>
      </c>
      <c r="AX96" t="s">
        <v>146</v>
      </c>
      <c r="AY96" t="s">
        <v>127</v>
      </c>
      <c r="AZ96" t="s">
        <v>101</v>
      </c>
      <c r="BA96" t="s">
        <v>128</v>
      </c>
      <c r="BB96" t="s">
        <v>103</v>
      </c>
      <c r="BC96" t="s">
        <v>104</v>
      </c>
      <c r="BD96" t="s">
        <v>105</v>
      </c>
      <c r="BE96">
        <v>81865</v>
      </c>
      <c r="BF96" t="s">
        <v>106</v>
      </c>
      <c r="BG96">
        <v>952</v>
      </c>
      <c r="BH96" t="s">
        <v>80</v>
      </c>
      <c r="BI96">
        <v>1</v>
      </c>
      <c r="BJ96">
        <v>114</v>
      </c>
      <c r="BK96">
        <v>5</v>
      </c>
      <c r="BL96">
        <v>47</v>
      </c>
      <c r="BM96">
        <v>1570</v>
      </c>
      <c r="BN96">
        <v>2261</v>
      </c>
      <c r="BO96">
        <v>3083</v>
      </c>
      <c r="BP96">
        <v>16</v>
      </c>
      <c r="BQ96" s="2">
        <v>1598</v>
      </c>
      <c r="BR96">
        <f t="shared" si="17"/>
        <v>115</v>
      </c>
      <c r="BS96">
        <f t="shared" si="18"/>
        <v>6</v>
      </c>
      <c r="BT96">
        <f t="shared" si="19"/>
        <v>48</v>
      </c>
      <c r="BU96">
        <f t="shared" si="20"/>
        <v>1571</v>
      </c>
      <c r="BV96">
        <f t="shared" si="21"/>
        <v>2262</v>
      </c>
      <c r="BW96">
        <f t="shared" si="22"/>
        <v>3084</v>
      </c>
      <c r="BX96">
        <f t="shared" si="23"/>
        <v>17</v>
      </c>
      <c r="BY96" s="2">
        <f t="shared" si="24"/>
        <v>1599</v>
      </c>
      <c r="BZ96">
        <f t="shared" si="25"/>
        <v>236.73984478141938</v>
      </c>
      <c r="CA96">
        <v>236.73984478141938</v>
      </c>
      <c r="CB96">
        <v>236.73984478141938</v>
      </c>
      <c r="CC96">
        <v>236.73984478141938</v>
      </c>
      <c r="CD96">
        <v>236.73984478141938</v>
      </c>
      <c r="CE96">
        <v>236.73984478141938</v>
      </c>
      <c r="CF96">
        <v>236.73984478141938</v>
      </c>
      <c r="CG96">
        <v>236.73984478141938</v>
      </c>
      <c r="CH96">
        <f t="shared" si="26"/>
        <v>-0.31357351817709833</v>
      </c>
      <c r="CI96">
        <f t="shared" si="27"/>
        <v>-1.5961201081470664</v>
      </c>
      <c r="CJ96">
        <f t="shared" si="28"/>
        <v>-0.69303012115512286</v>
      </c>
      <c r="CK96">
        <f t="shared" si="29"/>
        <v>0.82190482650926322</v>
      </c>
      <c r="CL96">
        <f t="shared" si="30"/>
        <v>0.98022124205872641</v>
      </c>
      <c r="CM96">
        <f t="shared" si="31"/>
        <v>1.1148430108482092</v>
      </c>
      <c r="CN96">
        <f t="shared" si="32"/>
        <v>-1.1438224371524361</v>
      </c>
      <c r="CO96" s="2">
        <f t="shared" si="33"/>
        <v>0.82957710521552464</v>
      </c>
      <c r="CP96">
        <v>-1.0537656997396401</v>
      </c>
      <c r="CQ96">
        <v>8.4052269777560598E-2</v>
      </c>
      <c r="CR96">
        <v>-0.60122885136613302</v>
      </c>
      <c r="CS96">
        <v>0.77632610970331695</v>
      </c>
      <c r="CT96">
        <v>0.84116257200438305</v>
      </c>
      <c r="CU96">
        <v>0.79224348426852598</v>
      </c>
      <c r="CV96">
        <v>-0.391422268295395</v>
      </c>
      <c r="CW96">
        <v>0.79418915772494802</v>
      </c>
      <c r="CX96" t="s">
        <v>1826</v>
      </c>
    </row>
    <row r="97" spans="1:102" x14ac:dyDescent="0.35">
      <c r="A97" t="s">
        <v>329</v>
      </c>
      <c r="B97" t="s">
        <v>70</v>
      </c>
      <c r="C97" t="s">
        <v>152</v>
      </c>
      <c r="D97" t="s">
        <v>72</v>
      </c>
      <c r="E97" t="s">
        <v>72</v>
      </c>
      <c r="F97" t="s">
        <v>72</v>
      </c>
      <c r="G97" t="s">
        <v>73</v>
      </c>
      <c r="H97" t="s">
        <v>109</v>
      </c>
      <c r="I97" t="s">
        <v>110</v>
      </c>
      <c r="J97" t="s">
        <v>111</v>
      </c>
      <c r="K97" t="s">
        <v>112</v>
      </c>
      <c r="L97" t="s">
        <v>113</v>
      </c>
      <c r="M97" t="s">
        <v>114</v>
      </c>
      <c r="N97">
        <v>48</v>
      </c>
      <c r="O97" t="s">
        <v>80</v>
      </c>
      <c r="P97">
        <v>621</v>
      </c>
      <c r="Q97">
        <v>0.68400000000000005</v>
      </c>
      <c r="R97">
        <v>175</v>
      </c>
      <c r="S97">
        <v>0.81130000000000002</v>
      </c>
      <c r="T97" t="s">
        <v>115</v>
      </c>
      <c r="U97" t="s">
        <v>116</v>
      </c>
      <c r="V97" t="s">
        <v>117</v>
      </c>
      <c r="W97" t="s">
        <v>118</v>
      </c>
      <c r="X97" t="s">
        <v>119</v>
      </c>
      <c r="Y97" t="s">
        <v>120</v>
      </c>
      <c r="Z97" t="s">
        <v>121</v>
      </c>
      <c r="AA97" t="s">
        <v>88</v>
      </c>
      <c r="AB97">
        <v>445</v>
      </c>
      <c r="AC97">
        <v>2</v>
      </c>
      <c r="AE97">
        <v>1</v>
      </c>
      <c r="AF97" t="s">
        <v>89</v>
      </c>
      <c r="AG97" t="s">
        <v>330</v>
      </c>
      <c r="AH97" t="s">
        <v>72</v>
      </c>
      <c r="AI97" t="s">
        <v>72</v>
      </c>
      <c r="AJ97" t="s">
        <v>91</v>
      </c>
      <c r="AK97" t="s">
        <v>92</v>
      </c>
      <c r="AL97" t="s">
        <v>93</v>
      </c>
      <c r="AM97" t="s">
        <v>94</v>
      </c>
      <c r="AN97" t="s">
        <v>331</v>
      </c>
      <c r="AO97" t="s">
        <v>332</v>
      </c>
      <c r="AP97" t="s">
        <v>97</v>
      </c>
      <c r="AQ97">
        <v>39</v>
      </c>
      <c r="AR97" t="s">
        <v>80</v>
      </c>
      <c r="AS97">
        <v>1350</v>
      </c>
      <c r="AT97">
        <v>0.96530000000000005</v>
      </c>
      <c r="AU97">
        <v>172</v>
      </c>
      <c r="AV97">
        <v>0.94740000000000002</v>
      </c>
      <c r="AW97" t="s">
        <v>98</v>
      </c>
      <c r="AX97" t="s">
        <v>146</v>
      </c>
      <c r="AY97" t="s">
        <v>333</v>
      </c>
      <c r="AZ97" t="s">
        <v>101</v>
      </c>
      <c r="BA97" t="s">
        <v>128</v>
      </c>
      <c r="BB97" t="s">
        <v>103</v>
      </c>
      <c r="BC97" t="s">
        <v>104</v>
      </c>
      <c r="BD97" t="s">
        <v>105</v>
      </c>
      <c r="BE97">
        <v>75884</v>
      </c>
      <c r="BF97" t="s">
        <v>106</v>
      </c>
      <c r="BG97">
        <v>911</v>
      </c>
      <c r="BH97" t="s">
        <v>80</v>
      </c>
      <c r="BI97">
        <v>1</v>
      </c>
      <c r="BJ97">
        <v>117</v>
      </c>
      <c r="BK97">
        <v>0</v>
      </c>
      <c r="BL97">
        <v>8</v>
      </c>
      <c r="BM97">
        <v>378</v>
      </c>
      <c r="BN97">
        <v>520</v>
      </c>
      <c r="BO97">
        <v>685</v>
      </c>
      <c r="BP97">
        <v>0</v>
      </c>
      <c r="BQ97" s="2">
        <v>347</v>
      </c>
      <c r="BR97">
        <f t="shared" si="17"/>
        <v>118</v>
      </c>
      <c r="BS97">
        <f t="shared" si="18"/>
        <v>1</v>
      </c>
      <c r="BT97">
        <f t="shared" si="19"/>
        <v>9</v>
      </c>
      <c r="BU97">
        <f t="shared" si="20"/>
        <v>379</v>
      </c>
      <c r="BV97">
        <f t="shared" si="21"/>
        <v>521</v>
      </c>
      <c r="BW97">
        <f t="shared" si="22"/>
        <v>686</v>
      </c>
      <c r="BX97">
        <f t="shared" si="23"/>
        <v>1</v>
      </c>
      <c r="BY97" s="2">
        <f t="shared" si="24"/>
        <v>348</v>
      </c>
      <c r="BZ97">
        <f t="shared" si="25"/>
        <v>51.574865160430122</v>
      </c>
      <c r="CA97">
        <v>51.574865160430122</v>
      </c>
      <c r="CB97">
        <v>51.574865160430122</v>
      </c>
      <c r="CC97">
        <v>51.574865160430122</v>
      </c>
      <c r="CD97">
        <v>51.574865160430122</v>
      </c>
      <c r="CE97">
        <v>51.574865160430122</v>
      </c>
      <c r="CF97">
        <v>51.574865160430122</v>
      </c>
      <c r="CG97">
        <v>51.574865160430122</v>
      </c>
      <c r="CH97">
        <f t="shared" si="26"/>
        <v>0.35944390609782795</v>
      </c>
      <c r="CI97">
        <f t="shared" si="27"/>
        <v>-1.7124381012082974</v>
      </c>
      <c r="CJ97">
        <f t="shared" si="28"/>
        <v>-0.75819559176897255</v>
      </c>
      <c r="CK97">
        <f t="shared" si="29"/>
        <v>0.86620110875977496</v>
      </c>
      <c r="CL97">
        <f t="shared" si="30"/>
        <v>1.004399622091227</v>
      </c>
      <c r="CM97">
        <f t="shared" si="31"/>
        <v>1.1238860144984544</v>
      </c>
      <c r="CN97">
        <f t="shared" si="32"/>
        <v>-1.7124381012082974</v>
      </c>
      <c r="CO97" s="2">
        <f t="shared" si="33"/>
        <v>0.82914114273828343</v>
      </c>
      <c r="CP97">
        <v>-0.24518079581483099</v>
      </c>
      <c r="CQ97">
        <v>-2.2527165794045199</v>
      </c>
      <c r="CR97">
        <v>-0.89238018995196</v>
      </c>
      <c r="CS97">
        <v>0.90684288628202603</v>
      </c>
      <c r="CT97">
        <v>0.90846587633486098</v>
      </c>
      <c r="CU97">
        <v>0.81835781570093602</v>
      </c>
      <c r="CV97">
        <v>-2.6172399890044602</v>
      </c>
      <c r="CW97">
        <v>0.79299171991205797</v>
      </c>
      <c r="CX97" t="s">
        <v>1826</v>
      </c>
    </row>
    <row r="98" spans="1:102" x14ac:dyDescent="0.35">
      <c r="A98" t="s">
        <v>1455</v>
      </c>
      <c r="B98" t="s">
        <v>70</v>
      </c>
      <c r="C98" t="s">
        <v>278</v>
      </c>
      <c r="D98" t="s">
        <v>72</v>
      </c>
      <c r="E98" t="s">
        <v>72</v>
      </c>
      <c r="F98" t="s">
        <v>72</v>
      </c>
      <c r="G98" t="s">
        <v>73</v>
      </c>
      <c r="H98" t="s">
        <v>109</v>
      </c>
      <c r="I98" t="s">
        <v>110</v>
      </c>
      <c r="J98" t="s">
        <v>111</v>
      </c>
      <c r="K98" t="s">
        <v>112</v>
      </c>
      <c r="L98" t="s">
        <v>113</v>
      </c>
      <c r="M98" t="s">
        <v>114</v>
      </c>
      <c r="N98">
        <v>48</v>
      </c>
      <c r="O98" t="s">
        <v>80</v>
      </c>
      <c r="P98">
        <v>621</v>
      </c>
      <c r="Q98">
        <v>0.68400000000000005</v>
      </c>
      <c r="R98">
        <v>175</v>
      </c>
      <c r="S98">
        <v>0.81130000000000002</v>
      </c>
      <c r="T98" t="s">
        <v>115</v>
      </c>
      <c r="U98" t="s">
        <v>116</v>
      </c>
      <c r="V98" t="s">
        <v>117</v>
      </c>
      <c r="W98" t="s">
        <v>118</v>
      </c>
      <c r="X98" t="s">
        <v>119</v>
      </c>
      <c r="Y98" t="s">
        <v>120</v>
      </c>
      <c r="Z98" t="s">
        <v>121</v>
      </c>
      <c r="AA98" t="s">
        <v>88</v>
      </c>
      <c r="AB98">
        <v>781</v>
      </c>
      <c r="AC98">
        <v>8</v>
      </c>
      <c r="AE98">
        <v>1</v>
      </c>
      <c r="AF98" t="s">
        <v>89</v>
      </c>
      <c r="AG98" t="s">
        <v>1456</v>
      </c>
      <c r="AH98" t="s">
        <v>72</v>
      </c>
      <c r="AI98" t="s">
        <v>72</v>
      </c>
      <c r="AJ98" t="s">
        <v>72</v>
      </c>
      <c r="AK98" t="s">
        <v>92</v>
      </c>
      <c r="AL98" t="s">
        <v>93</v>
      </c>
      <c r="AM98" t="s">
        <v>94</v>
      </c>
      <c r="AN98" t="s">
        <v>1457</v>
      </c>
      <c r="AO98" t="s">
        <v>1458</v>
      </c>
      <c r="AP98" t="s">
        <v>820</v>
      </c>
      <c r="AQ98">
        <v>39</v>
      </c>
      <c r="AR98" t="s">
        <v>80</v>
      </c>
      <c r="AS98">
        <v>1332</v>
      </c>
      <c r="AT98">
        <v>0.95830000000000004</v>
      </c>
      <c r="AU98">
        <v>154</v>
      </c>
      <c r="AV98">
        <v>0.89470000000000005</v>
      </c>
      <c r="AW98" t="s">
        <v>98</v>
      </c>
      <c r="AX98" t="s">
        <v>146</v>
      </c>
      <c r="AY98" t="s">
        <v>1459</v>
      </c>
      <c r="AZ98" t="s">
        <v>219</v>
      </c>
      <c r="BA98" t="s">
        <v>128</v>
      </c>
      <c r="BB98" t="s">
        <v>450</v>
      </c>
      <c r="BC98" t="s">
        <v>822</v>
      </c>
      <c r="BD98" t="s">
        <v>105</v>
      </c>
      <c r="BE98">
        <v>51303</v>
      </c>
      <c r="BF98" t="s">
        <v>823</v>
      </c>
      <c r="BG98">
        <v>764</v>
      </c>
      <c r="BH98" t="s">
        <v>80</v>
      </c>
      <c r="BI98">
        <v>1</v>
      </c>
      <c r="BJ98">
        <v>91</v>
      </c>
      <c r="BK98">
        <v>0</v>
      </c>
      <c r="BL98">
        <v>37</v>
      </c>
      <c r="BM98">
        <v>920</v>
      </c>
      <c r="BN98">
        <v>1226</v>
      </c>
      <c r="BO98">
        <v>1750</v>
      </c>
      <c r="BP98">
        <v>9</v>
      </c>
      <c r="BQ98" s="2">
        <v>839</v>
      </c>
      <c r="BR98">
        <f t="shared" si="17"/>
        <v>92</v>
      </c>
      <c r="BS98">
        <f t="shared" si="18"/>
        <v>1</v>
      </c>
      <c r="BT98">
        <f t="shared" si="19"/>
        <v>38</v>
      </c>
      <c r="BU98">
        <f t="shared" si="20"/>
        <v>921</v>
      </c>
      <c r="BV98">
        <f t="shared" si="21"/>
        <v>1227</v>
      </c>
      <c r="BW98">
        <f t="shared" si="22"/>
        <v>1751</v>
      </c>
      <c r="BX98">
        <f t="shared" si="23"/>
        <v>10</v>
      </c>
      <c r="BY98" s="2">
        <f t="shared" si="24"/>
        <v>840</v>
      </c>
      <c r="BZ98">
        <f t="shared" si="25"/>
        <v>124.60346835207106</v>
      </c>
      <c r="CA98">
        <v>124.60346835207106</v>
      </c>
      <c r="CB98">
        <v>124.60346835207106</v>
      </c>
      <c r="CC98">
        <v>124.60346835207106</v>
      </c>
      <c r="CD98">
        <v>124.60346835207106</v>
      </c>
      <c r="CE98">
        <v>124.60346835207106</v>
      </c>
      <c r="CF98">
        <v>124.60346835207106</v>
      </c>
      <c r="CG98">
        <v>124.60346835207106</v>
      </c>
      <c r="CH98">
        <f t="shared" si="26"/>
        <v>-0.131742303783388</v>
      </c>
      <c r="CI98">
        <f t="shared" si="27"/>
        <v>-2.0955301311289434</v>
      </c>
      <c r="CJ98">
        <f t="shared" si="28"/>
        <v>-0.51574653451213315</v>
      </c>
      <c r="CK98">
        <f t="shared" si="29"/>
        <v>0.86872949906790564</v>
      </c>
      <c r="CL98">
        <f t="shared" si="30"/>
        <v>0.99331443159806099</v>
      </c>
      <c r="CM98">
        <f t="shared" si="31"/>
        <v>1.147756014954503</v>
      </c>
      <c r="CN98">
        <f t="shared" si="32"/>
        <v>-1.0955301311289432</v>
      </c>
      <c r="CO98" s="2">
        <f t="shared" si="33"/>
        <v>0.82874915493293833</v>
      </c>
      <c r="CP98">
        <v>-0.83530779698999202</v>
      </c>
      <c r="CQ98">
        <v>-2.2527165794045199</v>
      </c>
      <c r="CR98">
        <v>0.19085249285165501</v>
      </c>
      <c r="CS98">
        <v>0.91429266166235701</v>
      </c>
      <c r="CT98">
        <v>0.87760897242649305</v>
      </c>
      <c r="CU98">
        <v>0.88728945913604096</v>
      </c>
      <c r="CV98">
        <v>-0.26190356916806901</v>
      </c>
      <c r="CW98">
        <v>0.79191506528048905</v>
      </c>
      <c r="CX98" t="s">
        <v>1826</v>
      </c>
    </row>
    <row r="99" spans="1:102" x14ac:dyDescent="0.35">
      <c r="A99" t="s">
        <v>1338</v>
      </c>
      <c r="B99" t="s">
        <v>159</v>
      </c>
      <c r="C99" t="s">
        <v>1339</v>
      </c>
      <c r="D99" t="s">
        <v>72</v>
      </c>
      <c r="E99" t="s">
        <v>72</v>
      </c>
      <c r="F99" t="s">
        <v>72</v>
      </c>
      <c r="G99" t="s">
        <v>73</v>
      </c>
      <c r="H99" t="s">
        <v>109</v>
      </c>
      <c r="I99" t="s">
        <v>110</v>
      </c>
      <c r="J99" t="s">
        <v>111</v>
      </c>
      <c r="K99" t="s">
        <v>112</v>
      </c>
      <c r="L99" t="s">
        <v>113</v>
      </c>
      <c r="M99" t="s">
        <v>114</v>
      </c>
      <c r="N99">
        <v>48</v>
      </c>
      <c r="O99" t="s">
        <v>80</v>
      </c>
      <c r="P99">
        <v>621</v>
      </c>
      <c r="Q99">
        <v>0.68400000000000005</v>
      </c>
      <c r="R99">
        <v>175</v>
      </c>
      <c r="S99">
        <v>0.81130000000000002</v>
      </c>
      <c r="T99" t="s">
        <v>115</v>
      </c>
      <c r="U99" t="s">
        <v>116</v>
      </c>
      <c r="V99" t="s">
        <v>117</v>
      </c>
      <c r="W99" t="s">
        <v>118</v>
      </c>
      <c r="X99" t="s">
        <v>119</v>
      </c>
      <c r="Y99" t="s">
        <v>120</v>
      </c>
      <c r="Z99" t="s">
        <v>121</v>
      </c>
      <c r="AA99" t="s">
        <v>88</v>
      </c>
      <c r="AB99">
        <v>330</v>
      </c>
      <c r="AC99">
        <v>3</v>
      </c>
      <c r="AE99">
        <v>1</v>
      </c>
      <c r="AF99" t="s">
        <v>153</v>
      </c>
      <c r="AG99" t="s">
        <v>1340</v>
      </c>
      <c r="AH99" t="s">
        <v>72</v>
      </c>
      <c r="AI99" t="s">
        <v>72</v>
      </c>
      <c r="AJ99" t="s">
        <v>72</v>
      </c>
      <c r="AK99" t="s">
        <v>92</v>
      </c>
      <c r="AL99" t="s">
        <v>93</v>
      </c>
      <c r="AM99" t="s">
        <v>94</v>
      </c>
      <c r="AN99" t="s">
        <v>1341</v>
      </c>
      <c r="AO99" t="s">
        <v>1342</v>
      </c>
      <c r="AP99" t="s">
        <v>1343</v>
      </c>
      <c r="AQ99">
        <v>39</v>
      </c>
      <c r="AR99" t="s">
        <v>80</v>
      </c>
      <c r="AS99">
        <v>1332</v>
      </c>
      <c r="AT99">
        <v>0.95830000000000004</v>
      </c>
      <c r="AU99">
        <v>163</v>
      </c>
      <c r="AV99">
        <v>0.92110000000000003</v>
      </c>
      <c r="AW99" t="s">
        <v>98</v>
      </c>
      <c r="AX99" t="s">
        <v>146</v>
      </c>
      <c r="AY99" t="s">
        <v>479</v>
      </c>
      <c r="AZ99" t="s">
        <v>101</v>
      </c>
      <c r="BA99" t="s">
        <v>1344</v>
      </c>
      <c r="BB99" t="s">
        <v>103</v>
      </c>
      <c r="BC99" t="s">
        <v>1345</v>
      </c>
      <c r="BD99" t="s">
        <v>105</v>
      </c>
      <c r="BE99">
        <v>12263</v>
      </c>
      <c r="BG99">
        <v>127</v>
      </c>
      <c r="BH99" t="s">
        <v>80</v>
      </c>
      <c r="BI99">
        <v>1</v>
      </c>
      <c r="BJ99">
        <v>48</v>
      </c>
      <c r="BK99">
        <v>0</v>
      </c>
      <c r="BL99">
        <v>30</v>
      </c>
      <c r="BM99">
        <v>848</v>
      </c>
      <c r="BN99">
        <v>1029</v>
      </c>
      <c r="BO99">
        <v>1516</v>
      </c>
      <c r="BP99">
        <v>9</v>
      </c>
      <c r="BQ99" s="2">
        <v>703</v>
      </c>
      <c r="BR99">
        <f t="shared" si="17"/>
        <v>49</v>
      </c>
      <c r="BS99">
        <f t="shared" si="18"/>
        <v>1</v>
      </c>
      <c r="BT99">
        <f t="shared" si="19"/>
        <v>31</v>
      </c>
      <c r="BU99">
        <f t="shared" si="20"/>
        <v>849</v>
      </c>
      <c r="BV99">
        <f t="shared" si="21"/>
        <v>1030</v>
      </c>
      <c r="BW99">
        <f t="shared" si="22"/>
        <v>1517</v>
      </c>
      <c r="BX99">
        <f t="shared" si="23"/>
        <v>10</v>
      </c>
      <c r="BY99" s="2">
        <f t="shared" si="24"/>
        <v>704</v>
      </c>
      <c r="BZ99">
        <f t="shared" si="25"/>
        <v>104.4678402074054</v>
      </c>
      <c r="CA99">
        <v>104.4678402074054</v>
      </c>
      <c r="CB99">
        <v>104.4678402074054</v>
      </c>
      <c r="CC99">
        <v>104.4678402074054</v>
      </c>
      <c r="CD99">
        <v>104.4678402074054</v>
      </c>
      <c r="CE99">
        <v>104.4678402074054</v>
      </c>
      <c r="CF99">
        <v>104.4678402074054</v>
      </c>
      <c r="CG99">
        <v>104.4678402074054</v>
      </c>
      <c r="CH99">
        <f t="shared" si="26"/>
        <v>-0.32878653606408054</v>
      </c>
      <c r="CI99">
        <f t="shared" si="27"/>
        <v>-2.0189826160925941</v>
      </c>
      <c r="CJ99">
        <f t="shared" si="28"/>
        <v>-0.52762092225832147</v>
      </c>
      <c r="CK99">
        <f t="shared" si="29"/>
        <v>0.90992507415135837</v>
      </c>
      <c r="CL99">
        <f t="shared" si="30"/>
        <v>0.99385460861257802</v>
      </c>
      <c r="CM99">
        <f t="shared" si="31"/>
        <v>1.1620029646941363</v>
      </c>
      <c r="CN99">
        <f t="shared" si="32"/>
        <v>-1.0189826160925943</v>
      </c>
      <c r="CO99" s="2">
        <f t="shared" si="33"/>
        <v>0.828590043049518</v>
      </c>
      <c r="CP99">
        <v>-1.0720431115314699</v>
      </c>
      <c r="CQ99">
        <v>-2.2527165794045199</v>
      </c>
      <c r="CR99">
        <v>0.13779918325957999</v>
      </c>
      <c r="CS99">
        <v>1.03567335990676</v>
      </c>
      <c r="CT99">
        <v>0.87911261733369905</v>
      </c>
      <c r="CU99">
        <v>0.92843171471741404</v>
      </c>
      <c r="CV99">
        <v>-5.6605139970788997E-2</v>
      </c>
      <c r="CW99">
        <v>0.79147804008764799</v>
      </c>
      <c r="CX99" t="s">
        <v>1826</v>
      </c>
    </row>
    <row r="100" spans="1:102" x14ac:dyDescent="0.35">
      <c r="A100" t="s">
        <v>1262</v>
      </c>
      <c r="B100" t="s">
        <v>70</v>
      </c>
      <c r="C100" t="s">
        <v>188</v>
      </c>
      <c r="D100" t="s">
        <v>72</v>
      </c>
      <c r="E100" t="s">
        <v>72</v>
      </c>
      <c r="F100" t="s">
        <v>72</v>
      </c>
      <c r="G100" t="s">
        <v>73</v>
      </c>
      <c r="H100" t="s">
        <v>109</v>
      </c>
      <c r="I100" t="s">
        <v>110</v>
      </c>
      <c r="J100" t="s">
        <v>111</v>
      </c>
      <c r="K100" t="s">
        <v>112</v>
      </c>
      <c r="L100" t="s">
        <v>113</v>
      </c>
      <c r="M100" t="s">
        <v>114</v>
      </c>
      <c r="N100">
        <v>48</v>
      </c>
      <c r="O100" t="s">
        <v>80</v>
      </c>
      <c r="P100">
        <v>621</v>
      </c>
      <c r="Q100">
        <v>0.68400000000000005</v>
      </c>
      <c r="R100">
        <v>175</v>
      </c>
      <c r="S100">
        <v>0.81130000000000002</v>
      </c>
      <c r="T100" t="s">
        <v>115</v>
      </c>
      <c r="U100" t="s">
        <v>116</v>
      </c>
      <c r="V100" t="s">
        <v>117</v>
      </c>
      <c r="W100" t="s">
        <v>118</v>
      </c>
      <c r="X100" t="s">
        <v>119</v>
      </c>
      <c r="Y100" t="s">
        <v>120</v>
      </c>
      <c r="Z100" t="s">
        <v>121</v>
      </c>
      <c r="AA100" t="s">
        <v>88</v>
      </c>
      <c r="AB100">
        <v>538</v>
      </c>
      <c r="AC100">
        <v>6</v>
      </c>
      <c r="AE100">
        <v>1</v>
      </c>
      <c r="AF100" t="s">
        <v>89</v>
      </c>
      <c r="AG100" t="s">
        <v>1263</v>
      </c>
      <c r="AH100" t="s">
        <v>72</v>
      </c>
      <c r="AI100" t="s">
        <v>72</v>
      </c>
      <c r="AJ100" t="s">
        <v>91</v>
      </c>
      <c r="AK100" t="s">
        <v>92</v>
      </c>
      <c r="AL100" t="s">
        <v>93</v>
      </c>
      <c r="AM100" t="s">
        <v>94</v>
      </c>
      <c r="AN100" t="s">
        <v>1264</v>
      </c>
      <c r="AO100" t="s">
        <v>1265</v>
      </c>
      <c r="AP100" t="s">
        <v>1266</v>
      </c>
      <c r="AQ100">
        <v>39</v>
      </c>
      <c r="AR100" t="s">
        <v>80</v>
      </c>
      <c r="AS100">
        <v>1323</v>
      </c>
      <c r="AT100">
        <v>0.95489999999999997</v>
      </c>
      <c r="AU100">
        <v>172</v>
      </c>
      <c r="AV100">
        <v>0.94740000000000002</v>
      </c>
      <c r="AW100" t="s">
        <v>624</v>
      </c>
      <c r="AX100" t="s">
        <v>146</v>
      </c>
      <c r="AY100" t="s">
        <v>1267</v>
      </c>
      <c r="AZ100" t="s">
        <v>101</v>
      </c>
      <c r="BA100" t="s">
        <v>1268</v>
      </c>
      <c r="BB100" t="s">
        <v>103</v>
      </c>
      <c r="BC100" t="s">
        <v>1269</v>
      </c>
      <c r="BD100" t="s">
        <v>105</v>
      </c>
      <c r="BE100">
        <v>66021</v>
      </c>
      <c r="BF100" t="s">
        <v>1270</v>
      </c>
      <c r="BG100">
        <v>843</v>
      </c>
      <c r="BH100" t="s">
        <v>80</v>
      </c>
      <c r="BI100">
        <v>1</v>
      </c>
      <c r="BJ100">
        <v>33</v>
      </c>
      <c r="BK100">
        <v>4</v>
      </c>
      <c r="BL100">
        <v>19</v>
      </c>
      <c r="BM100">
        <v>860</v>
      </c>
      <c r="BN100">
        <v>1306</v>
      </c>
      <c r="BO100">
        <v>1649</v>
      </c>
      <c r="BP100">
        <v>10</v>
      </c>
      <c r="BQ100" s="2">
        <v>834</v>
      </c>
      <c r="BR100">
        <f t="shared" si="17"/>
        <v>34</v>
      </c>
      <c r="BS100">
        <f t="shared" si="18"/>
        <v>5</v>
      </c>
      <c r="BT100">
        <f t="shared" si="19"/>
        <v>20</v>
      </c>
      <c r="BU100">
        <f t="shared" si="20"/>
        <v>861</v>
      </c>
      <c r="BV100">
        <f t="shared" si="21"/>
        <v>1307</v>
      </c>
      <c r="BW100">
        <f t="shared" si="22"/>
        <v>1650</v>
      </c>
      <c r="BX100">
        <f t="shared" si="23"/>
        <v>11</v>
      </c>
      <c r="BY100" s="2">
        <f t="shared" si="24"/>
        <v>835</v>
      </c>
      <c r="BZ100">
        <f t="shared" si="25"/>
        <v>124.57046773033548</v>
      </c>
      <c r="CA100">
        <v>124.57046773033548</v>
      </c>
      <c r="CB100">
        <v>124.57046773033548</v>
      </c>
      <c r="CC100">
        <v>124.57046773033548</v>
      </c>
      <c r="CD100">
        <v>124.57046773033548</v>
      </c>
      <c r="CE100">
        <v>124.57046773033548</v>
      </c>
      <c r="CF100">
        <v>124.57046773033548</v>
      </c>
      <c r="CG100">
        <v>124.57046773033548</v>
      </c>
      <c r="CH100">
        <f t="shared" si="26"/>
        <v>-0.56393617807426832</v>
      </c>
      <c r="CI100">
        <f t="shared" si="27"/>
        <v>-1.3964450907805046</v>
      </c>
      <c r="CJ100">
        <f t="shared" si="28"/>
        <v>-0.79438509945254232</v>
      </c>
      <c r="CK100">
        <f t="shared" si="29"/>
        <v>0.83958805633713129</v>
      </c>
      <c r="CL100">
        <f t="shared" si="30"/>
        <v>1.0208604924640208</v>
      </c>
      <c r="CM100">
        <f t="shared" si="31"/>
        <v>1.1220688490973829</v>
      </c>
      <c r="CN100">
        <f t="shared" si="32"/>
        <v>-1.0540224099582984</v>
      </c>
      <c r="CO100" s="2">
        <f t="shared" si="33"/>
        <v>0.82627138036707859</v>
      </c>
      <c r="CP100">
        <v>-1.354559497935</v>
      </c>
      <c r="CQ100">
        <v>0.67393310269509199</v>
      </c>
      <c r="CR100">
        <v>-1.0540704763195701</v>
      </c>
      <c r="CS100">
        <v>0.82842886052970599</v>
      </c>
      <c r="CT100">
        <v>0.95428660405754195</v>
      </c>
      <c r="CU100">
        <v>0.81311021640910097</v>
      </c>
      <c r="CV100">
        <v>-0.15058094880807901</v>
      </c>
      <c r="CW100">
        <v>0.78510947738734604</v>
      </c>
      <c r="CX100" t="s">
        <v>1826</v>
      </c>
    </row>
    <row r="101" spans="1:102" x14ac:dyDescent="0.35">
      <c r="A101" t="s">
        <v>1349</v>
      </c>
      <c r="B101" t="s">
        <v>70</v>
      </c>
      <c r="C101" t="s">
        <v>1350</v>
      </c>
      <c r="D101" t="s">
        <v>72</v>
      </c>
      <c r="E101" t="s">
        <v>72</v>
      </c>
      <c r="F101" t="s">
        <v>72</v>
      </c>
      <c r="G101" t="s">
        <v>73</v>
      </c>
      <c r="H101" t="s">
        <v>109</v>
      </c>
      <c r="I101" t="s">
        <v>110</v>
      </c>
      <c r="J101" t="s">
        <v>111</v>
      </c>
      <c r="K101" t="s">
        <v>112</v>
      </c>
      <c r="L101" t="s">
        <v>113</v>
      </c>
      <c r="M101" t="s">
        <v>114</v>
      </c>
      <c r="N101">
        <v>48</v>
      </c>
      <c r="O101" t="s">
        <v>80</v>
      </c>
      <c r="P101">
        <v>621</v>
      </c>
      <c r="Q101">
        <v>0.68400000000000005</v>
      </c>
      <c r="R101">
        <v>175</v>
      </c>
      <c r="S101">
        <v>0.81130000000000002</v>
      </c>
      <c r="T101" t="s">
        <v>115</v>
      </c>
      <c r="U101" t="s">
        <v>116</v>
      </c>
      <c r="V101" t="s">
        <v>117</v>
      </c>
      <c r="W101" t="s">
        <v>118</v>
      </c>
      <c r="X101" t="s">
        <v>119</v>
      </c>
      <c r="Y101" t="s">
        <v>120</v>
      </c>
      <c r="Z101" t="s">
        <v>121</v>
      </c>
      <c r="AA101" t="s">
        <v>88</v>
      </c>
      <c r="AB101">
        <v>102</v>
      </c>
      <c r="AC101">
        <v>6</v>
      </c>
      <c r="AE101">
        <v>1</v>
      </c>
      <c r="AF101" t="s">
        <v>89</v>
      </c>
      <c r="AG101" t="s">
        <v>1351</v>
      </c>
      <c r="AH101" t="s">
        <v>72</v>
      </c>
      <c r="AI101" t="s">
        <v>72</v>
      </c>
      <c r="AJ101" t="s">
        <v>72</v>
      </c>
      <c r="AK101" t="s">
        <v>92</v>
      </c>
      <c r="AL101" t="s">
        <v>93</v>
      </c>
      <c r="AM101" t="s">
        <v>94</v>
      </c>
      <c r="AN101" t="s">
        <v>1352</v>
      </c>
      <c r="AO101" t="s">
        <v>1353</v>
      </c>
      <c r="AP101" t="s">
        <v>552</v>
      </c>
      <c r="AQ101">
        <v>39</v>
      </c>
      <c r="AR101" t="s">
        <v>80</v>
      </c>
      <c r="AS101">
        <v>1332</v>
      </c>
      <c r="AT101">
        <v>0.95830000000000004</v>
      </c>
      <c r="AU101">
        <v>154</v>
      </c>
      <c r="AV101">
        <v>0.89470000000000005</v>
      </c>
      <c r="AW101" t="s">
        <v>98</v>
      </c>
      <c r="AX101" t="s">
        <v>146</v>
      </c>
      <c r="AY101" t="s">
        <v>288</v>
      </c>
      <c r="AZ101" t="s">
        <v>554</v>
      </c>
      <c r="BA101" t="s">
        <v>128</v>
      </c>
      <c r="BB101" t="s">
        <v>103</v>
      </c>
      <c r="BC101" t="s">
        <v>556</v>
      </c>
      <c r="BD101" t="s">
        <v>105</v>
      </c>
      <c r="BE101">
        <v>22977</v>
      </c>
      <c r="BG101">
        <v>426</v>
      </c>
      <c r="BH101" t="s">
        <v>80</v>
      </c>
      <c r="BI101">
        <v>1</v>
      </c>
      <c r="BJ101">
        <v>139</v>
      </c>
      <c r="BK101">
        <v>0</v>
      </c>
      <c r="BL101">
        <v>16</v>
      </c>
      <c r="BM101">
        <v>497</v>
      </c>
      <c r="BN101">
        <v>772</v>
      </c>
      <c r="BO101">
        <v>1004</v>
      </c>
      <c r="BP101">
        <v>4</v>
      </c>
      <c r="BQ101" s="2">
        <v>559</v>
      </c>
      <c r="BR101">
        <f t="shared" si="17"/>
        <v>140</v>
      </c>
      <c r="BS101">
        <f t="shared" si="18"/>
        <v>1</v>
      </c>
      <c r="BT101">
        <f t="shared" si="19"/>
        <v>17</v>
      </c>
      <c r="BU101">
        <f t="shared" si="20"/>
        <v>498</v>
      </c>
      <c r="BV101">
        <f t="shared" si="21"/>
        <v>773</v>
      </c>
      <c r="BW101">
        <f t="shared" si="22"/>
        <v>1005</v>
      </c>
      <c r="BX101">
        <f t="shared" si="23"/>
        <v>5</v>
      </c>
      <c r="BY101" s="2">
        <f t="shared" si="24"/>
        <v>560</v>
      </c>
      <c r="BZ101">
        <f t="shared" si="25"/>
        <v>84.413855356196962</v>
      </c>
      <c r="CA101">
        <v>84.413855356196962</v>
      </c>
      <c r="CB101">
        <v>84.413855356196962</v>
      </c>
      <c r="CC101">
        <v>84.413855356196962</v>
      </c>
      <c r="CD101">
        <v>84.413855356196962</v>
      </c>
      <c r="CE101">
        <v>84.413855356196962</v>
      </c>
      <c r="CF101">
        <v>84.413855356196962</v>
      </c>
      <c r="CG101">
        <v>84.413855356196962</v>
      </c>
      <c r="CH101">
        <f t="shared" si="26"/>
        <v>0.21971429982407792</v>
      </c>
      <c r="CI101">
        <f t="shared" si="27"/>
        <v>-1.9264137358541602</v>
      </c>
      <c r="CJ101">
        <f t="shared" si="28"/>
        <v>-0.69596481447588621</v>
      </c>
      <c r="CK101">
        <f t="shared" si="29"/>
        <v>0.77081560690555739</v>
      </c>
      <c r="CL101">
        <f t="shared" si="30"/>
        <v>0.96176575806416487</v>
      </c>
      <c r="CM101">
        <f t="shared" si="31"/>
        <v>1.0757523259023476</v>
      </c>
      <c r="CN101">
        <f t="shared" si="32"/>
        <v>-1.2274437315181412</v>
      </c>
      <c r="CO101" s="2">
        <f t="shared" si="33"/>
        <v>0.82177429115204026</v>
      </c>
      <c r="CP101">
        <v>-0.41305646468927898</v>
      </c>
      <c r="CQ101">
        <v>-2.2527165794045199</v>
      </c>
      <c r="CR101">
        <v>-0.61434070156272402</v>
      </c>
      <c r="CS101">
        <v>0.62579428351331101</v>
      </c>
      <c r="CT101">
        <v>0.78978960763776296</v>
      </c>
      <c r="CU101">
        <v>0.67935763990988696</v>
      </c>
      <c r="CV101">
        <v>-0.61569238826690098</v>
      </c>
      <c r="CW101">
        <v>0.77275753208209297</v>
      </c>
      <c r="CX101" t="s">
        <v>1826</v>
      </c>
    </row>
    <row r="102" spans="1:102" x14ac:dyDescent="0.35">
      <c r="A102" t="s">
        <v>734</v>
      </c>
      <c r="B102" t="s">
        <v>148</v>
      </c>
      <c r="C102" t="s">
        <v>735</v>
      </c>
      <c r="D102" t="s">
        <v>72</v>
      </c>
      <c r="E102" t="s">
        <v>72</v>
      </c>
      <c r="F102" t="s">
        <v>72</v>
      </c>
      <c r="G102" t="s">
        <v>73</v>
      </c>
      <c r="H102" t="s">
        <v>109</v>
      </c>
      <c r="I102" t="s">
        <v>110</v>
      </c>
      <c r="J102" t="s">
        <v>111</v>
      </c>
      <c r="K102" t="s">
        <v>112</v>
      </c>
      <c r="L102" t="s">
        <v>113</v>
      </c>
      <c r="M102" t="s">
        <v>114</v>
      </c>
      <c r="N102">
        <v>48</v>
      </c>
      <c r="O102" t="s">
        <v>80</v>
      </c>
      <c r="P102">
        <v>621</v>
      </c>
      <c r="Q102">
        <v>0.68400000000000005</v>
      </c>
      <c r="R102">
        <v>175</v>
      </c>
      <c r="S102">
        <v>0.81130000000000002</v>
      </c>
      <c r="T102" t="s">
        <v>115</v>
      </c>
      <c r="U102" t="s">
        <v>116</v>
      </c>
      <c r="V102" t="s">
        <v>117</v>
      </c>
      <c r="W102" t="s">
        <v>118</v>
      </c>
      <c r="X102" t="s">
        <v>119</v>
      </c>
      <c r="Y102" t="s">
        <v>120</v>
      </c>
      <c r="Z102" t="s">
        <v>121</v>
      </c>
      <c r="AA102" t="s">
        <v>88</v>
      </c>
      <c r="AB102">
        <v>2902</v>
      </c>
      <c r="AC102">
        <v>29</v>
      </c>
      <c r="AE102">
        <v>1</v>
      </c>
      <c r="AF102" t="s">
        <v>89</v>
      </c>
      <c r="AG102" t="s">
        <v>736</v>
      </c>
      <c r="AH102" t="s">
        <v>72</v>
      </c>
      <c r="AI102" t="s">
        <v>72</v>
      </c>
      <c r="AJ102" t="s">
        <v>91</v>
      </c>
      <c r="AK102" t="s">
        <v>92</v>
      </c>
      <c r="AL102" t="s">
        <v>93</v>
      </c>
      <c r="AM102" t="s">
        <v>94</v>
      </c>
      <c r="AN102" t="s">
        <v>737</v>
      </c>
      <c r="AO102" t="s">
        <v>738</v>
      </c>
      <c r="AP102" t="s">
        <v>97</v>
      </c>
      <c r="AQ102">
        <v>39</v>
      </c>
      <c r="AR102" t="s">
        <v>80</v>
      </c>
      <c r="AS102">
        <v>1350</v>
      </c>
      <c r="AT102">
        <v>0.96530000000000005</v>
      </c>
      <c r="AU102">
        <v>172</v>
      </c>
      <c r="AV102">
        <v>0.94740000000000002</v>
      </c>
      <c r="AW102" t="s">
        <v>644</v>
      </c>
      <c r="AX102" t="s">
        <v>146</v>
      </c>
      <c r="AY102" t="s">
        <v>127</v>
      </c>
      <c r="AZ102" t="s">
        <v>101</v>
      </c>
      <c r="BA102" t="s">
        <v>128</v>
      </c>
      <c r="BB102" t="s">
        <v>103</v>
      </c>
      <c r="BC102" t="s">
        <v>104</v>
      </c>
      <c r="BD102" t="s">
        <v>105</v>
      </c>
      <c r="BE102">
        <v>80927</v>
      </c>
      <c r="BF102" t="s">
        <v>106</v>
      </c>
      <c r="BG102">
        <v>999</v>
      </c>
      <c r="BH102" t="s">
        <v>80</v>
      </c>
      <c r="BI102">
        <v>1</v>
      </c>
      <c r="BJ102">
        <v>70</v>
      </c>
      <c r="BK102">
        <v>4</v>
      </c>
      <c r="BL102">
        <v>37</v>
      </c>
      <c r="BM102">
        <v>1073</v>
      </c>
      <c r="BN102">
        <v>1388</v>
      </c>
      <c r="BO102">
        <v>2072</v>
      </c>
      <c r="BP102">
        <v>11</v>
      </c>
      <c r="BQ102" s="2">
        <v>1083</v>
      </c>
      <c r="BR102">
        <f t="shared" si="17"/>
        <v>71</v>
      </c>
      <c r="BS102">
        <f t="shared" si="18"/>
        <v>5</v>
      </c>
      <c r="BT102">
        <f t="shared" si="19"/>
        <v>38</v>
      </c>
      <c r="BU102">
        <f t="shared" si="20"/>
        <v>1074</v>
      </c>
      <c r="BV102">
        <f t="shared" si="21"/>
        <v>1389</v>
      </c>
      <c r="BW102">
        <f t="shared" si="22"/>
        <v>2073</v>
      </c>
      <c r="BX102">
        <f t="shared" si="23"/>
        <v>12</v>
      </c>
      <c r="BY102" s="2">
        <f t="shared" si="24"/>
        <v>1084</v>
      </c>
      <c r="BZ102">
        <f t="shared" si="25"/>
        <v>164.74643987720049</v>
      </c>
      <c r="CA102">
        <v>164.74643987720049</v>
      </c>
      <c r="CB102">
        <v>164.74643987720049</v>
      </c>
      <c r="CC102">
        <v>164.74643987720049</v>
      </c>
      <c r="CD102">
        <v>164.74643987720049</v>
      </c>
      <c r="CE102">
        <v>164.74643987720049</v>
      </c>
      <c r="CF102">
        <v>164.74643987720049</v>
      </c>
      <c r="CG102">
        <v>164.74643987720049</v>
      </c>
      <c r="CH102">
        <f t="shared" si="26"/>
        <v>-0.36555768967053853</v>
      </c>
      <c r="CI102">
        <f t="shared" si="27"/>
        <v>-1.5178460340535951</v>
      </c>
      <c r="CJ102">
        <f t="shared" si="28"/>
        <v>-0.63703244177280371</v>
      </c>
      <c r="CK102">
        <f t="shared" si="29"/>
        <v>0.814188242973923</v>
      </c>
      <c r="CL102">
        <f t="shared" si="30"/>
        <v>0.92588620734800176</v>
      </c>
      <c r="CM102">
        <f t="shared" si="31"/>
        <v>1.0997832637042471</v>
      </c>
      <c r="CN102">
        <f t="shared" si="32"/>
        <v>-1.1376347923419889</v>
      </c>
      <c r="CO102" s="2">
        <f t="shared" si="33"/>
        <v>0.81821324381275429</v>
      </c>
      <c r="CP102">
        <v>-1.11622116492751</v>
      </c>
      <c r="CQ102">
        <v>0.31528989094346999</v>
      </c>
      <c r="CR102">
        <v>-0.35103808075889797</v>
      </c>
      <c r="CS102">
        <v>0.75358958288742794</v>
      </c>
      <c r="CT102">
        <v>0.68991474762461202</v>
      </c>
      <c r="CU102">
        <v>0.74875403724225298</v>
      </c>
      <c r="CV102">
        <v>-0.374827167077384</v>
      </c>
      <c r="CW102">
        <v>0.76297656936131997</v>
      </c>
      <c r="CX102" t="s">
        <v>1826</v>
      </c>
    </row>
    <row r="103" spans="1:102" x14ac:dyDescent="0.35">
      <c r="A103" t="s">
        <v>1370</v>
      </c>
      <c r="B103" t="s">
        <v>178</v>
      </c>
      <c r="C103" t="s">
        <v>188</v>
      </c>
      <c r="D103" t="s">
        <v>72</v>
      </c>
      <c r="E103" t="s">
        <v>72</v>
      </c>
      <c r="F103" t="s">
        <v>72</v>
      </c>
      <c r="G103" t="s">
        <v>73</v>
      </c>
      <c r="H103" t="s">
        <v>109</v>
      </c>
      <c r="I103" t="s">
        <v>110</v>
      </c>
      <c r="J103" t="s">
        <v>111</v>
      </c>
      <c r="K103" t="s">
        <v>112</v>
      </c>
      <c r="L103" t="s">
        <v>113</v>
      </c>
      <c r="M103" t="s">
        <v>114</v>
      </c>
      <c r="N103">
        <v>48</v>
      </c>
      <c r="O103" t="s">
        <v>80</v>
      </c>
      <c r="P103">
        <v>621</v>
      </c>
      <c r="Q103">
        <v>0.68400000000000005</v>
      </c>
      <c r="R103">
        <v>175</v>
      </c>
      <c r="S103">
        <v>0.81130000000000002</v>
      </c>
      <c r="T103" t="s">
        <v>115</v>
      </c>
      <c r="U103" t="s">
        <v>116</v>
      </c>
      <c r="V103" t="s">
        <v>117</v>
      </c>
      <c r="W103" t="s">
        <v>118</v>
      </c>
      <c r="X103" t="s">
        <v>119</v>
      </c>
      <c r="Y103" t="s">
        <v>120</v>
      </c>
      <c r="Z103" t="s">
        <v>121</v>
      </c>
      <c r="AA103" t="s">
        <v>88</v>
      </c>
      <c r="AB103">
        <v>457</v>
      </c>
      <c r="AC103">
        <v>10</v>
      </c>
      <c r="AE103">
        <v>1</v>
      </c>
      <c r="AF103" t="s">
        <v>89</v>
      </c>
      <c r="AG103" t="s">
        <v>1371</v>
      </c>
      <c r="AH103" t="s">
        <v>72</v>
      </c>
      <c r="AI103" t="s">
        <v>72</v>
      </c>
      <c r="AJ103" t="s">
        <v>91</v>
      </c>
      <c r="AK103" t="s">
        <v>92</v>
      </c>
      <c r="AL103" t="s">
        <v>93</v>
      </c>
      <c r="AM103" t="s">
        <v>94</v>
      </c>
      <c r="AN103" t="s">
        <v>1372</v>
      </c>
      <c r="AO103" t="s">
        <v>1373</v>
      </c>
      <c r="AP103" t="s">
        <v>243</v>
      </c>
      <c r="AQ103">
        <v>39</v>
      </c>
      <c r="AR103" t="s">
        <v>80</v>
      </c>
      <c r="AS103">
        <v>1359</v>
      </c>
      <c r="AT103">
        <v>0.96879999999999999</v>
      </c>
      <c r="AU103">
        <v>163</v>
      </c>
      <c r="AV103">
        <v>0.92110000000000003</v>
      </c>
      <c r="AW103" t="s">
        <v>98</v>
      </c>
      <c r="AX103" t="s">
        <v>146</v>
      </c>
      <c r="AY103" t="s">
        <v>127</v>
      </c>
      <c r="AZ103" t="s">
        <v>136</v>
      </c>
      <c r="BA103" t="s">
        <v>128</v>
      </c>
      <c r="BB103" t="s">
        <v>103</v>
      </c>
      <c r="BC103" t="s">
        <v>246</v>
      </c>
      <c r="BD103" t="s">
        <v>105</v>
      </c>
      <c r="BE103">
        <v>28467</v>
      </c>
      <c r="BF103" t="s">
        <v>247</v>
      </c>
      <c r="BG103">
        <v>668</v>
      </c>
      <c r="BH103" t="s">
        <v>80</v>
      </c>
      <c r="BI103">
        <v>1</v>
      </c>
      <c r="BJ103">
        <v>147</v>
      </c>
      <c r="BK103">
        <v>7</v>
      </c>
      <c r="BL103">
        <v>86</v>
      </c>
      <c r="BM103">
        <v>2576</v>
      </c>
      <c r="BN103">
        <v>3138</v>
      </c>
      <c r="BO103">
        <v>4715</v>
      </c>
      <c r="BP103">
        <v>22</v>
      </c>
      <c r="BQ103" s="2">
        <v>2275</v>
      </c>
      <c r="BR103">
        <f t="shared" si="17"/>
        <v>148</v>
      </c>
      <c r="BS103">
        <f t="shared" si="18"/>
        <v>8</v>
      </c>
      <c r="BT103">
        <f t="shared" si="19"/>
        <v>87</v>
      </c>
      <c r="BU103">
        <f t="shared" si="20"/>
        <v>2577</v>
      </c>
      <c r="BV103">
        <f t="shared" si="21"/>
        <v>3139</v>
      </c>
      <c r="BW103">
        <f t="shared" si="22"/>
        <v>4716</v>
      </c>
      <c r="BX103">
        <f t="shared" si="23"/>
        <v>23</v>
      </c>
      <c r="BY103" s="2">
        <f t="shared" si="24"/>
        <v>2276</v>
      </c>
      <c r="BZ103">
        <f t="shared" si="25"/>
        <v>346.06391962742049</v>
      </c>
      <c r="CA103">
        <v>346.06391962742049</v>
      </c>
      <c r="CB103">
        <v>346.06391962742049</v>
      </c>
      <c r="CC103">
        <v>346.06391962742049</v>
      </c>
      <c r="CD103">
        <v>346.06391962742049</v>
      </c>
      <c r="CE103">
        <v>346.06391962742049</v>
      </c>
      <c r="CF103">
        <v>346.06391962742049</v>
      </c>
      <c r="CG103">
        <v>346.06391962742049</v>
      </c>
      <c r="CH103">
        <f t="shared" si="26"/>
        <v>-0.36889460703256072</v>
      </c>
      <c r="CI103">
        <f t="shared" si="27"/>
        <v>-1.6360663354355744</v>
      </c>
      <c r="CJ103">
        <f t="shared" si="28"/>
        <v>-0.59963706980889953</v>
      </c>
      <c r="CK103">
        <f t="shared" si="29"/>
        <v>0.87195809612338671</v>
      </c>
      <c r="CL103">
        <f t="shared" si="30"/>
        <v>0.95763499327252444</v>
      </c>
      <c r="CM103">
        <f t="shared" si="31"/>
        <v>1.1344174739955335</v>
      </c>
      <c r="CN103">
        <f t="shared" si="32"/>
        <v>-1.1774284864099251</v>
      </c>
      <c r="CO103" s="2">
        <f t="shared" si="33"/>
        <v>0.81801593529551553</v>
      </c>
      <c r="CP103">
        <v>-1.1202302453870301</v>
      </c>
      <c r="CQ103">
        <v>-3.3957054251196203E-2</v>
      </c>
      <c r="CR103">
        <v>-0.183960140530049</v>
      </c>
      <c r="CS103">
        <v>0.92380556114610601</v>
      </c>
      <c r="CT103">
        <v>0.77829114829037505</v>
      </c>
      <c r="CU103">
        <v>0.84877050095582696</v>
      </c>
      <c r="CV103">
        <v>-0.48155281166852498</v>
      </c>
      <c r="CW103">
        <v>0.76243463125499</v>
      </c>
      <c r="CX103" t="s">
        <v>1826</v>
      </c>
    </row>
    <row r="104" spans="1:102" x14ac:dyDescent="0.35">
      <c r="A104" t="s">
        <v>494</v>
      </c>
      <c r="B104" t="s">
        <v>211</v>
      </c>
      <c r="C104" t="s">
        <v>495</v>
      </c>
      <c r="D104" t="s">
        <v>72</v>
      </c>
      <c r="E104" t="s">
        <v>72</v>
      </c>
      <c r="F104" t="s">
        <v>72</v>
      </c>
      <c r="G104" t="s">
        <v>73</v>
      </c>
      <c r="H104" t="s">
        <v>109</v>
      </c>
      <c r="I104" t="s">
        <v>110</v>
      </c>
      <c r="J104" t="s">
        <v>111</v>
      </c>
      <c r="K104" t="s">
        <v>112</v>
      </c>
      <c r="L104" t="s">
        <v>113</v>
      </c>
      <c r="M104" t="s">
        <v>114</v>
      </c>
      <c r="N104">
        <v>48</v>
      </c>
      <c r="O104" t="s">
        <v>80</v>
      </c>
      <c r="P104">
        <v>621</v>
      </c>
      <c r="Q104">
        <v>0.68400000000000005</v>
      </c>
      <c r="R104">
        <v>175</v>
      </c>
      <c r="S104">
        <v>0.81130000000000002</v>
      </c>
      <c r="T104" t="s">
        <v>115</v>
      </c>
      <c r="U104" t="s">
        <v>116</v>
      </c>
      <c r="V104" t="s">
        <v>117</v>
      </c>
      <c r="W104" t="s">
        <v>118</v>
      </c>
      <c r="X104" t="s">
        <v>119</v>
      </c>
      <c r="Y104" t="s">
        <v>120</v>
      </c>
      <c r="Z104" t="s">
        <v>121</v>
      </c>
      <c r="AA104" t="s">
        <v>88</v>
      </c>
      <c r="AB104">
        <v>431</v>
      </c>
      <c r="AC104">
        <v>9</v>
      </c>
      <c r="AE104">
        <v>1</v>
      </c>
      <c r="AF104" t="s">
        <v>89</v>
      </c>
      <c r="AG104" t="s">
        <v>496</v>
      </c>
      <c r="AH104" t="s">
        <v>72</v>
      </c>
      <c r="AI104" t="s">
        <v>72</v>
      </c>
      <c r="AJ104" t="s">
        <v>91</v>
      </c>
      <c r="AK104" t="s">
        <v>92</v>
      </c>
      <c r="AL104" t="s">
        <v>93</v>
      </c>
      <c r="AM104" t="s">
        <v>94</v>
      </c>
      <c r="AN104" t="s">
        <v>497</v>
      </c>
      <c r="AO104" t="s">
        <v>498</v>
      </c>
      <c r="AP104" t="s">
        <v>97</v>
      </c>
      <c r="AQ104">
        <v>39</v>
      </c>
      <c r="AR104" t="s">
        <v>80</v>
      </c>
      <c r="AS104">
        <v>1350</v>
      </c>
      <c r="AT104">
        <v>0.96530000000000005</v>
      </c>
      <c r="AU104">
        <v>163</v>
      </c>
      <c r="AV104">
        <v>0.92110000000000003</v>
      </c>
      <c r="AW104" t="s">
        <v>98</v>
      </c>
      <c r="AX104" t="s">
        <v>146</v>
      </c>
      <c r="AY104" t="s">
        <v>499</v>
      </c>
      <c r="AZ104" t="s">
        <v>136</v>
      </c>
      <c r="BA104" t="s">
        <v>128</v>
      </c>
      <c r="BB104" t="s">
        <v>103</v>
      </c>
      <c r="BC104" t="s">
        <v>104</v>
      </c>
      <c r="BD104" t="s">
        <v>105</v>
      </c>
      <c r="BE104">
        <v>52637</v>
      </c>
      <c r="BF104" t="s">
        <v>106</v>
      </c>
      <c r="BG104">
        <v>606</v>
      </c>
      <c r="BH104" t="s">
        <v>80</v>
      </c>
      <c r="BI104">
        <v>1</v>
      </c>
      <c r="BJ104">
        <v>147</v>
      </c>
      <c r="BK104">
        <v>10</v>
      </c>
      <c r="BL104">
        <v>85</v>
      </c>
      <c r="BM104">
        <v>2295</v>
      </c>
      <c r="BN104">
        <v>3104</v>
      </c>
      <c r="BO104">
        <v>4423</v>
      </c>
      <c r="BP104">
        <v>25</v>
      </c>
      <c r="BQ104" s="2">
        <v>2349</v>
      </c>
      <c r="BR104">
        <f t="shared" si="17"/>
        <v>148</v>
      </c>
      <c r="BS104">
        <f t="shared" si="18"/>
        <v>11</v>
      </c>
      <c r="BT104">
        <f t="shared" si="19"/>
        <v>86</v>
      </c>
      <c r="BU104">
        <f t="shared" si="20"/>
        <v>2296</v>
      </c>
      <c r="BV104">
        <f t="shared" si="21"/>
        <v>3105</v>
      </c>
      <c r="BW104">
        <f t="shared" si="22"/>
        <v>4424</v>
      </c>
      <c r="BX104">
        <f t="shared" si="23"/>
        <v>26</v>
      </c>
      <c r="BY104" s="2">
        <f t="shared" si="24"/>
        <v>2350</v>
      </c>
      <c r="BZ104">
        <f t="shared" si="25"/>
        <v>357.99778003900599</v>
      </c>
      <c r="CA104">
        <v>357.99778003900599</v>
      </c>
      <c r="CB104">
        <v>357.99778003900599</v>
      </c>
      <c r="CC104">
        <v>357.99778003900599</v>
      </c>
      <c r="CD104">
        <v>357.99778003900599</v>
      </c>
      <c r="CE104">
        <v>357.99778003900599</v>
      </c>
      <c r="CF104">
        <v>357.99778003900599</v>
      </c>
      <c r="CG104">
        <v>357.99778003900599</v>
      </c>
      <c r="CH104">
        <f t="shared" si="26"/>
        <v>-0.38361861817685272</v>
      </c>
      <c r="CI104">
        <f t="shared" si="27"/>
        <v>-1.512487648413585</v>
      </c>
      <c r="CJ104">
        <f t="shared" si="28"/>
        <v>-0.61938188232824243</v>
      </c>
      <c r="CK104">
        <f t="shared" si="29"/>
        <v>0.80709155015412581</v>
      </c>
      <c r="CL104">
        <f t="shared" si="30"/>
        <v>0.93818127094078885</v>
      </c>
      <c r="CM104">
        <f t="shared" si="31"/>
        <v>1.0919347847248317</v>
      </c>
      <c r="CN104">
        <f t="shared" si="32"/>
        <v>-1.1389069856009921</v>
      </c>
      <c r="CO104" s="2">
        <f t="shared" si="33"/>
        <v>0.81718752869992617</v>
      </c>
      <c r="CP104">
        <v>-1.1379201486600701</v>
      </c>
      <c r="CQ104">
        <v>0.33111965786228298</v>
      </c>
      <c r="CR104">
        <v>-0.27217754371889502</v>
      </c>
      <c r="CS104">
        <v>0.73267953301075905</v>
      </c>
      <c r="CT104">
        <v>0.724139472591115</v>
      </c>
      <c r="CU104">
        <v>0.72608924695399502</v>
      </c>
      <c r="CV104">
        <v>-0.378239156056839</v>
      </c>
      <c r="CW104">
        <v>0.76015928547687805</v>
      </c>
      <c r="CX104" t="s">
        <v>1826</v>
      </c>
    </row>
    <row r="105" spans="1:102" x14ac:dyDescent="0.35">
      <c r="A105" t="s">
        <v>1498</v>
      </c>
      <c r="B105" t="s">
        <v>148</v>
      </c>
      <c r="C105" t="s">
        <v>108</v>
      </c>
      <c r="D105" t="s">
        <v>72</v>
      </c>
      <c r="E105" t="s">
        <v>72</v>
      </c>
      <c r="F105" t="s">
        <v>72</v>
      </c>
      <c r="G105" t="s">
        <v>73</v>
      </c>
      <c r="H105" t="s">
        <v>109</v>
      </c>
      <c r="I105" t="s">
        <v>110</v>
      </c>
      <c r="J105" t="s">
        <v>111</v>
      </c>
      <c r="K105" t="s">
        <v>112</v>
      </c>
      <c r="L105" t="s">
        <v>113</v>
      </c>
      <c r="M105" t="s">
        <v>114</v>
      </c>
      <c r="N105">
        <v>48</v>
      </c>
      <c r="O105" t="s">
        <v>80</v>
      </c>
      <c r="P105">
        <v>621</v>
      </c>
      <c r="Q105">
        <v>0.68400000000000005</v>
      </c>
      <c r="R105">
        <v>175</v>
      </c>
      <c r="S105">
        <v>0.81130000000000002</v>
      </c>
      <c r="T105" t="s">
        <v>115</v>
      </c>
      <c r="U105" t="s">
        <v>116</v>
      </c>
      <c r="V105" t="s">
        <v>117</v>
      </c>
      <c r="W105" t="s">
        <v>118</v>
      </c>
      <c r="X105" t="s">
        <v>119</v>
      </c>
      <c r="Y105" t="s">
        <v>120</v>
      </c>
      <c r="Z105" t="s">
        <v>121</v>
      </c>
      <c r="AA105" t="s">
        <v>88</v>
      </c>
      <c r="AB105">
        <v>342</v>
      </c>
      <c r="AC105">
        <v>5</v>
      </c>
      <c r="AE105">
        <v>1</v>
      </c>
      <c r="AF105" t="s">
        <v>89</v>
      </c>
      <c r="AG105" t="s">
        <v>1499</v>
      </c>
      <c r="AH105" t="s">
        <v>72</v>
      </c>
      <c r="AI105" t="s">
        <v>72</v>
      </c>
      <c r="AJ105" t="s">
        <v>91</v>
      </c>
      <c r="AK105" t="s">
        <v>92</v>
      </c>
      <c r="AL105" t="s">
        <v>93</v>
      </c>
      <c r="AM105" t="s">
        <v>94</v>
      </c>
      <c r="AN105" t="s">
        <v>1500</v>
      </c>
      <c r="AO105" t="s">
        <v>1501</v>
      </c>
      <c r="AP105" t="s">
        <v>97</v>
      </c>
      <c r="AQ105">
        <v>39</v>
      </c>
      <c r="AR105" t="s">
        <v>80</v>
      </c>
      <c r="AS105">
        <v>1350</v>
      </c>
      <c r="AT105">
        <v>0.96530000000000005</v>
      </c>
      <c r="AU105">
        <v>154</v>
      </c>
      <c r="AV105">
        <v>0.89470000000000005</v>
      </c>
      <c r="AW105" t="s">
        <v>1502</v>
      </c>
      <c r="AX105" t="s">
        <v>146</v>
      </c>
      <c r="AY105" t="s">
        <v>127</v>
      </c>
      <c r="AZ105" t="s">
        <v>1503</v>
      </c>
      <c r="BA105" t="s">
        <v>128</v>
      </c>
      <c r="BB105" t="s">
        <v>103</v>
      </c>
      <c r="BC105" t="s">
        <v>104</v>
      </c>
      <c r="BD105" t="s">
        <v>105</v>
      </c>
      <c r="BE105">
        <v>37523</v>
      </c>
      <c r="BF105" t="s">
        <v>106</v>
      </c>
      <c r="BG105">
        <v>420</v>
      </c>
      <c r="BH105" t="s">
        <v>80</v>
      </c>
      <c r="BI105">
        <v>1</v>
      </c>
      <c r="BJ105">
        <v>80</v>
      </c>
      <c r="BK105">
        <v>0</v>
      </c>
      <c r="BL105">
        <v>16</v>
      </c>
      <c r="BM105">
        <v>561</v>
      </c>
      <c r="BN105">
        <v>736</v>
      </c>
      <c r="BO105">
        <v>1117</v>
      </c>
      <c r="BP105">
        <v>5</v>
      </c>
      <c r="BQ105" s="2">
        <v>537</v>
      </c>
      <c r="BR105">
        <f t="shared" si="17"/>
        <v>81</v>
      </c>
      <c r="BS105">
        <f t="shared" si="18"/>
        <v>1</v>
      </c>
      <c r="BT105">
        <f t="shared" si="19"/>
        <v>17</v>
      </c>
      <c r="BU105">
        <f t="shared" si="20"/>
        <v>562</v>
      </c>
      <c r="BV105">
        <f t="shared" si="21"/>
        <v>737</v>
      </c>
      <c r="BW105">
        <f t="shared" si="22"/>
        <v>1118</v>
      </c>
      <c r="BX105">
        <f t="shared" si="23"/>
        <v>6</v>
      </c>
      <c r="BY105" s="2">
        <f t="shared" si="24"/>
        <v>538</v>
      </c>
      <c r="BZ105">
        <f t="shared" si="25"/>
        <v>82.070888318008798</v>
      </c>
      <c r="CA105">
        <v>82.070888318008798</v>
      </c>
      <c r="CB105">
        <v>82.070888318008798</v>
      </c>
      <c r="CC105">
        <v>82.070888318008798</v>
      </c>
      <c r="CD105">
        <v>82.070888318008798</v>
      </c>
      <c r="CE105">
        <v>82.070888318008798</v>
      </c>
      <c r="CF105">
        <v>82.070888318008798</v>
      </c>
      <c r="CG105">
        <v>82.070888318008798</v>
      </c>
      <c r="CH105">
        <f t="shared" si="26"/>
        <v>-5.7041152820344384E-3</v>
      </c>
      <c r="CI105">
        <f t="shared" si="27"/>
        <v>-1.9141891341606843</v>
      </c>
      <c r="CJ105">
        <f t="shared" si="28"/>
        <v>-0.68374021278241026</v>
      </c>
      <c r="CK105">
        <f t="shared" si="29"/>
        <v>0.83554718140837692</v>
      </c>
      <c r="CL105">
        <f t="shared" si="30"/>
        <v>0.95327835369836733</v>
      </c>
      <c r="CM105">
        <f t="shared" si="31"/>
        <v>1.1342526693897204</v>
      </c>
      <c r="CN105">
        <f t="shared" si="32"/>
        <v>-1.1360378837770406</v>
      </c>
      <c r="CO105" s="2">
        <f t="shared" si="33"/>
        <v>0.81659314150570506</v>
      </c>
      <c r="CP105">
        <v>-0.68388144030982301</v>
      </c>
      <c r="CQ105">
        <v>-2.2527165794045199</v>
      </c>
      <c r="CR105">
        <v>-0.55972267896261296</v>
      </c>
      <c r="CS105">
        <v>0.81652262498433703</v>
      </c>
      <c r="CT105">
        <v>0.766163940482261</v>
      </c>
      <c r="CU105">
        <v>0.848294579208557</v>
      </c>
      <c r="CV105">
        <v>-0.37054430015740702</v>
      </c>
      <c r="CW105">
        <v>0.75852670987917603</v>
      </c>
      <c r="CX105" t="s">
        <v>1826</v>
      </c>
    </row>
    <row r="106" spans="1:102" x14ac:dyDescent="0.35">
      <c r="A106" t="s">
        <v>1460</v>
      </c>
      <c r="B106" t="s">
        <v>159</v>
      </c>
      <c r="C106" t="s">
        <v>1461</v>
      </c>
      <c r="D106" t="s">
        <v>72</v>
      </c>
      <c r="E106" t="s">
        <v>72</v>
      </c>
      <c r="F106" t="s">
        <v>72</v>
      </c>
      <c r="G106" t="s">
        <v>73</v>
      </c>
      <c r="H106" t="s">
        <v>109</v>
      </c>
      <c r="I106" t="s">
        <v>110</v>
      </c>
      <c r="J106" t="s">
        <v>111</v>
      </c>
      <c r="K106" t="s">
        <v>112</v>
      </c>
      <c r="L106" t="s">
        <v>113</v>
      </c>
      <c r="M106" t="s">
        <v>114</v>
      </c>
      <c r="N106">
        <v>48</v>
      </c>
      <c r="O106" t="s">
        <v>80</v>
      </c>
      <c r="P106">
        <v>621</v>
      </c>
      <c r="Q106">
        <v>0.68400000000000005</v>
      </c>
      <c r="R106">
        <v>175</v>
      </c>
      <c r="S106">
        <v>0.81130000000000002</v>
      </c>
      <c r="T106" t="s">
        <v>115</v>
      </c>
      <c r="U106" t="s">
        <v>116</v>
      </c>
      <c r="V106" t="s">
        <v>117</v>
      </c>
      <c r="W106" t="s">
        <v>118</v>
      </c>
      <c r="X106" t="s">
        <v>119</v>
      </c>
      <c r="Y106" t="s">
        <v>120</v>
      </c>
      <c r="Z106" t="s">
        <v>121</v>
      </c>
      <c r="AA106" t="s">
        <v>88</v>
      </c>
      <c r="AB106">
        <v>628</v>
      </c>
      <c r="AC106">
        <v>5</v>
      </c>
      <c r="AE106">
        <v>1</v>
      </c>
      <c r="AF106" t="s">
        <v>89</v>
      </c>
      <c r="AG106" t="s">
        <v>1462</v>
      </c>
      <c r="AH106" t="s">
        <v>72</v>
      </c>
      <c r="AI106" t="s">
        <v>72</v>
      </c>
      <c r="AJ106" t="s">
        <v>72</v>
      </c>
      <c r="AK106" t="s">
        <v>92</v>
      </c>
      <c r="AL106" t="s">
        <v>93</v>
      </c>
      <c r="AM106" t="s">
        <v>94</v>
      </c>
      <c r="AN106" t="s">
        <v>1463</v>
      </c>
      <c r="AO106" t="s">
        <v>1464</v>
      </c>
      <c r="AP106" t="s">
        <v>97</v>
      </c>
      <c r="AQ106">
        <v>39</v>
      </c>
      <c r="AR106" t="s">
        <v>80</v>
      </c>
      <c r="AS106">
        <v>569</v>
      </c>
      <c r="AT106">
        <v>0.70040000000000002</v>
      </c>
      <c r="AU106">
        <v>172</v>
      </c>
      <c r="AV106">
        <v>0.94740000000000002</v>
      </c>
      <c r="AW106" t="s">
        <v>1465</v>
      </c>
      <c r="AX106" t="s">
        <v>1466</v>
      </c>
      <c r="AY106" t="s">
        <v>127</v>
      </c>
      <c r="AZ106" t="s">
        <v>101</v>
      </c>
      <c r="BA106" t="s">
        <v>1467</v>
      </c>
      <c r="BB106" t="s">
        <v>103</v>
      </c>
      <c r="BC106" t="s">
        <v>104</v>
      </c>
      <c r="BD106" t="s">
        <v>105</v>
      </c>
      <c r="BE106">
        <v>13680</v>
      </c>
      <c r="BG106">
        <v>112</v>
      </c>
      <c r="BH106" t="s">
        <v>80</v>
      </c>
      <c r="BI106">
        <v>1</v>
      </c>
      <c r="BJ106">
        <v>52</v>
      </c>
      <c r="BK106">
        <v>5</v>
      </c>
      <c r="BL106">
        <v>35</v>
      </c>
      <c r="BM106">
        <v>1225</v>
      </c>
      <c r="BN106">
        <v>1546</v>
      </c>
      <c r="BO106">
        <v>2236</v>
      </c>
      <c r="BP106">
        <v>20</v>
      </c>
      <c r="BQ106" s="2">
        <v>1174</v>
      </c>
      <c r="BR106">
        <f t="shared" si="17"/>
        <v>53</v>
      </c>
      <c r="BS106">
        <f t="shared" si="18"/>
        <v>6</v>
      </c>
      <c r="BT106">
        <f t="shared" si="19"/>
        <v>36</v>
      </c>
      <c r="BU106">
        <f t="shared" si="20"/>
        <v>1226</v>
      </c>
      <c r="BV106">
        <f t="shared" si="21"/>
        <v>1547</v>
      </c>
      <c r="BW106">
        <f t="shared" si="22"/>
        <v>2237</v>
      </c>
      <c r="BX106">
        <f t="shared" si="23"/>
        <v>21</v>
      </c>
      <c r="BY106" s="2">
        <f t="shared" si="24"/>
        <v>1175</v>
      </c>
      <c r="BZ106">
        <f t="shared" si="25"/>
        <v>181.89853184338327</v>
      </c>
      <c r="CA106">
        <v>181.89853184338327</v>
      </c>
      <c r="CB106">
        <v>181.89853184338327</v>
      </c>
      <c r="CC106">
        <v>181.89853184338327</v>
      </c>
      <c r="CD106">
        <v>181.89853184338327</v>
      </c>
      <c r="CE106">
        <v>181.89853184338327</v>
      </c>
      <c r="CF106">
        <v>181.89853184338327</v>
      </c>
      <c r="CG106">
        <v>181.89853184338327</v>
      </c>
      <c r="CH106">
        <f t="shared" si="26"/>
        <v>-0.53555332415818446</v>
      </c>
      <c r="CI106">
        <f t="shared" si="27"/>
        <v>-1.4816779433753298</v>
      </c>
      <c r="CJ106">
        <f t="shared" si="28"/>
        <v>-0.70352669299168624</v>
      </c>
      <c r="CK106">
        <f t="shared" si="29"/>
        <v>0.8286612764234228</v>
      </c>
      <c r="CL106">
        <f t="shared" si="30"/>
        <v>0.92966111994039413</v>
      </c>
      <c r="CM106">
        <f t="shared" si="31"/>
        <v>1.0898367903376562</v>
      </c>
      <c r="CN106">
        <f t="shared" si="32"/>
        <v>-0.93760989902505421</v>
      </c>
      <c r="CO106" s="2">
        <f t="shared" si="33"/>
        <v>0.81020867284878162</v>
      </c>
      <c r="CP106">
        <v>-1.3204594191271199</v>
      </c>
      <c r="CQ106">
        <v>0.42213782683304402</v>
      </c>
      <c r="CR106">
        <v>-0.64812624828492704</v>
      </c>
      <c r="CS106">
        <v>0.79623365090337805</v>
      </c>
      <c r="CT106">
        <v>0.70042265140829096</v>
      </c>
      <c r="CU106">
        <v>0.72003067140884902</v>
      </c>
      <c r="CV106">
        <v>0.16163435461695599</v>
      </c>
      <c r="CW106">
        <v>0.74099078744523506</v>
      </c>
      <c r="CX106" t="s">
        <v>1826</v>
      </c>
    </row>
    <row r="107" spans="1:102" x14ac:dyDescent="0.35">
      <c r="A107" t="s">
        <v>1492</v>
      </c>
      <c r="B107" t="s">
        <v>148</v>
      </c>
      <c r="C107" t="s">
        <v>1493</v>
      </c>
      <c r="D107" t="s">
        <v>72</v>
      </c>
      <c r="E107" t="s">
        <v>72</v>
      </c>
      <c r="F107" t="s">
        <v>72</v>
      </c>
      <c r="G107" t="s">
        <v>73</v>
      </c>
      <c r="H107" t="s">
        <v>109</v>
      </c>
      <c r="I107" t="s">
        <v>110</v>
      </c>
      <c r="J107" t="s">
        <v>111</v>
      </c>
      <c r="K107" t="s">
        <v>112</v>
      </c>
      <c r="L107" t="s">
        <v>113</v>
      </c>
      <c r="M107" t="s">
        <v>114</v>
      </c>
      <c r="N107">
        <v>48</v>
      </c>
      <c r="O107" t="s">
        <v>80</v>
      </c>
      <c r="P107">
        <v>621</v>
      </c>
      <c r="Q107">
        <v>0.68400000000000005</v>
      </c>
      <c r="R107">
        <v>175</v>
      </c>
      <c r="S107">
        <v>0.81130000000000002</v>
      </c>
      <c r="T107" t="s">
        <v>115</v>
      </c>
      <c r="U107" t="s">
        <v>116</v>
      </c>
      <c r="V107" t="s">
        <v>117</v>
      </c>
      <c r="W107" t="s">
        <v>118</v>
      </c>
      <c r="X107" t="s">
        <v>119</v>
      </c>
      <c r="Y107" t="s">
        <v>120</v>
      </c>
      <c r="Z107" t="s">
        <v>121</v>
      </c>
      <c r="AA107" t="s">
        <v>88</v>
      </c>
      <c r="AB107">
        <v>1110</v>
      </c>
      <c r="AC107">
        <v>21</v>
      </c>
      <c r="AE107">
        <v>1</v>
      </c>
      <c r="AF107" t="s">
        <v>89</v>
      </c>
      <c r="AG107" t="s">
        <v>1494</v>
      </c>
      <c r="AH107" t="s">
        <v>72</v>
      </c>
      <c r="AI107" t="s">
        <v>72</v>
      </c>
      <c r="AJ107" t="s">
        <v>91</v>
      </c>
      <c r="AK107" t="s">
        <v>92</v>
      </c>
      <c r="AL107" t="s">
        <v>93</v>
      </c>
      <c r="AM107" t="s">
        <v>94</v>
      </c>
      <c r="AN107" t="s">
        <v>1495</v>
      </c>
      <c r="AO107" t="s">
        <v>1496</v>
      </c>
      <c r="AP107" t="s">
        <v>97</v>
      </c>
      <c r="AQ107">
        <v>39</v>
      </c>
      <c r="AR107" t="s">
        <v>80</v>
      </c>
      <c r="AS107">
        <v>1350</v>
      </c>
      <c r="AT107">
        <v>0.96530000000000005</v>
      </c>
      <c r="AU107">
        <v>172</v>
      </c>
      <c r="AV107">
        <v>0.94740000000000002</v>
      </c>
      <c r="AW107" t="s">
        <v>98</v>
      </c>
      <c r="AX107" t="s">
        <v>146</v>
      </c>
      <c r="AY107" t="s">
        <v>1497</v>
      </c>
      <c r="AZ107" t="s">
        <v>101</v>
      </c>
      <c r="BA107" t="s">
        <v>128</v>
      </c>
      <c r="BB107" t="s">
        <v>103</v>
      </c>
      <c r="BC107" t="s">
        <v>104</v>
      </c>
      <c r="BD107" t="s">
        <v>105</v>
      </c>
      <c r="BE107">
        <v>113911</v>
      </c>
      <c r="BF107" t="s">
        <v>106</v>
      </c>
      <c r="BG107">
        <v>1351</v>
      </c>
      <c r="BH107" t="s">
        <v>80</v>
      </c>
      <c r="BI107">
        <v>1</v>
      </c>
      <c r="BJ107">
        <v>63</v>
      </c>
      <c r="BK107">
        <v>9</v>
      </c>
      <c r="BL107">
        <v>61</v>
      </c>
      <c r="BM107">
        <v>1990</v>
      </c>
      <c r="BN107">
        <v>2746</v>
      </c>
      <c r="BO107">
        <v>3678</v>
      </c>
      <c r="BP107">
        <v>28</v>
      </c>
      <c r="BQ107" s="2">
        <v>1830</v>
      </c>
      <c r="BR107">
        <f t="shared" si="17"/>
        <v>64</v>
      </c>
      <c r="BS107">
        <f t="shared" si="18"/>
        <v>10</v>
      </c>
      <c r="BT107">
        <f t="shared" si="19"/>
        <v>62</v>
      </c>
      <c r="BU107">
        <f t="shared" si="20"/>
        <v>1991</v>
      </c>
      <c r="BV107">
        <f t="shared" si="21"/>
        <v>2747</v>
      </c>
      <c r="BW107">
        <f t="shared" si="22"/>
        <v>3679</v>
      </c>
      <c r="BX107">
        <f t="shared" si="23"/>
        <v>29</v>
      </c>
      <c r="BY107" s="2">
        <f t="shared" si="24"/>
        <v>1831</v>
      </c>
      <c r="BZ107">
        <f t="shared" si="25"/>
        <v>284.0630292923617</v>
      </c>
      <c r="CA107">
        <v>284.0630292923617</v>
      </c>
      <c r="CB107">
        <v>284.0630292923617</v>
      </c>
      <c r="CC107">
        <v>284.0630292923617</v>
      </c>
      <c r="CD107">
        <v>284.0630292923617</v>
      </c>
      <c r="CE107">
        <v>284.0630292923617</v>
      </c>
      <c r="CF107">
        <v>284.0630292923617</v>
      </c>
      <c r="CG107">
        <v>284.0630292923617</v>
      </c>
      <c r="CH107">
        <f t="shared" si="26"/>
        <v>-0.6472347401363493</v>
      </c>
      <c r="CI107">
        <f t="shared" si="27"/>
        <v>-1.4534147141202365</v>
      </c>
      <c r="CJ107">
        <f t="shared" si="28"/>
        <v>-0.6610230246219827</v>
      </c>
      <c r="CK107">
        <f t="shared" si="29"/>
        <v>0.84565654590717299</v>
      </c>
      <c r="CL107">
        <f t="shared" si="30"/>
        <v>0.98544394530032542</v>
      </c>
      <c r="CM107">
        <f t="shared" si="31"/>
        <v>1.1123150737108904</v>
      </c>
      <c r="CN107">
        <f t="shared" si="32"/>
        <v>-0.9910167162212804</v>
      </c>
      <c r="CO107" s="2">
        <f t="shared" si="33"/>
        <v>0.80927363018146004</v>
      </c>
      <c r="CP107">
        <v>-1.45463708489288</v>
      </c>
      <c r="CQ107">
        <v>0.50563318561058901</v>
      </c>
      <c r="CR107">
        <v>-0.458225065586844</v>
      </c>
      <c r="CS107">
        <v>0.846309361039976</v>
      </c>
      <c r="CT107">
        <v>0.85570056773547098</v>
      </c>
      <c r="CU107">
        <v>0.78494332264109401</v>
      </c>
      <c r="CV107">
        <v>1.8398670563659E-2</v>
      </c>
      <c r="CW107">
        <v>0.73842254933997098</v>
      </c>
      <c r="CX107" t="s">
        <v>1826</v>
      </c>
    </row>
    <row r="108" spans="1:102" x14ac:dyDescent="0.35">
      <c r="A108" t="s">
        <v>1019</v>
      </c>
      <c r="B108" t="s">
        <v>159</v>
      </c>
      <c r="C108" t="s">
        <v>1020</v>
      </c>
      <c r="D108" t="s">
        <v>72</v>
      </c>
      <c r="E108" t="s">
        <v>72</v>
      </c>
      <c r="F108" t="s">
        <v>72</v>
      </c>
      <c r="G108" t="s">
        <v>73</v>
      </c>
      <c r="H108" t="s">
        <v>109</v>
      </c>
      <c r="I108" t="s">
        <v>110</v>
      </c>
      <c r="J108" t="s">
        <v>111</v>
      </c>
      <c r="K108" t="s">
        <v>112</v>
      </c>
      <c r="L108" t="s">
        <v>113</v>
      </c>
      <c r="M108" t="s">
        <v>114</v>
      </c>
      <c r="N108">
        <v>48</v>
      </c>
      <c r="O108" t="s">
        <v>80</v>
      </c>
      <c r="P108">
        <v>621</v>
      </c>
      <c r="Q108">
        <v>0.68400000000000005</v>
      </c>
      <c r="R108">
        <v>175</v>
      </c>
      <c r="S108">
        <v>0.81130000000000002</v>
      </c>
      <c r="T108" t="s">
        <v>115</v>
      </c>
      <c r="U108" t="s">
        <v>116</v>
      </c>
      <c r="V108" t="s">
        <v>117</v>
      </c>
      <c r="W108" t="s">
        <v>118</v>
      </c>
      <c r="X108" t="s">
        <v>119</v>
      </c>
      <c r="Y108" t="s">
        <v>120</v>
      </c>
      <c r="Z108" t="s">
        <v>121</v>
      </c>
      <c r="AA108" t="s">
        <v>88</v>
      </c>
      <c r="AB108">
        <v>601</v>
      </c>
      <c r="AC108">
        <v>15</v>
      </c>
      <c r="AE108">
        <v>1</v>
      </c>
      <c r="AF108" t="s">
        <v>231</v>
      </c>
      <c r="AG108" t="s">
        <v>1021</v>
      </c>
      <c r="AH108" t="s">
        <v>72</v>
      </c>
      <c r="AI108" t="s">
        <v>72</v>
      </c>
      <c r="AJ108" t="s">
        <v>91</v>
      </c>
      <c r="AK108" t="s">
        <v>92</v>
      </c>
      <c r="AL108" t="s">
        <v>93</v>
      </c>
      <c r="AM108" t="s">
        <v>94</v>
      </c>
      <c r="AN108" t="s">
        <v>1022</v>
      </c>
      <c r="AO108" t="s">
        <v>1023</v>
      </c>
      <c r="AP108" t="s">
        <v>97</v>
      </c>
      <c r="AQ108">
        <v>39</v>
      </c>
      <c r="AR108" t="s">
        <v>80</v>
      </c>
      <c r="AS108">
        <v>1350</v>
      </c>
      <c r="AT108">
        <v>0.96530000000000005</v>
      </c>
      <c r="AU108">
        <v>172</v>
      </c>
      <c r="AV108">
        <v>0.94740000000000002</v>
      </c>
      <c r="AW108" t="s">
        <v>98</v>
      </c>
      <c r="AX108" t="s">
        <v>183</v>
      </c>
      <c r="AY108" t="s">
        <v>184</v>
      </c>
      <c r="AZ108" t="s">
        <v>101</v>
      </c>
      <c r="BA108" t="s">
        <v>1024</v>
      </c>
      <c r="BB108" t="s">
        <v>186</v>
      </c>
      <c r="BC108" t="s">
        <v>104</v>
      </c>
      <c r="BD108" t="s">
        <v>105</v>
      </c>
      <c r="BE108">
        <v>270</v>
      </c>
      <c r="BF108" t="s">
        <v>106</v>
      </c>
      <c r="BG108">
        <v>5</v>
      </c>
      <c r="BH108" t="s">
        <v>80</v>
      </c>
      <c r="BI108">
        <v>1</v>
      </c>
      <c r="BJ108">
        <v>235</v>
      </c>
      <c r="BK108">
        <v>15</v>
      </c>
      <c r="BL108">
        <v>54</v>
      </c>
      <c r="BM108">
        <v>2648</v>
      </c>
      <c r="BN108">
        <v>3648</v>
      </c>
      <c r="BO108">
        <v>4923</v>
      </c>
      <c r="BP108">
        <v>25</v>
      </c>
      <c r="BQ108" s="2">
        <v>2575</v>
      </c>
      <c r="BR108">
        <f t="shared" si="17"/>
        <v>236</v>
      </c>
      <c r="BS108">
        <f t="shared" si="18"/>
        <v>16</v>
      </c>
      <c r="BT108">
        <f t="shared" si="19"/>
        <v>55</v>
      </c>
      <c r="BU108">
        <f t="shared" si="20"/>
        <v>2649</v>
      </c>
      <c r="BV108">
        <f t="shared" si="21"/>
        <v>3649</v>
      </c>
      <c r="BW108">
        <f t="shared" si="22"/>
        <v>4924</v>
      </c>
      <c r="BX108">
        <f t="shared" si="23"/>
        <v>26</v>
      </c>
      <c r="BY108" s="2">
        <f t="shared" si="24"/>
        <v>2576</v>
      </c>
      <c r="BZ108">
        <f t="shared" si="25"/>
        <v>400.50779073639876</v>
      </c>
      <c r="CA108">
        <v>400.50779073639876</v>
      </c>
      <c r="CB108">
        <v>400.50779073639876</v>
      </c>
      <c r="CC108">
        <v>400.50779073639876</v>
      </c>
      <c r="CD108">
        <v>400.50779073639876</v>
      </c>
      <c r="CE108">
        <v>400.50779073639876</v>
      </c>
      <c r="CF108">
        <v>400.50779073639876</v>
      </c>
      <c r="CG108">
        <v>400.50779073639876</v>
      </c>
      <c r="CH108">
        <f t="shared" si="26"/>
        <v>-0.22969896549239663</v>
      </c>
      <c r="CI108">
        <f t="shared" si="27"/>
        <v>-1.3984909858065784</v>
      </c>
      <c r="CJ108">
        <f t="shared" si="28"/>
        <v>-0.8622482789682594</v>
      </c>
      <c r="CK108">
        <f t="shared" si="29"/>
        <v>0.82047098983472788</v>
      </c>
      <c r="CL108">
        <f t="shared" si="30"/>
        <v>0.95956289490214508</v>
      </c>
      <c r="CM108">
        <f t="shared" si="31"/>
        <v>1.0897070757967755</v>
      </c>
      <c r="CN108">
        <f t="shared" si="32"/>
        <v>-1.1876376204916852</v>
      </c>
      <c r="CO108" s="2">
        <f t="shared" si="33"/>
        <v>0.80833489022527127</v>
      </c>
      <c r="CP108">
        <v>-0.95299609901591098</v>
      </c>
      <c r="CQ108">
        <v>0.66788911042225496</v>
      </c>
      <c r="CR108">
        <v>-1.3572748477538501</v>
      </c>
      <c r="CS108">
        <v>0.77210138177147003</v>
      </c>
      <c r="CT108">
        <v>0.78365768442402695</v>
      </c>
      <c r="CU108">
        <v>0.71965608253957802</v>
      </c>
      <c r="CV108">
        <v>-0.50893344171842803</v>
      </c>
      <c r="CW108">
        <v>0.73584415606373199</v>
      </c>
      <c r="CX108" t="s">
        <v>1826</v>
      </c>
    </row>
    <row r="109" spans="1:102" x14ac:dyDescent="0.35">
      <c r="A109" t="s">
        <v>129</v>
      </c>
      <c r="B109" t="s">
        <v>130</v>
      </c>
      <c r="C109" t="s">
        <v>131</v>
      </c>
      <c r="D109" t="s">
        <v>72</v>
      </c>
      <c r="E109" t="s">
        <v>72</v>
      </c>
      <c r="F109" t="s">
        <v>72</v>
      </c>
      <c r="G109" t="s">
        <v>73</v>
      </c>
      <c r="H109" t="s">
        <v>109</v>
      </c>
      <c r="I109" t="s">
        <v>110</v>
      </c>
      <c r="J109" t="s">
        <v>111</v>
      </c>
      <c r="K109" t="s">
        <v>112</v>
      </c>
      <c r="L109" t="s">
        <v>113</v>
      </c>
      <c r="M109" t="s">
        <v>114</v>
      </c>
      <c r="N109">
        <v>48</v>
      </c>
      <c r="O109" t="s">
        <v>80</v>
      </c>
      <c r="P109">
        <v>621</v>
      </c>
      <c r="Q109">
        <v>0.68400000000000005</v>
      </c>
      <c r="R109">
        <v>175</v>
      </c>
      <c r="S109">
        <v>0.81130000000000002</v>
      </c>
      <c r="T109" t="s">
        <v>115</v>
      </c>
      <c r="U109" t="s">
        <v>116</v>
      </c>
      <c r="V109" t="s">
        <v>117</v>
      </c>
      <c r="W109" t="s">
        <v>118</v>
      </c>
      <c r="X109" t="s">
        <v>119</v>
      </c>
      <c r="Y109" t="s">
        <v>120</v>
      </c>
      <c r="Z109" t="s">
        <v>121</v>
      </c>
      <c r="AA109" t="s">
        <v>88</v>
      </c>
      <c r="AB109">
        <v>389</v>
      </c>
      <c r="AC109">
        <v>8</v>
      </c>
      <c r="AE109">
        <v>1</v>
      </c>
      <c r="AF109" t="s">
        <v>89</v>
      </c>
      <c r="AG109" t="s">
        <v>132</v>
      </c>
      <c r="AH109" t="s">
        <v>72</v>
      </c>
      <c r="AI109" t="s">
        <v>72</v>
      </c>
      <c r="AJ109" t="s">
        <v>91</v>
      </c>
      <c r="AK109" t="s">
        <v>92</v>
      </c>
      <c r="AL109" t="s">
        <v>93</v>
      </c>
      <c r="AM109" t="s">
        <v>94</v>
      </c>
      <c r="AN109" t="s">
        <v>133</v>
      </c>
      <c r="AO109" t="s">
        <v>134</v>
      </c>
      <c r="AP109" t="s">
        <v>97</v>
      </c>
      <c r="AQ109">
        <v>39</v>
      </c>
      <c r="AR109" t="s">
        <v>80</v>
      </c>
      <c r="AS109">
        <v>1350</v>
      </c>
      <c r="AT109">
        <v>0.96530000000000005</v>
      </c>
      <c r="AU109">
        <v>163</v>
      </c>
      <c r="AV109">
        <v>0.92110000000000003</v>
      </c>
      <c r="AW109" t="s">
        <v>98</v>
      </c>
      <c r="AX109" t="s">
        <v>135</v>
      </c>
      <c r="AY109" t="s">
        <v>127</v>
      </c>
      <c r="AZ109" t="s">
        <v>136</v>
      </c>
      <c r="BA109" t="s">
        <v>128</v>
      </c>
      <c r="BB109" t="s">
        <v>103</v>
      </c>
      <c r="BC109" t="s">
        <v>104</v>
      </c>
      <c r="BD109" t="s">
        <v>105</v>
      </c>
      <c r="BE109">
        <v>67928</v>
      </c>
      <c r="BF109" t="s">
        <v>106</v>
      </c>
      <c r="BG109">
        <v>771</v>
      </c>
      <c r="BH109" t="s">
        <v>80</v>
      </c>
      <c r="BI109">
        <v>1</v>
      </c>
      <c r="BJ109">
        <v>391</v>
      </c>
      <c r="BK109">
        <v>4</v>
      </c>
      <c r="BL109">
        <v>61</v>
      </c>
      <c r="BM109">
        <v>2579</v>
      </c>
      <c r="BN109">
        <v>3353</v>
      </c>
      <c r="BO109">
        <v>4655</v>
      </c>
      <c r="BP109">
        <v>24</v>
      </c>
      <c r="BQ109" s="2">
        <v>2309</v>
      </c>
      <c r="BR109">
        <f t="shared" si="17"/>
        <v>392</v>
      </c>
      <c r="BS109">
        <f t="shared" si="18"/>
        <v>5</v>
      </c>
      <c r="BT109">
        <f t="shared" si="19"/>
        <v>62</v>
      </c>
      <c r="BU109">
        <f t="shared" si="20"/>
        <v>2580</v>
      </c>
      <c r="BV109">
        <f t="shared" si="21"/>
        <v>3354</v>
      </c>
      <c r="BW109">
        <f t="shared" si="22"/>
        <v>4656</v>
      </c>
      <c r="BX109">
        <f t="shared" si="23"/>
        <v>25</v>
      </c>
      <c r="BY109" s="2">
        <f t="shared" si="24"/>
        <v>2310</v>
      </c>
      <c r="BZ109">
        <f t="shared" si="25"/>
        <v>360.10108975990721</v>
      </c>
      <c r="CA109">
        <v>360.10108975990721</v>
      </c>
      <c r="CB109">
        <v>360.10108975990721</v>
      </c>
      <c r="CC109">
        <v>360.10108975990721</v>
      </c>
      <c r="CD109">
        <v>360.10108975990721</v>
      </c>
      <c r="CE109">
        <v>360.10108975990721</v>
      </c>
      <c r="CF109">
        <v>360.10108975990721</v>
      </c>
      <c r="CG109">
        <v>360.10108975990721</v>
      </c>
      <c r="CH109">
        <f t="shared" si="26"/>
        <v>3.6861631358702095E-2</v>
      </c>
      <c r="CI109">
        <f t="shared" si="27"/>
        <v>-1.8574544313257364</v>
      </c>
      <c r="CJ109">
        <f t="shared" si="28"/>
        <v>-0.76403274616350125</v>
      </c>
      <c r="CK109">
        <f t="shared" si="29"/>
        <v>0.85519527030147502</v>
      </c>
      <c r="CL109">
        <f t="shared" si="30"/>
        <v>0.96913862260831174</v>
      </c>
      <c r="CM109">
        <f t="shared" si="31"/>
        <v>1.111588535980077</v>
      </c>
      <c r="CN109">
        <f t="shared" si="32"/>
        <v>-1.1584844269897174</v>
      </c>
      <c r="CO109" s="2">
        <f t="shared" si="33"/>
        <v>0.80718754423038919</v>
      </c>
      <c r="CP109">
        <v>-0.63274157540206399</v>
      </c>
      <c r="CQ109">
        <v>-0.68798276124274305</v>
      </c>
      <c r="CR109">
        <v>-0.91845988061467099</v>
      </c>
      <c r="CS109">
        <v>0.87441473461458596</v>
      </c>
      <c r="CT109">
        <v>0.81031282488950196</v>
      </c>
      <c r="CU109">
        <v>0.78284523136142303</v>
      </c>
      <c r="CV109">
        <v>-0.43074534078273802</v>
      </c>
      <c r="CW109">
        <v>0.73269279430564405</v>
      </c>
      <c r="CX109" t="s">
        <v>1826</v>
      </c>
    </row>
    <row r="110" spans="1:102" x14ac:dyDescent="0.35">
      <c r="A110" t="s">
        <v>1546</v>
      </c>
      <c r="B110" t="s">
        <v>178</v>
      </c>
      <c r="C110" t="s">
        <v>255</v>
      </c>
      <c r="D110" t="s">
        <v>72</v>
      </c>
      <c r="E110" t="s">
        <v>72</v>
      </c>
      <c r="F110" t="s">
        <v>72</v>
      </c>
      <c r="G110" t="s">
        <v>73</v>
      </c>
      <c r="H110" t="s">
        <v>109</v>
      </c>
      <c r="I110" t="s">
        <v>110</v>
      </c>
      <c r="J110" t="s">
        <v>111</v>
      </c>
      <c r="K110" t="s">
        <v>112</v>
      </c>
      <c r="L110" t="s">
        <v>113</v>
      </c>
      <c r="M110" t="s">
        <v>114</v>
      </c>
      <c r="N110">
        <v>48</v>
      </c>
      <c r="O110" t="s">
        <v>80</v>
      </c>
      <c r="P110">
        <v>621</v>
      </c>
      <c r="Q110">
        <v>0.68400000000000005</v>
      </c>
      <c r="R110">
        <v>175</v>
      </c>
      <c r="S110">
        <v>0.81130000000000002</v>
      </c>
      <c r="T110" t="s">
        <v>115</v>
      </c>
      <c r="U110" t="s">
        <v>116</v>
      </c>
      <c r="V110" t="s">
        <v>117</v>
      </c>
      <c r="W110" t="s">
        <v>118</v>
      </c>
      <c r="X110" t="s">
        <v>119</v>
      </c>
      <c r="Y110" t="s">
        <v>120</v>
      </c>
      <c r="Z110" t="s">
        <v>121</v>
      </c>
      <c r="AA110" t="s">
        <v>88</v>
      </c>
      <c r="AB110">
        <v>174</v>
      </c>
      <c r="AC110">
        <v>4</v>
      </c>
      <c r="AE110">
        <v>1</v>
      </c>
      <c r="AF110" t="s">
        <v>89</v>
      </c>
      <c r="AG110" t="s">
        <v>1547</v>
      </c>
      <c r="AH110" t="s">
        <v>72</v>
      </c>
      <c r="AI110" t="s">
        <v>72</v>
      </c>
      <c r="AJ110" t="s">
        <v>72</v>
      </c>
      <c r="AK110" t="s">
        <v>92</v>
      </c>
      <c r="AL110" t="s">
        <v>93</v>
      </c>
      <c r="AM110" t="s">
        <v>94</v>
      </c>
      <c r="AN110" t="s">
        <v>1548</v>
      </c>
      <c r="AO110" t="s">
        <v>1549</v>
      </c>
      <c r="AP110" t="s">
        <v>1550</v>
      </c>
      <c r="AQ110">
        <v>39</v>
      </c>
      <c r="AR110" t="s">
        <v>80</v>
      </c>
      <c r="AS110">
        <v>1236</v>
      </c>
      <c r="AT110">
        <v>0.95879999999999999</v>
      </c>
      <c r="AU110">
        <v>163</v>
      </c>
      <c r="AV110">
        <v>0.92110000000000003</v>
      </c>
      <c r="AW110" t="s">
        <v>644</v>
      </c>
      <c r="AX110" t="s">
        <v>1551</v>
      </c>
      <c r="AY110" t="s">
        <v>1552</v>
      </c>
      <c r="AZ110" t="s">
        <v>307</v>
      </c>
      <c r="BA110" t="s">
        <v>128</v>
      </c>
      <c r="BB110" t="s">
        <v>103</v>
      </c>
      <c r="BC110" t="s">
        <v>1553</v>
      </c>
      <c r="BD110" t="s">
        <v>105</v>
      </c>
      <c r="BE110">
        <v>41612</v>
      </c>
      <c r="BF110" t="s">
        <v>1554</v>
      </c>
      <c r="BG110">
        <v>1004</v>
      </c>
      <c r="BH110" t="s">
        <v>80</v>
      </c>
      <c r="BI110">
        <v>1</v>
      </c>
      <c r="BJ110">
        <v>74</v>
      </c>
      <c r="BK110">
        <v>5</v>
      </c>
      <c r="BL110">
        <v>27</v>
      </c>
      <c r="BM110">
        <v>1022</v>
      </c>
      <c r="BN110">
        <v>1381</v>
      </c>
      <c r="BO110">
        <v>2090</v>
      </c>
      <c r="BP110">
        <v>9</v>
      </c>
      <c r="BQ110" s="2">
        <v>1008</v>
      </c>
      <c r="BR110">
        <f t="shared" si="17"/>
        <v>75</v>
      </c>
      <c r="BS110">
        <f t="shared" si="18"/>
        <v>6</v>
      </c>
      <c r="BT110">
        <f t="shared" si="19"/>
        <v>28</v>
      </c>
      <c r="BU110">
        <f t="shared" si="20"/>
        <v>1023</v>
      </c>
      <c r="BV110">
        <f t="shared" si="21"/>
        <v>1382</v>
      </c>
      <c r="BW110">
        <f t="shared" si="22"/>
        <v>2091</v>
      </c>
      <c r="BX110">
        <f t="shared" si="23"/>
        <v>10</v>
      </c>
      <c r="BY110" s="2">
        <f t="shared" si="24"/>
        <v>1009</v>
      </c>
      <c r="BZ110">
        <f t="shared" si="25"/>
        <v>157.3529638707783</v>
      </c>
      <c r="CA110">
        <v>157.3529638707783</v>
      </c>
      <c r="CB110">
        <v>157.3529638707783</v>
      </c>
      <c r="CC110">
        <v>157.3529638707783</v>
      </c>
      <c r="CD110">
        <v>157.3529638707783</v>
      </c>
      <c r="CE110">
        <v>157.3529638707783</v>
      </c>
      <c r="CF110">
        <v>157.3529638707783</v>
      </c>
      <c r="CG110">
        <v>157.3529638707783</v>
      </c>
      <c r="CH110">
        <f t="shared" si="26"/>
        <v>-0.32181366422361057</v>
      </c>
      <c r="CI110">
        <f t="shared" si="27"/>
        <v>-1.4187236772316669</v>
      </c>
      <c r="CJ110">
        <f t="shared" si="28"/>
        <v>-0.74971689627309135</v>
      </c>
      <c r="CK110">
        <f t="shared" si="29"/>
        <v>0.81300070609684949</v>
      </c>
      <c r="CL110">
        <f t="shared" si="30"/>
        <v>0.94363311542286898</v>
      </c>
      <c r="CM110">
        <f t="shared" si="31"/>
        <v>1.1234791052023612</v>
      </c>
      <c r="CN110">
        <f t="shared" si="32"/>
        <v>-1.1968749276153106</v>
      </c>
      <c r="CO110" s="2">
        <f t="shared" si="33"/>
        <v>0.80701623862159988</v>
      </c>
      <c r="CP110">
        <v>-1.0636656777476701</v>
      </c>
      <c r="CQ110">
        <v>0.60811760256213598</v>
      </c>
      <c r="CR110">
        <v>-0.854498417291781</v>
      </c>
      <c r="CS110">
        <v>0.75009056497013504</v>
      </c>
      <c r="CT110">
        <v>0.73931530934472101</v>
      </c>
      <c r="CU110">
        <v>0.81718274548841696</v>
      </c>
      <c r="CV110">
        <v>-0.53370765733591297</v>
      </c>
      <c r="CW110">
        <v>0.73222227717577004</v>
      </c>
      <c r="CX110" t="s">
        <v>1826</v>
      </c>
    </row>
    <row r="111" spans="1:102" x14ac:dyDescent="0.35">
      <c r="A111" t="s">
        <v>1753</v>
      </c>
      <c r="B111" t="s">
        <v>199</v>
      </c>
      <c r="C111" t="s">
        <v>108</v>
      </c>
      <c r="D111" t="s">
        <v>72</v>
      </c>
      <c r="E111" t="s">
        <v>72</v>
      </c>
      <c r="F111" t="s">
        <v>72</v>
      </c>
      <c r="G111" t="s">
        <v>73</v>
      </c>
      <c r="H111" t="s">
        <v>109</v>
      </c>
      <c r="I111" t="s">
        <v>110</v>
      </c>
      <c r="J111" t="s">
        <v>111</v>
      </c>
      <c r="K111" t="s">
        <v>112</v>
      </c>
      <c r="L111" t="s">
        <v>113</v>
      </c>
      <c r="M111" t="s">
        <v>114</v>
      </c>
      <c r="N111">
        <v>48</v>
      </c>
      <c r="O111" t="s">
        <v>80</v>
      </c>
      <c r="P111">
        <v>621</v>
      </c>
      <c r="Q111">
        <v>0.68400000000000005</v>
      </c>
      <c r="R111">
        <v>175</v>
      </c>
      <c r="S111">
        <v>0.81130000000000002</v>
      </c>
      <c r="T111" t="s">
        <v>115</v>
      </c>
      <c r="U111" t="s">
        <v>116</v>
      </c>
      <c r="V111" t="s">
        <v>117</v>
      </c>
      <c r="W111" t="s">
        <v>118</v>
      </c>
      <c r="X111" t="s">
        <v>119</v>
      </c>
      <c r="Y111" t="s">
        <v>120</v>
      </c>
      <c r="Z111" t="s">
        <v>121</v>
      </c>
      <c r="AA111" t="s">
        <v>88</v>
      </c>
      <c r="AB111">
        <v>331</v>
      </c>
      <c r="AC111">
        <v>9</v>
      </c>
      <c r="AE111">
        <v>1</v>
      </c>
      <c r="AF111" t="s">
        <v>89</v>
      </c>
      <c r="AG111" t="s">
        <v>1754</v>
      </c>
      <c r="AH111" t="s">
        <v>72</v>
      </c>
      <c r="AI111" t="s">
        <v>72</v>
      </c>
      <c r="AJ111" t="s">
        <v>91</v>
      </c>
      <c r="AK111" t="s">
        <v>92</v>
      </c>
      <c r="AL111" t="s">
        <v>93</v>
      </c>
      <c r="AM111" t="s">
        <v>94</v>
      </c>
      <c r="AN111" t="s">
        <v>737</v>
      </c>
      <c r="AO111" t="s">
        <v>738</v>
      </c>
      <c r="AP111" t="s">
        <v>97</v>
      </c>
      <c r="AQ111">
        <v>39</v>
      </c>
      <c r="AR111" t="s">
        <v>80</v>
      </c>
      <c r="AS111">
        <v>1350</v>
      </c>
      <c r="AT111">
        <v>0.96530000000000005</v>
      </c>
      <c r="AU111">
        <v>172</v>
      </c>
      <c r="AV111">
        <v>0.94740000000000002</v>
      </c>
      <c r="AW111" t="s">
        <v>644</v>
      </c>
      <c r="AX111" t="s">
        <v>146</v>
      </c>
      <c r="AY111" t="s">
        <v>127</v>
      </c>
      <c r="AZ111" t="s">
        <v>101</v>
      </c>
      <c r="BA111" t="s">
        <v>128</v>
      </c>
      <c r="BB111" t="s">
        <v>103</v>
      </c>
      <c r="BC111" t="s">
        <v>104</v>
      </c>
      <c r="BD111" t="s">
        <v>105</v>
      </c>
      <c r="BE111">
        <v>44715</v>
      </c>
      <c r="BF111" t="s">
        <v>106</v>
      </c>
      <c r="BG111">
        <v>552</v>
      </c>
      <c r="BH111" t="s">
        <v>80</v>
      </c>
      <c r="BI111">
        <v>1</v>
      </c>
      <c r="BJ111">
        <v>41</v>
      </c>
      <c r="BK111">
        <v>4</v>
      </c>
      <c r="BL111">
        <v>32</v>
      </c>
      <c r="BM111">
        <v>916</v>
      </c>
      <c r="BN111">
        <v>1285</v>
      </c>
      <c r="BO111">
        <v>1885</v>
      </c>
      <c r="BP111">
        <v>8</v>
      </c>
      <c r="BQ111" s="2">
        <v>871</v>
      </c>
      <c r="BR111">
        <f t="shared" si="17"/>
        <v>42</v>
      </c>
      <c r="BS111">
        <f t="shared" si="18"/>
        <v>5</v>
      </c>
      <c r="BT111">
        <f t="shared" si="19"/>
        <v>33</v>
      </c>
      <c r="BU111">
        <f t="shared" si="20"/>
        <v>917</v>
      </c>
      <c r="BV111">
        <f t="shared" si="21"/>
        <v>1286</v>
      </c>
      <c r="BW111">
        <f t="shared" si="22"/>
        <v>1886</v>
      </c>
      <c r="BX111">
        <f t="shared" si="23"/>
        <v>9</v>
      </c>
      <c r="BY111" s="2">
        <f t="shared" si="24"/>
        <v>872</v>
      </c>
      <c r="BZ111">
        <f t="shared" si="25"/>
        <v>136.56220726762402</v>
      </c>
      <c r="CA111">
        <v>136.56220726762402</v>
      </c>
      <c r="CB111">
        <v>136.56220726762402</v>
      </c>
      <c r="CC111">
        <v>136.56220726762402</v>
      </c>
      <c r="CD111">
        <v>136.56220726762402</v>
      </c>
      <c r="CE111">
        <v>136.56220726762402</v>
      </c>
      <c r="CF111">
        <v>136.56220726762402</v>
      </c>
      <c r="CG111">
        <v>136.56220726762402</v>
      </c>
      <c r="CH111">
        <f t="shared" si="26"/>
        <v>-0.51208123730750366</v>
      </c>
      <c r="CI111">
        <f t="shared" si="27"/>
        <v>-1.4363605233693852</v>
      </c>
      <c r="CJ111">
        <f t="shared" si="28"/>
        <v>-0.61681658782751658</v>
      </c>
      <c r="CK111">
        <f t="shared" si="29"/>
        <v>0.82703880796461693</v>
      </c>
      <c r="CL111">
        <f t="shared" si="30"/>
        <v>0.9739104408827991</v>
      </c>
      <c r="CM111">
        <f t="shared" si="31"/>
        <v>1.1402111606959053</v>
      </c>
      <c r="CN111">
        <f t="shared" si="32"/>
        <v>-1.1810880182660792</v>
      </c>
      <c r="CO111" s="2">
        <f t="shared" si="33"/>
        <v>0.80518595722716313</v>
      </c>
      <c r="CP111">
        <v>-1.2922592947224401</v>
      </c>
      <c r="CQ111">
        <v>0.55601475250625498</v>
      </c>
      <c r="CR111">
        <v>-0.26071612219124302</v>
      </c>
      <c r="CS111">
        <v>0.79145312886890196</v>
      </c>
      <c r="CT111">
        <v>0.82359573040698697</v>
      </c>
      <c r="CU111">
        <v>0.86550147448639303</v>
      </c>
      <c r="CV111">
        <v>-0.491367580199012</v>
      </c>
      <c r="CW111">
        <v>0.72719512859225799</v>
      </c>
      <c r="CX111" t="s">
        <v>1826</v>
      </c>
    </row>
    <row r="112" spans="1:102" x14ac:dyDescent="0.35">
      <c r="A112" t="s">
        <v>816</v>
      </c>
      <c r="B112" t="s">
        <v>148</v>
      </c>
      <c r="C112" t="s">
        <v>319</v>
      </c>
      <c r="D112" t="s">
        <v>72</v>
      </c>
      <c r="E112" t="s">
        <v>72</v>
      </c>
      <c r="F112" t="s">
        <v>72</v>
      </c>
      <c r="G112" t="s">
        <v>73</v>
      </c>
      <c r="H112" t="s">
        <v>109</v>
      </c>
      <c r="I112" t="s">
        <v>110</v>
      </c>
      <c r="J112" t="s">
        <v>111</v>
      </c>
      <c r="K112" t="s">
        <v>112</v>
      </c>
      <c r="L112" t="s">
        <v>113</v>
      </c>
      <c r="M112" t="s">
        <v>114</v>
      </c>
      <c r="N112">
        <v>48</v>
      </c>
      <c r="O112" t="s">
        <v>80</v>
      </c>
      <c r="P112">
        <v>621</v>
      </c>
      <c r="Q112">
        <v>0.68400000000000005</v>
      </c>
      <c r="R112">
        <v>175</v>
      </c>
      <c r="S112">
        <v>0.81130000000000002</v>
      </c>
      <c r="T112" t="s">
        <v>115</v>
      </c>
      <c r="U112" t="s">
        <v>116</v>
      </c>
      <c r="V112" t="s">
        <v>117</v>
      </c>
      <c r="W112" t="s">
        <v>118</v>
      </c>
      <c r="X112" t="s">
        <v>119</v>
      </c>
      <c r="Y112" t="s">
        <v>120</v>
      </c>
      <c r="Z112" t="s">
        <v>121</v>
      </c>
      <c r="AA112" t="s">
        <v>88</v>
      </c>
      <c r="AB112">
        <v>664</v>
      </c>
      <c r="AC112">
        <v>11</v>
      </c>
      <c r="AE112">
        <v>1</v>
      </c>
      <c r="AF112" t="s">
        <v>89</v>
      </c>
      <c r="AG112" t="s">
        <v>817</v>
      </c>
      <c r="AH112" t="s">
        <v>72</v>
      </c>
      <c r="AI112" t="s">
        <v>72</v>
      </c>
      <c r="AJ112" t="s">
        <v>91</v>
      </c>
      <c r="AK112" t="s">
        <v>92</v>
      </c>
      <c r="AL112" t="s">
        <v>93</v>
      </c>
      <c r="AM112" t="s">
        <v>94</v>
      </c>
      <c r="AN112" t="s">
        <v>818</v>
      </c>
      <c r="AO112" t="s">
        <v>819</v>
      </c>
      <c r="AP112" t="s">
        <v>820</v>
      </c>
      <c r="AQ112">
        <v>39</v>
      </c>
      <c r="AR112" t="s">
        <v>80</v>
      </c>
      <c r="AS112">
        <v>1332</v>
      </c>
      <c r="AT112">
        <v>0.95830000000000004</v>
      </c>
      <c r="AU112">
        <v>163</v>
      </c>
      <c r="AV112">
        <v>0.92110000000000003</v>
      </c>
      <c r="AW112" t="s">
        <v>639</v>
      </c>
      <c r="AX112" t="s">
        <v>821</v>
      </c>
      <c r="AY112" t="s">
        <v>614</v>
      </c>
      <c r="AZ112" t="s">
        <v>101</v>
      </c>
      <c r="BA112" t="s">
        <v>185</v>
      </c>
      <c r="BB112" t="s">
        <v>186</v>
      </c>
      <c r="BC112" t="s">
        <v>822</v>
      </c>
      <c r="BD112" t="s">
        <v>105</v>
      </c>
      <c r="BE112">
        <v>7062</v>
      </c>
      <c r="BF112" t="s">
        <v>823</v>
      </c>
      <c r="BG112">
        <v>81</v>
      </c>
      <c r="BH112" t="s">
        <v>80</v>
      </c>
      <c r="BI112">
        <v>1</v>
      </c>
      <c r="BJ112">
        <v>132</v>
      </c>
      <c r="BK112">
        <v>5</v>
      </c>
      <c r="BL112">
        <v>54</v>
      </c>
      <c r="BM112">
        <v>1360</v>
      </c>
      <c r="BN112">
        <v>1901</v>
      </c>
      <c r="BO112">
        <v>2831</v>
      </c>
      <c r="BP112">
        <v>12</v>
      </c>
      <c r="BQ112" s="2">
        <v>1412</v>
      </c>
      <c r="BR112">
        <f t="shared" si="17"/>
        <v>133</v>
      </c>
      <c r="BS112">
        <f t="shared" si="18"/>
        <v>6</v>
      </c>
      <c r="BT112">
        <f t="shared" si="19"/>
        <v>55</v>
      </c>
      <c r="BU112">
        <f t="shared" si="20"/>
        <v>1361</v>
      </c>
      <c r="BV112">
        <f t="shared" si="21"/>
        <v>1902</v>
      </c>
      <c r="BW112">
        <f t="shared" si="22"/>
        <v>2832</v>
      </c>
      <c r="BX112">
        <f t="shared" si="23"/>
        <v>13</v>
      </c>
      <c r="BY112" s="2">
        <f t="shared" si="24"/>
        <v>1413</v>
      </c>
      <c r="BZ112">
        <f t="shared" si="25"/>
        <v>222.05043215118462</v>
      </c>
      <c r="CA112">
        <v>222.05043215118462</v>
      </c>
      <c r="CB112">
        <v>222.05043215118462</v>
      </c>
      <c r="CC112">
        <v>222.05043215118462</v>
      </c>
      <c r="CD112">
        <v>222.05043215118462</v>
      </c>
      <c r="CE112">
        <v>222.05043215118462</v>
      </c>
      <c r="CF112">
        <v>222.05043215118462</v>
      </c>
      <c r="CG112">
        <v>222.05043215118462</v>
      </c>
      <c r="CH112">
        <f t="shared" si="26"/>
        <v>-0.22259998176076795</v>
      </c>
      <c r="CI112">
        <f t="shared" si="27"/>
        <v>-1.5683003723442102</v>
      </c>
      <c r="CJ112">
        <f t="shared" si="28"/>
        <v>-0.60608893323360991</v>
      </c>
      <c r="CK112">
        <f t="shared" si="29"/>
        <v>0.78740650247548094</v>
      </c>
      <c r="CL112">
        <f t="shared" si="30"/>
        <v>0.9327588898735415</v>
      </c>
      <c r="CM112">
        <f t="shared" si="31"/>
        <v>1.1056416262898776</v>
      </c>
      <c r="CN112">
        <f t="shared" si="32"/>
        <v>-1.2325082704210168</v>
      </c>
      <c r="CO112" s="2">
        <f t="shared" si="33"/>
        <v>0.80369053912070487</v>
      </c>
      <c r="CP112">
        <v>-0.94446715032667505</v>
      </c>
      <c r="CQ112">
        <v>0.16623745820706101</v>
      </c>
      <c r="CR112">
        <v>-0.212786275825052</v>
      </c>
      <c r="CS112">
        <v>0.67467852617038804</v>
      </c>
      <c r="CT112">
        <v>0.70904565064463998</v>
      </c>
      <c r="CU112">
        <v>0.76567178140442005</v>
      </c>
      <c r="CV112">
        <v>-0.62927534887476899</v>
      </c>
      <c r="CW112">
        <v>0.72308773339144905</v>
      </c>
      <c r="CX112" t="s">
        <v>1826</v>
      </c>
    </row>
    <row r="113" spans="1:104" ht="15" thickBot="1" x14ac:dyDescent="0.4">
      <c r="A113" t="s">
        <v>358</v>
      </c>
      <c r="B113" t="s">
        <v>148</v>
      </c>
      <c r="C113" t="s">
        <v>359</v>
      </c>
      <c r="D113" t="s">
        <v>72</v>
      </c>
      <c r="E113" t="s">
        <v>72</v>
      </c>
      <c r="F113" t="s">
        <v>72</v>
      </c>
      <c r="G113" t="s">
        <v>73</v>
      </c>
      <c r="H113" t="s">
        <v>109</v>
      </c>
      <c r="I113" t="s">
        <v>110</v>
      </c>
      <c r="J113" t="s">
        <v>111</v>
      </c>
      <c r="K113" t="s">
        <v>112</v>
      </c>
      <c r="L113" t="s">
        <v>113</v>
      </c>
      <c r="M113" t="s">
        <v>114</v>
      </c>
      <c r="N113">
        <v>48</v>
      </c>
      <c r="O113" t="s">
        <v>80</v>
      </c>
      <c r="P113">
        <v>621</v>
      </c>
      <c r="Q113">
        <v>0.68400000000000005</v>
      </c>
      <c r="R113">
        <v>175</v>
      </c>
      <c r="S113">
        <v>0.81130000000000002</v>
      </c>
      <c r="T113" t="s">
        <v>115</v>
      </c>
      <c r="U113" t="s">
        <v>116</v>
      </c>
      <c r="V113" t="s">
        <v>117</v>
      </c>
      <c r="W113" t="s">
        <v>118</v>
      </c>
      <c r="X113" t="s">
        <v>119</v>
      </c>
      <c r="Y113" t="s">
        <v>120</v>
      </c>
      <c r="Z113" t="s">
        <v>121</v>
      </c>
      <c r="AA113" t="s">
        <v>88</v>
      </c>
      <c r="AB113">
        <v>812</v>
      </c>
      <c r="AC113">
        <v>8</v>
      </c>
      <c r="AE113">
        <v>1</v>
      </c>
      <c r="AF113" t="s">
        <v>89</v>
      </c>
      <c r="AG113" t="s">
        <v>360</v>
      </c>
      <c r="AH113" t="s">
        <v>72</v>
      </c>
      <c r="AI113" t="s">
        <v>72</v>
      </c>
      <c r="AJ113" t="s">
        <v>91</v>
      </c>
      <c r="AK113" t="s">
        <v>92</v>
      </c>
      <c r="AL113" t="s">
        <v>93</v>
      </c>
      <c r="AM113" t="s">
        <v>94</v>
      </c>
      <c r="AN113" t="s">
        <v>144</v>
      </c>
      <c r="AO113" t="s">
        <v>145</v>
      </c>
      <c r="AP113" t="s">
        <v>97</v>
      </c>
      <c r="AQ113">
        <v>39</v>
      </c>
      <c r="AR113" t="s">
        <v>80</v>
      </c>
      <c r="AS113">
        <v>1359</v>
      </c>
      <c r="AT113">
        <v>0.96879999999999999</v>
      </c>
      <c r="AU113">
        <v>172</v>
      </c>
      <c r="AV113">
        <v>0.94740000000000002</v>
      </c>
      <c r="AW113" t="s">
        <v>98</v>
      </c>
      <c r="AX113" t="s">
        <v>146</v>
      </c>
      <c r="AY113" t="s">
        <v>127</v>
      </c>
      <c r="AZ113" t="s">
        <v>101</v>
      </c>
      <c r="BA113" t="s">
        <v>128</v>
      </c>
      <c r="BB113" t="s">
        <v>103</v>
      </c>
      <c r="BC113" t="s">
        <v>104</v>
      </c>
      <c r="BD113" t="s">
        <v>105</v>
      </c>
      <c r="BE113">
        <v>95430</v>
      </c>
      <c r="BF113" t="s">
        <v>106</v>
      </c>
      <c r="BG113">
        <v>1078</v>
      </c>
      <c r="BH113" t="s">
        <v>80</v>
      </c>
      <c r="BI113">
        <v>1</v>
      </c>
      <c r="BJ113">
        <v>348</v>
      </c>
      <c r="BK113">
        <v>10</v>
      </c>
      <c r="BL113">
        <v>71</v>
      </c>
      <c r="BM113">
        <v>2141</v>
      </c>
      <c r="BN113">
        <v>3031</v>
      </c>
      <c r="BO113">
        <v>4148</v>
      </c>
      <c r="BP113">
        <v>13</v>
      </c>
      <c r="BQ113" s="2">
        <v>2227</v>
      </c>
      <c r="BR113">
        <f t="shared" si="17"/>
        <v>349</v>
      </c>
      <c r="BS113">
        <f t="shared" si="18"/>
        <v>11</v>
      </c>
      <c r="BT113">
        <f t="shared" si="19"/>
        <v>72</v>
      </c>
      <c r="BU113">
        <f t="shared" si="20"/>
        <v>2142</v>
      </c>
      <c r="BV113">
        <f t="shared" si="21"/>
        <v>3032</v>
      </c>
      <c r="BW113">
        <f t="shared" si="22"/>
        <v>4149</v>
      </c>
      <c r="BX113">
        <f t="shared" si="23"/>
        <v>14</v>
      </c>
      <c r="BY113" s="2">
        <f t="shared" si="24"/>
        <v>2228</v>
      </c>
      <c r="BZ113">
        <f t="shared" si="25"/>
        <v>351.36681433020135</v>
      </c>
      <c r="CA113">
        <v>351.36681433020135</v>
      </c>
      <c r="CB113">
        <v>351.36681433020135</v>
      </c>
      <c r="CC113">
        <v>351.36681433020135</v>
      </c>
      <c r="CD113">
        <v>351.36681433020135</v>
      </c>
      <c r="CE113">
        <v>351.36681433020135</v>
      </c>
      <c r="CF113">
        <v>351.36681433020135</v>
      </c>
      <c r="CG113">
        <v>351.36681433020135</v>
      </c>
      <c r="CH113">
        <f t="shared" si="26"/>
        <v>-2.9353141674986921E-3</v>
      </c>
      <c r="CI113">
        <f t="shared" si="27"/>
        <v>-1.5043680559684536</v>
      </c>
      <c r="CJ113">
        <f t="shared" si="28"/>
        <v>-0.68842824469541009</v>
      </c>
      <c r="CK113">
        <f t="shared" si="29"/>
        <v>0.78505872536915822</v>
      </c>
      <c r="CL113">
        <f t="shared" si="30"/>
        <v>0.93596845583333732</v>
      </c>
      <c r="CM113">
        <f t="shared" si="31"/>
        <v>1.0721826937022945</v>
      </c>
      <c r="CN113">
        <f t="shared" si="32"/>
        <v>-1.3996327054484405</v>
      </c>
      <c r="CO113" s="2">
        <f t="shared" si="33"/>
        <v>0.80215444537501268</v>
      </c>
      <c r="CP113">
        <v>-0.68055491308714999</v>
      </c>
      <c r="CQ113">
        <v>0.35510659432360397</v>
      </c>
      <c r="CR113">
        <v>-0.58066823116910504</v>
      </c>
      <c r="CS113">
        <v>0.66776091854116104</v>
      </c>
      <c r="CT113">
        <v>0.71797984699156303</v>
      </c>
      <c r="CU113">
        <v>0.66904927755934596</v>
      </c>
      <c r="CV113">
        <v>-1.0774987036802199</v>
      </c>
      <c r="CW113">
        <v>0.71886861630854004</v>
      </c>
      <c r="CX113" t="s">
        <v>1826</v>
      </c>
      <c r="CZ113" s="1"/>
    </row>
    <row r="114" spans="1:104" ht="15" thickTop="1" x14ac:dyDescent="0.35">
      <c r="A114" t="s">
        <v>1767</v>
      </c>
      <c r="B114" t="s">
        <v>211</v>
      </c>
      <c r="C114" t="s">
        <v>301</v>
      </c>
      <c r="D114" t="s">
        <v>72</v>
      </c>
      <c r="E114" t="s">
        <v>72</v>
      </c>
      <c r="F114" t="s">
        <v>72</v>
      </c>
      <c r="G114" t="s">
        <v>73</v>
      </c>
      <c r="H114" t="s">
        <v>109</v>
      </c>
      <c r="I114" t="s">
        <v>110</v>
      </c>
      <c r="J114" t="s">
        <v>111</v>
      </c>
      <c r="K114" t="s">
        <v>112</v>
      </c>
      <c r="L114" t="s">
        <v>113</v>
      </c>
      <c r="M114" t="s">
        <v>114</v>
      </c>
      <c r="N114">
        <v>48</v>
      </c>
      <c r="O114" t="s">
        <v>80</v>
      </c>
      <c r="P114">
        <v>621</v>
      </c>
      <c r="Q114">
        <v>0.68400000000000005</v>
      </c>
      <c r="R114">
        <v>175</v>
      </c>
      <c r="S114">
        <v>0.81130000000000002</v>
      </c>
      <c r="T114" t="s">
        <v>115</v>
      </c>
      <c r="U114" t="s">
        <v>116</v>
      </c>
      <c r="V114" t="s">
        <v>117</v>
      </c>
      <c r="W114" t="s">
        <v>118</v>
      </c>
      <c r="X114" t="s">
        <v>119</v>
      </c>
      <c r="Y114" t="s">
        <v>120</v>
      </c>
      <c r="Z114" t="s">
        <v>121</v>
      </c>
      <c r="AA114" t="s">
        <v>88</v>
      </c>
      <c r="AB114">
        <v>312</v>
      </c>
      <c r="AC114">
        <v>5</v>
      </c>
      <c r="AE114">
        <v>1</v>
      </c>
      <c r="AF114" t="s">
        <v>89</v>
      </c>
      <c r="AG114" t="s">
        <v>1768</v>
      </c>
      <c r="AH114" t="s">
        <v>72</v>
      </c>
      <c r="AI114" t="s">
        <v>72</v>
      </c>
      <c r="AJ114" t="s">
        <v>72</v>
      </c>
      <c r="AK114" t="s">
        <v>92</v>
      </c>
      <c r="AL114" t="s">
        <v>93</v>
      </c>
      <c r="AM114" t="s">
        <v>94</v>
      </c>
      <c r="AN114" t="s">
        <v>1769</v>
      </c>
      <c r="AO114" t="s">
        <v>1770</v>
      </c>
      <c r="AP114" t="s">
        <v>97</v>
      </c>
      <c r="AQ114">
        <v>39</v>
      </c>
      <c r="AR114" t="s">
        <v>80</v>
      </c>
      <c r="AS114">
        <v>1254</v>
      </c>
      <c r="AT114">
        <v>0.96630000000000005</v>
      </c>
      <c r="AU114">
        <v>172</v>
      </c>
      <c r="AV114">
        <v>0.94740000000000002</v>
      </c>
      <c r="AW114" t="s">
        <v>98</v>
      </c>
      <c r="AX114" t="s">
        <v>146</v>
      </c>
      <c r="AY114" t="s">
        <v>127</v>
      </c>
      <c r="AZ114" t="s">
        <v>101</v>
      </c>
      <c r="BA114" t="s">
        <v>1771</v>
      </c>
      <c r="BB114" t="s">
        <v>103</v>
      </c>
      <c r="BC114" t="s">
        <v>104</v>
      </c>
      <c r="BD114" t="s">
        <v>105</v>
      </c>
      <c r="BE114">
        <v>77400</v>
      </c>
      <c r="BF114" t="s">
        <v>106</v>
      </c>
      <c r="BG114">
        <v>849</v>
      </c>
      <c r="BH114" t="s">
        <v>80</v>
      </c>
      <c r="BI114">
        <v>1</v>
      </c>
      <c r="BJ114">
        <v>245</v>
      </c>
      <c r="BK114">
        <v>0</v>
      </c>
      <c r="BL114">
        <v>36</v>
      </c>
      <c r="BM114">
        <v>1207</v>
      </c>
      <c r="BN114">
        <v>1733</v>
      </c>
      <c r="BO114">
        <v>2434</v>
      </c>
      <c r="BP114">
        <v>17</v>
      </c>
      <c r="BQ114" s="2">
        <v>1115</v>
      </c>
      <c r="BR114">
        <f t="shared" si="17"/>
        <v>246</v>
      </c>
      <c r="BS114">
        <f t="shared" si="18"/>
        <v>1</v>
      </c>
      <c r="BT114">
        <f t="shared" si="19"/>
        <v>37</v>
      </c>
      <c r="BU114">
        <f t="shared" si="20"/>
        <v>1208</v>
      </c>
      <c r="BV114">
        <f t="shared" si="21"/>
        <v>1734</v>
      </c>
      <c r="BW114">
        <f t="shared" si="22"/>
        <v>2435</v>
      </c>
      <c r="BX114">
        <f t="shared" si="23"/>
        <v>18</v>
      </c>
      <c r="BY114" s="2">
        <f t="shared" si="24"/>
        <v>1116</v>
      </c>
      <c r="BZ114">
        <f t="shared" si="25"/>
        <v>176.28325682458359</v>
      </c>
      <c r="CA114">
        <v>176.28325682458359</v>
      </c>
      <c r="CB114">
        <v>176.28325682458359</v>
      </c>
      <c r="CC114">
        <v>176.28325682458359</v>
      </c>
      <c r="CD114">
        <v>176.28325682458359</v>
      </c>
      <c r="CE114">
        <v>176.28325682458359</v>
      </c>
      <c r="CF114">
        <v>176.28325682458359</v>
      </c>
      <c r="CG114">
        <v>176.28325682458359</v>
      </c>
      <c r="CH114">
        <f t="shared" si="26"/>
        <v>0.14472404162197944</v>
      </c>
      <c r="CI114">
        <f t="shared" si="27"/>
        <v>-2.2462110654813996</v>
      </c>
      <c r="CJ114">
        <f t="shared" si="28"/>
        <v>-0.67800934141440472</v>
      </c>
      <c r="CK114">
        <f t="shared" si="29"/>
        <v>0.83585586880371332</v>
      </c>
      <c r="CL114">
        <f t="shared" si="30"/>
        <v>0.99283802765879181</v>
      </c>
      <c r="CM114">
        <f t="shared" si="31"/>
        <v>1.1402879000692534</v>
      </c>
      <c r="CN114">
        <f t="shared" si="32"/>
        <v>-0.99093856037809369</v>
      </c>
      <c r="CO114" s="2">
        <f t="shared" si="33"/>
        <v>0.8014531291201602</v>
      </c>
      <c r="CP114">
        <v>-0.50315218663729</v>
      </c>
      <c r="CQ114">
        <v>-2.2527165794045199</v>
      </c>
      <c r="CR114">
        <v>-0.53411784784054095</v>
      </c>
      <c r="CS114">
        <v>0.81743215693065097</v>
      </c>
      <c r="CT114">
        <v>0.87628284721604599</v>
      </c>
      <c r="CU114">
        <v>0.86572308198618297</v>
      </c>
      <c r="CV114">
        <v>1.86082824868056E-2</v>
      </c>
      <c r="CW114">
        <v>0.71694234364473497</v>
      </c>
      <c r="CX114" t="s">
        <v>1826</v>
      </c>
    </row>
    <row r="115" spans="1:104" x14ac:dyDescent="0.35">
      <c r="A115" t="s">
        <v>1810</v>
      </c>
      <c r="B115" t="s">
        <v>178</v>
      </c>
      <c r="C115" t="s">
        <v>108</v>
      </c>
      <c r="D115" t="s">
        <v>72</v>
      </c>
      <c r="E115" t="s">
        <v>72</v>
      </c>
      <c r="F115" t="s">
        <v>72</v>
      </c>
      <c r="G115" t="s">
        <v>73</v>
      </c>
      <c r="H115" t="s">
        <v>109</v>
      </c>
      <c r="I115" t="s">
        <v>110</v>
      </c>
      <c r="J115" t="s">
        <v>111</v>
      </c>
      <c r="K115" t="s">
        <v>112</v>
      </c>
      <c r="L115" t="s">
        <v>113</v>
      </c>
      <c r="M115" t="s">
        <v>114</v>
      </c>
      <c r="N115">
        <v>48</v>
      </c>
      <c r="O115" t="s">
        <v>80</v>
      </c>
      <c r="P115">
        <v>621</v>
      </c>
      <c r="Q115">
        <v>0.68400000000000005</v>
      </c>
      <c r="R115">
        <v>175</v>
      </c>
      <c r="S115">
        <v>0.81130000000000002</v>
      </c>
      <c r="T115" t="s">
        <v>115</v>
      </c>
      <c r="U115" t="s">
        <v>116</v>
      </c>
      <c r="V115" t="s">
        <v>117</v>
      </c>
      <c r="W115" t="s">
        <v>118</v>
      </c>
      <c r="X115" t="s">
        <v>119</v>
      </c>
      <c r="Y115" t="s">
        <v>120</v>
      </c>
      <c r="Z115" t="s">
        <v>121</v>
      </c>
      <c r="AA115" t="s">
        <v>88</v>
      </c>
      <c r="AB115">
        <v>467</v>
      </c>
      <c r="AC115">
        <v>8</v>
      </c>
      <c r="AE115">
        <v>1</v>
      </c>
      <c r="AF115" t="s">
        <v>89</v>
      </c>
      <c r="AG115" t="s">
        <v>1811</v>
      </c>
      <c r="AH115" t="s">
        <v>72</v>
      </c>
      <c r="AI115" t="s">
        <v>72</v>
      </c>
      <c r="AJ115" t="s">
        <v>91</v>
      </c>
      <c r="AK115" t="s">
        <v>92</v>
      </c>
      <c r="AL115" t="s">
        <v>93</v>
      </c>
      <c r="AM115" t="s">
        <v>94</v>
      </c>
      <c r="AN115" t="s">
        <v>1812</v>
      </c>
      <c r="AO115" t="s">
        <v>1813</v>
      </c>
      <c r="AP115" t="s">
        <v>776</v>
      </c>
      <c r="AQ115">
        <v>39</v>
      </c>
      <c r="AR115" t="s">
        <v>80</v>
      </c>
      <c r="AS115">
        <v>1350</v>
      </c>
      <c r="AT115">
        <v>0.96530000000000005</v>
      </c>
      <c r="AU115">
        <v>163</v>
      </c>
      <c r="AV115">
        <v>0.92110000000000003</v>
      </c>
      <c r="AW115" t="s">
        <v>644</v>
      </c>
      <c r="AX115" t="s">
        <v>146</v>
      </c>
      <c r="AY115" t="s">
        <v>127</v>
      </c>
      <c r="AZ115" t="s">
        <v>1814</v>
      </c>
      <c r="BA115" t="s">
        <v>128</v>
      </c>
      <c r="BB115" t="s">
        <v>103</v>
      </c>
      <c r="BC115" t="s">
        <v>104</v>
      </c>
      <c r="BD115" t="s">
        <v>105</v>
      </c>
      <c r="BE115">
        <v>103881</v>
      </c>
      <c r="BF115" t="s">
        <v>777</v>
      </c>
      <c r="BG115">
        <v>1271</v>
      </c>
      <c r="BH115" t="s">
        <v>80</v>
      </c>
      <c r="BI115">
        <v>1</v>
      </c>
      <c r="BJ115">
        <v>288</v>
      </c>
      <c r="BK115">
        <v>7</v>
      </c>
      <c r="BL115">
        <v>71</v>
      </c>
      <c r="BM115">
        <v>2002</v>
      </c>
      <c r="BN115">
        <v>2520</v>
      </c>
      <c r="BO115">
        <v>3862</v>
      </c>
      <c r="BP115">
        <v>18</v>
      </c>
      <c r="BQ115" s="2">
        <v>2057</v>
      </c>
      <c r="BR115">
        <f t="shared" si="17"/>
        <v>289</v>
      </c>
      <c r="BS115">
        <f t="shared" si="18"/>
        <v>8</v>
      </c>
      <c r="BT115">
        <f t="shared" si="19"/>
        <v>72</v>
      </c>
      <c r="BU115">
        <f t="shared" si="20"/>
        <v>2003</v>
      </c>
      <c r="BV115">
        <f t="shared" si="21"/>
        <v>2521</v>
      </c>
      <c r="BW115">
        <f t="shared" si="22"/>
        <v>3863</v>
      </c>
      <c r="BX115">
        <f t="shared" si="23"/>
        <v>19</v>
      </c>
      <c r="BY115" s="2">
        <f t="shared" si="24"/>
        <v>2058</v>
      </c>
      <c r="BZ115">
        <f t="shared" si="25"/>
        <v>325.80836097198562</v>
      </c>
      <c r="CA115">
        <v>325.80836097198562</v>
      </c>
      <c r="CB115">
        <v>325.80836097198562</v>
      </c>
      <c r="CC115">
        <v>325.80836097198562</v>
      </c>
      <c r="CD115">
        <v>325.80836097198562</v>
      </c>
      <c r="CE115">
        <v>325.80836097198562</v>
      </c>
      <c r="CF115">
        <v>325.80836097198562</v>
      </c>
      <c r="CG115">
        <v>325.80836097198562</v>
      </c>
      <c r="CH115">
        <f t="shared" si="26"/>
        <v>-5.2064382327682825E-2</v>
      </c>
      <c r="CI115">
        <f t="shared" si="27"/>
        <v>-1.6098722380922872</v>
      </c>
      <c r="CJ115">
        <f t="shared" si="28"/>
        <v>-0.65562972865296221</v>
      </c>
      <c r="CK115">
        <f t="shared" si="29"/>
        <v>0.78871872420934552</v>
      </c>
      <c r="CL115">
        <f t="shared" si="30"/>
        <v>0.88861062059221529</v>
      </c>
      <c r="CM115">
        <f t="shared" si="31"/>
        <v>1.0739624830605896</v>
      </c>
      <c r="CN115">
        <f t="shared" si="32"/>
        <v>-1.2342086241314016</v>
      </c>
      <c r="CO115" s="2">
        <f t="shared" si="33"/>
        <v>0.80048314534218346</v>
      </c>
      <c r="CP115">
        <v>-0.73958016477512101</v>
      </c>
      <c r="CQ115">
        <v>4.3425665741339603E-2</v>
      </c>
      <c r="CR115">
        <v>-0.434128479987474</v>
      </c>
      <c r="CS115">
        <v>0.678544921771986</v>
      </c>
      <c r="CT115">
        <v>0.58615386057802099</v>
      </c>
      <c r="CU115">
        <v>0.67418894254014405</v>
      </c>
      <c r="CV115">
        <v>-0.633835652963751</v>
      </c>
      <c r="CW115">
        <v>0.71427813441969001</v>
      </c>
      <c r="CX115" t="s">
        <v>1826</v>
      </c>
    </row>
    <row r="116" spans="1:104" x14ac:dyDescent="0.35">
      <c r="A116" t="s">
        <v>666</v>
      </c>
      <c r="B116" t="s">
        <v>231</v>
      </c>
      <c r="C116" t="s">
        <v>108</v>
      </c>
      <c r="D116" t="s">
        <v>72</v>
      </c>
      <c r="E116" t="s">
        <v>72</v>
      </c>
      <c r="F116" t="s">
        <v>72</v>
      </c>
      <c r="G116" t="s">
        <v>73</v>
      </c>
      <c r="H116" t="s">
        <v>109</v>
      </c>
      <c r="I116" t="s">
        <v>110</v>
      </c>
      <c r="J116" t="s">
        <v>111</v>
      </c>
      <c r="K116" t="s">
        <v>112</v>
      </c>
      <c r="L116" t="s">
        <v>113</v>
      </c>
      <c r="M116" t="s">
        <v>114</v>
      </c>
      <c r="N116">
        <v>48</v>
      </c>
      <c r="O116" t="s">
        <v>80</v>
      </c>
      <c r="P116">
        <v>621</v>
      </c>
      <c r="Q116">
        <v>0.68400000000000005</v>
      </c>
      <c r="R116">
        <v>175</v>
      </c>
      <c r="S116">
        <v>0.81130000000000002</v>
      </c>
      <c r="T116" t="s">
        <v>115</v>
      </c>
      <c r="U116" t="s">
        <v>116</v>
      </c>
      <c r="V116" t="s">
        <v>117</v>
      </c>
      <c r="W116" t="s">
        <v>118</v>
      </c>
      <c r="X116" t="s">
        <v>119</v>
      </c>
      <c r="Y116" t="s">
        <v>120</v>
      </c>
      <c r="Z116" t="s">
        <v>121</v>
      </c>
      <c r="AA116" t="s">
        <v>88</v>
      </c>
      <c r="AB116">
        <v>724</v>
      </c>
      <c r="AC116">
        <v>5</v>
      </c>
      <c r="AE116">
        <v>1</v>
      </c>
      <c r="AF116" t="s">
        <v>89</v>
      </c>
      <c r="AG116" t="s">
        <v>667</v>
      </c>
      <c r="AH116" t="s">
        <v>72</v>
      </c>
      <c r="AI116" t="s">
        <v>72</v>
      </c>
      <c r="AJ116" t="s">
        <v>91</v>
      </c>
      <c r="AK116" t="s">
        <v>92</v>
      </c>
      <c r="AL116" t="s">
        <v>93</v>
      </c>
      <c r="AM116" t="s">
        <v>94</v>
      </c>
      <c r="AN116" t="s">
        <v>668</v>
      </c>
      <c r="AO116" t="s">
        <v>669</v>
      </c>
      <c r="AP116" t="s">
        <v>670</v>
      </c>
      <c r="AQ116">
        <v>39</v>
      </c>
      <c r="AR116" t="s">
        <v>80</v>
      </c>
      <c r="AS116">
        <v>1341</v>
      </c>
      <c r="AT116">
        <v>0.96179999999999999</v>
      </c>
      <c r="AU116">
        <v>163</v>
      </c>
      <c r="AV116">
        <v>0.92110000000000003</v>
      </c>
      <c r="AW116" t="s">
        <v>98</v>
      </c>
      <c r="AX116" t="s">
        <v>146</v>
      </c>
      <c r="AY116" t="s">
        <v>671</v>
      </c>
      <c r="AZ116" t="s">
        <v>101</v>
      </c>
      <c r="BA116" t="s">
        <v>128</v>
      </c>
      <c r="BB116" t="s">
        <v>103</v>
      </c>
      <c r="BC116" t="s">
        <v>672</v>
      </c>
      <c r="BD116" t="s">
        <v>105</v>
      </c>
      <c r="BE116">
        <v>42572</v>
      </c>
      <c r="BF116" t="s">
        <v>673</v>
      </c>
      <c r="BG116">
        <v>487</v>
      </c>
      <c r="BH116" t="s">
        <v>80</v>
      </c>
      <c r="BI116">
        <v>1</v>
      </c>
      <c r="BJ116">
        <v>138</v>
      </c>
      <c r="BK116">
        <v>0</v>
      </c>
      <c r="BL116">
        <v>26</v>
      </c>
      <c r="BM116">
        <v>876</v>
      </c>
      <c r="BN116">
        <v>1197</v>
      </c>
      <c r="BO116">
        <v>1596</v>
      </c>
      <c r="BP116">
        <v>11</v>
      </c>
      <c r="BQ116" s="2">
        <v>787</v>
      </c>
      <c r="BR116">
        <f t="shared" si="17"/>
        <v>139</v>
      </c>
      <c r="BS116">
        <f t="shared" si="18"/>
        <v>1</v>
      </c>
      <c r="BT116">
        <f t="shared" si="19"/>
        <v>27</v>
      </c>
      <c r="BU116">
        <f t="shared" si="20"/>
        <v>877</v>
      </c>
      <c r="BV116">
        <f t="shared" si="21"/>
        <v>1198</v>
      </c>
      <c r="BW116">
        <f t="shared" si="22"/>
        <v>1597</v>
      </c>
      <c r="BX116">
        <f t="shared" si="23"/>
        <v>12</v>
      </c>
      <c r="BY116" s="2">
        <f t="shared" si="24"/>
        <v>788</v>
      </c>
      <c r="BZ116">
        <f t="shared" si="25"/>
        <v>124.98443158872412</v>
      </c>
      <c r="CA116">
        <v>124.98443158872412</v>
      </c>
      <c r="CB116">
        <v>124.98443158872412</v>
      </c>
      <c r="CC116">
        <v>124.98443158872412</v>
      </c>
      <c r="CD116">
        <v>124.98443158872412</v>
      </c>
      <c r="CE116">
        <v>124.98443158872412</v>
      </c>
      <c r="CF116">
        <v>124.98443158872412</v>
      </c>
      <c r="CG116">
        <v>124.98443158872412</v>
      </c>
      <c r="CH116">
        <f t="shared" si="26"/>
        <v>4.6158880815585238E-2</v>
      </c>
      <c r="CI116">
        <f t="shared" si="27"/>
        <v>-2.0968559194385099</v>
      </c>
      <c r="CJ116">
        <f t="shared" si="28"/>
        <v>-0.66549215527952255</v>
      </c>
      <c r="CK116">
        <f t="shared" si="29"/>
        <v>0.84614367392753076</v>
      </c>
      <c r="CL116">
        <f t="shared" si="30"/>
        <v>0.98160089861478272</v>
      </c>
      <c r="CM116">
        <f t="shared" si="31"/>
        <v>1.1064489966999731</v>
      </c>
      <c r="CN116">
        <f t="shared" si="32"/>
        <v>-1.017674673390885</v>
      </c>
      <c r="CO116" s="2">
        <f t="shared" si="33"/>
        <v>0.7996702980510455</v>
      </c>
      <c r="CP116">
        <v>-0.62157155916220497</v>
      </c>
      <c r="CQ116">
        <v>-2.2527165794045199</v>
      </c>
      <c r="CR116">
        <v>-0.47819259380386803</v>
      </c>
      <c r="CS116">
        <v>0.847744659348731</v>
      </c>
      <c r="CT116">
        <v>0.84500300485964397</v>
      </c>
      <c r="CU116">
        <v>0.76800330080808399</v>
      </c>
      <c r="CV116">
        <v>-5.3097271922904303E-2</v>
      </c>
      <c r="CW116">
        <v>0.71204552465778403</v>
      </c>
      <c r="CX116" t="s">
        <v>1826</v>
      </c>
    </row>
    <row r="117" spans="1:104" x14ac:dyDescent="0.35">
      <c r="A117" t="s">
        <v>1797</v>
      </c>
      <c r="B117" t="s">
        <v>231</v>
      </c>
      <c r="C117" t="s">
        <v>1798</v>
      </c>
      <c r="D117" t="s">
        <v>72</v>
      </c>
      <c r="E117" t="s">
        <v>72</v>
      </c>
      <c r="F117" t="s">
        <v>72</v>
      </c>
      <c r="G117" t="s">
        <v>73</v>
      </c>
      <c r="H117" t="s">
        <v>109</v>
      </c>
      <c r="I117" t="s">
        <v>110</v>
      </c>
      <c r="J117" t="s">
        <v>111</v>
      </c>
      <c r="K117" t="s">
        <v>1799</v>
      </c>
      <c r="L117" t="s">
        <v>1800</v>
      </c>
      <c r="M117" t="s">
        <v>114</v>
      </c>
      <c r="N117">
        <v>48</v>
      </c>
      <c r="O117" t="s">
        <v>80</v>
      </c>
      <c r="P117">
        <v>621</v>
      </c>
      <c r="Q117">
        <v>0.68400000000000005</v>
      </c>
      <c r="R117">
        <v>166</v>
      </c>
      <c r="S117">
        <v>0.79249999999999998</v>
      </c>
      <c r="T117" t="s">
        <v>115</v>
      </c>
      <c r="U117" t="s">
        <v>116</v>
      </c>
      <c r="V117" t="s">
        <v>117</v>
      </c>
      <c r="W117" t="s">
        <v>1801</v>
      </c>
      <c r="X117" t="s">
        <v>119</v>
      </c>
      <c r="Y117" t="s">
        <v>120</v>
      </c>
      <c r="Z117" t="s">
        <v>121</v>
      </c>
      <c r="AA117" t="s">
        <v>88</v>
      </c>
      <c r="AB117">
        <v>1065</v>
      </c>
      <c r="AC117">
        <v>9</v>
      </c>
      <c r="AE117">
        <v>1</v>
      </c>
      <c r="AF117" t="s">
        <v>89</v>
      </c>
      <c r="AG117" t="s">
        <v>1802</v>
      </c>
      <c r="AH117" t="s">
        <v>72</v>
      </c>
      <c r="AI117" t="s">
        <v>72</v>
      </c>
      <c r="AJ117" t="s">
        <v>91</v>
      </c>
      <c r="AK117" t="s">
        <v>92</v>
      </c>
      <c r="AL117" t="s">
        <v>93</v>
      </c>
      <c r="AM117" t="s">
        <v>94</v>
      </c>
      <c r="AN117" t="s">
        <v>1803</v>
      </c>
      <c r="AO117" t="s">
        <v>1804</v>
      </c>
      <c r="AP117" t="s">
        <v>97</v>
      </c>
      <c r="AQ117">
        <v>39</v>
      </c>
      <c r="AR117" t="s">
        <v>80</v>
      </c>
      <c r="AS117">
        <v>1341</v>
      </c>
      <c r="AT117">
        <v>0.96179999999999999</v>
      </c>
      <c r="AU117">
        <v>172</v>
      </c>
      <c r="AV117">
        <v>0.94740000000000002</v>
      </c>
      <c r="AW117" t="s">
        <v>216</v>
      </c>
      <c r="AX117" t="s">
        <v>146</v>
      </c>
      <c r="AY117" t="s">
        <v>127</v>
      </c>
      <c r="AZ117" t="s">
        <v>101</v>
      </c>
      <c r="BA117" t="s">
        <v>276</v>
      </c>
      <c r="BB117" t="s">
        <v>103</v>
      </c>
      <c r="BC117" t="s">
        <v>104</v>
      </c>
      <c r="BD117" t="s">
        <v>105</v>
      </c>
      <c r="BE117">
        <v>79261</v>
      </c>
      <c r="BF117" t="s">
        <v>106</v>
      </c>
      <c r="BG117">
        <v>923</v>
      </c>
      <c r="BH117" t="s">
        <v>80</v>
      </c>
      <c r="BI117">
        <v>1</v>
      </c>
      <c r="BJ117">
        <v>68</v>
      </c>
      <c r="BK117">
        <v>6</v>
      </c>
      <c r="BL117">
        <v>39</v>
      </c>
      <c r="BM117">
        <v>1278</v>
      </c>
      <c r="BN117">
        <v>1622</v>
      </c>
      <c r="BO117">
        <v>2312</v>
      </c>
      <c r="BP117">
        <v>11</v>
      </c>
      <c r="BQ117" s="2">
        <v>1150</v>
      </c>
      <c r="BR117">
        <f t="shared" si="17"/>
        <v>69</v>
      </c>
      <c r="BS117">
        <f t="shared" si="18"/>
        <v>7</v>
      </c>
      <c r="BT117">
        <f t="shared" si="19"/>
        <v>40</v>
      </c>
      <c r="BU117">
        <f t="shared" si="20"/>
        <v>1279</v>
      </c>
      <c r="BV117">
        <f t="shared" si="21"/>
        <v>1623</v>
      </c>
      <c r="BW117">
        <f t="shared" si="22"/>
        <v>2313</v>
      </c>
      <c r="BX117">
        <f t="shared" si="23"/>
        <v>12</v>
      </c>
      <c r="BY117" s="2">
        <f t="shared" si="24"/>
        <v>1151</v>
      </c>
      <c r="BZ117">
        <f t="shared" si="25"/>
        <v>183.42289706279087</v>
      </c>
      <c r="CA117">
        <v>183.42289706279087</v>
      </c>
      <c r="CB117">
        <v>183.42289706279087</v>
      </c>
      <c r="CC117">
        <v>183.42289706279087</v>
      </c>
      <c r="CD117">
        <v>183.42289706279087</v>
      </c>
      <c r="CE117">
        <v>183.42289706279087</v>
      </c>
      <c r="CF117">
        <v>183.42289706279087</v>
      </c>
      <c r="CG117">
        <v>183.42289706279087</v>
      </c>
      <c r="CH117">
        <f t="shared" si="26"/>
        <v>-0.42460445786679418</v>
      </c>
      <c r="CI117">
        <f t="shared" si="27"/>
        <v>-1.4183555085897928</v>
      </c>
      <c r="CJ117">
        <f t="shared" si="28"/>
        <v>-0.66139355727608717</v>
      </c>
      <c r="CK117">
        <f t="shared" si="29"/>
        <v>0.84341699587460439</v>
      </c>
      <c r="CL117">
        <f t="shared" si="30"/>
        <v>0.94686497122218238</v>
      </c>
      <c r="CM117">
        <f t="shared" si="31"/>
        <v>1.1007220841665699</v>
      </c>
      <c r="CN117">
        <f t="shared" si="32"/>
        <v>-1.1842723025564248</v>
      </c>
      <c r="CO117" s="2">
        <f t="shared" si="33"/>
        <v>0.79762177502574227</v>
      </c>
      <c r="CP117">
        <v>-1.1871618622511699</v>
      </c>
      <c r="CQ117">
        <v>0.60920524801717202</v>
      </c>
      <c r="CR117">
        <v>-0.45988056008747502</v>
      </c>
      <c r="CS117">
        <v>0.83971063906180798</v>
      </c>
      <c r="CT117">
        <v>0.74831155202603505</v>
      </c>
      <c r="CU117">
        <v>0.75146515731439401</v>
      </c>
      <c r="CV117">
        <v>-0.49990774721312198</v>
      </c>
      <c r="CW117">
        <v>0.70641894196058397</v>
      </c>
      <c r="CX117" t="s">
        <v>1826</v>
      </c>
    </row>
    <row r="118" spans="1:104" x14ac:dyDescent="0.35">
      <c r="A118" t="s">
        <v>1530</v>
      </c>
      <c r="B118" t="s">
        <v>148</v>
      </c>
      <c r="C118" t="s">
        <v>607</v>
      </c>
      <c r="D118" t="s">
        <v>72</v>
      </c>
      <c r="E118" t="s">
        <v>72</v>
      </c>
      <c r="F118" t="s">
        <v>72</v>
      </c>
      <c r="G118" t="s">
        <v>73</v>
      </c>
      <c r="H118" t="s">
        <v>109</v>
      </c>
      <c r="I118" t="s">
        <v>110</v>
      </c>
      <c r="J118" t="s">
        <v>111</v>
      </c>
      <c r="K118" t="s">
        <v>112</v>
      </c>
      <c r="L118" t="s">
        <v>113</v>
      </c>
      <c r="M118" t="s">
        <v>114</v>
      </c>
      <c r="N118">
        <v>48</v>
      </c>
      <c r="O118" t="s">
        <v>80</v>
      </c>
      <c r="P118">
        <v>621</v>
      </c>
      <c r="Q118">
        <v>0.68400000000000005</v>
      </c>
      <c r="R118">
        <v>175</v>
      </c>
      <c r="S118">
        <v>0.81130000000000002</v>
      </c>
      <c r="T118" t="s">
        <v>115</v>
      </c>
      <c r="U118" t="s">
        <v>116</v>
      </c>
      <c r="V118" t="s">
        <v>117</v>
      </c>
      <c r="W118" t="s">
        <v>118</v>
      </c>
      <c r="X118" t="s">
        <v>119</v>
      </c>
      <c r="Y118" t="s">
        <v>120</v>
      </c>
      <c r="Z118" t="s">
        <v>121</v>
      </c>
      <c r="AA118" t="s">
        <v>88</v>
      </c>
      <c r="AB118">
        <v>526</v>
      </c>
      <c r="AC118">
        <v>7</v>
      </c>
      <c r="AE118">
        <v>1</v>
      </c>
      <c r="AF118" t="s">
        <v>89</v>
      </c>
      <c r="AG118" t="s">
        <v>1531</v>
      </c>
      <c r="AH118" t="s">
        <v>72</v>
      </c>
      <c r="AI118" t="s">
        <v>72</v>
      </c>
      <c r="AJ118" t="s">
        <v>91</v>
      </c>
      <c r="AK118" t="s">
        <v>92</v>
      </c>
      <c r="AL118" t="s">
        <v>93</v>
      </c>
      <c r="AM118" t="s">
        <v>94</v>
      </c>
      <c r="AN118" t="s">
        <v>1168</v>
      </c>
      <c r="AO118" t="s">
        <v>1169</v>
      </c>
      <c r="AP118" t="s">
        <v>1000</v>
      </c>
      <c r="AQ118">
        <v>39</v>
      </c>
      <c r="AR118" t="s">
        <v>80</v>
      </c>
      <c r="AS118">
        <v>1359</v>
      </c>
      <c r="AT118">
        <v>0.96879999999999999</v>
      </c>
      <c r="AU118">
        <v>172</v>
      </c>
      <c r="AV118">
        <v>0.94740000000000002</v>
      </c>
      <c r="AW118" t="s">
        <v>98</v>
      </c>
      <c r="AX118" t="s">
        <v>146</v>
      </c>
      <c r="AY118" t="s">
        <v>127</v>
      </c>
      <c r="AZ118" t="s">
        <v>101</v>
      </c>
      <c r="BA118" t="s">
        <v>128</v>
      </c>
      <c r="BB118" t="s">
        <v>103</v>
      </c>
      <c r="BC118" t="s">
        <v>1002</v>
      </c>
      <c r="BD118" t="s">
        <v>105</v>
      </c>
      <c r="BE118">
        <v>80890</v>
      </c>
      <c r="BF118" t="s">
        <v>1003</v>
      </c>
      <c r="BG118">
        <v>986</v>
      </c>
      <c r="BH118" t="s">
        <v>80</v>
      </c>
      <c r="BI118">
        <v>1</v>
      </c>
      <c r="BJ118">
        <v>65</v>
      </c>
      <c r="BK118">
        <v>8</v>
      </c>
      <c r="BL118">
        <v>20</v>
      </c>
      <c r="BM118">
        <v>856</v>
      </c>
      <c r="BN118">
        <v>1043</v>
      </c>
      <c r="BO118">
        <v>1458</v>
      </c>
      <c r="BP118">
        <v>6</v>
      </c>
      <c r="BQ118" s="2">
        <v>830</v>
      </c>
      <c r="BR118">
        <f t="shared" si="17"/>
        <v>66</v>
      </c>
      <c r="BS118">
        <f t="shared" si="18"/>
        <v>9</v>
      </c>
      <c r="BT118">
        <f t="shared" si="19"/>
        <v>21</v>
      </c>
      <c r="BU118">
        <f t="shared" si="20"/>
        <v>857</v>
      </c>
      <c r="BV118">
        <f t="shared" si="21"/>
        <v>1044</v>
      </c>
      <c r="BW118">
        <f t="shared" si="22"/>
        <v>1459</v>
      </c>
      <c r="BX118">
        <f t="shared" si="23"/>
        <v>7</v>
      </c>
      <c r="BY118" s="2">
        <f t="shared" si="24"/>
        <v>831</v>
      </c>
      <c r="BZ118">
        <f t="shared" si="25"/>
        <v>132.45098031268944</v>
      </c>
      <c r="CA118">
        <v>132.45098031268944</v>
      </c>
      <c r="CB118">
        <v>132.45098031268944</v>
      </c>
      <c r="CC118">
        <v>132.45098031268944</v>
      </c>
      <c r="CD118">
        <v>132.45098031268944</v>
      </c>
      <c r="CE118">
        <v>132.45098031268944</v>
      </c>
      <c r="CF118">
        <v>132.45098031268944</v>
      </c>
      <c r="CG118">
        <v>132.45098031268944</v>
      </c>
      <c r="CH118">
        <f t="shared" si="26"/>
        <v>-0.30251124145767805</v>
      </c>
      <c r="CI118">
        <f t="shared" si="27"/>
        <v>-1.1678126675602218</v>
      </c>
      <c r="CJ118">
        <f t="shared" si="28"/>
        <v>-0.79983588226562741</v>
      </c>
      <c r="CK118">
        <f t="shared" si="29"/>
        <v>0.81092564492365149</v>
      </c>
      <c r="CL118">
        <f t="shared" si="30"/>
        <v>0.89664532166669664</v>
      </c>
      <c r="CM118">
        <f t="shared" si="31"/>
        <v>1.0420001148939049</v>
      </c>
      <c r="CN118">
        <f t="shared" si="32"/>
        <v>-1.2769571369852899</v>
      </c>
      <c r="CO118" s="2">
        <f t="shared" si="33"/>
        <v>0.79754584678456431</v>
      </c>
      <c r="CP118">
        <v>-1.04047512265243</v>
      </c>
      <c r="CQ118">
        <v>1.3493600340149401</v>
      </c>
      <c r="CR118">
        <v>-1.0784239060948899</v>
      </c>
      <c r="CS118">
        <v>0.74397650117584702</v>
      </c>
      <c r="CT118">
        <v>0.60851937600516504</v>
      </c>
      <c r="CU118">
        <v>0.58188820840885702</v>
      </c>
      <c r="CV118">
        <v>-0.74848604409996899</v>
      </c>
      <c r="CW118">
        <v>0.70621039340010205</v>
      </c>
      <c r="CX118" t="s">
        <v>1826</v>
      </c>
    </row>
    <row r="119" spans="1:104" x14ac:dyDescent="0.35">
      <c r="A119" t="s">
        <v>1592</v>
      </c>
      <c r="B119" t="s">
        <v>153</v>
      </c>
      <c r="C119" t="s">
        <v>255</v>
      </c>
      <c r="D119" t="s">
        <v>72</v>
      </c>
      <c r="E119" t="s">
        <v>72</v>
      </c>
      <c r="F119" t="s">
        <v>72</v>
      </c>
      <c r="G119" t="s">
        <v>73</v>
      </c>
      <c r="H119" t="s">
        <v>109</v>
      </c>
      <c r="I119" t="s">
        <v>110</v>
      </c>
      <c r="J119" t="s">
        <v>111</v>
      </c>
      <c r="K119" t="s">
        <v>112</v>
      </c>
      <c r="L119" t="s">
        <v>113</v>
      </c>
      <c r="M119" t="s">
        <v>114</v>
      </c>
      <c r="N119">
        <v>48</v>
      </c>
      <c r="O119" t="s">
        <v>80</v>
      </c>
      <c r="P119">
        <v>621</v>
      </c>
      <c r="Q119">
        <v>0.68400000000000005</v>
      </c>
      <c r="R119">
        <v>175</v>
      </c>
      <c r="S119">
        <v>0.81130000000000002</v>
      </c>
      <c r="T119" t="s">
        <v>115</v>
      </c>
      <c r="U119" t="s">
        <v>116</v>
      </c>
      <c r="V119" t="s">
        <v>117</v>
      </c>
      <c r="W119" t="s">
        <v>118</v>
      </c>
      <c r="X119" t="s">
        <v>119</v>
      </c>
      <c r="Y119" t="s">
        <v>120</v>
      </c>
      <c r="Z119" t="s">
        <v>121</v>
      </c>
      <c r="AA119" t="s">
        <v>88</v>
      </c>
      <c r="AB119">
        <v>279</v>
      </c>
      <c r="AC119">
        <v>3</v>
      </c>
      <c r="AE119">
        <v>1</v>
      </c>
      <c r="AF119" t="s">
        <v>89</v>
      </c>
      <c r="AG119" t="s">
        <v>1593</v>
      </c>
      <c r="AH119" t="s">
        <v>72</v>
      </c>
      <c r="AI119" t="s">
        <v>72</v>
      </c>
      <c r="AJ119" t="s">
        <v>91</v>
      </c>
      <c r="AK119" t="s">
        <v>92</v>
      </c>
      <c r="AL119" t="s">
        <v>93</v>
      </c>
      <c r="AM119" t="s">
        <v>94</v>
      </c>
      <c r="AN119" t="s">
        <v>1594</v>
      </c>
      <c r="AO119" t="s">
        <v>1595</v>
      </c>
      <c r="AP119" t="s">
        <v>97</v>
      </c>
      <c r="AQ119">
        <v>39</v>
      </c>
      <c r="AR119" t="s">
        <v>80</v>
      </c>
      <c r="AS119">
        <v>1350</v>
      </c>
      <c r="AT119">
        <v>0.96530000000000005</v>
      </c>
      <c r="AU119">
        <v>172</v>
      </c>
      <c r="AV119">
        <v>0.94740000000000002</v>
      </c>
      <c r="AW119" t="s">
        <v>98</v>
      </c>
      <c r="AX119" t="s">
        <v>146</v>
      </c>
      <c r="AY119" t="s">
        <v>127</v>
      </c>
      <c r="AZ119" t="s">
        <v>101</v>
      </c>
      <c r="BA119" t="s">
        <v>868</v>
      </c>
      <c r="BB119" t="s">
        <v>103</v>
      </c>
      <c r="BC119" t="s">
        <v>104</v>
      </c>
      <c r="BD119" t="s">
        <v>105</v>
      </c>
      <c r="BE119">
        <v>75694</v>
      </c>
      <c r="BF119" t="s">
        <v>106</v>
      </c>
      <c r="BG119">
        <v>1005</v>
      </c>
      <c r="BH119" t="s">
        <v>80</v>
      </c>
      <c r="BI119">
        <v>1</v>
      </c>
      <c r="BJ119">
        <v>93</v>
      </c>
      <c r="BK119">
        <v>0</v>
      </c>
      <c r="BL119">
        <v>22</v>
      </c>
      <c r="BM119">
        <v>570</v>
      </c>
      <c r="BN119">
        <v>841</v>
      </c>
      <c r="BO119">
        <v>1146</v>
      </c>
      <c r="BP119">
        <v>10</v>
      </c>
      <c r="BQ119" s="2">
        <v>608</v>
      </c>
      <c r="BR119">
        <f t="shared" si="17"/>
        <v>94</v>
      </c>
      <c r="BS119">
        <f t="shared" si="18"/>
        <v>1</v>
      </c>
      <c r="BT119">
        <f t="shared" si="19"/>
        <v>23</v>
      </c>
      <c r="BU119">
        <f t="shared" si="20"/>
        <v>571</v>
      </c>
      <c r="BV119">
        <f t="shared" si="21"/>
        <v>842</v>
      </c>
      <c r="BW119">
        <f t="shared" si="22"/>
        <v>1147</v>
      </c>
      <c r="BX119">
        <f t="shared" si="23"/>
        <v>11</v>
      </c>
      <c r="BY119" s="2">
        <f t="shared" si="24"/>
        <v>609</v>
      </c>
      <c r="BZ119">
        <f t="shared" si="25"/>
        <v>97.229300349567282</v>
      </c>
      <c r="CA119">
        <v>97.229300349567282</v>
      </c>
      <c r="CB119">
        <v>97.229300349567282</v>
      </c>
      <c r="CC119">
        <v>97.229300349567282</v>
      </c>
      <c r="CD119">
        <v>97.229300349567282</v>
      </c>
      <c r="CE119">
        <v>97.229300349567282</v>
      </c>
      <c r="CF119">
        <v>97.229300349567282</v>
      </c>
      <c r="CG119">
        <v>97.229300349567282</v>
      </c>
      <c r="CH119">
        <f t="shared" si="26"/>
        <v>-1.4669307032195995E-2</v>
      </c>
      <c r="CI119">
        <f t="shared" si="27"/>
        <v>-1.9877971606318947</v>
      </c>
      <c r="CJ119">
        <f t="shared" si="28"/>
        <v>-0.62606932461430176</v>
      </c>
      <c r="CK119">
        <f t="shared" si="29"/>
        <v>0.76883894761395344</v>
      </c>
      <c r="CL119">
        <f t="shared" si="30"/>
        <v>0.93751493086775495</v>
      </c>
      <c r="CM119">
        <f t="shared" si="31"/>
        <v>1.0717662572693731</v>
      </c>
      <c r="CN119">
        <f t="shared" si="32"/>
        <v>-0.94640447547366968</v>
      </c>
      <c r="CO119" s="2">
        <f t="shared" si="33"/>
        <v>0.79682013200098079</v>
      </c>
      <c r="CP119">
        <v>-0.69465251167960496</v>
      </c>
      <c r="CQ119">
        <v>-2.2527165794045199</v>
      </c>
      <c r="CR119">
        <v>-0.30205621650312597</v>
      </c>
      <c r="CS119">
        <v>0.61997015593358495</v>
      </c>
      <c r="CT119">
        <v>0.72228463828614098</v>
      </c>
      <c r="CU119">
        <v>0.667846694938521</v>
      </c>
      <c r="CV119">
        <v>0.13804753106692</v>
      </c>
      <c r="CW119">
        <v>0.70421710643482205</v>
      </c>
      <c r="CX119" t="s">
        <v>1826</v>
      </c>
    </row>
    <row r="120" spans="1:104" x14ac:dyDescent="0.35">
      <c r="A120" t="s">
        <v>1567</v>
      </c>
      <c r="B120" t="s">
        <v>142</v>
      </c>
      <c r="C120" t="s">
        <v>108</v>
      </c>
      <c r="D120" t="s">
        <v>72</v>
      </c>
      <c r="E120" t="s">
        <v>72</v>
      </c>
      <c r="F120" t="s">
        <v>72</v>
      </c>
      <c r="G120" t="s">
        <v>73</v>
      </c>
      <c r="H120" t="s">
        <v>109</v>
      </c>
      <c r="I120" t="s">
        <v>110</v>
      </c>
      <c r="J120" t="s">
        <v>111</v>
      </c>
      <c r="K120" t="s">
        <v>112</v>
      </c>
      <c r="L120" t="s">
        <v>113</v>
      </c>
      <c r="M120" t="s">
        <v>114</v>
      </c>
      <c r="N120">
        <v>48</v>
      </c>
      <c r="O120" t="s">
        <v>80</v>
      </c>
      <c r="P120">
        <v>621</v>
      </c>
      <c r="Q120">
        <v>0.68400000000000005</v>
      </c>
      <c r="R120">
        <v>175</v>
      </c>
      <c r="S120">
        <v>0.81130000000000002</v>
      </c>
      <c r="T120" t="s">
        <v>115</v>
      </c>
      <c r="U120" t="s">
        <v>116</v>
      </c>
      <c r="V120" t="s">
        <v>117</v>
      </c>
      <c r="W120" t="s">
        <v>118</v>
      </c>
      <c r="X120" t="s">
        <v>119</v>
      </c>
      <c r="Y120" t="s">
        <v>120</v>
      </c>
      <c r="Z120" t="s">
        <v>121</v>
      </c>
      <c r="AA120" t="s">
        <v>88</v>
      </c>
      <c r="AB120">
        <v>324</v>
      </c>
      <c r="AC120">
        <v>5</v>
      </c>
      <c r="AE120">
        <v>1</v>
      </c>
      <c r="AF120" t="s">
        <v>89</v>
      </c>
      <c r="AG120" t="s">
        <v>1568</v>
      </c>
      <c r="AH120" t="s">
        <v>72</v>
      </c>
      <c r="AI120" t="s">
        <v>72</v>
      </c>
      <c r="AJ120" t="s">
        <v>91</v>
      </c>
      <c r="AK120" t="s">
        <v>92</v>
      </c>
      <c r="AL120" t="s">
        <v>93</v>
      </c>
      <c r="AM120" t="s">
        <v>94</v>
      </c>
      <c r="AN120" t="s">
        <v>1569</v>
      </c>
      <c r="AO120" t="s">
        <v>1570</v>
      </c>
      <c r="AP120" t="s">
        <v>97</v>
      </c>
      <c r="AQ120">
        <v>39</v>
      </c>
      <c r="AR120" t="s">
        <v>80</v>
      </c>
      <c r="AS120">
        <v>1314</v>
      </c>
      <c r="AT120">
        <v>0.95140000000000002</v>
      </c>
      <c r="AU120">
        <v>172</v>
      </c>
      <c r="AV120">
        <v>0.94740000000000002</v>
      </c>
      <c r="AW120" t="s">
        <v>98</v>
      </c>
      <c r="AX120" t="s">
        <v>1571</v>
      </c>
      <c r="AY120" t="s">
        <v>1572</v>
      </c>
      <c r="AZ120" t="s">
        <v>101</v>
      </c>
      <c r="BA120" t="s">
        <v>933</v>
      </c>
      <c r="BB120" t="s">
        <v>450</v>
      </c>
      <c r="BC120" t="s">
        <v>104</v>
      </c>
      <c r="BD120" t="s">
        <v>105</v>
      </c>
      <c r="BE120">
        <v>11678</v>
      </c>
      <c r="BF120" t="s">
        <v>106</v>
      </c>
      <c r="BG120">
        <v>234</v>
      </c>
      <c r="BH120" t="s">
        <v>80</v>
      </c>
      <c r="BI120">
        <v>1</v>
      </c>
      <c r="BJ120">
        <v>200</v>
      </c>
      <c r="BK120">
        <v>5</v>
      </c>
      <c r="BL120">
        <v>31</v>
      </c>
      <c r="BM120">
        <v>1018</v>
      </c>
      <c r="BN120">
        <v>1295</v>
      </c>
      <c r="BO120">
        <v>1875</v>
      </c>
      <c r="BP120">
        <v>8</v>
      </c>
      <c r="BQ120" s="2">
        <v>1104</v>
      </c>
      <c r="BR120">
        <f t="shared" si="17"/>
        <v>201</v>
      </c>
      <c r="BS120">
        <f t="shared" si="18"/>
        <v>6</v>
      </c>
      <c r="BT120">
        <f t="shared" si="19"/>
        <v>32</v>
      </c>
      <c r="BU120">
        <f t="shared" si="20"/>
        <v>1019</v>
      </c>
      <c r="BV120">
        <f t="shared" si="21"/>
        <v>1296</v>
      </c>
      <c r="BW120">
        <f t="shared" si="22"/>
        <v>1876</v>
      </c>
      <c r="BX120">
        <f t="shared" si="23"/>
        <v>9</v>
      </c>
      <c r="BY120" s="2">
        <f t="shared" si="24"/>
        <v>1105</v>
      </c>
      <c r="BZ120">
        <f t="shared" si="25"/>
        <v>176.71127550878845</v>
      </c>
      <c r="CA120">
        <v>176.71127550878845</v>
      </c>
      <c r="CB120">
        <v>176.71127550878845</v>
      </c>
      <c r="CC120">
        <v>176.71127550878845</v>
      </c>
      <c r="CD120">
        <v>176.71127550878845</v>
      </c>
      <c r="CE120">
        <v>176.71127550878845</v>
      </c>
      <c r="CF120">
        <v>176.71127550878845</v>
      </c>
      <c r="CG120">
        <v>176.71127550878845</v>
      </c>
      <c r="CH120">
        <f t="shared" si="26"/>
        <v>5.5931795774421464E-2</v>
      </c>
      <c r="CI120">
        <f t="shared" si="27"/>
        <v>-1.4691130112624238</v>
      </c>
      <c r="CJ120">
        <f t="shared" si="28"/>
        <v>-0.74211428332616147</v>
      </c>
      <c r="CK120">
        <f t="shared" si="29"/>
        <v>0.76090992236035904</v>
      </c>
      <c r="CL120">
        <f t="shared" si="30"/>
        <v>0.86534073988850713</v>
      </c>
      <c r="CM120">
        <f t="shared" si="31"/>
        <v>1.0259685723969783</v>
      </c>
      <c r="CN120">
        <f t="shared" si="32"/>
        <v>-1.2930217522067426</v>
      </c>
      <c r="CO120" s="2">
        <f t="shared" si="33"/>
        <v>0.79609801637506206</v>
      </c>
      <c r="CP120">
        <v>-0.60983006300173204</v>
      </c>
      <c r="CQ120">
        <v>0.459257205702093</v>
      </c>
      <c r="CR120">
        <v>-0.82053087412209902</v>
      </c>
      <c r="CS120">
        <v>0.59660768023736899</v>
      </c>
      <c r="CT120">
        <v>0.52137946871924501</v>
      </c>
      <c r="CU120">
        <v>0.535592416620011</v>
      </c>
      <c r="CV120">
        <v>-0.79157092110814997</v>
      </c>
      <c r="CW120">
        <v>0.702233705108118</v>
      </c>
      <c r="CX120" t="s">
        <v>1826</v>
      </c>
    </row>
    <row r="121" spans="1:104" x14ac:dyDescent="0.35">
      <c r="A121" t="s">
        <v>1243</v>
      </c>
      <c r="B121" t="s">
        <v>70</v>
      </c>
      <c r="C121" t="s">
        <v>152</v>
      </c>
      <c r="D121" t="s">
        <v>72</v>
      </c>
      <c r="E121" t="s">
        <v>72</v>
      </c>
      <c r="F121" t="s">
        <v>72</v>
      </c>
      <c r="G121" t="s">
        <v>73</v>
      </c>
      <c r="H121" t="s">
        <v>109</v>
      </c>
      <c r="I121" t="s">
        <v>110</v>
      </c>
      <c r="J121" t="s">
        <v>111</v>
      </c>
      <c r="K121" t="s">
        <v>112</v>
      </c>
      <c r="L121" t="s">
        <v>113</v>
      </c>
      <c r="M121" t="s">
        <v>114</v>
      </c>
      <c r="N121">
        <v>48</v>
      </c>
      <c r="O121" t="s">
        <v>80</v>
      </c>
      <c r="P121">
        <v>621</v>
      </c>
      <c r="Q121">
        <v>0.68400000000000005</v>
      </c>
      <c r="R121">
        <v>175</v>
      </c>
      <c r="S121">
        <v>0.81130000000000002</v>
      </c>
      <c r="T121" t="s">
        <v>115</v>
      </c>
      <c r="U121" t="s">
        <v>116</v>
      </c>
      <c r="V121" t="s">
        <v>117</v>
      </c>
      <c r="W121" t="s">
        <v>118</v>
      </c>
      <c r="X121" t="s">
        <v>119</v>
      </c>
      <c r="Y121" t="s">
        <v>120</v>
      </c>
      <c r="Z121" t="s">
        <v>121</v>
      </c>
      <c r="AA121" t="s">
        <v>88</v>
      </c>
      <c r="AB121">
        <v>550</v>
      </c>
      <c r="AC121">
        <v>3</v>
      </c>
      <c r="AE121">
        <v>1</v>
      </c>
      <c r="AF121" t="s">
        <v>89</v>
      </c>
      <c r="AG121" t="s">
        <v>1244</v>
      </c>
      <c r="AH121" t="s">
        <v>72</v>
      </c>
      <c r="AI121" t="s">
        <v>72</v>
      </c>
      <c r="AJ121" t="s">
        <v>72</v>
      </c>
      <c r="AK121" t="s">
        <v>92</v>
      </c>
      <c r="AL121" t="s">
        <v>93</v>
      </c>
      <c r="AM121" t="s">
        <v>94</v>
      </c>
      <c r="AN121" t="s">
        <v>1245</v>
      </c>
      <c r="AO121" t="s">
        <v>1246</v>
      </c>
      <c r="AP121" t="s">
        <v>97</v>
      </c>
      <c r="AQ121">
        <v>39</v>
      </c>
      <c r="AR121" t="s">
        <v>80</v>
      </c>
      <c r="AS121">
        <v>890</v>
      </c>
      <c r="AT121">
        <v>0.94899999999999995</v>
      </c>
      <c r="AU121">
        <v>172</v>
      </c>
      <c r="AV121">
        <v>0.94740000000000002</v>
      </c>
      <c r="AW121" t="s">
        <v>1247</v>
      </c>
      <c r="AX121" t="s">
        <v>460</v>
      </c>
      <c r="AY121" t="s">
        <v>127</v>
      </c>
      <c r="AZ121" t="s">
        <v>101</v>
      </c>
      <c r="BA121" t="s">
        <v>463</v>
      </c>
      <c r="BB121" t="s">
        <v>1248</v>
      </c>
      <c r="BC121" t="s">
        <v>104</v>
      </c>
      <c r="BD121" t="s">
        <v>105</v>
      </c>
      <c r="BE121">
        <v>67835</v>
      </c>
      <c r="BG121">
        <v>581</v>
      </c>
      <c r="BH121" t="s">
        <v>80</v>
      </c>
      <c r="BI121">
        <v>1</v>
      </c>
      <c r="BJ121">
        <v>204</v>
      </c>
      <c r="BK121">
        <v>4</v>
      </c>
      <c r="BL121">
        <v>54</v>
      </c>
      <c r="BM121">
        <v>1583</v>
      </c>
      <c r="BN121">
        <v>2054</v>
      </c>
      <c r="BO121">
        <v>3127</v>
      </c>
      <c r="BP121">
        <v>16</v>
      </c>
      <c r="BQ121" s="2">
        <v>1560</v>
      </c>
      <c r="BR121">
        <f t="shared" si="17"/>
        <v>205</v>
      </c>
      <c r="BS121">
        <f t="shared" si="18"/>
        <v>5</v>
      </c>
      <c r="BT121">
        <f t="shared" si="19"/>
        <v>55</v>
      </c>
      <c r="BU121">
        <f t="shared" si="20"/>
        <v>1584</v>
      </c>
      <c r="BV121">
        <f t="shared" si="21"/>
        <v>2055</v>
      </c>
      <c r="BW121">
        <f t="shared" si="22"/>
        <v>3128</v>
      </c>
      <c r="BX121">
        <f t="shared" si="23"/>
        <v>17</v>
      </c>
      <c r="BY121" s="2">
        <f t="shared" si="24"/>
        <v>1561</v>
      </c>
      <c r="BZ121">
        <f t="shared" si="25"/>
        <v>249.94618702527137</v>
      </c>
      <c r="CA121">
        <v>249.94618702527137</v>
      </c>
      <c r="CB121">
        <v>249.94618702527137</v>
      </c>
      <c r="CC121">
        <v>249.94618702527137</v>
      </c>
      <c r="CD121">
        <v>249.94618702527137</v>
      </c>
      <c r="CE121">
        <v>249.94618702527137</v>
      </c>
      <c r="CF121">
        <v>249.94618702527137</v>
      </c>
      <c r="CG121">
        <v>249.94618702527137</v>
      </c>
      <c r="CH121">
        <f t="shared" si="26"/>
        <v>-8.6092654841755892E-2</v>
      </c>
      <c r="CI121">
        <f t="shared" si="27"/>
        <v>-1.6988765115614914</v>
      </c>
      <c r="CJ121">
        <f t="shared" si="28"/>
        <v>-0.6574838264032663</v>
      </c>
      <c r="CK121">
        <f t="shared" si="29"/>
        <v>0.8019086613559645</v>
      </c>
      <c r="CL121">
        <f t="shared" si="30"/>
        <v>0.91496531031457784</v>
      </c>
      <c r="CM121">
        <f t="shared" si="31"/>
        <v>1.0974202284903003</v>
      </c>
      <c r="CN121">
        <f t="shared" si="32"/>
        <v>-1.1673975945192363</v>
      </c>
      <c r="CO121" s="2">
        <f t="shared" si="33"/>
        <v>0.7955563871649074</v>
      </c>
      <c r="CP121">
        <v>-0.78046283210154599</v>
      </c>
      <c r="CQ121">
        <v>-0.21951115860284701</v>
      </c>
      <c r="CR121">
        <v>-0.44241236157054198</v>
      </c>
      <c r="CS121">
        <v>0.71740841080966</v>
      </c>
      <c r="CT121">
        <v>0.659515173475544</v>
      </c>
      <c r="CU121">
        <v>0.74193007839515102</v>
      </c>
      <c r="CV121">
        <v>-0.45465022250376502</v>
      </c>
      <c r="CW121">
        <v>0.70074603740582098</v>
      </c>
      <c r="CX121" t="s">
        <v>1826</v>
      </c>
    </row>
    <row r="122" spans="1:104" x14ac:dyDescent="0.35">
      <c r="A122" t="s">
        <v>151</v>
      </c>
      <c r="B122" t="s">
        <v>89</v>
      </c>
      <c r="C122" t="s">
        <v>152</v>
      </c>
      <c r="D122" t="s">
        <v>72</v>
      </c>
      <c r="E122" t="s">
        <v>72</v>
      </c>
      <c r="F122" t="s">
        <v>72</v>
      </c>
      <c r="G122" t="s">
        <v>73</v>
      </c>
      <c r="H122" t="s">
        <v>109</v>
      </c>
      <c r="I122" t="s">
        <v>110</v>
      </c>
      <c r="J122" t="s">
        <v>111</v>
      </c>
      <c r="K122" t="s">
        <v>112</v>
      </c>
      <c r="L122" t="s">
        <v>113</v>
      </c>
      <c r="M122" t="s">
        <v>114</v>
      </c>
      <c r="N122">
        <v>48</v>
      </c>
      <c r="O122" t="s">
        <v>80</v>
      </c>
      <c r="P122">
        <v>621</v>
      </c>
      <c r="Q122">
        <v>0.68400000000000005</v>
      </c>
      <c r="R122">
        <v>175</v>
      </c>
      <c r="S122">
        <v>0.81130000000000002</v>
      </c>
      <c r="T122" t="s">
        <v>115</v>
      </c>
      <c r="U122" t="s">
        <v>116</v>
      </c>
      <c r="V122" t="s">
        <v>117</v>
      </c>
      <c r="W122" t="s">
        <v>118</v>
      </c>
      <c r="X122" t="s">
        <v>119</v>
      </c>
      <c r="Y122" t="s">
        <v>120</v>
      </c>
      <c r="Z122" t="s">
        <v>121</v>
      </c>
      <c r="AA122" t="s">
        <v>88</v>
      </c>
      <c r="AB122">
        <v>413</v>
      </c>
      <c r="AC122">
        <v>3</v>
      </c>
      <c r="AE122">
        <v>1</v>
      </c>
      <c r="AF122" t="s">
        <v>153</v>
      </c>
      <c r="AG122" t="s">
        <v>154</v>
      </c>
      <c r="AH122" t="s">
        <v>72</v>
      </c>
      <c r="AI122" t="s">
        <v>72</v>
      </c>
      <c r="AJ122" t="s">
        <v>91</v>
      </c>
      <c r="AK122" t="s">
        <v>92</v>
      </c>
      <c r="AL122" t="s">
        <v>93</v>
      </c>
      <c r="AM122" t="s">
        <v>94</v>
      </c>
      <c r="AN122" t="s">
        <v>155</v>
      </c>
      <c r="AO122" t="s">
        <v>156</v>
      </c>
      <c r="AP122" t="s">
        <v>97</v>
      </c>
      <c r="AQ122">
        <v>39</v>
      </c>
      <c r="AR122" t="s">
        <v>80</v>
      </c>
      <c r="AS122">
        <v>1350</v>
      </c>
      <c r="AT122">
        <v>0.96530000000000005</v>
      </c>
      <c r="AU122">
        <v>172</v>
      </c>
      <c r="AV122">
        <v>0.94740000000000002</v>
      </c>
      <c r="AW122" t="s">
        <v>157</v>
      </c>
      <c r="AX122" t="s">
        <v>146</v>
      </c>
      <c r="AY122" t="s">
        <v>127</v>
      </c>
      <c r="AZ122" t="s">
        <v>101</v>
      </c>
      <c r="BA122" t="s">
        <v>128</v>
      </c>
      <c r="BB122" t="s">
        <v>103</v>
      </c>
      <c r="BC122" t="s">
        <v>104</v>
      </c>
      <c r="BD122" t="s">
        <v>105</v>
      </c>
      <c r="BE122">
        <v>5736</v>
      </c>
      <c r="BF122" t="s">
        <v>106</v>
      </c>
      <c r="BG122">
        <v>74</v>
      </c>
      <c r="BH122" t="s">
        <v>80</v>
      </c>
      <c r="BI122">
        <v>1</v>
      </c>
      <c r="BJ122">
        <v>86</v>
      </c>
      <c r="BK122">
        <v>0</v>
      </c>
      <c r="BL122">
        <v>20</v>
      </c>
      <c r="BM122">
        <v>606</v>
      </c>
      <c r="BN122">
        <v>811</v>
      </c>
      <c r="BO122">
        <v>1193</v>
      </c>
      <c r="BP122">
        <v>6</v>
      </c>
      <c r="BQ122" s="2">
        <v>557</v>
      </c>
      <c r="BR122">
        <f t="shared" si="17"/>
        <v>87</v>
      </c>
      <c r="BS122">
        <f t="shared" si="18"/>
        <v>1</v>
      </c>
      <c r="BT122">
        <f t="shared" si="19"/>
        <v>21</v>
      </c>
      <c r="BU122">
        <f t="shared" si="20"/>
        <v>607</v>
      </c>
      <c r="BV122">
        <f t="shared" si="21"/>
        <v>812</v>
      </c>
      <c r="BW122">
        <f t="shared" si="22"/>
        <v>1194</v>
      </c>
      <c r="BX122">
        <f t="shared" si="23"/>
        <v>7</v>
      </c>
      <c r="BY122" s="2">
        <f t="shared" si="24"/>
        <v>558</v>
      </c>
      <c r="BZ122">
        <f t="shared" si="25"/>
        <v>89.72272994941811</v>
      </c>
      <c r="CA122">
        <v>89.72272994941811</v>
      </c>
      <c r="CB122">
        <v>89.72272994941811</v>
      </c>
      <c r="CC122">
        <v>89.72272994941811</v>
      </c>
      <c r="CD122">
        <v>89.72272994941811</v>
      </c>
      <c r="CE122">
        <v>89.72272994941811</v>
      </c>
      <c r="CF122">
        <v>89.72272994941811</v>
      </c>
      <c r="CG122">
        <v>89.72272994941811</v>
      </c>
      <c r="CH122">
        <f t="shared" si="26"/>
        <v>-1.3383226558151046E-2</v>
      </c>
      <c r="CI122">
        <f t="shared" si="27"/>
        <v>-1.9529024791767695</v>
      </c>
      <c r="CJ122">
        <f t="shared" si="28"/>
        <v>-0.63068318444285032</v>
      </c>
      <c r="CK122">
        <f t="shared" si="29"/>
        <v>0.83028621189848806</v>
      </c>
      <c r="CL122">
        <f t="shared" si="30"/>
        <v>0.95665355006440578</v>
      </c>
      <c r="CM122">
        <f t="shared" si="31"/>
        <v>1.1241018476165807</v>
      </c>
      <c r="CN122">
        <f t="shared" si="32"/>
        <v>-1.1078044391625128</v>
      </c>
      <c r="CO122" s="2">
        <f t="shared" si="33"/>
        <v>0.79373171976080914</v>
      </c>
      <c r="CP122">
        <v>-0.69310737299665703</v>
      </c>
      <c r="CQ122">
        <v>-2.2527165794045199</v>
      </c>
      <c r="CR122">
        <v>-0.32267037692390299</v>
      </c>
      <c r="CS122">
        <v>0.80102144187767499</v>
      </c>
      <c r="CT122">
        <v>0.77555918813298197</v>
      </c>
      <c r="CU122">
        <v>0.81898109727847901</v>
      </c>
      <c r="CV122">
        <v>-0.29482294163337702</v>
      </c>
      <c r="CW122">
        <v>0.695734308507864</v>
      </c>
      <c r="CX122" t="s">
        <v>1826</v>
      </c>
    </row>
    <row r="123" spans="1:104" x14ac:dyDescent="0.35">
      <c r="A123" t="s">
        <v>558</v>
      </c>
      <c r="B123" t="s">
        <v>199</v>
      </c>
      <c r="C123" t="s">
        <v>548</v>
      </c>
      <c r="D123" t="s">
        <v>72</v>
      </c>
      <c r="E123" t="s">
        <v>72</v>
      </c>
      <c r="F123" t="s">
        <v>72</v>
      </c>
      <c r="G123" t="s">
        <v>73</v>
      </c>
      <c r="H123" t="s">
        <v>109</v>
      </c>
      <c r="I123" t="s">
        <v>110</v>
      </c>
      <c r="J123" t="s">
        <v>111</v>
      </c>
      <c r="K123" t="s">
        <v>112</v>
      </c>
      <c r="L123" t="s">
        <v>113</v>
      </c>
      <c r="M123" t="s">
        <v>114</v>
      </c>
      <c r="N123">
        <v>48</v>
      </c>
      <c r="O123" t="s">
        <v>80</v>
      </c>
      <c r="P123">
        <v>621</v>
      </c>
      <c r="Q123">
        <v>0.68400000000000005</v>
      </c>
      <c r="R123">
        <v>175</v>
      </c>
      <c r="S123">
        <v>0.81130000000000002</v>
      </c>
      <c r="T123" t="s">
        <v>115</v>
      </c>
      <c r="U123" t="s">
        <v>116</v>
      </c>
      <c r="V123" t="s">
        <v>117</v>
      </c>
      <c r="W123" t="s">
        <v>118</v>
      </c>
      <c r="X123" t="s">
        <v>119</v>
      </c>
      <c r="Y123" t="s">
        <v>120</v>
      </c>
      <c r="Z123" t="s">
        <v>121</v>
      </c>
      <c r="AA123" t="s">
        <v>88</v>
      </c>
      <c r="AB123">
        <v>271</v>
      </c>
      <c r="AC123">
        <v>8</v>
      </c>
      <c r="AE123">
        <v>1</v>
      </c>
      <c r="AF123" t="s">
        <v>142</v>
      </c>
      <c r="AG123" t="s">
        <v>559</v>
      </c>
      <c r="AH123" t="s">
        <v>72</v>
      </c>
      <c r="AI123" t="s">
        <v>72</v>
      </c>
      <c r="AJ123" t="s">
        <v>91</v>
      </c>
      <c r="AK123" t="s">
        <v>92</v>
      </c>
      <c r="AL123" t="s">
        <v>93</v>
      </c>
      <c r="AM123" t="s">
        <v>94</v>
      </c>
      <c r="AN123" t="s">
        <v>560</v>
      </c>
      <c r="AO123" t="s">
        <v>561</v>
      </c>
      <c r="AP123" t="s">
        <v>97</v>
      </c>
      <c r="AQ123">
        <v>39</v>
      </c>
      <c r="AR123" t="s">
        <v>80</v>
      </c>
      <c r="AS123">
        <v>1350</v>
      </c>
      <c r="AT123">
        <v>0.96530000000000005</v>
      </c>
      <c r="AU123">
        <v>172</v>
      </c>
      <c r="AV123">
        <v>0.94740000000000002</v>
      </c>
      <c r="AW123" t="s">
        <v>562</v>
      </c>
      <c r="AX123" t="s">
        <v>183</v>
      </c>
      <c r="AY123" t="s">
        <v>184</v>
      </c>
      <c r="AZ123" t="s">
        <v>101</v>
      </c>
      <c r="BA123" t="s">
        <v>185</v>
      </c>
      <c r="BB123" t="s">
        <v>186</v>
      </c>
      <c r="BC123" t="s">
        <v>104</v>
      </c>
      <c r="BD123" t="s">
        <v>105</v>
      </c>
      <c r="BE123">
        <v>833</v>
      </c>
      <c r="BF123" t="s">
        <v>106</v>
      </c>
      <c r="BG123">
        <v>8</v>
      </c>
      <c r="BH123" t="s">
        <v>80</v>
      </c>
      <c r="BI123">
        <v>1</v>
      </c>
      <c r="BJ123">
        <v>142</v>
      </c>
      <c r="BK123">
        <v>4</v>
      </c>
      <c r="BL123">
        <v>55</v>
      </c>
      <c r="BM123">
        <v>1568</v>
      </c>
      <c r="BN123">
        <v>2129</v>
      </c>
      <c r="BO123">
        <v>3023</v>
      </c>
      <c r="BP123">
        <v>19</v>
      </c>
      <c r="BQ123" s="2">
        <v>1497</v>
      </c>
      <c r="BR123">
        <f t="shared" si="17"/>
        <v>143</v>
      </c>
      <c r="BS123">
        <f t="shared" si="18"/>
        <v>5</v>
      </c>
      <c r="BT123">
        <f t="shared" si="19"/>
        <v>56</v>
      </c>
      <c r="BU123">
        <f t="shared" si="20"/>
        <v>1569</v>
      </c>
      <c r="BV123">
        <f t="shared" si="21"/>
        <v>2130</v>
      </c>
      <c r="BW123">
        <f t="shared" si="22"/>
        <v>3024</v>
      </c>
      <c r="BX123">
        <f t="shared" si="23"/>
        <v>20</v>
      </c>
      <c r="BY123" s="2">
        <f t="shared" si="24"/>
        <v>1498</v>
      </c>
      <c r="BZ123">
        <f t="shared" si="25"/>
        <v>242.91398937001961</v>
      </c>
      <c r="CA123">
        <v>242.91398937001961</v>
      </c>
      <c r="CB123">
        <v>242.91398937001961</v>
      </c>
      <c r="CC123">
        <v>242.91398937001961</v>
      </c>
      <c r="CD123">
        <v>242.91398937001961</v>
      </c>
      <c r="CE123">
        <v>242.91398937001961</v>
      </c>
      <c r="CF123">
        <v>242.91398937001961</v>
      </c>
      <c r="CG123">
        <v>242.91398937001961</v>
      </c>
      <c r="CH123">
        <f t="shared" si="26"/>
        <v>-0.2301164889961323</v>
      </c>
      <c r="CI123">
        <f t="shared" si="27"/>
        <v>-1.6864825221251754</v>
      </c>
      <c r="CJ123">
        <f t="shared" si="28"/>
        <v>-0.63726449945499375</v>
      </c>
      <c r="CK123">
        <f t="shared" si="29"/>
        <v>0.81017041712574256</v>
      </c>
      <c r="CL123">
        <f t="shared" si="30"/>
        <v>0.94292707697754352</v>
      </c>
      <c r="CM123">
        <f t="shared" si="31"/>
        <v>1.0951292603679748</v>
      </c>
      <c r="CN123">
        <f t="shared" si="32"/>
        <v>-1.0844225307972128</v>
      </c>
      <c r="CO123" s="2">
        <f t="shared" si="33"/>
        <v>0.79005928690225358</v>
      </c>
      <c r="CP123">
        <v>-0.95349772525912202</v>
      </c>
      <c r="CQ123">
        <v>-0.182896779356575</v>
      </c>
      <c r="CR123">
        <v>-0.35207488605106202</v>
      </c>
      <c r="CS123">
        <v>0.74175126030329996</v>
      </c>
      <c r="CT123">
        <v>0.73734997005024105</v>
      </c>
      <c r="CU123">
        <v>0.73531423446083199</v>
      </c>
      <c r="CV123">
        <v>-0.23211327618243</v>
      </c>
      <c r="CW123">
        <v>0.68564740837379401</v>
      </c>
      <c r="CX123" t="s">
        <v>1826</v>
      </c>
    </row>
    <row r="124" spans="1:104" x14ac:dyDescent="0.35">
      <c r="A124" t="s">
        <v>786</v>
      </c>
      <c r="B124" t="s">
        <v>70</v>
      </c>
      <c r="C124" t="s">
        <v>319</v>
      </c>
      <c r="D124" t="s">
        <v>72</v>
      </c>
      <c r="E124" t="s">
        <v>72</v>
      </c>
      <c r="F124" t="s">
        <v>72</v>
      </c>
      <c r="G124" t="s">
        <v>73</v>
      </c>
      <c r="H124" t="s">
        <v>109</v>
      </c>
      <c r="I124" t="s">
        <v>110</v>
      </c>
      <c r="J124" t="s">
        <v>111</v>
      </c>
      <c r="K124" t="s">
        <v>112</v>
      </c>
      <c r="L124" t="s">
        <v>113</v>
      </c>
      <c r="M124" t="s">
        <v>114</v>
      </c>
      <c r="N124">
        <v>48</v>
      </c>
      <c r="O124" t="s">
        <v>80</v>
      </c>
      <c r="P124">
        <v>621</v>
      </c>
      <c r="Q124">
        <v>0.68400000000000005</v>
      </c>
      <c r="R124">
        <v>175</v>
      </c>
      <c r="S124">
        <v>0.81130000000000002</v>
      </c>
      <c r="T124" t="s">
        <v>115</v>
      </c>
      <c r="U124" t="s">
        <v>116</v>
      </c>
      <c r="V124" t="s">
        <v>117</v>
      </c>
      <c r="W124" t="s">
        <v>118</v>
      </c>
      <c r="X124" t="s">
        <v>119</v>
      </c>
      <c r="Y124" t="s">
        <v>120</v>
      </c>
      <c r="Z124" t="s">
        <v>121</v>
      </c>
      <c r="AA124" t="s">
        <v>88</v>
      </c>
      <c r="AB124">
        <v>658</v>
      </c>
      <c r="AC124">
        <v>8</v>
      </c>
      <c r="AE124">
        <v>1</v>
      </c>
      <c r="AF124" t="s">
        <v>89</v>
      </c>
      <c r="AG124" t="s">
        <v>787</v>
      </c>
      <c r="AH124" t="s">
        <v>72</v>
      </c>
      <c r="AI124" t="s">
        <v>72</v>
      </c>
      <c r="AJ124" t="s">
        <v>91</v>
      </c>
      <c r="AK124" t="s">
        <v>92</v>
      </c>
      <c r="AL124" t="s">
        <v>93</v>
      </c>
      <c r="AM124" t="s">
        <v>94</v>
      </c>
      <c r="AN124" t="s">
        <v>788</v>
      </c>
      <c r="AO124" t="s">
        <v>789</v>
      </c>
      <c r="AP124" t="s">
        <v>97</v>
      </c>
      <c r="AQ124">
        <v>39</v>
      </c>
      <c r="AR124" t="s">
        <v>80</v>
      </c>
      <c r="AS124">
        <v>1350</v>
      </c>
      <c r="AT124">
        <v>0.96530000000000005</v>
      </c>
      <c r="AU124">
        <v>163</v>
      </c>
      <c r="AV124">
        <v>0.92110000000000003</v>
      </c>
      <c r="AW124" t="s">
        <v>682</v>
      </c>
      <c r="AX124" t="s">
        <v>146</v>
      </c>
      <c r="AY124" t="s">
        <v>127</v>
      </c>
      <c r="AZ124" t="s">
        <v>136</v>
      </c>
      <c r="BA124" t="s">
        <v>128</v>
      </c>
      <c r="BB124" t="s">
        <v>103</v>
      </c>
      <c r="BC124" t="s">
        <v>104</v>
      </c>
      <c r="BD124" t="s">
        <v>105</v>
      </c>
      <c r="BE124">
        <v>47923</v>
      </c>
      <c r="BF124" t="s">
        <v>106</v>
      </c>
      <c r="BG124">
        <v>586</v>
      </c>
      <c r="BH124" t="s">
        <v>80</v>
      </c>
      <c r="BI124">
        <v>1</v>
      </c>
      <c r="BJ124">
        <v>47</v>
      </c>
      <c r="BK124">
        <v>0</v>
      </c>
      <c r="BL124">
        <v>17</v>
      </c>
      <c r="BM124">
        <v>318</v>
      </c>
      <c r="BN124">
        <v>434</v>
      </c>
      <c r="BO124">
        <v>649</v>
      </c>
      <c r="BP124">
        <v>0</v>
      </c>
      <c r="BQ124" s="2">
        <v>286</v>
      </c>
      <c r="BR124">
        <f t="shared" si="17"/>
        <v>48</v>
      </c>
      <c r="BS124">
        <f t="shared" si="18"/>
        <v>1</v>
      </c>
      <c r="BT124">
        <f t="shared" si="19"/>
        <v>18</v>
      </c>
      <c r="BU124">
        <f t="shared" si="20"/>
        <v>319</v>
      </c>
      <c r="BV124">
        <f t="shared" si="21"/>
        <v>435</v>
      </c>
      <c r="BW124">
        <f t="shared" si="22"/>
        <v>650</v>
      </c>
      <c r="BX124">
        <f t="shared" si="23"/>
        <v>1</v>
      </c>
      <c r="BY124" s="2">
        <f t="shared" si="24"/>
        <v>287</v>
      </c>
      <c r="BZ124">
        <f t="shared" si="25"/>
        <v>46.633564969254849</v>
      </c>
      <c r="CA124">
        <v>46.633564969254849</v>
      </c>
      <c r="CB124">
        <v>46.633564969254849</v>
      </c>
      <c r="CC124">
        <v>46.633564969254849</v>
      </c>
      <c r="CD124">
        <v>46.633564969254849</v>
      </c>
      <c r="CE124">
        <v>46.633564969254849</v>
      </c>
      <c r="CF124">
        <v>46.633564969254849</v>
      </c>
      <c r="CG124">
        <v>46.633564969254849</v>
      </c>
      <c r="CH124">
        <f t="shared" si="26"/>
        <v>1.2542620392142224E-2</v>
      </c>
      <c r="CI124">
        <f t="shared" si="27"/>
        <v>-1.668698616983445</v>
      </c>
      <c r="CJ124">
        <f t="shared" si="28"/>
        <v>-0.41342611188013889</v>
      </c>
      <c r="CK124">
        <f t="shared" si="29"/>
        <v>0.83509206607373609</v>
      </c>
      <c r="CL124">
        <f t="shared" si="30"/>
        <v>0.9697906399711923</v>
      </c>
      <c r="CM124">
        <f t="shared" si="31"/>
        <v>1.1442147396594107</v>
      </c>
      <c r="CN124">
        <f t="shared" si="32"/>
        <v>-1.668698616983445</v>
      </c>
      <c r="CO124" s="2">
        <f t="shared" si="33"/>
        <v>0.78918327975054736</v>
      </c>
      <c r="CP124">
        <v>-0.66195922183540401</v>
      </c>
      <c r="CQ124">
        <v>-2.2527165794045199</v>
      </c>
      <c r="CR124">
        <v>0.64800760480508901</v>
      </c>
      <c r="CS124">
        <v>0.81518165045033597</v>
      </c>
      <c r="CT124">
        <v>0.81212779028187798</v>
      </c>
      <c r="CU124">
        <v>0.87706298568471797</v>
      </c>
      <c r="CV124">
        <v>-2.6172399890044602</v>
      </c>
      <c r="CW124">
        <v>0.68324132036719998</v>
      </c>
      <c r="CX124" t="s">
        <v>1826</v>
      </c>
    </row>
    <row r="125" spans="1:104" x14ac:dyDescent="0.35">
      <c r="A125" t="s">
        <v>1050</v>
      </c>
      <c r="B125" t="s">
        <v>211</v>
      </c>
      <c r="C125" t="s">
        <v>1051</v>
      </c>
      <c r="D125" t="s">
        <v>72</v>
      </c>
      <c r="E125" t="s">
        <v>72</v>
      </c>
      <c r="F125" t="s">
        <v>72</v>
      </c>
      <c r="G125" t="s">
        <v>73</v>
      </c>
      <c r="H125" t="s">
        <v>109</v>
      </c>
      <c r="I125" t="s">
        <v>110</v>
      </c>
      <c r="J125" t="s">
        <v>111</v>
      </c>
      <c r="K125" t="s">
        <v>112</v>
      </c>
      <c r="L125" t="s">
        <v>113</v>
      </c>
      <c r="M125" t="s">
        <v>114</v>
      </c>
      <c r="N125">
        <v>48</v>
      </c>
      <c r="O125" t="s">
        <v>80</v>
      </c>
      <c r="P125">
        <v>621</v>
      </c>
      <c r="Q125">
        <v>0.68400000000000005</v>
      </c>
      <c r="R125">
        <v>175</v>
      </c>
      <c r="S125">
        <v>0.81130000000000002</v>
      </c>
      <c r="T125" t="s">
        <v>115</v>
      </c>
      <c r="U125" t="s">
        <v>116</v>
      </c>
      <c r="V125" t="s">
        <v>117</v>
      </c>
      <c r="W125" t="s">
        <v>118</v>
      </c>
      <c r="X125" t="s">
        <v>119</v>
      </c>
      <c r="Y125" t="s">
        <v>120</v>
      </c>
      <c r="Z125" t="s">
        <v>121</v>
      </c>
      <c r="AA125" t="s">
        <v>88</v>
      </c>
      <c r="AB125">
        <v>330</v>
      </c>
      <c r="AC125">
        <v>7</v>
      </c>
      <c r="AE125">
        <v>1</v>
      </c>
      <c r="AF125" t="s">
        <v>159</v>
      </c>
      <c r="AG125" t="s">
        <v>1052</v>
      </c>
      <c r="AH125" t="s">
        <v>72</v>
      </c>
      <c r="AI125" t="s">
        <v>72</v>
      </c>
      <c r="AJ125" t="s">
        <v>91</v>
      </c>
      <c r="AK125" t="s">
        <v>92</v>
      </c>
      <c r="AL125" t="s">
        <v>93</v>
      </c>
      <c r="AM125" t="s">
        <v>94</v>
      </c>
      <c r="AN125" t="s">
        <v>1053</v>
      </c>
      <c r="AO125" t="s">
        <v>1054</v>
      </c>
      <c r="AP125" t="s">
        <v>97</v>
      </c>
      <c r="AQ125">
        <v>39</v>
      </c>
      <c r="AR125" t="s">
        <v>80</v>
      </c>
      <c r="AS125">
        <v>1341</v>
      </c>
      <c r="AT125">
        <v>0.96179999999999999</v>
      </c>
      <c r="AU125">
        <v>172</v>
      </c>
      <c r="AV125">
        <v>0.94740000000000002</v>
      </c>
      <c r="AW125" t="s">
        <v>98</v>
      </c>
      <c r="AX125" t="s">
        <v>1055</v>
      </c>
      <c r="AY125" t="s">
        <v>1056</v>
      </c>
      <c r="AZ125" t="s">
        <v>101</v>
      </c>
      <c r="BA125" t="s">
        <v>185</v>
      </c>
      <c r="BB125" t="s">
        <v>186</v>
      </c>
      <c r="BC125" t="s">
        <v>104</v>
      </c>
      <c r="BD125" t="s">
        <v>105</v>
      </c>
      <c r="BE125">
        <v>521</v>
      </c>
      <c r="BF125" t="s">
        <v>106</v>
      </c>
      <c r="BG125">
        <v>6</v>
      </c>
      <c r="BH125" t="s">
        <v>80</v>
      </c>
      <c r="BI125">
        <v>1</v>
      </c>
      <c r="BJ125">
        <v>102</v>
      </c>
      <c r="BK125">
        <v>7</v>
      </c>
      <c r="BL125">
        <v>41</v>
      </c>
      <c r="BM125">
        <v>1179</v>
      </c>
      <c r="BN125">
        <v>1727</v>
      </c>
      <c r="BO125">
        <v>2394</v>
      </c>
      <c r="BP125">
        <v>9</v>
      </c>
      <c r="BQ125" s="2">
        <v>1182</v>
      </c>
      <c r="BR125">
        <f t="shared" si="17"/>
        <v>103</v>
      </c>
      <c r="BS125">
        <f t="shared" si="18"/>
        <v>8</v>
      </c>
      <c r="BT125">
        <f t="shared" si="19"/>
        <v>42</v>
      </c>
      <c r="BU125">
        <f t="shared" si="20"/>
        <v>1180</v>
      </c>
      <c r="BV125">
        <f t="shared" si="21"/>
        <v>1728</v>
      </c>
      <c r="BW125">
        <f t="shared" si="22"/>
        <v>2395</v>
      </c>
      <c r="BX125">
        <f t="shared" si="23"/>
        <v>10</v>
      </c>
      <c r="BY125" s="2">
        <f t="shared" si="24"/>
        <v>1183</v>
      </c>
      <c r="BZ125">
        <f t="shared" si="25"/>
        <v>193.91507107162354</v>
      </c>
      <c r="CA125">
        <v>193.91507107162354</v>
      </c>
      <c r="CB125">
        <v>193.91507107162354</v>
      </c>
      <c r="CC125">
        <v>193.91507107162354</v>
      </c>
      <c r="CD125">
        <v>193.91507107162354</v>
      </c>
      <c r="CE125">
        <v>193.91507107162354</v>
      </c>
      <c r="CF125">
        <v>193.91507107162354</v>
      </c>
      <c r="CG125">
        <v>193.91507107162354</v>
      </c>
      <c r="CH125">
        <f t="shared" si="26"/>
        <v>-0.27477433903514387</v>
      </c>
      <c r="CI125">
        <f t="shared" si="27"/>
        <v>-1.3845215767483725</v>
      </c>
      <c r="CJ125">
        <f t="shared" si="28"/>
        <v>-0.6643622733424156</v>
      </c>
      <c r="CK125">
        <f t="shared" si="29"/>
        <v>0.78427044356580933</v>
      </c>
      <c r="CL125">
        <f t="shared" si="30"/>
        <v>0.9499321744025585</v>
      </c>
      <c r="CM125">
        <f t="shared" si="31"/>
        <v>1.0916939540102659</v>
      </c>
      <c r="CN125">
        <f t="shared" si="32"/>
        <v>-1.287611563740316</v>
      </c>
      <c r="CO125" s="2">
        <f t="shared" si="33"/>
        <v>0.78537318088761432</v>
      </c>
      <c r="CP125">
        <v>-1.0071511108637901</v>
      </c>
      <c r="CQ125">
        <v>0.70915760138971895</v>
      </c>
      <c r="CR125">
        <v>-0.473144419742761</v>
      </c>
      <c r="CS125">
        <v>0.66543828569746299</v>
      </c>
      <c r="CT125">
        <v>0.75684946518708196</v>
      </c>
      <c r="CU125">
        <v>0.72539377746813405</v>
      </c>
      <c r="CV125">
        <v>-0.7770609374295</v>
      </c>
      <c r="CW125">
        <v>0.67277629943650996</v>
      </c>
      <c r="CX125" t="s">
        <v>1826</v>
      </c>
    </row>
    <row r="126" spans="1:104" x14ac:dyDescent="0.35">
      <c r="A126" t="s">
        <v>1411</v>
      </c>
      <c r="B126" t="s">
        <v>148</v>
      </c>
      <c r="C126" t="s">
        <v>261</v>
      </c>
      <c r="D126" t="s">
        <v>72</v>
      </c>
      <c r="E126" t="s">
        <v>72</v>
      </c>
      <c r="F126" t="s">
        <v>72</v>
      </c>
      <c r="G126" t="s">
        <v>73</v>
      </c>
      <c r="H126" t="s">
        <v>109</v>
      </c>
      <c r="I126" t="s">
        <v>110</v>
      </c>
      <c r="J126" t="s">
        <v>111</v>
      </c>
      <c r="K126" t="s">
        <v>112</v>
      </c>
      <c r="L126" t="s">
        <v>113</v>
      </c>
      <c r="M126" t="s">
        <v>114</v>
      </c>
      <c r="N126">
        <v>48</v>
      </c>
      <c r="O126" t="s">
        <v>80</v>
      </c>
      <c r="P126">
        <v>621</v>
      </c>
      <c r="Q126">
        <v>0.68400000000000005</v>
      </c>
      <c r="R126">
        <v>175</v>
      </c>
      <c r="S126">
        <v>0.81130000000000002</v>
      </c>
      <c r="T126" t="s">
        <v>115</v>
      </c>
      <c r="U126" t="s">
        <v>116</v>
      </c>
      <c r="V126" t="s">
        <v>117</v>
      </c>
      <c r="W126" t="s">
        <v>118</v>
      </c>
      <c r="X126" t="s">
        <v>119</v>
      </c>
      <c r="Y126" t="s">
        <v>120</v>
      </c>
      <c r="Z126" t="s">
        <v>121</v>
      </c>
      <c r="AA126" t="s">
        <v>88</v>
      </c>
      <c r="AB126">
        <v>336</v>
      </c>
      <c r="AC126">
        <v>4</v>
      </c>
      <c r="AE126">
        <v>1</v>
      </c>
      <c r="AF126" t="s">
        <v>89</v>
      </c>
      <c r="AG126" t="s">
        <v>1412</v>
      </c>
      <c r="AH126" t="s">
        <v>72</v>
      </c>
      <c r="AI126" t="s">
        <v>72</v>
      </c>
      <c r="AJ126" t="s">
        <v>91</v>
      </c>
      <c r="AK126" t="s">
        <v>92</v>
      </c>
      <c r="AL126" t="s">
        <v>93</v>
      </c>
      <c r="AM126" t="s">
        <v>94</v>
      </c>
      <c r="AN126" t="s">
        <v>1413</v>
      </c>
      <c r="AO126" t="s">
        <v>1414</v>
      </c>
      <c r="AP126" t="s">
        <v>97</v>
      </c>
      <c r="AQ126">
        <v>39</v>
      </c>
      <c r="AR126" t="s">
        <v>80</v>
      </c>
      <c r="AS126">
        <v>1350</v>
      </c>
      <c r="AT126">
        <v>0.96530000000000005</v>
      </c>
      <c r="AU126">
        <v>163</v>
      </c>
      <c r="AV126">
        <v>0.92110000000000003</v>
      </c>
      <c r="AW126" t="s">
        <v>98</v>
      </c>
      <c r="AX126" t="s">
        <v>146</v>
      </c>
      <c r="AY126" t="s">
        <v>894</v>
      </c>
      <c r="AZ126" t="s">
        <v>219</v>
      </c>
      <c r="BA126" t="s">
        <v>128</v>
      </c>
      <c r="BB126" t="s">
        <v>103</v>
      </c>
      <c r="BC126" t="s">
        <v>104</v>
      </c>
      <c r="BD126" t="s">
        <v>105</v>
      </c>
      <c r="BE126">
        <v>47879</v>
      </c>
      <c r="BF126" t="s">
        <v>106</v>
      </c>
      <c r="BG126">
        <v>576</v>
      </c>
      <c r="BH126" t="s">
        <v>80</v>
      </c>
      <c r="BI126">
        <v>1</v>
      </c>
      <c r="BJ126">
        <v>170</v>
      </c>
      <c r="BK126">
        <v>7</v>
      </c>
      <c r="BL126">
        <v>54</v>
      </c>
      <c r="BM126">
        <v>1814</v>
      </c>
      <c r="BN126">
        <v>2137</v>
      </c>
      <c r="BO126">
        <v>3100</v>
      </c>
      <c r="BP126">
        <v>18</v>
      </c>
      <c r="BQ126" s="2">
        <v>1618</v>
      </c>
      <c r="BR126">
        <f t="shared" si="17"/>
        <v>171</v>
      </c>
      <c r="BS126">
        <f t="shared" si="18"/>
        <v>8</v>
      </c>
      <c r="BT126">
        <f t="shared" si="19"/>
        <v>55</v>
      </c>
      <c r="BU126">
        <f t="shared" si="20"/>
        <v>1815</v>
      </c>
      <c r="BV126">
        <f t="shared" si="21"/>
        <v>2138</v>
      </c>
      <c r="BW126">
        <f t="shared" si="22"/>
        <v>3101</v>
      </c>
      <c r="BX126">
        <f t="shared" si="23"/>
        <v>19</v>
      </c>
      <c r="BY126" s="2">
        <f t="shared" si="24"/>
        <v>1619</v>
      </c>
      <c r="BZ126">
        <f t="shared" si="25"/>
        <v>269.5283276517257</v>
      </c>
      <c r="CA126">
        <v>269.5283276517257</v>
      </c>
      <c r="CB126">
        <v>269.5283276517257</v>
      </c>
      <c r="CC126">
        <v>269.5283276517257</v>
      </c>
      <c r="CD126">
        <v>269.5283276517257</v>
      </c>
      <c r="CE126">
        <v>269.5283276517257</v>
      </c>
      <c r="CF126">
        <v>269.5283276517257</v>
      </c>
      <c r="CG126">
        <v>269.5283276517257</v>
      </c>
      <c r="CH126">
        <f t="shared" si="26"/>
        <v>-0.19760830624119124</v>
      </c>
      <c r="CI126">
        <f t="shared" si="27"/>
        <v>-1.5275144296414014</v>
      </c>
      <c r="CJ126">
        <f t="shared" si="28"/>
        <v>-0.69024172713910126</v>
      </c>
      <c r="CK126">
        <f t="shared" si="29"/>
        <v>0.82827221273878626</v>
      </c>
      <c r="CL126">
        <f t="shared" si="30"/>
        <v>0.89940328423941418</v>
      </c>
      <c r="CM126">
        <f t="shared" si="31"/>
        <v>1.0608973496039813</v>
      </c>
      <c r="CN126">
        <f t="shared" si="32"/>
        <v>-1.1518508156805161</v>
      </c>
      <c r="CO126" s="2">
        <f t="shared" si="33"/>
        <v>0.7786424321200287</v>
      </c>
      <c r="CP126">
        <v>-0.91444134294035395</v>
      </c>
      <c r="CQ126">
        <v>0.286727473283371</v>
      </c>
      <c r="CR126">
        <v>-0.58877064853843997</v>
      </c>
      <c r="CS126">
        <v>0.79508729424718205</v>
      </c>
      <c r="CT126">
        <v>0.61619648233380098</v>
      </c>
      <c r="CU126">
        <v>0.63645952889722301</v>
      </c>
      <c r="CV126">
        <v>-0.41295416910279997</v>
      </c>
      <c r="CW126">
        <v>0.65428926556522204</v>
      </c>
      <c r="CX126" t="s">
        <v>1826</v>
      </c>
    </row>
    <row r="127" spans="1:104" x14ac:dyDescent="0.35">
      <c r="A127" t="s">
        <v>299</v>
      </c>
      <c r="B127" t="s">
        <v>300</v>
      </c>
      <c r="C127" t="s">
        <v>301</v>
      </c>
      <c r="D127" t="s">
        <v>72</v>
      </c>
      <c r="E127" t="s">
        <v>72</v>
      </c>
      <c r="F127" t="s">
        <v>72</v>
      </c>
      <c r="G127" t="s">
        <v>73</v>
      </c>
      <c r="H127" t="s">
        <v>109</v>
      </c>
      <c r="I127" t="s">
        <v>110</v>
      </c>
      <c r="J127" t="s">
        <v>111</v>
      </c>
      <c r="K127" t="s">
        <v>112</v>
      </c>
      <c r="L127" t="s">
        <v>113</v>
      </c>
      <c r="M127" t="s">
        <v>114</v>
      </c>
      <c r="N127">
        <v>48</v>
      </c>
      <c r="O127" t="s">
        <v>80</v>
      </c>
      <c r="P127">
        <v>621</v>
      </c>
      <c r="Q127">
        <v>0.68400000000000005</v>
      </c>
      <c r="R127">
        <v>175</v>
      </c>
      <c r="S127">
        <v>0.81130000000000002</v>
      </c>
      <c r="T127" t="s">
        <v>115</v>
      </c>
      <c r="U127" t="s">
        <v>116</v>
      </c>
      <c r="V127" t="s">
        <v>117</v>
      </c>
      <c r="W127" t="s">
        <v>118</v>
      </c>
      <c r="X127" t="s">
        <v>119</v>
      </c>
      <c r="Y127" t="s">
        <v>120</v>
      </c>
      <c r="Z127" t="s">
        <v>121</v>
      </c>
      <c r="AA127" t="s">
        <v>88</v>
      </c>
      <c r="AB127">
        <v>693</v>
      </c>
      <c r="AC127">
        <v>4</v>
      </c>
      <c r="AE127">
        <v>1</v>
      </c>
      <c r="AF127" t="s">
        <v>89</v>
      </c>
      <c r="AG127" t="s">
        <v>302</v>
      </c>
      <c r="AH127" t="s">
        <v>72</v>
      </c>
      <c r="AI127" t="s">
        <v>72</v>
      </c>
      <c r="AJ127" t="s">
        <v>91</v>
      </c>
      <c r="AK127" t="s">
        <v>92</v>
      </c>
      <c r="AL127" t="s">
        <v>93</v>
      </c>
      <c r="AM127" t="s">
        <v>94</v>
      </c>
      <c r="AN127" t="s">
        <v>303</v>
      </c>
      <c r="AO127" t="s">
        <v>304</v>
      </c>
      <c r="AP127" t="s">
        <v>97</v>
      </c>
      <c r="AQ127">
        <v>39</v>
      </c>
      <c r="AR127" t="s">
        <v>80</v>
      </c>
      <c r="AS127">
        <v>1341</v>
      </c>
      <c r="AT127">
        <v>0.96179999999999999</v>
      </c>
      <c r="AU127">
        <v>163</v>
      </c>
      <c r="AV127">
        <v>0.92110000000000003</v>
      </c>
      <c r="AW127" t="s">
        <v>98</v>
      </c>
      <c r="AX127" t="s">
        <v>305</v>
      </c>
      <c r="AY127" t="s">
        <v>306</v>
      </c>
      <c r="AZ127" t="s">
        <v>307</v>
      </c>
      <c r="BA127" t="s">
        <v>128</v>
      </c>
      <c r="BB127" t="s">
        <v>103</v>
      </c>
      <c r="BC127" t="s">
        <v>104</v>
      </c>
      <c r="BD127" t="s">
        <v>105</v>
      </c>
      <c r="BE127">
        <v>23048</v>
      </c>
      <c r="BF127" t="s">
        <v>106</v>
      </c>
      <c r="BG127">
        <v>292</v>
      </c>
      <c r="BH127" t="s">
        <v>80</v>
      </c>
      <c r="BI127">
        <v>1</v>
      </c>
      <c r="BJ127">
        <v>96</v>
      </c>
      <c r="BK127">
        <v>0</v>
      </c>
      <c r="BL127">
        <v>31</v>
      </c>
      <c r="BM127">
        <v>677</v>
      </c>
      <c r="BN127">
        <v>897</v>
      </c>
      <c r="BO127">
        <v>1195</v>
      </c>
      <c r="BP127">
        <v>9</v>
      </c>
      <c r="BQ127" s="2">
        <v>623</v>
      </c>
      <c r="BR127">
        <f t="shared" si="17"/>
        <v>97</v>
      </c>
      <c r="BS127">
        <f t="shared" si="18"/>
        <v>1</v>
      </c>
      <c r="BT127">
        <f t="shared" si="19"/>
        <v>32</v>
      </c>
      <c r="BU127">
        <f t="shared" si="20"/>
        <v>678</v>
      </c>
      <c r="BV127">
        <f t="shared" si="21"/>
        <v>898</v>
      </c>
      <c r="BW127">
        <f t="shared" si="22"/>
        <v>1196</v>
      </c>
      <c r="BX127">
        <f t="shared" si="23"/>
        <v>10</v>
      </c>
      <c r="BY127" s="2">
        <f t="shared" si="24"/>
        <v>624</v>
      </c>
      <c r="BZ127">
        <f t="shared" si="25"/>
        <v>104.39217329269316</v>
      </c>
      <c r="CA127">
        <v>104.39217329269316</v>
      </c>
      <c r="CB127">
        <v>104.39217329269316</v>
      </c>
      <c r="CC127">
        <v>104.39217329269316</v>
      </c>
      <c r="CD127">
        <v>104.39217329269316</v>
      </c>
      <c r="CE127">
        <v>104.39217329269316</v>
      </c>
      <c r="CF127">
        <v>104.39217329269316</v>
      </c>
      <c r="CG127">
        <v>104.39217329269316</v>
      </c>
      <c r="CH127">
        <f t="shared" si="26"/>
        <v>-3.1896204790671935E-2</v>
      </c>
      <c r="CI127">
        <f t="shared" si="27"/>
        <v>-2.0186679390569169</v>
      </c>
      <c r="CJ127">
        <f t="shared" si="28"/>
        <v>-0.51351796073701084</v>
      </c>
      <c r="CK127">
        <f t="shared" si="29"/>
        <v>0.81256175481014659</v>
      </c>
      <c r="CL127">
        <f t="shared" si="30"/>
        <v>0.93460839761038761</v>
      </c>
      <c r="CM127">
        <f t="shared" si="31"/>
        <v>1.0590632405954752</v>
      </c>
      <c r="CN127">
        <f t="shared" si="32"/>
        <v>-1.0186679390569169</v>
      </c>
      <c r="CO127" s="2">
        <f t="shared" si="33"/>
        <v>0.77651665062550712</v>
      </c>
      <c r="CP127">
        <v>-0.71534946389293896</v>
      </c>
      <c r="CQ127">
        <v>-2.2527165794045199</v>
      </c>
      <c r="CR127">
        <v>0.200809487432559</v>
      </c>
      <c r="CS127">
        <v>0.748797216993627</v>
      </c>
      <c r="CT127">
        <v>0.71419396835274196</v>
      </c>
      <c r="CU127">
        <v>0.63116299995796898</v>
      </c>
      <c r="CV127">
        <v>-5.5761184408046498E-2</v>
      </c>
      <c r="CW127">
        <v>0.64845048063219302</v>
      </c>
      <c r="CX127" t="s">
        <v>1826</v>
      </c>
    </row>
    <row r="128" spans="1:104" x14ac:dyDescent="0.35">
      <c r="A128" t="s">
        <v>985</v>
      </c>
      <c r="B128" t="s">
        <v>211</v>
      </c>
      <c r="C128" t="s">
        <v>986</v>
      </c>
      <c r="D128" t="s">
        <v>72</v>
      </c>
      <c r="E128" t="s">
        <v>72</v>
      </c>
      <c r="F128" t="s">
        <v>72</v>
      </c>
      <c r="G128" t="s">
        <v>73</v>
      </c>
      <c r="H128" t="s">
        <v>109</v>
      </c>
      <c r="I128" t="s">
        <v>110</v>
      </c>
      <c r="J128" t="s">
        <v>111</v>
      </c>
      <c r="K128" t="s">
        <v>112</v>
      </c>
      <c r="L128" t="s">
        <v>113</v>
      </c>
      <c r="M128" t="s">
        <v>114</v>
      </c>
      <c r="N128">
        <v>48</v>
      </c>
      <c r="O128" t="s">
        <v>80</v>
      </c>
      <c r="P128">
        <v>621</v>
      </c>
      <c r="Q128">
        <v>0.68400000000000005</v>
      </c>
      <c r="R128">
        <v>175</v>
      </c>
      <c r="S128">
        <v>0.81130000000000002</v>
      </c>
      <c r="T128" t="s">
        <v>115</v>
      </c>
      <c r="U128" t="s">
        <v>116</v>
      </c>
      <c r="V128" t="s">
        <v>117</v>
      </c>
      <c r="W128" t="s">
        <v>118</v>
      </c>
      <c r="X128" t="s">
        <v>119</v>
      </c>
      <c r="Y128" t="s">
        <v>120</v>
      </c>
      <c r="Z128" t="s">
        <v>121</v>
      </c>
      <c r="AA128" t="s">
        <v>88</v>
      </c>
      <c r="AB128">
        <v>600</v>
      </c>
      <c r="AC128">
        <v>10</v>
      </c>
      <c r="AE128">
        <v>1</v>
      </c>
      <c r="AF128" t="s">
        <v>89</v>
      </c>
      <c r="AG128" t="s">
        <v>987</v>
      </c>
      <c r="AH128" t="s">
        <v>72</v>
      </c>
      <c r="AI128" t="s">
        <v>72</v>
      </c>
      <c r="AJ128" t="s">
        <v>91</v>
      </c>
      <c r="AK128" t="s">
        <v>92</v>
      </c>
      <c r="AL128" t="s">
        <v>93</v>
      </c>
      <c r="AM128" t="s">
        <v>94</v>
      </c>
      <c r="AN128" t="s">
        <v>144</v>
      </c>
      <c r="AO128" t="s">
        <v>145</v>
      </c>
      <c r="AP128" t="s">
        <v>97</v>
      </c>
      <c r="AQ128">
        <v>39</v>
      </c>
      <c r="AR128" t="s">
        <v>80</v>
      </c>
      <c r="AS128">
        <v>1359</v>
      </c>
      <c r="AT128">
        <v>0.96879999999999999</v>
      </c>
      <c r="AU128">
        <v>172</v>
      </c>
      <c r="AV128">
        <v>0.94740000000000002</v>
      </c>
      <c r="AW128" t="s">
        <v>98</v>
      </c>
      <c r="AX128" t="s">
        <v>146</v>
      </c>
      <c r="AY128" t="s">
        <v>127</v>
      </c>
      <c r="AZ128" t="s">
        <v>101</v>
      </c>
      <c r="BA128" t="s">
        <v>128</v>
      </c>
      <c r="BB128" t="s">
        <v>103</v>
      </c>
      <c r="BC128" t="s">
        <v>104</v>
      </c>
      <c r="BD128" t="s">
        <v>105</v>
      </c>
      <c r="BE128">
        <v>64587</v>
      </c>
      <c r="BF128" t="s">
        <v>106</v>
      </c>
      <c r="BG128">
        <v>794</v>
      </c>
      <c r="BH128" t="s">
        <v>80</v>
      </c>
      <c r="BI128">
        <v>1</v>
      </c>
      <c r="BJ128">
        <v>319</v>
      </c>
      <c r="BK128">
        <v>0</v>
      </c>
      <c r="BL128">
        <v>30</v>
      </c>
      <c r="BM128">
        <v>1025</v>
      </c>
      <c r="BN128">
        <v>1493</v>
      </c>
      <c r="BO128">
        <v>2024</v>
      </c>
      <c r="BP128">
        <v>14</v>
      </c>
      <c r="BQ128" s="2">
        <v>953</v>
      </c>
      <c r="BR128">
        <f t="shared" si="17"/>
        <v>320</v>
      </c>
      <c r="BS128">
        <f t="shared" si="18"/>
        <v>1</v>
      </c>
      <c r="BT128">
        <f t="shared" si="19"/>
        <v>31</v>
      </c>
      <c r="BU128">
        <f t="shared" si="20"/>
        <v>1026</v>
      </c>
      <c r="BV128">
        <f t="shared" si="21"/>
        <v>1494</v>
      </c>
      <c r="BW128">
        <f t="shared" si="22"/>
        <v>2025</v>
      </c>
      <c r="BX128">
        <f t="shared" si="23"/>
        <v>15</v>
      </c>
      <c r="BY128" s="2">
        <f t="shared" si="24"/>
        <v>954</v>
      </c>
      <c r="BZ128">
        <f t="shared" si="25"/>
        <v>160.51265799522798</v>
      </c>
      <c r="CA128">
        <v>160.51265799522798</v>
      </c>
      <c r="CB128">
        <v>160.51265799522798</v>
      </c>
      <c r="CC128">
        <v>160.51265799522798</v>
      </c>
      <c r="CD128">
        <v>160.51265799522798</v>
      </c>
      <c r="CE128">
        <v>160.51265799522798</v>
      </c>
      <c r="CF128">
        <v>160.51265799522798</v>
      </c>
      <c r="CG128">
        <v>160.51265799522798</v>
      </c>
      <c r="CH128">
        <f t="shared" si="26"/>
        <v>0.29964069185492853</v>
      </c>
      <c r="CI128">
        <f t="shared" si="27"/>
        <v>-2.2055092864649772</v>
      </c>
      <c r="CJ128">
        <f t="shared" si="28"/>
        <v>-0.71414759263070482</v>
      </c>
      <c r="CK128">
        <f t="shared" si="29"/>
        <v>0.80563807431082002</v>
      </c>
      <c r="CL128">
        <f t="shared" si="30"/>
        <v>0.96884131101440252</v>
      </c>
      <c r="CM128">
        <f t="shared" si="31"/>
        <v>1.1009157410857098</v>
      </c>
      <c r="CN128">
        <f t="shared" si="32"/>
        <v>-1.0294180274092963</v>
      </c>
      <c r="CO128" s="2">
        <f t="shared" si="33"/>
        <v>0.7740390882391176</v>
      </c>
      <c r="CP128">
        <v>-0.31703031188803799</v>
      </c>
      <c r="CQ128">
        <v>-2.2527165794045199</v>
      </c>
      <c r="CR128">
        <v>-0.69557912659236598</v>
      </c>
      <c r="CS128">
        <v>0.72839693925197702</v>
      </c>
      <c r="CT128">
        <v>0.80948522384017696</v>
      </c>
      <c r="CU128">
        <v>0.75202439859817605</v>
      </c>
      <c r="CV128">
        <v>-8.4592639634613803E-2</v>
      </c>
      <c r="CW128">
        <v>0.64164547552250994</v>
      </c>
      <c r="CX128" t="s">
        <v>1826</v>
      </c>
    </row>
    <row r="129" spans="1:102" x14ac:dyDescent="0.35">
      <c r="A129" t="s">
        <v>714</v>
      </c>
      <c r="B129" t="s">
        <v>148</v>
      </c>
      <c r="C129" t="s">
        <v>301</v>
      </c>
      <c r="D129" t="s">
        <v>72</v>
      </c>
      <c r="E129" t="s">
        <v>72</v>
      </c>
      <c r="F129" t="s">
        <v>72</v>
      </c>
      <c r="G129" t="s">
        <v>73</v>
      </c>
      <c r="H129" t="s">
        <v>109</v>
      </c>
      <c r="I129" t="s">
        <v>110</v>
      </c>
      <c r="J129" t="s">
        <v>111</v>
      </c>
      <c r="K129" t="s">
        <v>112</v>
      </c>
      <c r="L129" t="s">
        <v>113</v>
      </c>
      <c r="M129" t="s">
        <v>114</v>
      </c>
      <c r="N129">
        <v>48</v>
      </c>
      <c r="O129" t="s">
        <v>80</v>
      </c>
      <c r="P129">
        <v>621</v>
      </c>
      <c r="Q129">
        <v>0.68400000000000005</v>
      </c>
      <c r="R129">
        <v>175</v>
      </c>
      <c r="S129">
        <v>0.81130000000000002</v>
      </c>
      <c r="T129" t="s">
        <v>115</v>
      </c>
      <c r="U129" t="s">
        <v>116</v>
      </c>
      <c r="V129" t="s">
        <v>117</v>
      </c>
      <c r="W129" t="s">
        <v>118</v>
      </c>
      <c r="X129" t="s">
        <v>119</v>
      </c>
      <c r="Y129" t="s">
        <v>120</v>
      </c>
      <c r="Z129" t="s">
        <v>121</v>
      </c>
      <c r="AA129" t="s">
        <v>88</v>
      </c>
      <c r="AB129">
        <v>277</v>
      </c>
      <c r="AC129">
        <v>4</v>
      </c>
      <c r="AE129">
        <v>1</v>
      </c>
      <c r="AF129" t="s">
        <v>89</v>
      </c>
      <c r="AG129" t="s">
        <v>715</v>
      </c>
      <c r="AH129" t="s">
        <v>72</v>
      </c>
      <c r="AI129" t="s">
        <v>72</v>
      </c>
      <c r="AJ129" t="s">
        <v>91</v>
      </c>
      <c r="AK129" t="s">
        <v>92</v>
      </c>
      <c r="AL129" t="s">
        <v>93</v>
      </c>
      <c r="AM129" t="s">
        <v>94</v>
      </c>
      <c r="AN129" t="s">
        <v>716</v>
      </c>
      <c r="AO129" t="s">
        <v>717</v>
      </c>
      <c r="AP129" t="s">
        <v>97</v>
      </c>
      <c r="AQ129">
        <v>39</v>
      </c>
      <c r="AR129" t="s">
        <v>80</v>
      </c>
      <c r="AS129">
        <v>1350</v>
      </c>
      <c r="AT129">
        <v>0.96530000000000005</v>
      </c>
      <c r="AU129">
        <v>172</v>
      </c>
      <c r="AV129">
        <v>0.94740000000000002</v>
      </c>
      <c r="AW129" t="s">
        <v>718</v>
      </c>
      <c r="AX129" t="s">
        <v>146</v>
      </c>
      <c r="AY129" t="s">
        <v>127</v>
      </c>
      <c r="AZ129" t="s">
        <v>101</v>
      </c>
      <c r="BA129" t="s">
        <v>128</v>
      </c>
      <c r="BB129" t="s">
        <v>103</v>
      </c>
      <c r="BC129" t="s">
        <v>104</v>
      </c>
      <c r="BD129" t="s">
        <v>105</v>
      </c>
      <c r="BE129">
        <v>22064</v>
      </c>
      <c r="BF129" t="s">
        <v>106</v>
      </c>
      <c r="BG129">
        <v>442</v>
      </c>
      <c r="BH129" t="s">
        <v>80</v>
      </c>
      <c r="BI129">
        <v>1</v>
      </c>
      <c r="BJ129">
        <v>213</v>
      </c>
      <c r="BK129">
        <v>11</v>
      </c>
      <c r="BL129">
        <v>83</v>
      </c>
      <c r="BM129">
        <v>2466</v>
      </c>
      <c r="BN129">
        <v>3136</v>
      </c>
      <c r="BO129">
        <v>4325</v>
      </c>
      <c r="BP129">
        <v>26</v>
      </c>
      <c r="BQ129" s="2">
        <v>2259</v>
      </c>
      <c r="BR129">
        <f t="shared" si="17"/>
        <v>214</v>
      </c>
      <c r="BS129">
        <f t="shared" si="18"/>
        <v>12</v>
      </c>
      <c r="BT129">
        <f t="shared" si="19"/>
        <v>84</v>
      </c>
      <c r="BU129">
        <f t="shared" si="20"/>
        <v>2467</v>
      </c>
      <c r="BV129">
        <f t="shared" si="21"/>
        <v>3137</v>
      </c>
      <c r="BW129">
        <f t="shared" si="22"/>
        <v>4326</v>
      </c>
      <c r="BX129">
        <f t="shared" si="23"/>
        <v>27</v>
      </c>
      <c r="BY129" s="2">
        <f t="shared" si="24"/>
        <v>2260</v>
      </c>
      <c r="BZ129">
        <f t="shared" si="25"/>
        <v>380.64014182266902</v>
      </c>
      <c r="CA129">
        <v>380.64014182266902</v>
      </c>
      <c r="CB129">
        <v>380.64014182266902</v>
      </c>
      <c r="CC129">
        <v>380.64014182266902</v>
      </c>
      <c r="CD129">
        <v>380.64014182266902</v>
      </c>
      <c r="CE129">
        <v>380.64014182266902</v>
      </c>
      <c r="CF129">
        <v>380.64014182266902</v>
      </c>
      <c r="CG129">
        <v>380.64014182266902</v>
      </c>
      <c r="CH129">
        <f t="shared" si="26"/>
        <v>-0.25010081315776411</v>
      </c>
      <c r="CI129">
        <f t="shared" si="27"/>
        <v>-1.5013333404593301</v>
      </c>
      <c r="CJ129">
        <f t="shared" si="28"/>
        <v>-0.65623530044507328</v>
      </c>
      <c r="CK129">
        <f t="shared" si="29"/>
        <v>0.81165456298278116</v>
      </c>
      <c r="CL129">
        <f t="shared" si="30"/>
        <v>0.91599993219079012</v>
      </c>
      <c r="CM129">
        <f t="shared" si="31"/>
        <v>1.0555719285961178</v>
      </c>
      <c r="CN129">
        <f t="shared" si="32"/>
        <v>-1.1491508223479676</v>
      </c>
      <c r="CO129" s="2">
        <f t="shared" si="33"/>
        <v>0.773593852640446</v>
      </c>
      <c r="CP129">
        <v>-0.97750753874893503</v>
      </c>
      <c r="CQ129">
        <v>0.36407176450763001</v>
      </c>
      <c r="CR129">
        <v>-0.43683410055956701</v>
      </c>
      <c r="CS129">
        <v>0.74612422172109705</v>
      </c>
      <c r="CT129">
        <v>0.66239516257771203</v>
      </c>
      <c r="CU129">
        <v>0.621080810210905</v>
      </c>
      <c r="CV129">
        <v>-0.40571285774537502</v>
      </c>
      <c r="CW129">
        <v>0.64042256765927397</v>
      </c>
      <c r="CX129" t="s">
        <v>1826</v>
      </c>
    </row>
    <row r="130" spans="1:102" x14ac:dyDescent="0.35">
      <c r="A130" t="s">
        <v>1186</v>
      </c>
      <c r="B130" t="s">
        <v>148</v>
      </c>
      <c r="C130" t="s">
        <v>188</v>
      </c>
      <c r="D130" t="s">
        <v>72</v>
      </c>
      <c r="E130" t="s">
        <v>72</v>
      </c>
      <c r="F130" t="s">
        <v>72</v>
      </c>
      <c r="G130" t="s">
        <v>73</v>
      </c>
      <c r="H130" t="s">
        <v>109</v>
      </c>
      <c r="I130" t="s">
        <v>110</v>
      </c>
      <c r="J130" t="s">
        <v>111</v>
      </c>
      <c r="K130" t="s">
        <v>112</v>
      </c>
      <c r="L130" t="s">
        <v>113</v>
      </c>
      <c r="M130" t="s">
        <v>114</v>
      </c>
      <c r="N130">
        <v>48</v>
      </c>
      <c r="O130" t="s">
        <v>80</v>
      </c>
      <c r="P130">
        <v>621</v>
      </c>
      <c r="Q130">
        <v>0.68400000000000005</v>
      </c>
      <c r="R130">
        <v>175</v>
      </c>
      <c r="S130">
        <v>0.81130000000000002</v>
      </c>
      <c r="T130" t="s">
        <v>115</v>
      </c>
      <c r="U130" t="s">
        <v>116</v>
      </c>
      <c r="V130" t="s">
        <v>117</v>
      </c>
      <c r="W130" t="s">
        <v>118</v>
      </c>
      <c r="X130" t="s">
        <v>119</v>
      </c>
      <c r="Y130" t="s">
        <v>120</v>
      </c>
      <c r="Z130" t="s">
        <v>121</v>
      </c>
      <c r="AA130" t="s">
        <v>88</v>
      </c>
      <c r="AB130">
        <v>739</v>
      </c>
      <c r="AC130">
        <v>10</v>
      </c>
      <c r="AE130">
        <v>1</v>
      </c>
      <c r="AF130" t="s">
        <v>153</v>
      </c>
      <c r="AG130" t="s">
        <v>1187</v>
      </c>
      <c r="AH130" t="s">
        <v>72</v>
      </c>
      <c r="AI130" t="s">
        <v>72</v>
      </c>
      <c r="AJ130" t="s">
        <v>91</v>
      </c>
      <c r="AK130" t="s">
        <v>92</v>
      </c>
      <c r="AL130" t="s">
        <v>93</v>
      </c>
      <c r="AM130" t="s">
        <v>94</v>
      </c>
      <c r="AN130" t="s">
        <v>502</v>
      </c>
      <c r="AO130" t="s">
        <v>503</v>
      </c>
      <c r="AP130" t="s">
        <v>97</v>
      </c>
      <c r="AQ130">
        <v>39</v>
      </c>
      <c r="AR130" t="s">
        <v>80</v>
      </c>
      <c r="AS130">
        <v>1350</v>
      </c>
      <c r="AT130">
        <v>0.96530000000000005</v>
      </c>
      <c r="AU130">
        <v>172</v>
      </c>
      <c r="AV130">
        <v>0.94740000000000002</v>
      </c>
      <c r="AW130" t="s">
        <v>98</v>
      </c>
      <c r="AX130" t="s">
        <v>252</v>
      </c>
      <c r="AY130" t="s">
        <v>184</v>
      </c>
      <c r="AZ130" t="s">
        <v>101</v>
      </c>
      <c r="BA130" t="s">
        <v>185</v>
      </c>
      <c r="BB130" t="s">
        <v>186</v>
      </c>
      <c r="BC130" t="s">
        <v>104</v>
      </c>
      <c r="BD130" t="s">
        <v>105</v>
      </c>
      <c r="BE130">
        <v>150</v>
      </c>
      <c r="BF130" t="s">
        <v>106</v>
      </c>
      <c r="BG130">
        <v>3</v>
      </c>
      <c r="BH130" t="s">
        <v>80</v>
      </c>
      <c r="BI130">
        <v>1</v>
      </c>
      <c r="BJ130">
        <v>262</v>
      </c>
      <c r="BK130">
        <v>5</v>
      </c>
      <c r="BL130">
        <v>63</v>
      </c>
      <c r="BM130">
        <v>1874</v>
      </c>
      <c r="BN130">
        <v>2239</v>
      </c>
      <c r="BO130">
        <v>3160</v>
      </c>
      <c r="BP130">
        <v>17</v>
      </c>
      <c r="BQ130" s="2">
        <v>1674</v>
      </c>
      <c r="BR130">
        <f t="shared" ref="BR130:BR193" si="34">BJ130+1</f>
        <v>263</v>
      </c>
      <c r="BS130">
        <f t="shared" ref="BS130:BS193" si="35">BK130+1</f>
        <v>6</v>
      </c>
      <c r="BT130">
        <f t="shared" ref="BT130:BT193" si="36">BL130+1</f>
        <v>64</v>
      </c>
      <c r="BU130">
        <f t="shared" ref="BU130:BU193" si="37">BM130+1</f>
        <v>1875</v>
      </c>
      <c r="BV130">
        <f t="shared" ref="BV130:BV193" si="38">BN130+1</f>
        <v>2240</v>
      </c>
      <c r="BW130">
        <f t="shared" ref="BW130:BW193" si="39">BO130+1</f>
        <v>3161</v>
      </c>
      <c r="BX130">
        <f t="shared" ref="BX130:BX193" si="40">BP130+1</f>
        <v>18</v>
      </c>
      <c r="BY130" s="2">
        <f t="shared" ref="BY130:BY193" si="41">BQ130+1</f>
        <v>1675</v>
      </c>
      <c r="BZ130">
        <f t="shared" ref="BZ130:BZ193" si="42">GEOMEAN(BR130:BY130)</f>
        <v>282.37809852086463</v>
      </c>
      <c r="CA130">
        <v>282.37809852086463</v>
      </c>
      <c r="CB130">
        <v>282.37809852086463</v>
      </c>
      <c r="CC130">
        <v>282.37809852086463</v>
      </c>
      <c r="CD130">
        <v>282.37809852086463</v>
      </c>
      <c r="CE130">
        <v>282.37809852086463</v>
      </c>
      <c r="CF130">
        <v>282.37809852086463</v>
      </c>
      <c r="CG130">
        <v>282.37809852086463</v>
      </c>
      <c r="CH130">
        <f t="shared" ref="CH130:CH193" si="43">LOG(BR130/BZ130)</f>
        <v>-3.0875260956609498E-2</v>
      </c>
      <c r="CI130">
        <f t="shared" ref="CI130:CI193" si="44">LOG(BS130/CA130)</f>
        <v>-1.6726797590627238</v>
      </c>
      <c r="CJ130">
        <f t="shared" ref="CJ130:CJ193" si="45">LOG(BT130/CB130)</f>
        <v>-0.64465103546248015</v>
      </c>
      <c r="CK130">
        <f t="shared" ref="CK130:CK193" si="46">LOG(BU130/CC130)</f>
        <v>0.82217026261737025</v>
      </c>
      <c r="CL130">
        <f t="shared" ref="CL130:CL193" si="47">LOG(BV130/CD130)</f>
        <v>0.89941700888779541</v>
      </c>
      <c r="CM130">
        <f t="shared" ref="CM130:CM193" si="48">LOG(BW130/CE130)</f>
        <v>1.0489934863932124</v>
      </c>
      <c r="CN130">
        <f t="shared" ref="CN130:CN193" si="49">LOG(BX130/CF130)</f>
        <v>-1.1955585043430614</v>
      </c>
      <c r="CO130" s="2">
        <f t="shared" ref="CO130:CO193" si="50">LOG(BY130/CG130)</f>
        <v>0.77318380192649672</v>
      </c>
      <c r="CP130">
        <v>-0.71412286894576205</v>
      </c>
      <c r="CQ130">
        <v>-0.14212059473806901</v>
      </c>
      <c r="CR130">
        <v>-0.38507702392920101</v>
      </c>
      <c r="CS130">
        <v>0.77710820389853197</v>
      </c>
      <c r="CT130">
        <v>0.61623468647260504</v>
      </c>
      <c r="CU130">
        <v>0.60208362447041497</v>
      </c>
      <c r="CV130">
        <v>-0.53017704462009596</v>
      </c>
      <c r="CW130">
        <v>0.63929630047868402</v>
      </c>
      <c r="CX130" t="s">
        <v>1826</v>
      </c>
    </row>
    <row r="131" spans="1:102" x14ac:dyDescent="0.35">
      <c r="A131" t="s">
        <v>1390</v>
      </c>
      <c r="B131" t="s">
        <v>211</v>
      </c>
      <c r="C131" t="s">
        <v>261</v>
      </c>
      <c r="D131" t="s">
        <v>72</v>
      </c>
      <c r="E131" t="s">
        <v>72</v>
      </c>
      <c r="F131" t="s">
        <v>72</v>
      </c>
      <c r="G131" t="s">
        <v>73</v>
      </c>
      <c r="H131" t="s">
        <v>109</v>
      </c>
      <c r="I131" t="s">
        <v>110</v>
      </c>
      <c r="J131" t="s">
        <v>111</v>
      </c>
      <c r="K131" t="s">
        <v>112</v>
      </c>
      <c r="L131" t="s">
        <v>113</v>
      </c>
      <c r="M131" t="s">
        <v>114</v>
      </c>
      <c r="N131">
        <v>48</v>
      </c>
      <c r="O131" t="s">
        <v>80</v>
      </c>
      <c r="P131">
        <v>621</v>
      </c>
      <c r="Q131">
        <v>0.68400000000000005</v>
      </c>
      <c r="R131">
        <v>175</v>
      </c>
      <c r="S131">
        <v>0.81130000000000002</v>
      </c>
      <c r="T131" t="s">
        <v>115</v>
      </c>
      <c r="U131" t="s">
        <v>116</v>
      </c>
      <c r="V131" t="s">
        <v>117</v>
      </c>
      <c r="W131" t="s">
        <v>118</v>
      </c>
      <c r="X131" t="s">
        <v>119</v>
      </c>
      <c r="Y131" t="s">
        <v>120</v>
      </c>
      <c r="Z131" t="s">
        <v>121</v>
      </c>
      <c r="AA131" t="s">
        <v>88</v>
      </c>
      <c r="AB131">
        <v>1308</v>
      </c>
      <c r="AC131">
        <v>9</v>
      </c>
      <c r="AE131">
        <v>1</v>
      </c>
      <c r="AF131" t="s">
        <v>89</v>
      </c>
      <c r="AG131" t="s">
        <v>1391</v>
      </c>
      <c r="AH131" t="s">
        <v>72</v>
      </c>
      <c r="AI131" t="s">
        <v>72</v>
      </c>
      <c r="AJ131" t="s">
        <v>91</v>
      </c>
      <c r="AK131" t="s">
        <v>92</v>
      </c>
      <c r="AL131" t="s">
        <v>93</v>
      </c>
      <c r="AM131" t="s">
        <v>94</v>
      </c>
      <c r="AN131" t="s">
        <v>1392</v>
      </c>
      <c r="AO131" t="s">
        <v>1393</v>
      </c>
      <c r="AP131" t="s">
        <v>97</v>
      </c>
      <c r="AQ131">
        <v>39</v>
      </c>
      <c r="AR131" t="s">
        <v>80</v>
      </c>
      <c r="AS131">
        <v>1350</v>
      </c>
      <c r="AT131">
        <v>0.96530000000000005</v>
      </c>
      <c r="AU131">
        <v>172</v>
      </c>
      <c r="AV131">
        <v>0.94740000000000002</v>
      </c>
      <c r="AW131" t="s">
        <v>98</v>
      </c>
      <c r="AX131" t="s">
        <v>338</v>
      </c>
      <c r="AY131" t="s">
        <v>127</v>
      </c>
      <c r="AZ131" t="s">
        <v>101</v>
      </c>
      <c r="BA131" t="s">
        <v>128</v>
      </c>
      <c r="BB131" t="s">
        <v>103</v>
      </c>
      <c r="BC131" t="s">
        <v>104</v>
      </c>
      <c r="BD131" t="s">
        <v>105</v>
      </c>
      <c r="BE131">
        <v>83161</v>
      </c>
      <c r="BF131" t="s">
        <v>106</v>
      </c>
      <c r="BG131">
        <v>1037</v>
      </c>
      <c r="BH131" t="s">
        <v>80</v>
      </c>
      <c r="BI131">
        <v>1</v>
      </c>
      <c r="BJ131">
        <v>107</v>
      </c>
      <c r="BK131">
        <v>6</v>
      </c>
      <c r="BL131">
        <v>62</v>
      </c>
      <c r="BM131">
        <v>1725</v>
      </c>
      <c r="BN131">
        <v>1936</v>
      </c>
      <c r="BO131">
        <v>2776</v>
      </c>
      <c r="BP131">
        <v>20</v>
      </c>
      <c r="BQ131" s="2">
        <v>1455</v>
      </c>
      <c r="BR131">
        <f t="shared" si="34"/>
        <v>108</v>
      </c>
      <c r="BS131">
        <f t="shared" si="35"/>
        <v>7</v>
      </c>
      <c r="BT131">
        <f t="shared" si="36"/>
        <v>63</v>
      </c>
      <c r="BU131">
        <f t="shared" si="37"/>
        <v>1726</v>
      </c>
      <c r="BV131">
        <f t="shared" si="38"/>
        <v>1937</v>
      </c>
      <c r="BW131">
        <f t="shared" si="39"/>
        <v>2777</v>
      </c>
      <c r="BX131">
        <f t="shared" si="40"/>
        <v>21</v>
      </c>
      <c r="BY131" s="2">
        <f t="shared" si="41"/>
        <v>1456</v>
      </c>
      <c r="BZ131">
        <f t="shared" si="42"/>
        <v>246.24853946451387</v>
      </c>
      <c r="CA131">
        <v>246.24853946451387</v>
      </c>
      <c r="CB131">
        <v>246.24853946451387</v>
      </c>
      <c r="CC131">
        <v>246.24853946451387</v>
      </c>
      <c r="CD131">
        <v>246.24853946451387</v>
      </c>
      <c r="CE131">
        <v>246.24853946451387</v>
      </c>
      <c r="CF131">
        <v>246.24853946451387</v>
      </c>
      <c r="CG131">
        <v>246.24853946451387</v>
      </c>
      <c r="CH131">
        <f t="shared" si="43"/>
        <v>-0.35794990782733593</v>
      </c>
      <c r="CI131">
        <f t="shared" si="44"/>
        <v>-1.5462756233000288</v>
      </c>
      <c r="CJ131">
        <f t="shared" si="45"/>
        <v>-0.5920331138607039</v>
      </c>
      <c r="CK131">
        <f t="shared" si="46"/>
        <v>0.84566712806490518</v>
      </c>
      <c r="CL131">
        <f t="shared" si="47"/>
        <v>0.89575595740482516</v>
      </c>
      <c r="CM131">
        <f t="shared" si="48"/>
        <v>1.0522022164359719</v>
      </c>
      <c r="CN131">
        <f t="shared" si="49"/>
        <v>-1.0691543685803664</v>
      </c>
      <c r="CO131" s="2">
        <f t="shared" si="50"/>
        <v>0.77178771166273274</v>
      </c>
      <c r="CP131">
        <v>-1.1070809297287101</v>
      </c>
      <c r="CQ131">
        <v>0.23130307073249101</v>
      </c>
      <c r="CR131">
        <v>-0.14998659699525799</v>
      </c>
      <c r="CS131">
        <v>0.84634054083760901</v>
      </c>
      <c r="CT131">
        <v>0.60604372819514096</v>
      </c>
      <c r="CU131">
        <v>0.61134977574654403</v>
      </c>
      <c r="CV131">
        <v>-0.191164465259444</v>
      </c>
      <c r="CW131">
        <v>0.63546172443301896</v>
      </c>
      <c r="CX131" t="s">
        <v>1826</v>
      </c>
    </row>
    <row r="132" spans="1:102" x14ac:dyDescent="0.35">
      <c r="A132" t="s">
        <v>916</v>
      </c>
      <c r="B132" t="s">
        <v>178</v>
      </c>
      <c r="C132" t="s">
        <v>301</v>
      </c>
      <c r="D132" t="s">
        <v>72</v>
      </c>
      <c r="E132" t="s">
        <v>72</v>
      </c>
      <c r="F132" t="s">
        <v>72</v>
      </c>
      <c r="G132" t="s">
        <v>73</v>
      </c>
      <c r="H132" t="s">
        <v>109</v>
      </c>
      <c r="I132" t="s">
        <v>110</v>
      </c>
      <c r="J132" t="s">
        <v>111</v>
      </c>
      <c r="K132" t="s">
        <v>112</v>
      </c>
      <c r="L132" t="s">
        <v>113</v>
      </c>
      <c r="M132" t="s">
        <v>114</v>
      </c>
      <c r="N132">
        <v>48</v>
      </c>
      <c r="O132" t="s">
        <v>80</v>
      </c>
      <c r="P132">
        <v>621</v>
      </c>
      <c r="Q132">
        <v>0.68400000000000005</v>
      </c>
      <c r="R132">
        <v>175</v>
      </c>
      <c r="S132">
        <v>0.81130000000000002</v>
      </c>
      <c r="T132" t="s">
        <v>115</v>
      </c>
      <c r="U132" t="s">
        <v>116</v>
      </c>
      <c r="V132" t="s">
        <v>117</v>
      </c>
      <c r="W132" t="s">
        <v>118</v>
      </c>
      <c r="X132" t="s">
        <v>119</v>
      </c>
      <c r="Y132" t="s">
        <v>120</v>
      </c>
      <c r="Z132" t="s">
        <v>121</v>
      </c>
      <c r="AA132" t="s">
        <v>88</v>
      </c>
      <c r="AB132">
        <v>197</v>
      </c>
      <c r="AC132">
        <v>7</v>
      </c>
      <c r="AE132">
        <v>1</v>
      </c>
      <c r="AF132" t="s">
        <v>89</v>
      </c>
      <c r="AG132" t="s">
        <v>917</v>
      </c>
      <c r="AH132" t="s">
        <v>72</v>
      </c>
      <c r="AI132" t="s">
        <v>72</v>
      </c>
      <c r="AJ132" t="s">
        <v>91</v>
      </c>
      <c r="AK132" t="s">
        <v>92</v>
      </c>
      <c r="AL132" t="s">
        <v>93</v>
      </c>
      <c r="AM132" t="s">
        <v>94</v>
      </c>
      <c r="AN132" t="s">
        <v>737</v>
      </c>
      <c r="AO132" t="s">
        <v>738</v>
      </c>
      <c r="AP132" t="s">
        <v>97</v>
      </c>
      <c r="AQ132">
        <v>39</v>
      </c>
      <c r="AR132" t="s">
        <v>80</v>
      </c>
      <c r="AS132">
        <v>1350</v>
      </c>
      <c r="AT132">
        <v>0.96530000000000005</v>
      </c>
      <c r="AU132">
        <v>172</v>
      </c>
      <c r="AV132">
        <v>0.94740000000000002</v>
      </c>
      <c r="AW132" t="s">
        <v>644</v>
      </c>
      <c r="AX132" t="s">
        <v>146</v>
      </c>
      <c r="AY132" t="s">
        <v>127</v>
      </c>
      <c r="AZ132" t="s">
        <v>101</v>
      </c>
      <c r="BA132" t="s">
        <v>128</v>
      </c>
      <c r="BB132" t="s">
        <v>103</v>
      </c>
      <c r="BC132" t="s">
        <v>104</v>
      </c>
      <c r="BD132" t="s">
        <v>105</v>
      </c>
      <c r="BE132">
        <v>76615</v>
      </c>
      <c r="BF132" t="s">
        <v>106</v>
      </c>
      <c r="BG132">
        <v>936</v>
      </c>
      <c r="BH132" t="s">
        <v>80</v>
      </c>
      <c r="BI132">
        <v>1</v>
      </c>
      <c r="BJ132">
        <v>156</v>
      </c>
      <c r="BK132">
        <v>13</v>
      </c>
      <c r="BL132">
        <v>68</v>
      </c>
      <c r="BM132">
        <v>2478</v>
      </c>
      <c r="BN132">
        <v>3423</v>
      </c>
      <c r="BO132">
        <v>4761</v>
      </c>
      <c r="BP132">
        <v>30</v>
      </c>
      <c r="BQ132" s="2">
        <v>2234</v>
      </c>
      <c r="BR132">
        <f t="shared" si="34"/>
        <v>157</v>
      </c>
      <c r="BS132">
        <f t="shared" si="35"/>
        <v>14</v>
      </c>
      <c r="BT132">
        <f t="shared" si="36"/>
        <v>69</v>
      </c>
      <c r="BU132">
        <f t="shared" si="37"/>
        <v>2479</v>
      </c>
      <c r="BV132">
        <f t="shared" si="38"/>
        <v>3424</v>
      </c>
      <c r="BW132">
        <f t="shared" si="39"/>
        <v>4762</v>
      </c>
      <c r="BX132">
        <f t="shared" si="40"/>
        <v>31</v>
      </c>
      <c r="BY132" s="2">
        <f t="shared" si="41"/>
        <v>2235</v>
      </c>
      <c r="BZ132">
        <f t="shared" si="42"/>
        <v>378.89114820564254</v>
      </c>
      <c r="CA132">
        <v>378.89114820564254</v>
      </c>
      <c r="CB132">
        <v>378.89114820564254</v>
      </c>
      <c r="CC132">
        <v>378.89114820564254</v>
      </c>
      <c r="CD132">
        <v>378.89114820564254</v>
      </c>
      <c r="CE132">
        <v>378.89114820564254</v>
      </c>
      <c r="CF132">
        <v>378.89114820564254</v>
      </c>
      <c r="CG132">
        <v>378.89114820564254</v>
      </c>
      <c r="CH132">
        <f t="shared" si="43"/>
        <v>-0.38261480683686044</v>
      </c>
      <c r="CI132">
        <f t="shared" si="44"/>
        <v>-1.4323864235678561</v>
      </c>
      <c r="CJ132">
        <f t="shared" si="45"/>
        <v>-0.73966536850883891</v>
      </c>
      <c r="CK132">
        <f t="shared" si="46"/>
        <v>0.81576206752172731</v>
      </c>
      <c r="CL132">
        <f t="shared" si="47"/>
        <v>0.95601929675902142</v>
      </c>
      <c r="CM132">
        <f t="shared" si="48"/>
        <v>1.099274931822767</v>
      </c>
      <c r="CN132">
        <f t="shared" si="49"/>
        <v>-1.0871527654118214</v>
      </c>
      <c r="CO132" s="2">
        <f t="shared" si="50"/>
        <v>0.77076306822186114</v>
      </c>
      <c r="CP132">
        <v>-1.1367141372454601</v>
      </c>
      <c r="CQ132">
        <v>0.56775505598508103</v>
      </c>
      <c r="CR132">
        <v>-0.80958942276097601</v>
      </c>
      <c r="CS132">
        <v>0.75822677807501004</v>
      </c>
      <c r="CT132">
        <v>0.77379367103971497</v>
      </c>
      <c r="CU132">
        <v>0.74728607949900105</v>
      </c>
      <c r="CV132">
        <v>-0.239435693865787</v>
      </c>
      <c r="CW132">
        <v>0.632647384059981</v>
      </c>
      <c r="CX132" t="s">
        <v>1826</v>
      </c>
    </row>
    <row r="133" spans="1:102" x14ac:dyDescent="0.35">
      <c r="A133" t="s">
        <v>1283</v>
      </c>
      <c r="B133" t="s">
        <v>148</v>
      </c>
      <c r="C133" t="s">
        <v>1284</v>
      </c>
      <c r="D133" t="s">
        <v>72</v>
      </c>
      <c r="E133" t="s">
        <v>72</v>
      </c>
      <c r="F133" t="s">
        <v>72</v>
      </c>
      <c r="G133" t="s">
        <v>73</v>
      </c>
      <c r="H133" t="s">
        <v>109</v>
      </c>
      <c r="I133" t="s">
        <v>110</v>
      </c>
      <c r="J133" t="s">
        <v>111</v>
      </c>
      <c r="K133" t="s">
        <v>112</v>
      </c>
      <c r="L133" t="s">
        <v>113</v>
      </c>
      <c r="M133" t="s">
        <v>114</v>
      </c>
      <c r="N133">
        <v>48</v>
      </c>
      <c r="O133" t="s">
        <v>80</v>
      </c>
      <c r="P133">
        <v>621</v>
      </c>
      <c r="Q133">
        <v>0.68400000000000005</v>
      </c>
      <c r="R133">
        <v>175</v>
      </c>
      <c r="S133">
        <v>0.81130000000000002</v>
      </c>
      <c r="T133" t="s">
        <v>115</v>
      </c>
      <c r="U133" t="s">
        <v>116</v>
      </c>
      <c r="V133" t="s">
        <v>117</v>
      </c>
      <c r="W133" t="s">
        <v>118</v>
      </c>
      <c r="X133" t="s">
        <v>119</v>
      </c>
      <c r="Y133" t="s">
        <v>120</v>
      </c>
      <c r="Z133" t="s">
        <v>121</v>
      </c>
      <c r="AA133" t="s">
        <v>88</v>
      </c>
      <c r="AB133">
        <v>1019</v>
      </c>
      <c r="AC133">
        <v>13</v>
      </c>
      <c r="AE133">
        <v>1</v>
      </c>
      <c r="AF133" t="s">
        <v>89</v>
      </c>
      <c r="AG133" t="s">
        <v>1285</v>
      </c>
      <c r="AH133" t="s">
        <v>72</v>
      </c>
      <c r="AI133" t="s">
        <v>72</v>
      </c>
      <c r="AJ133" t="s">
        <v>91</v>
      </c>
      <c r="AK133" t="s">
        <v>92</v>
      </c>
      <c r="AL133" t="s">
        <v>93</v>
      </c>
      <c r="AM133" t="s">
        <v>94</v>
      </c>
      <c r="AN133" t="s">
        <v>1286</v>
      </c>
      <c r="AO133" t="s">
        <v>1287</v>
      </c>
      <c r="AP133" t="s">
        <v>97</v>
      </c>
      <c r="AQ133">
        <v>39</v>
      </c>
      <c r="AR133" t="s">
        <v>80</v>
      </c>
      <c r="AS133">
        <v>1350</v>
      </c>
      <c r="AT133">
        <v>0.96530000000000005</v>
      </c>
      <c r="AU133">
        <v>172</v>
      </c>
      <c r="AV133">
        <v>0.94740000000000002</v>
      </c>
      <c r="AW133" t="s">
        <v>1288</v>
      </c>
      <c r="AX133" t="s">
        <v>146</v>
      </c>
      <c r="AY133" t="s">
        <v>127</v>
      </c>
      <c r="AZ133" t="s">
        <v>101</v>
      </c>
      <c r="BA133" t="s">
        <v>128</v>
      </c>
      <c r="BB133" t="s">
        <v>103</v>
      </c>
      <c r="BC133" t="s">
        <v>104</v>
      </c>
      <c r="BD133" t="s">
        <v>105</v>
      </c>
      <c r="BE133">
        <v>74168</v>
      </c>
      <c r="BF133" t="s">
        <v>106</v>
      </c>
      <c r="BG133">
        <v>860</v>
      </c>
      <c r="BH133" t="s">
        <v>80</v>
      </c>
      <c r="BI133">
        <v>1</v>
      </c>
      <c r="BJ133">
        <v>153</v>
      </c>
      <c r="BK133">
        <v>5</v>
      </c>
      <c r="BL133">
        <v>24</v>
      </c>
      <c r="BM133">
        <v>711</v>
      </c>
      <c r="BN133">
        <v>949</v>
      </c>
      <c r="BO133">
        <v>1360</v>
      </c>
      <c r="BP133">
        <v>4</v>
      </c>
      <c r="BQ133" s="2">
        <v>762</v>
      </c>
      <c r="BR133">
        <f t="shared" si="34"/>
        <v>154</v>
      </c>
      <c r="BS133">
        <f t="shared" si="35"/>
        <v>6</v>
      </c>
      <c r="BT133">
        <f t="shared" si="36"/>
        <v>25</v>
      </c>
      <c r="BU133">
        <f t="shared" si="37"/>
        <v>712</v>
      </c>
      <c r="BV133">
        <f t="shared" si="38"/>
        <v>950</v>
      </c>
      <c r="BW133">
        <f t="shared" si="39"/>
        <v>1361</v>
      </c>
      <c r="BX133">
        <f t="shared" si="40"/>
        <v>5</v>
      </c>
      <c r="BY133" s="2">
        <f t="shared" si="41"/>
        <v>763</v>
      </c>
      <c r="BZ133">
        <f t="shared" si="42"/>
        <v>129.91103140546431</v>
      </c>
      <c r="CA133">
        <v>129.91103140546431</v>
      </c>
      <c r="CB133">
        <v>129.91103140546431</v>
      </c>
      <c r="CC133">
        <v>129.91103140546431</v>
      </c>
      <c r="CD133">
        <v>129.91103140546431</v>
      </c>
      <c r="CE133">
        <v>129.91103140546431</v>
      </c>
      <c r="CF133">
        <v>129.91103140546431</v>
      </c>
      <c r="CG133">
        <v>129.91103140546431</v>
      </c>
      <c r="CH133">
        <f t="shared" si="43"/>
        <v>7.3874690047452729E-2</v>
      </c>
      <c r="CI133">
        <f t="shared" si="44"/>
        <v>-1.3354947804053667</v>
      </c>
      <c r="CJ133">
        <f t="shared" si="45"/>
        <v>-0.71570602211697265</v>
      </c>
      <c r="CK133">
        <f t="shared" si="46"/>
        <v>0.73883396284784608</v>
      </c>
      <c r="CL133">
        <f t="shared" si="47"/>
        <v>0.86407757449983746</v>
      </c>
      <c r="CM133">
        <f t="shared" si="48"/>
        <v>1.0202120944143243</v>
      </c>
      <c r="CN133">
        <f t="shared" si="49"/>
        <v>-1.4146760264529914</v>
      </c>
      <c r="CO133" s="2">
        <f t="shared" si="50"/>
        <v>0.76887850716587014</v>
      </c>
      <c r="CP133">
        <v>-0.58827288941514499</v>
      </c>
      <c r="CQ133">
        <v>0.85399278329432005</v>
      </c>
      <c r="CR133">
        <v>-0.70254199859719202</v>
      </c>
      <c r="CS133">
        <v>0.53156197145394202</v>
      </c>
      <c r="CT133">
        <v>0.51786330243932499</v>
      </c>
      <c r="CU133">
        <v>0.51896889420018799</v>
      </c>
      <c r="CV133">
        <v>-1.1178444963643801</v>
      </c>
      <c r="CW133">
        <v>0.62747114806044402</v>
      </c>
      <c r="CX133" t="s">
        <v>1826</v>
      </c>
    </row>
    <row r="134" spans="1:102" x14ac:dyDescent="0.35">
      <c r="A134" t="s">
        <v>1278</v>
      </c>
      <c r="B134" t="s">
        <v>231</v>
      </c>
      <c r="C134" t="s">
        <v>301</v>
      </c>
      <c r="D134" t="s">
        <v>72</v>
      </c>
      <c r="E134" t="s">
        <v>72</v>
      </c>
      <c r="F134" t="s">
        <v>72</v>
      </c>
      <c r="G134" t="s">
        <v>73</v>
      </c>
      <c r="H134" t="s">
        <v>109</v>
      </c>
      <c r="I134" t="s">
        <v>110</v>
      </c>
      <c r="J134" t="s">
        <v>111</v>
      </c>
      <c r="K134" t="s">
        <v>112</v>
      </c>
      <c r="L134" t="s">
        <v>113</v>
      </c>
      <c r="M134" t="s">
        <v>114</v>
      </c>
      <c r="N134">
        <v>48</v>
      </c>
      <c r="O134" t="s">
        <v>80</v>
      </c>
      <c r="P134">
        <v>621</v>
      </c>
      <c r="Q134">
        <v>0.68400000000000005</v>
      </c>
      <c r="R134">
        <v>175</v>
      </c>
      <c r="S134">
        <v>0.81130000000000002</v>
      </c>
      <c r="T134" t="s">
        <v>115</v>
      </c>
      <c r="U134" t="s">
        <v>116</v>
      </c>
      <c r="V134" t="s">
        <v>117</v>
      </c>
      <c r="W134" t="s">
        <v>118</v>
      </c>
      <c r="X134" t="s">
        <v>119</v>
      </c>
      <c r="Y134" t="s">
        <v>120</v>
      </c>
      <c r="Z134" t="s">
        <v>121</v>
      </c>
      <c r="AA134" t="s">
        <v>88</v>
      </c>
      <c r="AB134">
        <v>1755</v>
      </c>
      <c r="AC134">
        <v>11</v>
      </c>
      <c r="AE134">
        <v>1</v>
      </c>
      <c r="AF134" t="s">
        <v>89</v>
      </c>
      <c r="AG134" t="s">
        <v>1279</v>
      </c>
      <c r="AH134" t="s">
        <v>72</v>
      </c>
      <c r="AI134" t="s">
        <v>72</v>
      </c>
      <c r="AJ134" t="s">
        <v>91</v>
      </c>
      <c r="AK134" t="s">
        <v>92</v>
      </c>
      <c r="AL134" t="s">
        <v>93</v>
      </c>
      <c r="AM134" t="s">
        <v>94</v>
      </c>
      <c r="AN134" t="s">
        <v>1280</v>
      </c>
      <c r="AO134" t="s">
        <v>1281</v>
      </c>
      <c r="AP134" t="s">
        <v>97</v>
      </c>
      <c r="AQ134">
        <v>39</v>
      </c>
      <c r="AR134" t="s">
        <v>80</v>
      </c>
      <c r="AS134">
        <v>1332</v>
      </c>
      <c r="AT134">
        <v>0.95830000000000004</v>
      </c>
      <c r="AU134">
        <v>172</v>
      </c>
      <c r="AV134">
        <v>0.94740000000000002</v>
      </c>
      <c r="AW134" t="s">
        <v>1282</v>
      </c>
      <c r="AX134" t="s">
        <v>1008</v>
      </c>
      <c r="AY134" t="s">
        <v>127</v>
      </c>
      <c r="AZ134" t="s">
        <v>101</v>
      </c>
      <c r="BA134" t="s">
        <v>128</v>
      </c>
      <c r="BB134" t="s">
        <v>103</v>
      </c>
      <c r="BC134" t="s">
        <v>104</v>
      </c>
      <c r="BD134" t="s">
        <v>105</v>
      </c>
      <c r="BE134">
        <v>80529</v>
      </c>
      <c r="BF134" t="s">
        <v>106</v>
      </c>
      <c r="BG134">
        <v>986</v>
      </c>
      <c r="BH134" t="s">
        <v>80</v>
      </c>
      <c r="BI134">
        <v>1</v>
      </c>
      <c r="BJ134">
        <v>195</v>
      </c>
      <c r="BK134">
        <v>0</v>
      </c>
      <c r="BL134">
        <v>27</v>
      </c>
      <c r="BM134">
        <v>765</v>
      </c>
      <c r="BN134">
        <v>1143</v>
      </c>
      <c r="BO134">
        <v>1541</v>
      </c>
      <c r="BP134">
        <v>8</v>
      </c>
      <c r="BQ134" s="2">
        <v>709</v>
      </c>
      <c r="BR134">
        <f t="shared" si="34"/>
        <v>196</v>
      </c>
      <c r="BS134">
        <f t="shared" si="35"/>
        <v>1</v>
      </c>
      <c r="BT134">
        <f t="shared" si="36"/>
        <v>28</v>
      </c>
      <c r="BU134">
        <f t="shared" si="37"/>
        <v>766</v>
      </c>
      <c r="BV134">
        <f t="shared" si="38"/>
        <v>1144</v>
      </c>
      <c r="BW134">
        <f t="shared" si="39"/>
        <v>1542</v>
      </c>
      <c r="BX134">
        <f t="shared" si="40"/>
        <v>9</v>
      </c>
      <c r="BY134" s="2">
        <f t="shared" si="41"/>
        <v>710</v>
      </c>
      <c r="BZ134">
        <f t="shared" si="42"/>
        <v>121.46656947574986</v>
      </c>
      <c r="CA134">
        <v>121.46656947574986</v>
      </c>
      <c r="CB134">
        <v>121.46656947574986</v>
      </c>
      <c r="CC134">
        <v>121.46656947574986</v>
      </c>
      <c r="CD134">
        <v>121.46656947574986</v>
      </c>
      <c r="CE134">
        <v>121.46656947574986</v>
      </c>
      <c r="CF134">
        <v>121.46656947574986</v>
      </c>
      <c r="CG134">
        <v>121.46656947574986</v>
      </c>
      <c r="CH134">
        <f t="shared" si="43"/>
        <v>0.20779930527377069</v>
      </c>
      <c r="CI134">
        <f t="shared" si="44"/>
        <v>-2.0844567660827056</v>
      </c>
      <c r="CJ134">
        <f t="shared" si="45"/>
        <v>-0.63729873474048615</v>
      </c>
      <c r="CK134">
        <f t="shared" si="46"/>
        <v>0.79977200354989852</v>
      </c>
      <c r="CL134">
        <f t="shared" si="47"/>
        <v>0.97396925837430004</v>
      </c>
      <c r="CM134">
        <f t="shared" si="48"/>
        <v>1.1036276076322329</v>
      </c>
      <c r="CN134">
        <f t="shared" si="49"/>
        <v>-1.1302142566433806</v>
      </c>
      <c r="CO134" s="2">
        <f t="shared" si="50"/>
        <v>0.76680158263636999</v>
      </c>
      <c r="CP134">
        <v>-0.42737152456176902</v>
      </c>
      <c r="CQ134">
        <v>-2.2527165794045199</v>
      </c>
      <c r="CR134">
        <v>-0.35222784511211103</v>
      </c>
      <c r="CS134">
        <v>0.71111285562238002</v>
      </c>
      <c r="CT134">
        <v>0.82375945566588005</v>
      </c>
      <c r="CU134">
        <v>0.75985571046483003</v>
      </c>
      <c r="CV134">
        <v>-0.35492548480849101</v>
      </c>
      <c r="CW134">
        <v>0.62176655627566502</v>
      </c>
      <c r="CX134" t="s">
        <v>1826</v>
      </c>
    </row>
    <row r="135" spans="1:102" x14ac:dyDescent="0.35">
      <c r="A135" t="s">
        <v>853</v>
      </c>
      <c r="B135" t="s">
        <v>148</v>
      </c>
      <c r="C135" t="s">
        <v>108</v>
      </c>
      <c r="D135" t="s">
        <v>72</v>
      </c>
      <c r="E135" t="s">
        <v>72</v>
      </c>
      <c r="F135" t="s">
        <v>72</v>
      </c>
      <c r="G135" t="s">
        <v>73</v>
      </c>
      <c r="H135" t="s">
        <v>109</v>
      </c>
      <c r="I135" t="s">
        <v>110</v>
      </c>
      <c r="J135" t="s">
        <v>111</v>
      </c>
      <c r="K135" t="s">
        <v>112</v>
      </c>
      <c r="L135" t="s">
        <v>113</v>
      </c>
      <c r="M135" t="s">
        <v>114</v>
      </c>
      <c r="N135">
        <v>48</v>
      </c>
      <c r="O135" t="s">
        <v>80</v>
      </c>
      <c r="P135">
        <v>621</v>
      </c>
      <c r="Q135">
        <v>0.68400000000000005</v>
      </c>
      <c r="R135">
        <v>175</v>
      </c>
      <c r="S135">
        <v>0.81130000000000002</v>
      </c>
      <c r="T135" t="s">
        <v>115</v>
      </c>
      <c r="U135" t="s">
        <v>116</v>
      </c>
      <c r="V135" t="s">
        <v>117</v>
      </c>
      <c r="W135" t="s">
        <v>118</v>
      </c>
      <c r="X135" t="s">
        <v>119</v>
      </c>
      <c r="Y135" t="s">
        <v>120</v>
      </c>
      <c r="Z135" t="s">
        <v>121</v>
      </c>
      <c r="AA135" t="s">
        <v>88</v>
      </c>
      <c r="AB135">
        <v>382</v>
      </c>
      <c r="AC135">
        <v>3</v>
      </c>
      <c r="AE135">
        <v>1</v>
      </c>
      <c r="AF135" t="s">
        <v>89</v>
      </c>
      <c r="AG135" t="s">
        <v>854</v>
      </c>
      <c r="AH135" t="s">
        <v>72</v>
      </c>
      <c r="AI135" t="s">
        <v>72</v>
      </c>
      <c r="AJ135" t="s">
        <v>91</v>
      </c>
      <c r="AK135" t="s">
        <v>92</v>
      </c>
      <c r="AL135" t="s">
        <v>93</v>
      </c>
      <c r="AM135" t="s">
        <v>94</v>
      </c>
      <c r="AN135" t="s">
        <v>855</v>
      </c>
      <c r="AO135" t="s">
        <v>856</v>
      </c>
      <c r="AP135" t="s">
        <v>97</v>
      </c>
      <c r="AQ135">
        <v>39</v>
      </c>
      <c r="AR135" t="s">
        <v>80</v>
      </c>
      <c r="AS135">
        <v>1341</v>
      </c>
      <c r="AT135">
        <v>0.96179999999999999</v>
      </c>
      <c r="AU135">
        <v>172</v>
      </c>
      <c r="AV135">
        <v>0.94740000000000002</v>
      </c>
      <c r="AW135" t="s">
        <v>857</v>
      </c>
      <c r="AX135" t="s">
        <v>146</v>
      </c>
      <c r="AY135" t="s">
        <v>127</v>
      </c>
      <c r="AZ135" t="s">
        <v>101</v>
      </c>
      <c r="BA135" t="s">
        <v>259</v>
      </c>
      <c r="BB135" t="s">
        <v>103</v>
      </c>
      <c r="BC135" t="s">
        <v>104</v>
      </c>
      <c r="BD135" t="s">
        <v>105</v>
      </c>
      <c r="BE135">
        <v>114081</v>
      </c>
      <c r="BF135" t="s">
        <v>106</v>
      </c>
      <c r="BG135">
        <v>1415</v>
      </c>
      <c r="BH135" t="s">
        <v>80</v>
      </c>
      <c r="BI135">
        <v>1</v>
      </c>
      <c r="BJ135">
        <v>94</v>
      </c>
      <c r="BK135">
        <v>6</v>
      </c>
      <c r="BL135">
        <v>55</v>
      </c>
      <c r="BM135">
        <v>1337</v>
      </c>
      <c r="BN135">
        <v>1833</v>
      </c>
      <c r="BO135">
        <v>2613</v>
      </c>
      <c r="BP135">
        <v>13</v>
      </c>
      <c r="BQ135" s="2">
        <v>1232</v>
      </c>
      <c r="BR135">
        <f t="shared" si="34"/>
        <v>95</v>
      </c>
      <c r="BS135">
        <f t="shared" si="35"/>
        <v>7</v>
      </c>
      <c r="BT135">
        <f t="shared" si="36"/>
        <v>56</v>
      </c>
      <c r="BU135">
        <f t="shared" si="37"/>
        <v>1338</v>
      </c>
      <c r="BV135">
        <f t="shared" si="38"/>
        <v>1834</v>
      </c>
      <c r="BW135">
        <f t="shared" si="39"/>
        <v>2614</v>
      </c>
      <c r="BX135">
        <f t="shared" si="40"/>
        <v>14</v>
      </c>
      <c r="BY135" s="2">
        <f t="shared" si="41"/>
        <v>1233</v>
      </c>
      <c r="BZ135">
        <f t="shared" si="42"/>
        <v>212.27933896593339</v>
      </c>
      <c r="CA135">
        <v>212.27933896593339</v>
      </c>
      <c r="CB135">
        <v>212.27933896593339</v>
      </c>
      <c r="CC135">
        <v>212.27933896593339</v>
      </c>
      <c r="CD135">
        <v>212.27933896593339</v>
      </c>
      <c r="CE135">
        <v>212.27933896593339</v>
      </c>
      <c r="CF135">
        <v>212.27933896593339</v>
      </c>
      <c r="CG135">
        <v>212.27933896593339</v>
      </c>
      <c r="CH135">
        <f t="shared" si="43"/>
        <v>-0.34918412128535309</v>
      </c>
      <c r="CI135">
        <f t="shared" si="44"/>
        <v>-1.4818096865599439</v>
      </c>
      <c r="CJ135">
        <f t="shared" si="45"/>
        <v>-0.5787196995680004</v>
      </c>
      <c r="CK135">
        <f t="shared" si="46"/>
        <v>0.79954838685760343</v>
      </c>
      <c r="CL135">
        <f t="shared" si="47"/>
        <v>0.93649160475980142</v>
      </c>
      <c r="CM135">
        <f t="shared" si="48"/>
        <v>1.0903978566703247</v>
      </c>
      <c r="CN135">
        <f t="shared" si="49"/>
        <v>-1.1807796908959627</v>
      </c>
      <c r="CO135" s="2">
        <f t="shared" si="50"/>
        <v>0.7640553500215308</v>
      </c>
      <c r="CP135">
        <v>-1.0965494302262799</v>
      </c>
      <c r="CQ135">
        <v>0.421748630525482</v>
      </c>
      <c r="CR135">
        <v>-9.0503893103842797E-2</v>
      </c>
      <c r="CS135">
        <v>0.71045398024086304</v>
      </c>
      <c r="CT135">
        <v>0.719436092255334</v>
      </c>
      <c r="CU135">
        <v>0.72165091538237403</v>
      </c>
      <c r="CV135">
        <v>-0.490540654272895</v>
      </c>
      <c r="CW135">
        <v>0.61422360717415203</v>
      </c>
      <c r="CX135" t="s">
        <v>1826</v>
      </c>
    </row>
    <row r="136" spans="1:102" x14ac:dyDescent="0.35">
      <c r="A136" t="s">
        <v>1094</v>
      </c>
      <c r="B136" t="s">
        <v>178</v>
      </c>
      <c r="C136" t="s">
        <v>914</v>
      </c>
      <c r="D136" t="s">
        <v>72</v>
      </c>
      <c r="E136" t="s">
        <v>72</v>
      </c>
      <c r="F136" t="s">
        <v>72</v>
      </c>
      <c r="G136" t="s">
        <v>73</v>
      </c>
      <c r="H136" t="s">
        <v>109</v>
      </c>
      <c r="I136" t="s">
        <v>110</v>
      </c>
      <c r="J136" t="s">
        <v>111</v>
      </c>
      <c r="K136" t="s">
        <v>112</v>
      </c>
      <c r="L136" t="s">
        <v>113</v>
      </c>
      <c r="M136" t="s">
        <v>114</v>
      </c>
      <c r="N136">
        <v>48</v>
      </c>
      <c r="O136" t="s">
        <v>80</v>
      </c>
      <c r="P136">
        <v>621</v>
      </c>
      <c r="Q136">
        <v>0.68400000000000005</v>
      </c>
      <c r="R136">
        <v>175</v>
      </c>
      <c r="S136">
        <v>0.81130000000000002</v>
      </c>
      <c r="T136" t="s">
        <v>115</v>
      </c>
      <c r="U136" t="s">
        <v>116</v>
      </c>
      <c r="V136" t="s">
        <v>117</v>
      </c>
      <c r="W136" t="s">
        <v>118</v>
      </c>
      <c r="X136" t="s">
        <v>119</v>
      </c>
      <c r="Y136" t="s">
        <v>120</v>
      </c>
      <c r="Z136" t="s">
        <v>121</v>
      </c>
      <c r="AA136" t="s">
        <v>88</v>
      </c>
      <c r="AB136">
        <v>539</v>
      </c>
      <c r="AC136">
        <v>7</v>
      </c>
      <c r="AE136">
        <v>1</v>
      </c>
      <c r="AF136" t="s">
        <v>89</v>
      </c>
      <c r="AG136" t="s">
        <v>1095</v>
      </c>
      <c r="AH136" t="s">
        <v>72</v>
      </c>
      <c r="AI136" t="s">
        <v>72</v>
      </c>
      <c r="AJ136" t="s">
        <v>91</v>
      </c>
      <c r="AK136" t="s">
        <v>92</v>
      </c>
      <c r="AL136" t="s">
        <v>93</v>
      </c>
      <c r="AM136" t="s">
        <v>94</v>
      </c>
      <c r="AN136" t="s">
        <v>1096</v>
      </c>
      <c r="AO136" t="s">
        <v>1097</v>
      </c>
      <c r="AP136" t="s">
        <v>97</v>
      </c>
      <c r="AQ136">
        <v>39</v>
      </c>
      <c r="AR136" t="s">
        <v>80</v>
      </c>
      <c r="AS136">
        <v>1341</v>
      </c>
      <c r="AT136">
        <v>0.96179999999999999</v>
      </c>
      <c r="AU136">
        <v>172</v>
      </c>
      <c r="AV136">
        <v>0.94740000000000002</v>
      </c>
      <c r="AW136" t="s">
        <v>98</v>
      </c>
      <c r="AX136" t="s">
        <v>146</v>
      </c>
      <c r="AY136" t="s">
        <v>894</v>
      </c>
      <c r="AZ136" t="s">
        <v>101</v>
      </c>
      <c r="BA136" t="s">
        <v>176</v>
      </c>
      <c r="BB136" t="s">
        <v>103</v>
      </c>
      <c r="BC136" t="s">
        <v>104</v>
      </c>
      <c r="BD136" t="s">
        <v>105</v>
      </c>
      <c r="BE136">
        <v>45614</v>
      </c>
      <c r="BF136" t="s">
        <v>106</v>
      </c>
      <c r="BG136">
        <v>503</v>
      </c>
      <c r="BH136" t="s">
        <v>80</v>
      </c>
      <c r="BI136">
        <v>1</v>
      </c>
      <c r="BJ136">
        <v>230</v>
      </c>
      <c r="BK136">
        <v>12</v>
      </c>
      <c r="BL136">
        <v>50</v>
      </c>
      <c r="BM136">
        <v>1670</v>
      </c>
      <c r="BN136">
        <v>2028</v>
      </c>
      <c r="BO136">
        <v>2866</v>
      </c>
      <c r="BP136">
        <v>11</v>
      </c>
      <c r="BQ136" s="2">
        <v>1558</v>
      </c>
      <c r="BR136">
        <f t="shared" si="34"/>
        <v>231</v>
      </c>
      <c r="BS136">
        <f t="shared" si="35"/>
        <v>13</v>
      </c>
      <c r="BT136">
        <f t="shared" si="36"/>
        <v>51</v>
      </c>
      <c r="BU136">
        <f t="shared" si="37"/>
        <v>1671</v>
      </c>
      <c r="BV136">
        <f t="shared" si="38"/>
        <v>2029</v>
      </c>
      <c r="BW136">
        <f t="shared" si="39"/>
        <v>2867</v>
      </c>
      <c r="BX136">
        <f t="shared" si="40"/>
        <v>12</v>
      </c>
      <c r="BY136" s="2">
        <f t="shared" si="41"/>
        <v>1559</v>
      </c>
      <c r="BZ136">
        <f t="shared" si="42"/>
        <v>269.5286167282415</v>
      </c>
      <c r="CA136">
        <v>269.5286167282415</v>
      </c>
      <c r="CB136">
        <v>269.5286167282415</v>
      </c>
      <c r="CC136">
        <v>269.5286167282415</v>
      </c>
      <c r="CD136">
        <v>269.5286167282415</v>
      </c>
      <c r="CE136">
        <v>269.5286167282415</v>
      </c>
      <c r="CF136">
        <v>269.5286167282415</v>
      </c>
      <c r="CG136">
        <v>269.5286167282415</v>
      </c>
      <c r="CH136">
        <f t="shared" si="43"/>
        <v>-6.6992902533681384E-2</v>
      </c>
      <c r="CI136">
        <f t="shared" si="44"/>
        <v>-1.316661530118989</v>
      </c>
      <c r="CJ136">
        <f t="shared" si="45"/>
        <v>-0.72303470632788935</v>
      </c>
      <c r="CK136">
        <f t="shared" si="46"/>
        <v>0.79237156746756565</v>
      </c>
      <c r="CL136">
        <f t="shared" si="47"/>
        <v>0.87667716460752032</v>
      </c>
      <c r="CM136">
        <f t="shared" si="48"/>
        <v>1.0268228105206587</v>
      </c>
      <c r="CN136">
        <f t="shared" si="49"/>
        <v>-1.3514236363782008</v>
      </c>
      <c r="CO136" s="2">
        <f t="shared" si="50"/>
        <v>0.76224123276301603</v>
      </c>
      <c r="CP136">
        <v>-0.75751577185024499</v>
      </c>
      <c r="CQ136">
        <v>0.90963005585846102</v>
      </c>
      <c r="CR136">
        <v>-0.73528566173629795</v>
      </c>
      <c r="CS136">
        <v>0.68930784143901203</v>
      </c>
      <c r="CT136">
        <v>0.55293571201832903</v>
      </c>
      <c r="CU136">
        <v>0.53805928032446104</v>
      </c>
      <c r="CV136">
        <v>-0.94820324388007104</v>
      </c>
      <c r="CW136">
        <v>0.60924085586925103</v>
      </c>
      <c r="CX136" t="s">
        <v>1826</v>
      </c>
    </row>
    <row r="137" spans="1:102" x14ac:dyDescent="0.35">
      <c r="A137" t="s">
        <v>1045</v>
      </c>
      <c r="B137" t="s">
        <v>153</v>
      </c>
      <c r="C137" t="s">
        <v>261</v>
      </c>
      <c r="D137" t="s">
        <v>72</v>
      </c>
      <c r="E137" t="s">
        <v>72</v>
      </c>
      <c r="F137" t="s">
        <v>72</v>
      </c>
      <c r="G137" t="s">
        <v>73</v>
      </c>
      <c r="H137" t="s">
        <v>109</v>
      </c>
      <c r="I137" t="s">
        <v>110</v>
      </c>
      <c r="J137" t="s">
        <v>111</v>
      </c>
      <c r="K137" t="s">
        <v>112</v>
      </c>
      <c r="L137" t="s">
        <v>113</v>
      </c>
      <c r="M137" t="s">
        <v>114</v>
      </c>
      <c r="N137">
        <v>48</v>
      </c>
      <c r="O137" t="s">
        <v>80</v>
      </c>
      <c r="P137">
        <v>621</v>
      </c>
      <c r="Q137">
        <v>0.68400000000000005</v>
      </c>
      <c r="R137">
        <v>175</v>
      </c>
      <c r="S137">
        <v>0.81130000000000002</v>
      </c>
      <c r="T137" t="s">
        <v>115</v>
      </c>
      <c r="U137" t="s">
        <v>116</v>
      </c>
      <c r="V137" t="s">
        <v>117</v>
      </c>
      <c r="W137" t="s">
        <v>118</v>
      </c>
      <c r="X137" t="s">
        <v>119</v>
      </c>
      <c r="Y137" t="s">
        <v>120</v>
      </c>
      <c r="Z137" t="s">
        <v>121</v>
      </c>
      <c r="AA137" t="s">
        <v>88</v>
      </c>
      <c r="AB137">
        <v>404</v>
      </c>
      <c r="AC137">
        <v>6</v>
      </c>
      <c r="AE137">
        <v>1</v>
      </c>
      <c r="AF137" t="s">
        <v>211</v>
      </c>
      <c r="AG137" t="s">
        <v>1046</v>
      </c>
      <c r="AH137" t="s">
        <v>72</v>
      </c>
      <c r="AI137" t="s">
        <v>72</v>
      </c>
      <c r="AJ137" t="s">
        <v>91</v>
      </c>
      <c r="AK137" t="s">
        <v>92</v>
      </c>
      <c r="AL137" t="s">
        <v>93</v>
      </c>
      <c r="AM137" t="s">
        <v>94</v>
      </c>
      <c r="AN137" t="s">
        <v>1047</v>
      </c>
      <c r="AO137" t="s">
        <v>1048</v>
      </c>
      <c r="AP137" t="s">
        <v>97</v>
      </c>
      <c r="AQ137">
        <v>39</v>
      </c>
      <c r="AR137" t="s">
        <v>80</v>
      </c>
      <c r="AS137">
        <v>1350</v>
      </c>
      <c r="AT137">
        <v>0.96530000000000005</v>
      </c>
      <c r="AU137">
        <v>172</v>
      </c>
      <c r="AV137">
        <v>0.94740000000000002</v>
      </c>
      <c r="AW137" t="s">
        <v>98</v>
      </c>
      <c r="AX137" t="s">
        <v>1049</v>
      </c>
      <c r="AY137" t="s">
        <v>184</v>
      </c>
      <c r="AZ137" t="s">
        <v>101</v>
      </c>
      <c r="BA137" t="s">
        <v>185</v>
      </c>
      <c r="BB137" t="s">
        <v>186</v>
      </c>
      <c r="BC137" t="s">
        <v>104</v>
      </c>
      <c r="BD137" t="s">
        <v>105</v>
      </c>
      <c r="BE137">
        <v>655</v>
      </c>
      <c r="BF137" t="s">
        <v>106</v>
      </c>
      <c r="BG137">
        <v>7</v>
      </c>
      <c r="BH137" t="s">
        <v>80</v>
      </c>
      <c r="BI137">
        <v>1</v>
      </c>
      <c r="BJ137">
        <v>206</v>
      </c>
      <c r="BK137">
        <v>4</v>
      </c>
      <c r="BL137">
        <v>31</v>
      </c>
      <c r="BM137">
        <v>876</v>
      </c>
      <c r="BN137">
        <v>1179</v>
      </c>
      <c r="BO137">
        <v>1593</v>
      </c>
      <c r="BP137">
        <v>5</v>
      </c>
      <c r="BQ137" s="2">
        <v>879</v>
      </c>
      <c r="BR137">
        <f t="shared" si="34"/>
        <v>207</v>
      </c>
      <c r="BS137">
        <f t="shared" si="35"/>
        <v>5</v>
      </c>
      <c r="BT137">
        <f t="shared" si="36"/>
        <v>32</v>
      </c>
      <c r="BU137">
        <f t="shared" si="37"/>
        <v>877</v>
      </c>
      <c r="BV137">
        <f t="shared" si="38"/>
        <v>1180</v>
      </c>
      <c r="BW137">
        <f t="shared" si="39"/>
        <v>1594</v>
      </c>
      <c r="BX137">
        <f t="shared" si="40"/>
        <v>6</v>
      </c>
      <c r="BY137" s="2">
        <f t="shared" si="41"/>
        <v>880</v>
      </c>
      <c r="BZ137">
        <f t="shared" si="42"/>
        <v>152.23403935889536</v>
      </c>
      <c r="CA137">
        <v>152.23403935889536</v>
      </c>
      <c r="CB137">
        <v>152.23403935889536</v>
      </c>
      <c r="CC137">
        <v>152.23403935889536</v>
      </c>
      <c r="CD137">
        <v>152.23403935889536</v>
      </c>
      <c r="CE137">
        <v>152.23403935889536</v>
      </c>
      <c r="CF137">
        <v>152.23403935889536</v>
      </c>
      <c r="CG137">
        <v>152.23403935889536</v>
      </c>
      <c r="CH137">
        <f t="shared" si="43"/>
        <v>0.13345857440955347</v>
      </c>
      <c r="CI137">
        <f t="shared" si="44"/>
        <v>-1.4835417667113455</v>
      </c>
      <c r="CJ137">
        <f t="shared" si="45"/>
        <v>-0.67736179272745833</v>
      </c>
      <c r="CK137">
        <f t="shared" si="46"/>
        <v>0.76048782231867618</v>
      </c>
      <c r="CL137">
        <f t="shared" si="47"/>
        <v>0.8893702362587611</v>
      </c>
      <c r="CM137">
        <f t="shared" si="48"/>
        <v>1.0199765460127292</v>
      </c>
      <c r="CN137">
        <f t="shared" si="49"/>
        <v>-1.4043605206637206</v>
      </c>
      <c r="CO137" s="2">
        <f t="shared" si="50"/>
        <v>0.7619709011028043</v>
      </c>
      <c r="CP137">
        <v>-0.51668688335549295</v>
      </c>
      <c r="CQ137">
        <v>0.41663171156454398</v>
      </c>
      <c r="CR137">
        <v>-0.53122467964536102</v>
      </c>
      <c r="CS137">
        <v>0.59536398361012999</v>
      </c>
      <c r="CT137">
        <v>0.58826833823578895</v>
      </c>
      <c r="CU137">
        <v>0.51828867894588304</v>
      </c>
      <c r="CV137">
        <v>-1.09017858018269</v>
      </c>
      <c r="CW137">
        <v>0.60849834850025197</v>
      </c>
      <c r="CX137" t="s">
        <v>1826</v>
      </c>
    </row>
    <row r="138" spans="1:102" x14ac:dyDescent="0.35">
      <c r="A138" t="s">
        <v>1519</v>
      </c>
      <c r="B138" t="s">
        <v>148</v>
      </c>
      <c r="C138" t="s">
        <v>1520</v>
      </c>
      <c r="D138" t="s">
        <v>72</v>
      </c>
      <c r="E138" t="s">
        <v>72</v>
      </c>
      <c r="F138" t="s">
        <v>72</v>
      </c>
      <c r="G138" t="s">
        <v>73</v>
      </c>
      <c r="H138" t="s">
        <v>109</v>
      </c>
      <c r="I138" t="s">
        <v>110</v>
      </c>
      <c r="J138" t="s">
        <v>111</v>
      </c>
      <c r="K138" t="s">
        <v>112</v>
      </c>
      <c r="L138" t="s">
        <v>113</v>
      </c>
      <c r="M138" t="s">
        <v>114</v>
      </c>
      <c r="N138">
        <v>48</v>
      </c>
      <c r="O138" t="s">
        <v>80</v>
      </c>
      <c r="P138">
        <v>621</v>
      </c>
      <c r="Q138">
        <v>0.68400000000000005</v>
      </c>
      <c r="R138">
        <v>175</v>
      </c>
      <c r="S138">
        <v>0.81130000000000002</v>
      </c>
      <c r="T138" t="s">
        <v>115</v>
      </c>
      <c r="U138" t="s">
        <v>116</v>
      </c>
      <c r="V138" t="s">
        <v>117</v>
      </c>
      <c r="W138" t="s">
        <v>118</v>
      </c>
      <c r="X138" t="s">
        <v>119</v>
      </c>
      <c r="Y138" t="s">
        <v>120</v>
      </c>
      <c r="Z138" t="s">
        <v>121</v>
      </c>
      <c r="AA138" t="s">
        <v>88</v>
      </c>
      <c r="AB138">
        <v>315</v>
      </c>
      <c r="AC138">
        <v>7</v>
      </c>
      <c r="AE138">
        <v>1</v>
      </c>
      <c r="AF138" t="s">
        <v>153</v>
      </c>
      <c r="AG138" t="s">
        <v>1521</v>
      </c>
      <c r="AH138" t="s">
        <v>72</v>
      </c>
      <c r="AI138" t="s">
        <v>72</v>
      </c>
      <c r="AJ138" t="s">
        <v>91</v>
      </c>
      <c r="AK138" t="s">
        <v>92</v>
      </c>
      <c r="AL138" t="s">
        <v>93</v>
      </c>
      <c r="AM138" t="s">
        <v>94</v>
      </c>
      <c r="AN138" t="s">
        <v>1522</v>
      </c>
      <c r="AO138" t="s">
        <v>1523</v>
      </c>
      <c r="AP138" t="s">
        <v>97</v>
      </c>
      <c r="AQ138">
        <v>39</v>
      </c>
      <c r="AR138" t="s">
        <v>80</v>
      </c>
      <c r="AS138">
        <v>1359</v>
      </c>
      <c r="AT138">
        <v>0.96879999999999999</v>
      </c>
      <c r="AU138">
        <v>163</v>
      </c>
      <c r="AV138">
        <v>0.92110000000000003</v>
      </c>
      <c r="AW138" t="s">
        <v>98</v>
      </c>
      <c r="AX138" t="s">
        <v>183</v>
      </c>
      <c r="AY138" t="s">
        <v>184</v>
      </c>
      <c r="AZ138" t="s">
        <v>136</v>
      </c>
      <c r="BA138" t="s">
        <v>185</v>
      </c>
      <c r="BB138" t="s">
        <v>186</v>
      </c>
      <c r="BC138" t="s">
        <v>104</v>
      </c>
      <c r="BD138" t="s">
        <v>105</v>
      </c>
      <c r="BE138">
        <v>1233</v>
      </c>
      <c r="BF138" t="s">
        <v>106</v>
      </c>
      <c r="BG138">
        <v>12</v>
      </c>
      <c r="BH138" t="s">
        <v>80</v>
      </c>
      <c r="BI138">
        <v>1</v>
      </c>
      <c r="BJ138">
        <v>25</v>
      </c>
      <c r="BK138">
        <v>0</v>
      </c>
      <c r="BL138">
        <v>9</v>
      </c>
      <c r="BM138">
        <v>238</v>
      </c>
      <c r="BN138">
        <v>370</v>
      </c>
      <c r="BO138">
        <v>506</v>
      </c>
      <c r="BP138">
        <v>0</v>
      </c>
      <c r="BQ138" s="2">
        <v>202</v>
      </c>
      <c r="BR138">
        <f t="shared" si="34"/>
        <v>26</v>
      </c>
      <c r="BS138">
        <f t="shared" si="35"/>
        <v>1</v>
      </c>
      <c r="BT138">
        <f t="shared" si="36"/>
        <v>10</v>
      </c>
      <c r="BU138">
        <f t="shared" si="37"/>
        <v>239</v>
      </c>
      <c r="BV138">
        <f t="shared" si="38"/>
        <v>371</v>
      </c>
      <c r="BW138">
        <f t="shared" si="39"/>
        <v>507</v>
      </c>
      <c r="BX138">
        <f t="shared" si="40"/>
        <v>1</v>
      </c>
      <c r="BY138" s="2">
        <f t="shared" si="41"/>
        <v>203</v>
      </c>
      <c r="BZ138">
        <f t="shared" si="42"/>
        <v>35.229472828223379</v>
      </c>
      <c r="CA138">
        <v>35.229472828223379</v>
      </c>
      <c r="CB138">
        <v>35.229472828223379</v>
      </c>
      <c r="CC138">
        <v>35.229472828223379</v>
      </c>
      <c r="CD138">
        <v>35.229472828223379</v>
      </c>
      <c r="CE138">
        <v>35.229472828223379</v>
      </c>
      <c r="CF138">
        <v>35.229472828223379</v>
      </c>
      <c r="CG138">
        <v>35.229472828223379</v>
      </c>
      <c r="CH138">
        <f t="shared" si="43"/>
        <v>-0.13193279650175083</v>
      </c>
      <c r="CI138">
        <f t="shared" si="44"/>
        <v>-1.5469061444725687</v>
      </c>
      <c r="CJ138">
        <f t="shared" si="45"/>
        <v>-0.5469061444725688</v>
      </c>
      <c r="CK138">
        <f t="shared" si="46"/>
        <v>0.83149175647556883</v>
      </c>
      <c r="CL138">
        <f t="shared" si="47"/>
        <v>1.0224677651424772</v>
      </c>
      <c r="CM138">
        <f t="shared" si="48"/>
        <v>1.1581018148607671</v>
      </c>
      <c r="CN138">
        <f t="shared" si="49"/>
        <v>-1.5469061444725687</v>
      </c>
      <c r="CO138" s="2">
        <f t="shared" si="50"/>
        <v>0.76058989344064409</v>
      </c>
      <c r="CP138">
        <v>-0.83553666110378799</v>
      </c>
      <c r="CQ138">
        <v>-2.2527165794045199</v>
      </c>
      <c r="CR138">
        <v>5.1635173244590701E-2</v>
      </c>
      <c r="CS138">
        <v>0.80457351858092296</v>
      </c>
      <c r="CT138">
        <v>0.95876063259356403</v>
      </c>
      <c r="CU138">
        <v>0.91716599774368102</v>
      </c>
      <c r="CV138">
        <v>-2.6172399890044602</v>
      </c>
      <c r="CW138">
        <v>0.60470519913330201</v>
      </c>
      <c r="CX138" t="s">
        <v>1826</v>
      </c>
    </row>
    <row r="139" spans="1:102" x14ac:dyDescent="0.35">
      <c r="A139" t="s">
        <v>1542</v>
      </c>
      <c r="B139" t="s">
        <v>130</v>
      </c>
      <c r="C139" t="s">
        <v>261</v>
      </c>
      <c r="D139" t="s">
        <v>72</v>
      </c>
      <c r="E139" t="s">
        <v>72</v>
      </c>
      <c r="F139" t="s">
        <v>72</v>
      </c>
      <c r="G139" t="s">
        <v>73</v>
      </c>
      <c r="H139" t="s">
        <v>109</v>
      </c>
      <c r="I139" t="s">
        <v>110</v>
      </c>
      <c r="J139" t="s">
        <v>111</v>
      </c>
      <c r="K139" t="s">
        <v>112</v>
      </c>
      <c r="L139" t="s">
        <v>113</v>
      </c>
      <c r="M139" t="s">
        <v>114</v>
      </c>
      <c r="N139">
        <v>48</v>
      </c>
      <c r="O139" t="s">
        <v>80</v>
      </c>
      <c r="P139">
        <v>621</v>
      </c>
      <c r="Q139">
        <v>0.68400000000000005</v>
      </c>
      <c r="R139">
        <v>175</v>
      </c>
      <c r="S139">
        <v>0.81130000000000002</v>
      </c>
      <c r="T139" t="s">
        <v>115</v>
      </c>
      <c r="U139" t="s">
        <v>116</v>
      </c>
      <c r="V139" t="s">
        <v>117</v>
      </c>
      <c r="W139" t="s">
        <v>118</v>
      </c>
      <c r="X139" t="s">
        <v>119</v>
      </c>
      <c r="Y139" t="s">
        <v>120</v>
      </c>
      <c r="Z139" t="s">
        <v>121</v>
      </c>
      <c r="AA139" t="s">
        <v>88</v>
      </c>
      <c r="AB139">
        <v>409</v>
      </c>
      <c r="AC139">
        <v>6</v>
      </c>
      <c r="AE139">
        <v>1</v>
      </c>
      <c r="AF139" t="s">
        <v>142</v>
      </c>
      <c r="AG139" t="s">
        <v>1543</v>
      </c>
      <c r="AH139" t="s">
        <v>72</v>
      </c>
      <c r="AI139" t="s">
        <v>72</v>
      </c>
      <c r="AJ139" t="s">
        <v>91</v>
      </c>
      <c r="AK139" t="s">
        <v>92</v>
      </c>
      <c r="AL139" t="s">
        <v>93</v>
      </c>
      <c r="AM139" t="s">
        <v>94</v>
      </c>
      <c r="AN139" t="s">
        <v>502</v>
      </c>
      <c r="AO139" t="s">
        <v>503</v>
      </c>
      <c r="AP139" t="s">
        <v>97</v>
      </c>
      <c r="AQ139">
        <v>39</v>
      </c>
      <c r="AR139" t="s">
        <v>80</v>
      </c>
      <c r="AS139">
        <v>1350</v>
      </c>
      <c r="AT139">
        <v>0.96530000000000005</v>
      </c>
      <c r="AU139">
        <v>172</v>
      </c>
      <c r="AV139">
        <v>0.94740000000000002</v>
      </c>
      <c r="AW139" t="s">
        <v>98</v>
      </c>
      <c r="AX139" t="s">
        <v>252</v>
      </c>
      <c r="AY139" t="s">
        <v>184</v>
      </c>
      <c r="AZ139" t="s">
        <v>101</v>
      </c>
      <c r="BA139" t="s">
        <v>185</v>
      </c>
      <c r="BB139" t="s">
        <v>186</v>
      </c>
      <c r="BC139" t="s">
        <v>104</v>
      </c>
      <c r="BD139" t="s">
        <v>105</v>
      </c>
      <c r="BE139">
        <v>2445</v>
      </c>
      <c r="BF139" t="s">
        <v>106</v>
      </c>
      <c r="BG139">
        <v>27</v>
      </c>
      <c r="BH139" t="s">
        <v>80</v>
      </c>
      <c r="BI139">
        <v>1</v>
      </c>
      <c r="BJ139">
        <v>152</v>
      </c>
      <c r="BK139">
        <v>10</v>
      </c>
      <c r="BL139">
        <v>49</v>
      </c>
      <c r="BM139">
        <v>1825</v>
      </c>
      <c r="BN139">
        <v>2144</v>
      </c>
      <c r="BO139">
        <v>3219</v>
      </c>
      <c r="BP139">
        <v>25</v>
      </c>
      <c r="BQ139" s="2">
        <v>1643</v>
      </c>
      <c r="BR139">
        <f t="shared" si="34"/>
        <v>153</v>
      </c>
      <c r="BS139">
        <f t="shared" si="35"/>
        <v>11</v>
      </c>
      <c r="BT139">
        <f t="shared" si="36"/>
        <v>50</v>
      </c>
      <c r="BU139">
        <f t="shared" si="37"/>
        <v>1826</v>
      </c>
      <c r="BV139">
        <f t="shared" si="38"/>
        <v>2145</v>
      </c>
      <c r="BW139">
        <f t="shared" si="39"/>
        <v>3220</v>
      </c>
      <c r="BX139">
        <f t="shared" si="40"/>
        <v>26</v>
      </c>
      <c r="BY139" s="2">
        <f t="shared" si="41"/>
        <v>1644</v>
      </c>
      <c r="BZ139">
        <f t="shared" si="42"/>
        <v>286.47659945927484</v>
      </c>
      <c r="CA139">
        <v>286.47659945927484</v>
      </c>
      <c r="CB139">
        <v>286.47659945927484</v>
      </c>
      <c r="CC139">
        <v>286.47659945927484</v>
      </c>
      <c r="CD139">
        <v>286.47659945927484</v>
      </c>
      <c r="CE139">
        <v>286.47659945927484</v>
      </c>
      <c r="CF139">
        <v>286.47659945927484</v>
      </c>
      <c r="CG139">
        <v>286.47659945927484</v>
      </c>
      <c r="CH139">
        <f t="shared" si="43"/>
        <v>-0.27239772204509444</v>
      </c>
      <c r="CI139">
        <f t="shared" si="44"/>
        <v>-1.4156964677044683</v>
      </c>
      <c r="CJ139">
        <f t="shared" si="45"/>
        <v>-0.7581191485266745</v>
      </c>
      <c r="CK139">
        <f t="shared" si="46"/>
        <v>0.80441162033558689</v>
      </c>
      <c r="CL139">
        <f t="shared" si="47"/>
        <v>0.87433814365804974</v>
      </c>
      <c r="CM139">
        <f t="shared" si="48"/>
        <v>1.0507667188331375</v>
      </c>
      <c r="CN139">
        <f t="shared" si="49"/>
        <v>-1.0421158048918753</v>
      </c>
      <c r="CO139" s="2">
        <f t="shared" si="50"/>
        <v>0.75881266034133832</v>
      </c>
      <c r="CP139">
        <v>-1.0042957663344301</v>
      </c>
      <c r="CQ139">
        <v>0.61706059854065598</v>
      </c>
      <c r="CR139">
        <v>-0.89203865091124901</v>
      </c>
      <c r="CS139">
        <v>0.72478325405455302</v>
      </c>
      <c r="CT139">
        <v>0.54642477792820499</v>
      </c>
      <c r="CU139">
        <v>0.60720435442186804</v>
      </c>
      <c r="CV139">
        <v>-0.118647746064028</v>
      </c>
      <c r="CW139">
        <v>0.599823755829064</v>
      </c>
      <c r="CX139" t="s">
        <v>1826</v>
      </c>
    </row>
    <row r="140" spans="1:102" x14ac:dyDescent="0.35">
      <c r="A140" t="s">
        <v>1379</v>
      </c>
      <c r="B140" t="s">
        <v>70</v>
      </c>
      <c r="C140" t="s">
        <v>278</v>
      </c>
      <c r="D140" t="s">
        <v>72</v>
      </c>
      <c r="E140" t="s">
        <v>72</v>
      </c>
      <c r="F140" t="s">
        <v>72</v>
      </c>
      <c r="G140" t="s">
        <v>73</v>
      </c>
      <c r="H140" t="s">
        <v>109</v>
      </c>
      <c r="I140" t="s">
        <v>110</v>
      </c>
      <c r="J140" t="s">
        <v>111</v>
      </c>
      <c r="K140" t="s">
        <v>112</v>
      </c>
      <c r="L140" t="s">
        <v>113</v>
      </c>
      <c r="M140" t="s">
        <v>114</v>
      </c>
      <c r="N140">
        <v>48</v>
      </c>
      <c r="O140" t="s">
        <v>80</v>
      </c>
      <c r="P140">
        <v>621</v>
      </c>
      <c r="Q140">
        <v>0.68400000000000005</v>
      </c>
      <c r="R140">
        <v>175</v>
      </c>
      <c r="S140">
        <v>0.81130000000000002</v>
      </c>
      <c r="T140" t="s">
        <v>115</v>
      </c>
      <c r="U140" t="s">
        <v>116</v>
      </c>
      <c r="V140" t="s">
        <v>117</v>
      </c>
      <c r="W140" t="s">
        <v>118</v>
      </c>
      <c r="X140" t="s">
        <v>119</v>
      </c>
      <c r="Y140" t="s">
        <v>120</v>
      </c>
      <c r="Z140" t="s">
        <v>121</v>
      </c>
      <c r="AA140" t="s">
        <v>88</v>
      </c>
      <c r="AB140">
        <v>780</v>
      </c>
      <c r="AC140">
        <v>14</v>
      </c>
      <c r="AE140">
        <v>1</v>
      </c>
      <c r="AF140" t="s">
        <v>89</v>
      </c>
      <c r="AG140" t="s">
        <v>1380</v>
      </c>
      <c r="AH140" t="s">
        <v>72</v>
      </c>
      <c r="AI140" t="s">
        <v>72</v>
      </c>
      <c r="AJ140" t="s">
        <v>91</v>
      </c>
      <c r="AK140" t="s">
        <v>92</v>
      </c>
      <c r="AL140" t="s">
        <v>93</v>
      </c>
      <c r="AM140" t="s">
        <v>94</v>
      </c>
      <c r="AN140" t="s">
        <v>653</v>
      </c>
      <c r="AO140" t="s">
        <v>654</v>
      </c>
      <c r="AP140" t="s">
        <v>97</v>
      </c>
      <c r="AQ140">
        <v>39</v>
      </c>
      <c r="AR140" t="s">
        <v>80</v>
      </c>
      <c r="AS140">
        <v>1350</v>
      </c>
      <c r="AT140">
        <v>0.96530000000000005</v>
      </c>
      <c r="AU140">
        <v>163</v>
      </c>
      <c r="AV140">
        <v>0.92110000000000003</v>
      </c>
      <c r="AW140" t="s">
        <v>98</v>
      </c>
      <c r="AX140" t="s">
        <v>146</v>
      </c>
      <c r="AY140" t="s">
        <v>127</v>
      </c>
      <c r="AZ140" t="s">
        <v>136</v>
      </c>
      <c r="BA140" t="s">
        <v>128</v>
      </c>
      <c r="BB140" t="s">
        <v>655</v>
      </c>
      <c r="BC140" t="s">
        <v>104</v>
      </c>
      <c r="BD140" t="s">
        <v>105</v>
      </c>
      <c r="BE140">
        <v>41312</v>
      </c>
      <c r="BF140" t="s">
        <v>106</v>
      </c>
      <c r="BG140">
        <v>562</v>
      </c>
      <c r="BH140" t="s">
        <v>80</v>
      </c>
      <c r="BI140">
        <v>1</v>
      </c>
      <c r="BJ140">
        <v>333</v>
      </c>
      <c r="BK140">
        <v>6</v>
      </c>
      <c r="BL140">
        <v>57</v>
      </c>
      <c r="BM140">
        <v>1984</v>
      </c>
      <c r="BN140">
        <v>2565</v>
      </c>
      <c r="BO140">
        <v>3621</v>
      </c>
      <c r="BP140">
        <v>25</v>
      </c>
      <c r="BQ140" s="2">
        <v>1834</v>
      </c>
      <c r="BR140">
        <f t="shared" si="34"/>
        <v>334</v>
      </c>
      <c r="BS140">
        <f t="shared" si="35"/>
        <v>7</v>
      </c>
      <c r="BT140">
        <f t="shared" si="36"/>
        <v>58</v>
      </c>
      <c r="BU140">
        <f t="shared" si="37"/>
        <v>1985</v>
      </c>
      <c r="BV140">
        <f t="shared" si="38"/>
        <v>2566</v>
      </c>
      <c r="BW140">
        <f t="shared" si="39"/>
        <v>3622</v>
      </c>
      <c r="BX140">
        <f t="shared" si="40"/>
        <v>26</v>
      </c>
      <c r="BY140" s="2">
        <f t="shared" si="41"/>
        <v>1835</v>
      </c>
      <c r="BZ140">
        <f t="shared" si="42"/>
        <v>323.30017579352233</v>
      </c>
      <c r="CA140">
        <v>323.30017579352233</v>
      </c>
      <c r="CB140">
        <v>323.30017579352233</v>
      </c>
      <c r="CC140">
        <v>323.30017579352233</v>
      </c>
      <c r="CD140">
        <v>323.30017579352233</v>
      </c>
      <c r="CE140">
        <v>323.30017579352233</v>
      </c>
      <c r="CF140">
        <v>323.30017579352233</v>
      </c>
      <c r="CG140">
        <v>323.30017579352233</v>
      </c>
      <c r="CH140">
        <f t="shared" si="43"/>
        <v>1.414052605359349E-2</v>
      </c>
      <c r="CI140">
        <f t="shared" si="44"/>
        <v>-1.6645079007437142</v>
      </c>
      <c r="CJ140">
        <f t="shared" si="45"/>
        <v>-0.74617794719503372</v>
      </c>
      <c r="CK140">
        <f t="shared" si="46"/>
        <v>0.78815457034116287</v>
      </c>
      <c r="CL140">
        <f t="shared" si="47"/>
        <v>0.89965071128093865</v>
      </c>
      <c r="CM140">
        <f t="shared" si="48"/>
        <v>1.0493425052200687</v>
      </c>
      <c r="CN140">
        <f t="shared" si="49"/>
        <v>-1.094632592787153</v>
      </c>
      <c r="CO140" s="2">
        <f t="shared" si="50"/>
        <v>0.75403012783013712</v>
      </c>
      <c r="CP140">
        <v>-0.660039446285555</v>
      </c>
      <c r="CQ140">
        <v>-0.117979254197444</v>
      </c>
      <c r="CR140">
        <v>-0.83868682640541703</v>
      </c>
      <c r="CS140">
        <v>0.67688267066131302</v>
      </c>
      <c r="CT140">
        <v>0.61688522398865697</v>
      </c>
      <c r="CU140">
        <v>0.60309151893482005</v>
      </c>
      <c r="CV140">
        <v>-0.259496394857755</v>
      </c>
      <c r="CW140">
        <v>0.586687796728806</v>
      </c>
      <c r="CX140" t="s">
        <v>1826</v>
      </c>
    </row>
    <row r="141" spans="1:102" x14ac:dyDescent="0.35">
      <c r="A141" t="s">
        <v>769</v>
      </c>
      <c r="B141" t="s">
        <v>153</v>
      </c>
      <c r="C141" t="s">
        <v>770</v>
      </c>
      <c r="D141" t="s">
        <v>72</v>
      </c>
      <c r="E141" t="s">
        <v>72</v>
      </c>
      <c r="F141" t="s">
        <v>72</v>
      </c>
      <c r="G141" t="s">
        <v>73</v>
      </c>
      <c r="H141" t="s">
        <v>109</v>
      </c>
      <c r="I141" t="s">
        <v>110</v>
      </c>
      <c r="J141" t="s">
        <v>111</v>
      </c>
      <c r="K141" t="s">
        <v>112</v>
      </c>
      <c r="L141" t="s">
        <v>113</v>
      </c>
      <c r="M141" t="s">
        <v>114</v>
      </c>
      <c r="N141">
        <v>48</v>
      </c>
      <c r="O141" t="s">
        <v>80</v>
      </c>
      <c r="P141">
        <v>621</v>
      </c>
      <c r="Q141">
        <v>0.68400000000000005</v>
      </c>
      <c r="R141">
        <v>175</v>
      </c>
      <c r="S141">
        <v>0.81130000000000002</v>
      </c>
      <c r="T141" t="s">
        <v>115</v>
      </c>
      <c r="U141" t="s">
        <v>116</v>
      </c>
      <c r="V141" t="s">
        <v>117</v>
      </c>
      <c r="W141" t="s">
        <v>118</v>
      </c>
      <c r="X141" t="s">
        <v>119</v>
      </c>
      <c r="Y141" t="s">
        <v>120</v>
      </c>
      <c r="Z141" t="s">
        <v>121</v>
      </c>
      <c r="AA141" t="s">
        <v>88</v>
      </c>
      <c r="AB141">
        <v>453</v>
      </c>
      <c r="AC141">
        <v>10</v>
      </c>
      <c r="AE141">
        <v>1</v>
      </c>
      <c r="AF141" t="s">
        <v>89</v>
      </c>
      <c r="AG141" t="s">
        <v>771</v>
      </c>
      <c r="AH141" t="s">
        <v>72</v>
      </c>
      <c r="AI141" t="s">
        <v>72</v>
      </c>
      <c r="AJ141" t="s">
        <v>91</v>
      </c>
      <c r="AK141" t="s">
        <v>92</v>
      </c>
      <c r="AL141" t="s">
        <v>93</v>
      </c>
      <c r="AM141" t="s">
        <v>94</v>
      </c>
      <c r="AN141" t="s">
        <v>144</v>
      </c>
      <c r="AO141" t="s">
        <v>145</v>
      </c>
      <c r="AP141" t="s">
        <v>97</v>
      </c>
      <c r="AQ141">
        <v>39</v>
      </c>
      <c r="AR141" t="s">
        <v>80</v>
      </c>
      <c r="AS141">
        <v>1359</v>
      </c>
      <c r="AT141">
        <v>0.96879999999999999</v>
      </c>
      <c r="AU141">
        <v>172</v>
      </c>
      <c r="AV141">
        <v>0.94740000000000002</v>
      </c>
      <c r="AW141" t="s">
        <v>98</v>
      </c>
      <c r="AX141" t="s">
        <v>146</v>
      </c>
      <c r="AY141" t="s">
        <v>127</v>
      </c>
      <c r="AZ141" t="s">
        <v>101</v>
      </c>
      <c r="BA141" t="s">
        <v>128</v>
      </c>
      <c r="BB141" t="s">
        <v>103</v>
      </c>
      <c r="BC141" t="s">
        <v>104</v>
      </c>
      <c r="BD141" t="s">
        <v>105</v>
      </c>
      <c r="BE141">
        <v>74205</v>
      </c>
      <c r="BF141" t="s">
        <v>106</v>
      </c>
      <c r="BG141">
        <v>909</v>
      </c>
      <c r="BH141" t="s">
        <v>80</v>
      </c>
      <c r="BI141">
        <v>1</v>
      </c>
      <c r="BJ141">
        <v>185</v>
      </c>
      <c r="BK141">
        <v>11</v>
      </c>
      <c r="BL141">
        <v>98</v>
      </c>
      <c r="BM141">
        <v>2335</v>
      </c>
      <c r="BN141">
        <v>3000</v>
      </c>
      <c r="BO141">
        <v>4188</v>
      </c>
      <c r="BP141">
        <v>44</v>
      </c>
      <c r="BQ141" s="2">
        <v>2273</v>
      </c>
      <c r="BR141">
        <f t="shared" si="34"/>
        <v>186</v>
      </c>
      <c r="BS141">
        <f t="shared" si="35"/>
        <v>12</v>
      </c>
      <c r="BT141">
        <f t="shared" si="36"/>
        <v>99</v>
      </c>
      <c r="BU141">
        <f t="shared" si="37"/>
        <v>2336</v>
      </c>
      <c r="BV141">
        <f t="shared" si="38"/>
        <v>3001</v>
      </c>
      <c r="BW141">
        <f t="shared" si="39"/>
        <v>4189</v>
      </c>
      <c r="BX141">
        <f t="shared" si="40"/>
        <v>45</v>
      </c>
      <c r="BY141" s="2">
        <f t="shared" si="41"/>
        <v>2274</v>
      </c>
      <c r="BZ141">
        <f t="shared" si="42"/>
        <v>400.65696246902831</v>
      </c>
      <c r="CA141">
        <v>400.65696246902831</v>
      </c>
      <c r="CB141">
        <v>400.65696246902831</v>
      </c>
      <c r="CC141">
        <v>400.65696246902831</v>
      </c>
      <c r="CD141">
        <v>400.65696246902831</v>
      </c>
      <c r="CE141">
        <v>400.65696246902831</v>
      </c>
      <c r="CF141">
        <v>400.65696246902831</v>
      </c>
      <c r="CG141">
        <v>400.65696246902831</v>
      </c>
      <c r="CH141">
        <f t="shared" si="43"/>
        <v>-0.33325974993415675</v>
      </c>
      <c r="CI141">
        <f t="shared" si="44"/>
        <v>-1.5235914481044484</v>
      </c>
      <c r="CJ141">
        <f t="shared" si="45"/>
        <v>-0.60713749955452323</v>
      </c>
      <c r="CK141">
        <f t="shared" si="46"/>
        <v>0.76570014428828881</v>
      </c>
      <c r="CL141">
        <f t="shared" si="47"/>
        <v>0.87449330127277958</v>
      </c>
      <c r="CM141">
        <f t="shared" si="48"/>
        <v>1.0193376662091465</v>
      </c>
      <c r="CN141">
        <f t="shared" si="49"/>
        <v>-0.9495601803767294</v>
      </c>
      <c r="CO141" s="2">
        <f t="shared" si="50"/>
        <v>0.75401776619964289</v>
      </c>
      <c r="CP141">
        <v>-1.0774173753720699</v>
      </c>
      <c r="CQ141">
        <v>0.29831676295544701</v>
      </c>
      <c r="CR141">
        <v>-0.21747114167584899</v>
      </c>
      <c r="CS141">
        <v>0.61072182917642204</v>
      </c>
      <c r="CT141">
        <v>0.54685667701115903</v>
      </c>
      <c r="CU141">
        <v>0.51644372570009001</v>
      </c>
      <c r="CV141">
        <v>0.129584013220512</v>
      </c>
      <c r="CW141">
        <v>0.58665384361459205</v>
      </c>
      <c r="CX141" t="s">
        <v>1826</v>
      </c>
    </row>
    <row r="142" spans="1:102" x14ac:dyDescent="0.35">
      <c r="A142" t="s">
        <v>403</v>
      </c>
      <c r="B142" t="s">
        <v>70</v>
      </c>
      <c r="C142" t="s">
        <v>319</v>
      </c>
      <c r="D142" t="s">
        <v>72</v>
      </c>
      <c r="E142" t="s">
        <v>72</v>
      </c>
      <c r="F142" t="s">
        <v>72</v>
      </c>
      <c r="G142" t="s">
        <v>73</v>
      </c>
      <c r="H142" t="s">
        <v>109</v>
      </c>
      <c r="I142" t="s">
        <v>110</v>
      </c>
      <c r="J142" t="s">
        <v>111</v>
      </c>
      <c r="K142" t="s">
        <v>112</v>
      </c>
      <c r="L142" t="s">
        <v>113</v>
      </c>
      <c r="M142" t="s">
        <v>114</v>
      </c>
      <c r="N142">
        <v>48</v>
      </c>
      <c r="O142" t="s">
        <v>80</v>
      </c>
      <c r="P142">
        <v>621</v>
      </c>
      <c r="Q142">
        <v>0.68400000000000005</v>
      </c>
      <c r="R142">
        <v>175</v>
      </c>
      <c r="S142">
        <v>0.81130000000000002</v>
      </c>
      <c r="T142" t="s">
        <v>115</v>
      </c>
      <c r="U142" t="s">
        <v>116</v>
      </c>
      <c r="V142" t="s">
        <v>117</v>
      </c>
      <c r="W142" t="s">
        <v>118</v>
      </c>
      <c r="X142" t="s">
        <v>119</v>
      </c>
      <c r="Y142" t="s">
        <v>120</v>
      </c>
      <c r="Z142" t="s">
        <v>121</v>
      </c>
      <c r="AA142" t="s">
        <v>88</v>
      </c>
      <c r="AB142">
        <v>450</v>
      </c>
      <c r="AC142">
        <v>7</v>
      </c>
      <c r="AE142">
        <v>1</v>
      </c>
      <c r="AF142" t="s">
        <v>89</v>
      </c>
      <c r="AG142" t="s">
        <v>404</v>
      </c>
      <c r="AH142" t="s">
        <v>72</v>
      </c>
      <c r="AI142" t="s">
        <v>72</v>
      </c>
      <c r="AJ142" t="s">
        <v>91</v>
      </c>
      <c r="AK142" t="s">
        <v>92</v>
      </c>
      <c r="AL142" t="s">
        <v>93</v>
      </c>
      <c r="AM142" t="s">
        <v>94</v>
      </c>
      <c r="AN142" t="s">
        <v>405</v>
      </c>
      <c r="AO142" t="s">
        <v>406</v>
      </c>
      <c r="AP142" t="s">
        <v>97</v>
      </c>
      <c r="AQ142">
        <v>39</v>
      </c>
      <c r="AR142" t="s">
        <v>80</v>
      </c>
      <c r="AS142">
        <v>1350</v>
      </c>
      <c r="AT142">
        <v>0.96530000000000005</v>
      </c>
      <c r="AU142">
        <v>163</v>
      </c>
      <c r="AV142">
        <v>0.92110000000000003</v>
      </c>
      <c r="AW142" t="s">
        <v>98</v>
      </c>
      <c r="AX142" t="s">
        <v>146</v>
      </c>
      <c r="AY142" t="s">
        <v>127</v>
      </c>
      <c r="AZ142" t="s">
        <v>136</v>
      </c>
      <c r="BA142" t="s">
        <v>407</v>
      </c>
      <c r="BB142" t="s">
        <v>103</v>
      </c>
      <c r="BC142" t="s">
        <v>104</v>
      </c>
      <c r="BD142" t="s">
        <v>105</v>
      </c>
      <c r="BE142">
        <v>54888</v>
      </c>
      <c r="BF142" t="s">
        <v>106</v>
      </c>
      <c r="BG142">
        <v>567</v>
      </c>
      <c r="BH142" t="s">
        <v>80</v>
      </c>
      <c r="BI142">
        <v>1</v>
      </c>
      <c r="BJ142">
        <v>184</v>
      </c>
      <c r="BK142">
        <v>4</v>
      </c>
      <c r="BL142">
        <v>34</v>
      </c>
      <c r="BM142">
        <v>1072</v>
      </c>
      <c r="BN142">
        <v>1395</v>
      </c>
      <c r="BO142">
        <v>1823</v>
      </c>
      <c r="BP142">
        <v>10</v>
      </c>
      <c r="BQ142" s="2">
        <v>1004</v>
      </c>
      <c r="BR142">
        <f t="shared" si="34"/>
        <v>185</v>
      </c>
      <c r="BS142">
        <f t="shared" si="35"/>
        <v>5</v>
      </c>
      <c r="BT142">
        <f t="shared" si="36"/>
        <v>35</v>
      </c>
      <c r="BU142">
        <f t="shared" si="37"/>
        <v>1073</v>
      </c>
      <c r="BV142">
        <f t="shared" si="38"/>
        <v>1396</v>
      </c>
      <c r="BW142">
        <f t="shared" si="39"/>
        <v>1824</v>
      </c>
      <c r="BX142">
        <f t="shared" si="40"/>
        <v>11</v>
      </c>
      <c r="BY142" s="2">
        <f t="shared" si="41"/>
        <v>1005</v>
      </c>
      <c r="BZ142">
        <f t="shared" si="42"/>
        <v>177.33106089864171</v>
      </c>
      <c r="CA142">
        <v>177.33106089864171</v>
      </c>
      <c r="CB142">
        <v>177.33106089864171</v>
      </c>
      <c r="CC142">
        <v>177.33106089864171</v>
      </c>
      <c r="CD142">
        <v>177.33106089864171</v>
      </c>
      <c r="CE142">
        <v>177.33106089864171</v>
      </c>
      <c r="CF142">
        <v>177.33106089864171</v>
      </c>
      <c r="CG142">
        <v>177.33106089864171</v>
      </c>
      <c r="CH142">
        <f t="shared" si="43"/>
        <v>1.8386916121822389E-2</v>
      </c>
      <c r="CI142">
        <f t="shared" si="44"/>
        <v>-1.5498148079451726</v>
      </c>
      <c r="CJ142">
        <f t="shared" si="45"/>
        <v>-0.70471676793091587</v>
      </c>
      <c r="CK142">
        <f t="shared" si="46"/>
        <v>0.78181490968475964</v>
      </c>
      <c r="CL142">
        <f t="shared" si="47"/>
        <v>0.89610060600595076</v>
      </c>
      <c r="CM142">
        <f t="shared" si="48"/>
        <v>1.012240021711206</v>
      </c>
      <c r="CN142">
        <f t="shared" si="49"/>
        <v>-1.2073921271229664</v>
      </c>
      <c r="CO142" s="2">
        <f t="shared" si="50"/>
        <v>0.75338124947531615</v>
      </c>
      <c r="CP142">
        <v>-0.65493769589767303</v>
      </c>
      <c r="CQ142">
        <v>0.22084759556158401</v>
      </c>
      <c r="CR142">
        <v>-0.65344335730463099</v>
      </c>
      <c r="CS142">
        <v>0.65820317812970097</v>
      </c>
      <c r="CT142">
        <v>0.60700309725367396</v>
      </c>
      <c r="CU142">
        <v>0.49594719070160898</v>
      </c>
      <c r="CV142">
        <v>-0.56191451078440002</v>
      </c>
      <c r="CW142">
        <v>0.58490555280050904</v>
      </c>
      <c r="CX142" t="s">
        <v>1826</v>
      </c>
    </row>
    <row r="143" spans="1:102" x14ac:dyDescent="0.35">
      <c r="A143" t="s">
        <v>473</v>
      </c>
      <c r="B143" t="s">
        <v>211</v>
      </c>
      <c r="C143" t="s">
        <v>474</v>
      </c>
      <c r="D143" t="s">
        <v>72</v>
      </c>
      <c r="E143" t="s">
        <v>72</v>
      </c>
      <c r="F143" t="s">
        <v>72</v>
      </c>
      <c r="G143" t="s">
        <v>73</v>
      </c>
      <c r="H143" t="s">
        <v>109</v>
      </c>
      <c r="I143" t="s">
        <v>110</v>
      </c>
      <c r="J143" t="s">
        <v>111</v>
      </c>
      <c r="K143" t="s">
        <v>112</v>
      </c>
      <c r="L143" t="s">
        <v>113</v>
      </c>
      <c r="M143" t="s">
        <v>114</v>
      </c>
      <c r="N143">
        <v>48</v>
      </c>
      <c r="O143" t="s">
        <v>80</v>
      </c>
      <c r="P143">
        <v>621</v>
      </c>
      <c r="Q143">
        <v>0.68400000000000005</v>
      </c>
      <c r="R143">
        <v>175</v>
      </c>
      <c r="S143">
        <v>0.81130000000000002</v>
      </c>
      <c r="T143" t="s">
        <v>115</v>
      </c>
      <c r="U143" t="s">
        <v>116</v>
      </c>
      <c r="V143" t="s">
        <v>117</v>
      </c>
      <c r="W143" t="s">
        <v>118</v>
      </c>
      <c r="X143" t="s">
        <v>119</v>
      </c>
      <c r="Y143" t="s">
        <v>120</v>
      </c>
      <c r="Z143" t="s">
        <v>121</v>
      </c>
      <c r="AA143" t="s">
        <v>88</v>
      </c>
      <c r="AB143">
        <v>555</v>
      </c>
      <c r="AC143">
        <v>9</v>
      </c>
      <c r="AE143">
        <v>1</v>
      </c>
      <c r="AF143" t="s">
        <v>159</v>
      </c>
      <c r="AG143" t="s">
        <v>475</v>
      </c>
      <c r="AH143" t="s">
        <v>72</v>
      </c>
      <c r="AI143" t="s">
        <v>72</v>
      </c>
      <c r="AJ143" t="s">
        <v>72</v>
      </c>
      <c r="AK143" t="s">
        <v>92</v>
      </c>
      <c r="AL143" t="s">
        <v>93</v>
      </c>
      <c r="AM143" t="s">
        <v>94</v>
      </c>
      <c r="AN143" t="s">
        <v>476</v>
      </c>
      <c r="AO143" t="s">
        <v>477</v>
      </c>
      <c r="AP143" t="s">
        <v>97</v>
      </c>
      <c r="AQ143">
        <v>39</v>
      </c>
      <c r="AR143" t="s">
        <v>80</v>
      </c>
      <c r="AS143">
        <v>1341</v>
      </c>
      <c r="AT143">
        <v>0.96179999999999999</v>
      </c>
      <c r="AU143">
        <v>172</v>
      </c>
      <c r="AV143">
        <v>0.94740000000000002</v>
      </c>
      <c r="AW143" t="s">
        <v>98</v>
      </c>
      <c r="AX143" t="s">
        <v>478</v>
      </c>
      <c r="AY143" t="s">
        <v>479</v>
      </c>
      <c r="AZ143" t="s">
        <v>101</v>
      </c>
      <c r="BA143" t="s">
        <v>128</v>
      </c>
      <c r="BB143" t="s">
        <v>103</v>
      </c>
      <c r="BC143" t="s">
        <v>104</v>
      </c>
      <c r="BD143" t="s">
        <v>105</v>
      </c>
      <c r="BE143">
        <v>13325</v>
      </c>
      <c r="BG143">
        <v>185</v>
      </c>
      <c r="BH143" t="s">
        <v>80</v>
      </c>
      <c r="BI143">
        <v>1</v>
      </c>
      <c r="BJ143">
        <v>109</v>
      </c>
      <c r="BK143">
        <v>0</v>
      </c>
      <c r="BL143">
        <v>13</v>
      </c>
      <c r="BM143">
        <v>341</v>
      </c>
      <c r="BN143">
        <v>515</v>
      </c>
      <c r="BO143">
        <v>727</v>
      </c>
      <c r="BP143">
        <v>8</v>
      </c>
      <c r="BQ143" s="2">
        <v>402</v>
      </c>
      <c r="BR143">
        <f t="shared" si="34"/>
        <v>110</v>
      </c>
      <c r="BS143">
        <f t="shared" si="35"/>
        <v>1</v>
      </c>
      <c r="BT143">
        <f t="shared" si="36"/>
        <v>14</v>
      </c>
      <c r="BU143">
        <f t="shared" si="37"/>
        <v>342</v>
      </c>
      <c r="BV143">
        <f t="shared" si="38"/>
        <v>516</v>
      </c>
      <c r="BW143">
        <f t="shared" si="39"/>
        <v>728</v>
      </c>
      <c r="BX143">
        <f t="shared" si="40"/>
        <v>9</v>
      </c>
      <c r="BY143" s="2">
        <f t="shared" si="41"/>
        <v>403</v>
      </c>
      <c r="BZ143">
        <f t="shared" si="42"/>
        <v>71.942319016906239</v>
      </c>
      <c r="CA143">
        <v>71.942319016906239</v>
      </c>
      <c r="CB143">
        <v>71.942319016906239</v>
      </c>
      <c r="CC143">
        <v>71.942319016906239</v>
      </c>
      <c r="CD143">
        <v>71.942319016906239</v>
      </c>
      <c r="CE143">
        <v>71.942319016906239</v>
      </c>
      <c r="CF143">
        <v>71.942319016906239</v>
      </c>
      <c r="CG143">
        <v>71.942319016906239</v>
      </c>
      <c r="CH143">
        <f t="shared" si="43"/>
        <v>0.18440825223156493</v>
      </c>
      <c r="CI143">
        <f t="shared" si="44"/>
        <v>-1.85698443292666</v>
      </c>
      <c r="CJ143">
        <f t="shared" si="45"/>
        <v>-0.71085639724842209</v>
      </c>
      <c r="CK143">
        <f t="shared" si="46"/>
        <v>0.67704167312947494</v>
      </c>
      <c r="CL143">
        <f t="shared" si="47"/>
        <v>0.85566526870055126</v>
      </c>
      <c r="CM143">
        <f t="shared" si="48"/>
        <v>1.0051469463863769</v>
      </c>
      <c r="CN143">
        <f t="shared" si="49"/>
        <v>-0.90274192348733528</v>
      </c>
      <c r="CO143" s="2">
        <f t="shared" si="50"/>
        <v>0.74832061321444932</v>
      </c>
      <c r="CP143">
        <v>-0.45547429232771303</v>
      </c>
      <c r="CQ143">
        <v>-2.2527165794045199</v>
      </c>
      <c r="CR143">
        <v>-0.680874468863777</v>
      </c>
      <c r="CS143">
        <v>0.34949408535349202</v>
      </c>
      <c r="CT143">
        <v>0.494446680789349</v>
      </c>
      <c r="CU143">
        <v>0.475463850533698</v>
      </c>
      <c r="CV143">
        <v>0.25514935120154397</v>
      </c>
      <c r="CW143">
        <v>0.57100573909546204</v>
      </c>
      <c r="CX143" t="s">
        <v>1826</v>
      </c>
    </row>
    <row r="144" spans="1:102" x14ac:dyDescent="0.35">
      <c r="A144" t="s">
        <v>830</v>
      </c>
      <c r="B144" t="s">
        <v>159</v>
      </c>
      <c r="C144" t="s">
        <v>108</v>
      </c>
      <c r="D144" t="s">
        <v>72</v>
      </c>
      <c r="E144" t="s">
        <v>72</v>
      </c>
      <c r="F144" t="s">
        <v>72</v>
      </c>
      <c r="G144" t="s">
        <v>73</v>
      </c>
      <c r="H144" t="s">
        <v>109</v>
      </c>
      <c r="I144" t="s">
        <v>110</v>
      </c>
      <c r="J144" t="s">
        <v>111</v>
      </c>
      <c r="K144" t="s">
        <v>112</v>
      </c>
      <c r="L144" t="s">
        <v>113</v>
      </c>
      <c r="M144" t="s">
        <v>114</v>
      </c>
      <c r="N144">
        <v>48</v>
      </c>
      <c r="O144" t="s">
        <v>80</v>
      </c>
      <c r="P144">
        <v>621</v>
      </c>
      <c r="Q144">
        <v>0.68400000000000005</v>
      </c>
      <c r="R144">
        <v>175</v>
      </c>
      <c r="S144">
        <v>0.81130000000000002</v>
      </c>
      <c r="T144" t="s">
        <v>115</v>
      </c>
      <c r="U144" t="s">
        <v>116</v>
      </c>
      <c r="V144" t="s">
        <v>117</v>
      </c>
      <c r="W144" t="s">
        <v>118</v>
      </c>
      <c r="X144" t="s">
        <v>119</v>
      </c>
      <c r="Y144" t="s">
        <v>120</v>
      </c>
      <c r="Z144" t="s">
        <v>121</v>
      </c>
      <c r="AA144" t="s">
        <v>88</v>
      </c>
      <c r="AB144">
        <v>277</v>
      </c>
      <c r="AC144">
        <v>8</v>
      </c>
      <c r="AE144">
        <v>1</v>
      </c>
      <c r="AF144" t="s">
        <v>153</v>
      </c>
      <c r="AG144" t="s">
        <v>831</v>
      </c>
      <c r="AH144" t="s">
        <v>72</v>
      </c>
      <c r="AI144" t="s">
        <v>72</v>
      </c>
      <c r="AJ144" t="s">
        <v>91</v>
      </c>
      <c r="AK144" t="s">
        <v>92</v>
      </c>
      <c r="AL144" t="s">
        <v>93</v>
      </c>
      <c r="AM144" t="s">
        <v>94</v>
      </c>
      <c r="AN144" t="s">
        <v>144</v>
      </c>
      <c r="AO144" t="s">
        <v>145</v>
      </c>
      <c r="AP144" t="s">
        <v>97</v>
      </c>
      <c r="AQ144">
        <v>39</v>
      </c>
      <c r="AR144" t="s">
        <v>80</v>
      </c>
      <c r="AS144">
        <v>1359</v>
      </c>
      <c r="AT144">
        <v>0.96879999999999999</v>
      </c>
      <c r="AU144">
        <v>172</v>
      </c>
      <c r="AV144">
        <v>0.94740000000000002</v>
      </c>
      <c r="AW144" t="s">
        <v>98</v>
      </c>
      <c r="AX144" t="s">
        <v>146</v>
      </c>
      <c r="AY144" t="s">
        <v>127</v>
      </c>
      <c r="AZ144" t="s">
        <v>101</v>
      </c>
      <c r="BA144" t="s">
        <v>128</v>
      </c>
      <c r="BB144" t="s">
        <v>103</v>
      </c>
      <c r="BC144" t="s">
        <v>104</v>
      </c>
      <c r="BD144" t="s">
        <v>105</v>
      </c>
      <c r="BE144">
        <v>47947</v>
      </c>
      <c r="BF144" t="s">
        <v>106</v>
      </c>
      <c r="BG144">
        <v>720</v>
      </c>
      <c r="BH144" t="s">
        <v>80</v>
      </c>
      <c r="BI144">
        <v>1</v>
      </c>
      <c r="BJ144">
        <v>335</v>
      </c>
      <c r="BK144">
        <v>4</v>
      </c>
      <c r="BL144">
        <v>29</v>
      </c>
      <c r="BM144">
        <v>1141</v>
      </c>
      <c r="BN144">
        <v>1344</v>
      </c>
      <c r="BO144">
        <v>2244</v>
      </c>
      <c r="BP144">
        <v>25</v>
      </c>
      <c r="BQ144" s="2">
        <v>1226</v>
      </c>
      <c r="BR144">
        <f t="shared" si="34"/>
        <v>336</v>
      </c>
      <c r="BS144">
        <f t="shared" si="35"/>
        <v>5</v>
      </c>
      <c r="BT144">
        <f t="shared" si="36"/>
        <v>30</v>
      </c>
      <c r="BU144">
        <f t="shared" si="37"/>
        <v>1142</v>
      </c>
      <c r="BV144">
        <f t="shared" si="38"/>
        <v>1345</v>
      </c>
      <c r="BW144">
        <f t="shared" si="39"/>
        <v>2245</v>
      </c>
      <c r="BX144">
        <f t="shared" si="40"/>
        <v>26</v>
      </c>
      <c r="BY144" s="2">
        <f t="shared" si="41"/>
        <v>1227</v>
      </c>
      <c r="BZ144">
        <f t="shared" si="42"/>
        <v>220.28333737923481</v>
      </c>
      <c r="CA144">
        <v>220.28333737923481</v>
      </c>
      <c r="CB144">
        <v>220.28333737923481</v>
      </c>
      <c r="CC144">
        <v>220.28333737923481</v>
      </c>
      <c r="CD144">
        <v>220.28333737923481</v>
      </c>
      <c r="CE144">
        <v>220.28333737923481</v>
      </c>
      <c r="CF144">
        <v>220.28333737923481</v>
      </c>
      <c r="CG144">
        <v>220.28333737923481</v>
      </c>
      <c r="CH144">
        <f t="shared" si="43"/>
        <v>0.18335762979847584</v>
      </c>
      <c r="CI144">
        <f t="shared" si="44"/>
        <v>-1.6440116432553493</v>
      </c>
      <c r="CJ144">
        <f t="shared" si="45"/>
        <v>-0.86586039287170569</v>
      </c>
      <c r="CK144">
        <f t="shared" si="46"/>
        <v>0.714684456318461</v>
      </c>
      <c r="CL144">
        <f t="shared" si="47"/>
        <v>0.78574063674705863</v>
      </c>
      <c r="CM144">
        <f t="shared" si="48"/>
        <v>1.0082346977479737</v>
      </c>
      <c r="CN144">
        <f t="shared" si="49"/>
        <v>-0.9280082996205502</v>
      </c>
      <c r="CO144" s="2">
        <f t="shared" si="50"/>
        <v>0.74586291513563607</v>
      </c>
      <c r="CP144">
        <v>-0.456736544103789</v>
      </c>
      <c r="CQ144">
        <v>-5.74291182896879E-2</v>
      </c>
      <c r="CR144">
        <v>-1.37341333011585</v>
      </c>
      <c r="CS144">
        <v>0.46040666026198701</v>
      </c>
      <c r="CT144">
        <v>0.299803417748708</v>
      </c>
      <c r="CU144">
        <v>0.48438064030359101</v>
      </c>
      <c r="CV144">
        <v>0.18738559258451401</v>
      </c>
      <c r="CW144">
        <v>0.56425529435337995</v>
      </c>
      <c r="CX144" t="s">
        <v>1826</v>
      </c>
    </row>
    <row r="145" spans="1:102" x14ac:dyDescent="0.35">
      <c r="A145" t="s">
        <v>1577</v>
      </c>
      <c r="B145" t="s">
        <v>148</v>
      </c>
      <c r="C145" t="s">
        <v>108</v>
      </c>
      <c r="D145" t="s">
        <v>72</v>
      </c>
      <c r="E145" t="s">
        <v>72</v>
      </c>
      <c r="F145" t="s">
        <v>72</v>
      </c>
      <c r="G145" t="s">
        <v>73</v>
      </c>
      <c r="H145" t="s">
        <v>109</v>
      </c>
      <c r="I145" t="s">
        <v>110</v>
      </c>
      <c r="J145" t="s">
        <v>111</v>
      </c>
      <c r="K145" t="s">
        <v>112</v>
      </c>
      <c r="L145" t="s">
        <v>113</v>
      </c>
      <c r="M145" t="s">
        <v>114</v>
      </c>
      <c r="N145">
        <v>48</v>
      </c>
      <c r="O145" t="s">
        <v>80</v>
      </c>
      <c r="P145">
        <v>621</v>
      </c>
      <c r="Q145">
        <v>0.68400000000000005</v>
      </c>
      <c r="R145">
        <v>175</v>
      </c>
      <c r="S145">
        <v>0.81130000000000002</v>
      </c>
      <c r="T145" t="s">
        <v>115</v>
      </c>
      <c r="U145" t="s">
        <v>116</v>
      </c>
      <c r="V145" t="s">
        <v>117</v>
      </c>
      <c r="W145" t="s">
        <v>118</v>
      </c>
      <c r="X145" t="s">
        <v>119</v>
      </c>
      <c r="Y145" t="s">
        <v>120</v>
      </c>
      <c r="Z145" t="s">
        <v>121</v>
      </c>
      <c r="AA145" t="s">
        <v>88</v>
      </c>
      <c r="AB145">
        <v>789</v>
      </c>
      <c r="AC145">
        <v>8</v>
      </c>
      <c r="AE145">
        <v>1</v>
      </c>
      <c r="AF145" t="s">
        <v>89</v>
      </c>
      <c r="AG145" t="s">
        <v>1578</v>
      </c>
      <c r="AH145" t="s">
        <v>72</v>
      </c>
      <c r="AI145" t="s">
        <v>72</v>
      </c>
      <c r="AJ145" t="s">
        <v>91</v>
      </c>
      <c r="AK145" t="s">
        <v>92</v>
      </c>
      <c r="AL145" t="s">
        <v>93</v>
      </c>
      <c r="AM145" t="s">
        <v>94</v>
      </c>
      <c r="AN145" t="s">
        <v>1579</v>
      </c>
      <c r="AO145" t="s">
        <v>1580</v>
      </c>
      <c r="AP145" t="s">
        <v>97</v>
      </c>
      <c r="AQ145">
        <v>39</v>
      </c>
      <c r="AR145" t="s">
        <v>80</v>
      </c>
      <c r="AS145">
        <v>1350</v>
      </c>
      <c r="AT145">
        <v>0.96530000000000005</v>
      </c>
      <c r="AU145">
        <v>163</v>
      </c>
      <c r="AV145">
        <v>0.92110000000000003</v>
      </c>
      <c r="AW145" t="s">
        <v>98</v>
      </c>
      <c r="AX145" t="s">
        <v>146</v>
      </c>
      <c r="AY145" t="s">
        <v>127</v>
      </c>
      <c r="AZ145" t="s">
        <v>136</v>
      </c>
      <c r="BA145" t="s">
        <v>713</v>
      </c>
      <c r="BB145" t="s">
        <v>103</v>
      </c>
      <c r="BC145" t="s">
        <v>104</v>
      </c>
      <c r="BD145" t="s">
        <v>105</v>
      </c>
      <c r="BE145">
        <v>65893</v>
      </c>
      <c r="BF145" t="s">
        <v>106</v>
      </c>
      <c r="BG145">
        <v>787</v>
      </c>
      <c r="BH145" t="s">
        <v>80</v>
      </c>
      <c r="BI145">
        <v>1</v>
      </c>
      <c r="BJ145">
        <v>306</v>
      </c>
      <c r="BK145">
        <v>10</v>
      </c>
      <c r="BL145">
        <v>42</v>
      </c>
      <c r="BM145">
        <v>1739</v>
      </c>
      <c r="BN145">
        <v>2245</v>
      </c>
      <c r="BO145">
        <v>3163</v>
      </c>
      <c r="BP145">
        <v>18</v>
      </c>
      <c r="BQ145" s="2">
        <v>1631</v>
      </c>
      <c r="BR145">
        <f t="shared" si="34"/>
        <v>307</v>
      </c>
      <c r="BS145">
        <f t="shared" si="35"/>
        <v>11</v>
      </c>
      <c r="BT145">
        <f t="shared" si="36"/>
        <v>43</v>
      </c>
      <c r="BU145">
        <f t="shared" si="37"/>
        <v>1740</v>
      </c>
      <c r="BV145">
        <f t="shared" si="38"/>
        <v>2246</v>
      </c>
      <c r="BW145">
        <f t="shared" si="39"/>
        <v>3164</v>
      </c>
      <c r="BX145">
        <f t="shared" si="40"/>
        <v>19</v>
      </c>
      <c r="BY145" s="2">
        <f t="shared" si="41"/>
        <v>1632</v>
      </c>
      <c r="BZ145">
        <f t="shared" si="42"/>
        <v>293.9060955405829</v>
      </c>
      <c r="CA145">
        <v>293.9060955405829</v>
      </c>
      <c r="CB145">
        <v>293.9060955405829</v>
      </c>
      <c r="CC145">
        <v>293.9060955405829</v>
      </c>
      <c r="CD145">
        <v>293.9060955405829</v>
      </c>
      <c r="CE145">
        <v>293.9060955405829</v>
      </c>
      <c r="CF145">
        <v>293.9060955405829</v>
      </c>
      <c r="CG145">
        <v>293.9060955405829</v>
      </c>
      <c r="CH145">
        <f t="shared" si="43"/>
        <v>1.8929782149768176E-2</v>
      </c>
      <c r="CI145">
        <f t="shared" si="44"/>
        <v>-1.4268159081691933</v>
      </c>
      <c r="CJ145">
        <f t="shared" si="45"/>
        <v>-0.83474013774783185</v>
      </c>
      <c r="CK145">
        <f t="shared" si="46"/>
        <v>0.77234065495518134</v>
      </c>
      <c r="CL145">
        <f t="shared" si="47"/>
        <v>0.88320115859802062</v>
      </c>
      <c r="CM145">
        <f t="shared" si="48"/>
        <v>1.0320278814982207</v>
      </c>
      <c r="CN145">
        <f t="shared" si="49"/>
        <v>-1.1894549923745894</v>
      </c>
      <c r="CO145" s="2">
        <f t="shared" si="50"/>
        <v>0.74451156109042405</v>
      </c>
      <c r="CP145">
        <v>-0.65428547909136403</v>
      </c>
      <c r="CQ145">
        <v>0.58421149758944502</v>
      </c>
      <c r="CR145">
        <v>-1.2343718430967601</v>
      </c>
      <c r="CS145">
        <v>0.63028776119251795</v>
      </c>
      <c r="CT145">
        <v>0.57109600035868302</v>
      </c>
      <c r="CU145">
        <v>0.55309045291871095</v>
      </c>
      <c r="CV145">
        <v>-0.51380758547933802</v>
      </c>
      <c r="CW145">
        <v>0.56054359319373404</v>
      </c>
      <c r="CX145" t="s">
        <v>1826</v>
      </c>
    </row>
    <row r="146" spans="1:102" x14ac:dyDescent="0.35">
      <c r="A146" t="s">
        <v>1708</v>
      </c>
      <c r="B146" t="s">
        <v>178</v>
      </c>
      <c r="C146" t="s">
        <v>301</v>
      </c>
      <c r="D146" t="s">
        <v>72</v>
      </c>
      <c r="E146" t="s">
        <v>72</v>
      </c>
      <c r="F146" t="s">
        <v>72</v>
      </c>
      <c r="G146" t="s">
        <v>73</v>
      </c>
      <c r="H146" t="s">
        <v>109</v>
      </c>
      <c r="I146" t="s">
        <v>110</v>
      </c>
      <c r="J146" t="s">
        <v>111</v>
      </c>
      <c r="K146" t="s">
        <v>112</v>
      </c>
      <c r="L146" t="s">
        <v>113</v>
      </c>
      <c r="M146" t="s">
        <v>114</v>
      </c>
      <c r="N146">
        <v>48</v>
      </c>
      <c r="O146" t="s">
        <v>80</v>
      </c>
      <c r="P146">
        <v>621</v>
      </c>
      <c r="Q146">
        <v>0.68400000000000005</v>
      </c>
      <c r="R146">
        <v>175</v>
      </c>
      <c r="S146">
        <v>0.81130000000000002</v>
      </c>
      <c r="T146" t="s">
        <v>115</v>
      </c>
      <c r="U146" t="s">
        <v>116</v>
      </c>
      <c r="V146" t="s">
        <v>117</v>
      </c>
      <c r="W146" t="s">
        <v>118</v>
      </c>
      <c r="X146" t="s">
        <v>119</v>
      </c>
      <c r="Y146" t="s">
        <v>120</v>
      </c>
      <c r="Z146" t="s">
        <v>121</v>
      </c>
      <c r="AA146" t="s">
        <v>88</v>
      </c>
      <c r="AB146">
        <v>456</v>
      </c>
      <c r="AC146">
        <v>8</v>
      </c>
      <c r="AE146">
        <v>1</v>
      </c>
      <c r="AF146" t="s">
        <v>89</v>
      </c>
      <c r="AG146" t="s">
        <v>1709</v>
      </c>
      <c r="AH146" t="s">
        <v>72</v>
      </c>
      <c r="AI146" t="s">
        <v>72</v>
      </c>
      <c r="AJ146" t="s">
        <v>91</v>
      </c>
      <c r="AK146" t="s">
        <v>92</v>
      </c>
      <c r="AL146" t="s">
        <v>93</v>
      </c>
      <c r="AM146" t="s">
        <v>94</v>
      </c>
      <c r="AN146" t="s">
        <v>1710</v>
      </c>
      <c r="AO146" t="s">
        <v>1711</v>
      </c>
      <c r="AP146" t="s">
        <v>97</v>
      </c>
      <c r="AQ146">
        <v>39</v>
      </c>
      <c r="AR146" t="s">
        <v>80</v>
      </c>
      <c r="AS146">
        <v>1323</v>
      </c>
      <c r="AT146">
        <v>0.95489999999999997</v>
      </c>
      <c r="AU146">
        <v>172</v>
      </c>
      <c r="AV146">
        <v>0.94740000000000002</v>
      </c>
      <c r="AW146" t="s">
        <v>980</v>
      </c>
      <c r="AX146" t="s">
        <v>338</v>
      </c>
      <c r="AY146" t="s">
        <v>1712</v>
      </c>
      <c r="AZ146" t="s">
        <v>101</v>
      </c>
      <c r="BA146" t="s">
        <v>407</v>
      </c>
      <c r="BB146" t="s">
        <v>103</v>
      </c>
      <c r="BC146" t="s">
        <v>104</v>
      </c>
      <c r="BD146" t="s">
        <v>105</v>
      </c>
      <c r="BE146">
        <v>35659</v>
      </c>
      <c r="BF146" t="s">
        <v>106</v>
      </c>
      <c r="BG146">
        <v>441</v>
      </c>
      <c r="BH146" t="s">
        <v>80</v>
      </c>
      <c r="BI146">
        <v>1</v>
      </c>
      <c r="BJ146">
        <v>115</v>
      </c>
      <c r="BK146">
        <v>5</v>
      </c>
      <c r="BL146">
        <v>42</v>
      </c>
      <c r="BM146">
        <v>1242</v>
      </c>
      <c r="BN146">
        <v>1480</v>
      </c>
      <c r="BO146">
        <v>2147</v>
      </c>
      <c r="BP146">
        <v>13</v>
      </c>
      <c r="BQ146" s="2">
        <v>1052</v>
      </c>
      <c r="BR146">
        <f t="shared" si="34"/>
        <v>116</v>
      </c>
      <c r="BS146">
        <f t="shared" si="35"/>
        <v>6</v>
      </c>
      <c r="BT146">
        <f t="shared" si="36"/>
        <v>43</v>
      </c>
      <c r="BU146">
        <f t="shared" si="37"/>
        <v>1243</v>
      </c>
      <c r="BV146">
        <f t="shared" si="38"/>
        <v>1481</v>
      </c>
      <c r="BW146">
        <f t="shared" si="39"/>
        <v>2148</v>
      </c>
      <c r="BX146">
        <f t="shared" si="40"/>
        <v>14</v>
      </c>
      <c r="BY146" s="2">
        <f t="shared" si="41"/>
        <v>1053</v>
      </c>
      <c r="BZ146">
        <f t="shared" si="42"/>
        <v>190.6390305232529</v>
      </c>
      <c r="CA146">
        <v>190.6390305232529</v>
      </c>
      <c r="CB146">
        <v>190.6390305232529</v>
      </c>
      <c r="CC146">
        <v>190.6390305232529</v>
      </c>
      <c r="CD146">
        <v>190.6390305232529</v>
      </c>
      <c r="CE146">
        <v>190.6390305232529</v>
      </c>
      <c r="CF146">
        <v>190.6390305232529</v>
      </c>
      <c r="CG146">
        <v>190.6390305232529</v>
      </c>
      <c r="CH146">
        <f t="shared" si="43"/>
        <v>-0.21575383155361205</v>
      </c>
      <c r="CI146">
        <f t="shared" si="44"/>
        <v>-1.5020605703968868</v>
      </c>
      <c r="CJ146">
        <f t="shared" si="45"/>
        <v>-0.646743365200944</v>
      </c>
      <c r="CK146">
        <f t="shared" si="46"/>
        <v>0.81425930786111422</v>
      </c>
      <c r="CL146">
        <f t="shared" si="47"/>
        <v>0.89034323774067792</v>
      </c>
      <c r="CM146">
        <f t="shared" si="48"/>
        <v>1.0518224562469873</v>
      </c>
      <c r="CN146">
        <f t="shared" si="49"/>
        <v>-1.1340837851022925</v>
      </c>
      <c r="CO146" s="2">
        <f t="shared" si="50"/>
        <v>0.74221655040495593</v>
      </c>
      <c r="CP146">
        <v>-0.93624196401226101</v>
      </c>
      <c r="CQ146">
        <v>0.36192337856057399</v>
      </c>
      <c r="CR146">
        <v>-0.39442529684702399</v>
      </c>
      <c r="CS146">
        <v>0.75379897201746104</v>
      </c>
      <c r="CT146">
        <v>0.59097679987645402</v>
      </c>
      <c r="CU146">
        <v>0.61025310656188603</v>
      </c>
      <c r="CV146">
        <v>-0.36530345872406</v>
      </c>
      <c r="CW146">
        <v>0.55423999433092297</v>
      </c>
      <c r="CX146" t="s">
        <v>1826</v>
      </c>
    </row>
    <row r="147" spans="1:102" x14ac:dyDescent="0.35">
      <c r="A147" t="s">
        <v>1067</v>
      </c>
      <c r="B147" t="s">
        <v>89</v>
      </c>
      <c r="C147" t="s">
        <v>1068</v>
      </c>
      <c r="D147" t="s">
        <v>72</v>
      </c>
      <c r="E147" t="s">
        <v>72</v>
      </c>
      <c r="F147" t="s">
        <v>72</v>
      </c>
      <c r="G147" t="s">
        <v>73</v>
      </c>
      <c r="H147" t="s">
        <v>109</v>
      </c>
      <c r="I147" t="s">
        <v>110</v>
      </c>
      <c r="J147" t="s">
        <v>111</v>
      </c>
      <c r="K147" t="s">
        <v>112</v>
      </c>
      <c r="L147" t="s">
        <v>113</v>
      </c>
      <c r="M147" t="s">
        <v>114</v>
      </c>
      <c r="N147">
        <v>48</v>
      </c>
      <c r="O147" t="s">
        <v>80</v>
      </c>
      <c r="P147">
        <v>621</v>
      </c>
      <c r="Q147">
        <v>0.68400000000000005</v>
      </c>
      <c r="R147">
        <v>175</v>
      </c>
      <c r="S147">
        <v>0.81130000000000002</v>
      </c>
      <c r="T147" t="s">
        <v>115</v>
      </c>
      <c r="U147" t="s">
        <v>116</v>
      </c>
      <c r="V147" t="s">
        <v>117</v>
      </c>
      <c r="W147" t="s">
        <v>118</v>
      </c>
      <c r="X147" t="s">
        <v>119</v>
      </c>
      <c r="Y147" t="s">
        <v>120</v>
      </c>
      <c r="Z147" t="s">
        <v>121</v>
      </c>
      <c r="AA147" t="s">
        <v>88</v>
      </c>
      <c r="AB147">
        <v>804</v>
      </c>
      <c r="AC147">
        <v>12</v>
      </c>
      <c r="AE147">
        <v>1</v>
      </c>
      <c r="AF147" t="s">
        <v>148</v>
      </c>
      <c r="AG147" t="s">
        <v>1069</v>
      </c>
      <c r="AH147" t="s">
        <v>72</v>
      </c>
      <c r="AI147" t="s">
        <v>72</v>
      </c>
      <c r="AJ147" t="s">
        <v>91</v>
      </c>
      <c r="AK147" t="s">
        <v>92</v>
      </c>
      <c r="AL147" t="s">
        <v>93</v>
      </c>
      <c r="AM147" t="s">
        <v>94</v>
      </c>
      <c r="AN147" t="s">
        <v>1070</v>
      </c>
      <c r="AO147" t="s">
        <v>1071</v>
      </c>
      <c r="AP147" t="s">
        <v>97</v>
      </c>
      <c r="AQ147">
        <v>39</v>
      </c>
      <c r="AR147" t="s">
        <v>80</v>
      </c>
      <c r="AS147">
        <v>1332</v>
      </c>
      <c r="AT147">
        <v>0.95830000000000004</v>
      </c>
      <c r="AU147">
        <v>172</v>
      </c>
      <c r="AV147">
        <v>0.94740000000000002</v>
      </c>
      <c r="AW147" t="s">
        <v>98</v>
      </c>
      <c r="AX147" t="s">
        <v>252</v>
      </c>
      <c r="AY147" t="s">
        <v>1072</v>
      </c>
      <c r="AZ147" t="s">
        <v>101</v>
      </c>
      <c r="BA147" t="s">
        <v>185</v>
      </c>
      <c r="BB147" t="s">
        <v>1073</v>
      </c>
      <c r="BC147" t="s">
        <v>104</v>
      </c>
      <c r="BD147" t="s">
        <v>105</v>
      </c>
      <c r="BE147">
        <v>425</v>
      </c>
      <c r="BF147" t="s">
        <v>106</v>
      </c>
      <c r="BG147">
        <v>9</v>
      </c>
      <c r="BH147" t="s">
        <v>80</v>
      </c>
      <c r="BI147">
        <v>1</v>
      </c>
      <c r="BJ147">
        <v>114</v>
      </c>
      <c r="BK147">
        <v>5</v>
      </c>
      <c r="BL147">
        <v>43</v>
      </c>
      <c r="BM147">
        <v>1032</v>
      </c>
      <c r="BN147">
        <v>1243</v>
      </c>
      <c r="BO147">
        <v>1846</v>
      </c>
      <c r="BP147">
        <v>9</v>
      </c>
      <c r="BQ147" s="2">
        <v>928</v>
      </c>
      <c r="BR147">
        <f t="shared" si="34"/>
        <v>115</v>
      </c>
      <c r="BS147">
        <f t="shared" si="35"/>
        <v>6</v>
      </c>
      <c r="BT147">
        <f t="shared" si="36"/>
        <v>44</v>
      </c>
      <c r="BU147">
        <f t="shared" si="37"/>
        <v>1033</v>
      </c>
      <c r="BV147">
        <f t="shared" si="38"/>
        <v>1244</v>
      </c>
      <c r="BW147">
        <f t="shared" si="39"/>
        <v>1847</v>
      </c>
      <c r="BX147">
        <f t="shared" si="40"/>
        <v>10</v>
      </c>
      <c r="BY147" s="2">
        <f t="shared" si="41"/>
        <v>929</v>
      </c>
      <c r="BZ147">
        <f t="shared" si="42"/>
        <v>169.12707378134849</v>
      </c>
      <c r="CA147">
        <v>169.12707378134849</v>
      </c>
      <c r="CB147">
        <v>169.12707378134849</v>
      </c>
      <c r="CC147">
        <v>169.12707378134849</v>
      </c>
      <c r="CD147">
        <v>169.12707378134849</v>
      </c>
      <c r="CE147">
        <v>169.12707378134849</v>
      </c>
      <c r="CF147">
        <v>169.12707378134849</v>
      </c>
      <c r="CG147">
        <v>169.12707378134849</v>
      </c>
      <c r="CH147">
        <f t="shared" si="43"/>
        <v>-0.16751529446285662</v>
      </c>
      <c r="CI147">
        <f t="shared" si="44"/>
        <v>-1.4500618844328246</v>
      </c>
      <c r="CJ147">
        <f t="shared" si="45"/>
        <v>-0.58476045833028079</v>
      </c>
      <c r="CK147">
        <f t="shared" si="46"/>
        <v>0.78588718670315227</v>
      </c>
      <c r="CL147">
        <f t="shared" si="47"/>
        <v>0.86660724553833168</v>
      </c>
      <c r="CM147">
        <f t="shared" si="48"/>
        <v>1.0382537606237732</v>
      </c>
      <c r="CN147">
        <f t="shared" si="49"/>
        <v>-1.2282131348164682</v>
      </c>
      <c r="CO147" s="2">
        <f t="shared" si="50"/>
        <v>0.73980257917717351</v>
      </c>
      <c r="CP147">
        <v>-0.87828662515751499</v>
      </c>
      <c r="CQ147">
        <v>0.51553813012856298</v>
      </c>
      <c r="CR147">
        <v>-0.11749326313592599</v>
      </c>
      <c r="CS147">
        <v>0.67020193835906605</v>
      </c>
      <c r="CT147">
        <v>0.52490493300063301</v>
      </c>
      <c r="CU147">
        <v>0.57106950912957599</v>
      </c>
      <c r="CV147">
        <v>-0.61775590774876399</v>
      </c>
      <c r="CW147">
        <v>0.54760965209214496</v>
      </c>
      <c r="CX147" t="s">
        <v>1826</v>
      </c>
    </row>
    <row r="148" spans="1:102" x14ac:dyDescent="0.35">
      <c r="A148" t="s">
        <v>521</v>
      </c>
      <c r="B148" t="s">
        <v>178</v>
      </c>
      <c r="C148" t="s">
        <v>522</v>
      </c>
      <c r="D148" t="s">
        <v>72</v>
      </c>
      <c r="E148" t="s">
        <v>72</v>
      </c>
      <c r="F148" t="s">
        <v>72</v>
      </c>
      <c r="G148" t="s">
        <v>73</v>
      </c>
      <c r="H148" t="s">
        <v>109</v>
      </c>
      <c r="I148" t="s">
        <v>110</v>
      </c>
      <c r="J148" t="s">
        <v>111</v>
      </c>
      <c r="K148" t="s">
        <v>523</v>
      </c>
      <c r="L148" t="s">
        <v>524</v>
      </c>
      <c r="M148" t="s">
        <v>114</v>
      </c>
      <c r="N148">
        <v>48</v>
      </c>
      <c r="O148" t="s">
        <v>80</v>
      </c>
      <c r="P148">
        <v>612</v>
      </c>
      <c r="Q148">
        <v>0.68059999999999998</v>
      </c>
      <c r="R148">
        <v>175</v>
      </c>
      <c r="S148">
        <v>0.81130000000000002</v>
      </c>
      <c r="T148" t="s">
        <v>115</v>
      </c>
      <c r="U148" t="s">
        <v>116</v>
      </c>
      <c r="V148" t="s">
        <v>525</v>
      </c>
      <c r="W148" t="s">
        <v>118</v>
      </c>
      <c r="X148" t="s">
        <v>119</v>
      </c>
      <c r="Y148" t="s">
        <v>120</v>
      </c>
      <c r="Z148" t="s">
        <v>121</v>
      </c>
      <c r="AA148" t="s">
        <v>88</v>
      </c>
      <c r="AB148">
        <v>668</v>
      </c>
      <c r="AC148">
        <v>10</v>
      </c>
      <c r="AE148">
        <v>1</v>
      </c>
      <c r="AF148" t="s">
        <v>89</v>
      </c>
      <c r="AG148" t="s">
        <v>526</v>
      </c>
      <c r="AH148" t="s">
        <v>72</v>
      </c>
      <c r="AI148" t="s">
        <v>72</v>
      </c>
      <c r="AJ148" t="s">
        <v>91</v>
      </c>
      <c r="AK148" t="s">
        <v>92</v>
      </c>
      <c r="AL148" t="s">
        <v>93</v>
      </c>
      <c r="AM148" t="s">
        <v>94</v>
      </c>
      <c r="AN148" t="s">
        <v>144</v>
      </c>
      <c r="AO148" t="s">
        <v>145</v>
      </c>
      <c r="AP148" t="s">
        <v>97</v>
      </c>
      <c r="AQ148">
        <v>39</v>
      </c>
      <c r="AR148" t="s">
        <v>80</v>
      </c>
      <c r="AS148">
        <v>1359</v>
      </c>
      <c r="AT148">
        <v>0.96879999999999999</v>
      </c>
      <c r="AU148">
        <v>172</v>
      </c>
      <c r="AV148">
        <v>0.94740000000000002</v>
      </c>
      <c r="AW148" t="s">
        <v>98</v>
      </c>
      <c r="AX148" t="s">
        <v>146</v>
      </c>
      <c r="AY148" t="s">
        <v>127</v>
      </c>
      <c r="AZ148" t="s">
        <v>101</v>
      </c>
      <c r="BA148" t="s">
        <v>128</v>
      </c>
      <c r="BB148" t="s">
        <v>103</v>
      </c>
      <c r="BC148" t="s">
        <v>104</v>
      </c>
      <c r="BD148" t="s">
        <v>105</v>
      </c>
      <c r="BE148">
        <v>84823</v>
      </c>
      <c r="BF148" t="s">
        <v>106</v>
      </c>
      <c r="BG148">
        <v>1111</v>
      </c>
      <c r="BH148" t="s">
        <v>80</v>
      </c>
      <c r="BI148">
        <v>1</v>
      </c>
      <c r="BJ148">
        <v>380</v>
      </c>
      <c r="BK148">
        <v>8</v>
      </c>
      <c r="BL148">
        <v>35</v>
      </c>
      <c r="BM148">
        <v>1251</v>
      </c>
      <c r="BN148">
        <v>1777</v>
      </c>
      <c r="BO148">
        <v>2559</v>
      </c>
      <c r="BP148">
        <v>17</v>
      </c>
      <c r="BQ148" s="2">
        <v>1388</v>
      </c>
      <c r="BR148">
        <f t="shared" si="34"/>
        <v>381</v>
      </c>
      <c r="BS148">
        <f t="shared" si="35"/>
        <v>9</v>
      </c>
      <c r="BT148">
        <f t="shared" si="36"/>
        <v>36</v>
      </c>
      <c r="BU148">
        <f t="shared" si="37"/>
        <v>1252</v>
      </c>
      <c r="BV148">
        <f t="shared" si="38"/>
        <v>1778</v>
      </c>
      <c r="BW148">
        <f t="shared" si="39"/>
        <v>2560</v>
      </c>
      <c r="BX148">
        <f t="shared" si="40"/>
        <v>18</v>
      </c>
      <c r="BY148" s="2">
        <f t="shared" si="41"/>
        <v>1389</v>
      </c>
      <c r="BZ148">
        <f t="shared" si="42"/>
        <v>254.47938025447496</v>
      </c>
      <c r="CA148">
        <v>254.47938025447496</v>
      </c>
      <c r="CB148">
        <v>254.47938025447496</v>
      </c>
      <c r="CC148">
        <v>254.47938025447496</v>
      </c>
      <c r="CD148">
        <v>254.47938025447496</v>
      </c>
      <c r="CE148">
        <v>254.47938025447496</v>
      </c>
      <c r="CF148">
        <v>254.47938025447496</v>
      </c>
      <c r="CG148">
        <v>254.47938025447496</v>
      </c>
      <c r="CH148">
        <f t="shared" si="43"/>
        <v>0.17527237723266825</v>
      </c>
      <c r="CI148">
        <f t="shared" si="44"/>
        <v>-1.4514100890036261</v>
      </c>
      <c r="CJ148">
        <f t="shared" si="45"/>
        <v>-0.84935009767566383</v>
      </c>
      <c r="CK148">
        <f t="shared" si="46"/>
        <v>0.69195173043145974</v>
      </c>
      <c r="CL148">
        <f t="shared" si="47"/>
        <v>0.84427915819124388</v>
      </c>
      <c r="CM148">
        <f t="shared" si="48"/>
        <v>1.0025873668688985</v>
      </c>
      <c r="CN148">
        <f t="shared" si="49"/>
        <v>-1.1503800933396451</v>
      </c>
      <c r="CO148" s="2">
        <f t="shared" si="50"/>
        <v>0.73704964729466449</v>
      </c>
      <c r="CP148">
        <v>-0.46645042807369402</v>
      </c>
      <c r="CQ148">
        <v>0.51155525813157299</v>
      </c>
      <c r="CR148">
        <v>-1.2996473540322899</v>
      </c>
      <c r="CS148">
        <v>0.39342582225758499</v>
      </c>
      <c r="CT148">
        <v>0.46275213137295801</v>
      </c>
      <c r="CU148">
        <v>0.46807231223157297</v>
      </c>
      <c r="CV148">
        <v>-0.40900973032875498</v>
      </c>
      <c r="CW148">
        <v>0.54004830242442403</v>
      </c>
      <c r="CX148" t="s">
        <v>1826</v>
      </c>
    </row>
    <row r="149" spans="1:102" x14ac:dyDescent="0.35">
      <c r="A149" t="s">
        <v>399</v>
      </c>
      <c r="B149" t="s">
        <v>148</v>
      </c>
      <c r="C149" t="s">
        <v>301</v>
      </c>
      <c r="D149" t="s">
        <v>72</v>
      </c>
      <c r="E149" t="s">
        <v>72</v>
      </c>
      <c r="F149" t="s">
        <v>72</v>
      </c>
      <c r="G149" t="s">
        <v>73</v>
      </c>
      <c r="H149" t="s">
        <v>109</v>
      </c>
      <c r="I149" t="s">
        <v>110</v>
      </c>
      <c r="J149" t="s">
        <v>111</v>
      </c>
      <c r="K149" t="s">
        <v>112</v>
      </c>
      <c r="L149" t="s">
        <v>113</v>
      </c>
      <c r="M149" t="s">
        <v>114</v>
      </c>
      <c r="N149">
        <v>48</v>
      </c>
      <c r="O149" t="s">
        <v>80</v>
      </c>
      <c r="P149">
        <v>621</v>
      </c>
      <c r="Q149">
        <v>0.68400000000000005</v>
      </c>
      <c r="R149">
        <v>175</v>
      </c>
      <c r="S149">
        <v>0.81130000000000002</v>
      </c>
      <c r="T149" t="s">
        <v>115</v>
      </c>
      <c r="U149" t="s">
        <v>116</v>
      </c>
      <c r="V149" t="s">
        <v>117</v>
      </c>
      <c r="W149" t="s">
        <v>118</v>
      </c>
      <c r="X149" t="s">
        <v>119</v>
      </c>
      <c r="Y149" t="s">
        <v>120</v>
      </c>
      <c r="Z149" t="s">
        <v>121</v>
      </c>
      <c r="AA149" t="s">
        <v>88</v>
      </c>
      <c r="AB149">
        <v>620</v>
      </c>
      <c r="AC149">
        <v>4</v>
      </c>
      <c r="AE149">
        <v>1</v>
      </c>
      <c r="AF149" t="s">
        <v>89</v>
      </c>
      <c r="AG149" t="s">
        <v>400</v>
      </c>
      <c r="AH149" t="s">
        <v>72</v>
      </c>
      <c r="AI149" t="s">
        <v>72</v>
      </c>
      <c r="AJ149" t="s">
        <v>91</v>
      </c>
      <c r="AK149" t="s">
        <v>92</v>
      </c>
      <c r="AL149" t="s">
        <v>93</v>
      </c>
      <c r="AM149" t="s">
        <v>94</v>
      </c>
      <c r="AN149" t="s">
        <v>401</v>
      </c>
      <c r="AO149" t="s">
        <v>402</v>
      </c>
      <c r="AP149" t="s">
        <v>97</v>
      </c>
      <c r="AQ149">
        <v>39</v>
      </c>
      <c r="AR149" t="s">
        <v>80</v>
      </c>
      <c r="AS149">
        <v>1341</v>
      </c>
      <c r="AT149">
        <v>0.96179999999999999</v>
      </c>
      <c r="AU149">
        <v>163</v>
      </c>
      <c r="AV149">
        <v>0.92110000000000003</v>
      </c>
      <c r="AW149" t="s">
        <v>98</v>
      </c>
      <c r="AX149" t="s">
        <v>135</v>
      </c>
      <c r="AY149" t="s">
        <v>306</v>
      </c>
      <c r="AZ149" t="s">
        <v>307</v>
      </c>
      <c r="BA149" t="s">
        <v>128</v>
      </c>
      <c r="BB149" t="s">
        <v>103</v>
      </c>
      <c r="BC149" t="s">
        <v>104</v>
      </c>
      <c r="BD149" t="s">
        <v>105</v>
      </c>
      <c r="BE149">
        <v>30311</v>
      </c>
      <c r="BF149" t="s">
        <v>106</v>
      </c>
      <c r="BG149">
        <v>501</v>
      </c>
      <c r="BH149" t="s">
        <v>80</v>
      </c>
      <c r="BI149">
        <v>1</v>
      </c>
      <c r="BJ149">
        <v>57</v>
      </c>
      <c r="BK149">
        <v>0</v>
      </c>
      <c r="BL149">
        <v>10</v>
      </c>
      <c r="BM149">
        <v>235</v>
      </c>
      <c r="BN149">
        <v>264</v>
      </c>
      <c r="BO149">
        <v>428</v>
      </c>
      <c r="BP149">
        <v>5</v>
      </c>
      <c r="BQ149" s="2">
        <v>259</v>
      </c>
      <c r="BR149">
        <f t="shared" si="34"/>
        <v>58</v>
      </c>
      <c r="BS149">
        <f t="shared" si="35"/>
        <v>1</v>
      </c>
      <c r="BT149">
        <f t="shared" si="36"/>
        <v>11</v>
      </c>
      <c r="BU149">
        <f t="shared" si="37"/>
        <v>236</v>
      </c>
      <c r="BV149">
        <f t="shared" si="38"/>
        <v>265</v>
      </c>
      <c r="BW149">
        <f t="shared" si="39"/>
        <v>429</v>
      </c>
      <c r="BX149">
        <f t="shared" si="40"/>
        <v>6</v>
      </c>
      <c r="BY149" s="2">
        <f t="shared" si="41"/>
        <v>260</v>
      </c>
      <c r="BZ149">
        <f t="shared" si="42"/>
        <v>47.67822247190422</v>
      </c>
      <c r="CA149">
        <v>47.67822247190422</v>
      </c>
      <c r="CB149">
        <v>47.67822247190422</v>
      </c>
      <c r="CC149">
        <v>47.67822247190422</v>
      </c>
      <c r="CD149">
        <v>47.67822247190422</v>
      </c>
      <c r="CE149">
        <v>47.67822247190422</v>
      </c>
      <c r="CF149">
        <v>47.67822247190422</v>
      </c>
      <c r="CG149">
        <v>47.67822247190422</v>
      </c>
      <c r="CH149">
        <f t="shared" si="43"/>
        <v>8.5107937792029451E-2</v>
      </c>
      <c r="CI149">
        <f t="shared" si="44"/>
        <v>-1.6783200557709077</v>
      </c>
      <c r="CJ149">
        <f t="shared" si="45"/>
        <v>-0.63692737061268279</v>
      </c>
      <c r="CK149">
        <f t="shared" si="46"/>
        <v>0.69459194719919881</v>
      </c>
      <c r="CL149">
        <f t="shared" si="47"/>
        <v>0.74492581816590009</v>
      </c>
      <c r="CM149">
        <f t="shared" si="48"/>
        <v>0.95413723641381643</v>
      </c>
      <c r="CN149">
        <f t="shared" si="49"/>
        <v>-0.90016880538726418</v>
      </c>
      <c r="CO149" s="2">
        <f t="shared" si="50"/>
        <v>0.73665329219991016</v>
      </c>
      <c r="CP149">
        <v>-0.57477690220783395</v>
      </c>
      <c r="CQ149">
        <v>-2.2527165794045199</v>
      </c>
      <c r="CR149">
        <v>-0.35056863568886698</v>
      </c>
      <c r="CS149">
        <v>0.401205088699079</v>
      </c>
      <c r="CT149">
        <v>0.18619067146593399</v>
      </c>
      <c r="CU149">
        <v>0.3281583175476</v>
      </c>
      <c r="CV149">
        <v>0.262050386510566</v>
      </c>
      <c r="CW149">
        <v>0.538959652362625</v>
      </c>
      <c r="CX149" t="s">
        <v>1826</v>
      </c>
    </row>
    <row r="150" spans="1:102" x14ac:dyDescent="0.35">
      <c r="A150" t="s">
        <v>1608</v>
      </c>
      <c r="B150" t="s">
        <v>178</v>
      </c>
      <c r="C150" t="s">
        <v>1609</v>
      </c>
      <c r="D150" t="s">
        <v>72</v>
      </c>
      <c r="E150" t="s">
        <v>72</v>
      </c>
      <c r="F150" t="s">
        <v>72</v>
      </c>
      <c r="G150" t="s">
        <v>73</v>
      </c>
      <c r="H150" t="s">
        <v>109</v>
      </c>
      <c r="I150" t="s">
        <v>110</v>
      </c>
      <c r="J150" t="s">
        <v>111</v>
      </c>
      <c r="K150" t="s">
        <v>1610</v>
      </c>
      <c r="L150" t="s">
        <v>1611</v>
      </c>
      <c r="M150" t="s">
        <v>114</v>
      </c>
      <c r="N150">
        <v>48</v>
      </c>
      <c r="O150" t="s">
        <v>80</v>
      </c>
      <c r="P150">
        <v>612</v>
      </c>
      <c r="Q150">
        <v>0.68059999999999998</v>
      </c>
      <c r="R150">
        <v>175</v>
      </c>
      <c r="S150">
        <v>0.81130000000000002</v>
      </c>
      <c r="T150" t="s">
        <v>115</v>
      </c>
      <c r="U150" t="s">
        <v>116</v>
      </c>
      <c r="V150" t="s">
        <v>1612</v>
      </c>
      <c r="W150" t="s">
        <v>118</v>
      </c>
      <c r="X150" t="s">
        <v>119</v>
      </c>
      <c r="Y150" t="s">
        <v>120</v>
      </c>
      <c r="Z150" t="s">
        <v>121</v>
      </c>
      <c r="AA150" t="s">
        <v>88</v>
      </c>
      <c r="AB150">
        <v>452</v>
      </c>
      <c r="AC150">
        <v>8</v>
      </c>
      <c r="AE150">
        <v>1</v>
      </c>
      <c r="AF150" t="s">
        <v>159</v>
      </c>
      <c r="AG150" t="s">
        <v>1613</v>
      </c>
      <c r="AH150" t="s">
        <v>72</v>
      </c>
      <c r="AI150" t="s">
        <v>72</v>
      </c>
      <c r="AJ150" t="s">
        <v>91</v>
      </c>
      <c r="AK150" t="s">
        <v>92</v>
      </c>
      <c r="AL150" t="s">
        <v>93</v>
      </c>
      <c r="AM150" t="s">
        <v>94</v>
      </c>
      <c r="AN150" t="s">
        <v>1614</v>
      </c>
      <c r="AO150" t="s">
        <v>1615</v>
      </c>
      <c r="AP150" t="s">
        <v>97</v>
      </c>
      <c r="AQ150">
        <v>39</v>
      </c>
      <c r="AR150" t="s">
        <v>80</v>
      </c>
      <c r="AS150">
        <v>1341</v>
      </c>
      <c r="AT150">
        <v>0.96179999999999999</v>
      </c>
      <c r="AU150">
        <v>172</v>
      </c>
      <c r="AV150">
        <v>0.94740000000000002</v>
      </c>
      <c r="AW150" t="s">
        <v>98</v>
      </c>
      <c r="AX150" t="s">
        <v>1616</v>
      </c>
      <c r="AY150" t="s">
        <v>127</v>
      </c>
      <c r="AZ150" t="s">
        <v>101</v>
      </c>
      <c r="BA150" t="s">
        <v>933</v>
      </c>
      <c r="BB150" t="s">
        <v>103</v>
      </c>
      <c r="BC150" t="s">
        <v>104</v>
      </c>
      <c r="BD150" t="s">
        <v>105</v>
      </c>
      <c r="BE150">
        <v>694</v>
      </c>
      <c r="BF150" t="s">
        <v>106</v>
      </c>
      <c r="BG150">
        <v>11</v>
      </c>
      <c r="BH150" t="s">
        <v>80</v>
      </c>
      <c r="BI150">
        <v>1</v>
      </c>
      <c r="BJ150">
        <v>409</v>
      </c>
      <c r="BK150">
        <v>7</v>
      </c>
      <c r="BL150">
        <v>43</v>
      </c>
      <c r="BM150">
        <v>1293</v>
      </c>
      <c r="BN150">
        <v>1823</v>
      </c>
      <c r="BO150">
        <v>2701</v>
      </c>
      <c r="BP150">
        <v>11</v>
      </c>
      <c r="BQ150" s="2">
        <v>1357</v>
      </c>
      <c r="BR150">
        <f t="shared" si="34"/>
        <v>410</v>
      </c>
      <c r="BS150">
        <f t="shared" si="35"/>
        <v>8</v>
      </c>
      <c r="BT150">
        <f t="shared" si="36"/>
        <v>44</v>
      </c>
      <c r="BU150">
        <f t="shared" si="37"/>
        <v>1294</v>
      </c>
      <c r="BV150">
        <f t="shared" si="38"/>
        <v>1824</v>
      </c>
      <c r="BW150">
        <f t="shared" si="39"/>
        <v>2702</v>
      </c>
      <c r="BX150">
        <f t="shared" si="40"/>
        <v>12</v>
      </c>
      <c r="BY150" s="2">
        <f t="shared" si="41"/>
        <v>1358</v>
      </c>
      <c r="BZ150">
        <f t="shared" si="42"/>
        <v>249.46320570127125</v>
      </c>
      <c r="CA150">
        <v>249.46320570127125</v>
      </c>
      <c r="CB150">
        <v>249.46320570127125</v>
      </c>
      <c r="CC150">
        <v>249.46320570127125</v>
      </c>
      <c r="CD150">
        <v>249.46320570127125</v>
      </c>
      <c r="CE150">
        <v>249.46320570127125</v>
      </c>
      <c r="CF150">
        <v>249.46320570127125</v>
      </c>
      <c r="CG150">
        <v>249.46320570127125</v>
      </c>
      <c r="CH150">
        <f t="shared" si="43"/>
        <v>0.21577735781960242</v>
      </c>
      <c r="CI150">
        <f t="shared" si="44"/>
        <v>-1.4939165119081894</v>
      </c>
      <c r="CJ150">
        <f t="shared" si="45"/>
        <v>-0.75355382241394575</v>
      </c>
      <c r="CK150">
        <f t="shared" si="46"/>
        <v>0.71492777743254854</v>
      </c>
      <c r="CL150">
        <f t="shared" si="47"/>
        <v>0.86401833509226422</v>
      </c>
      <c r="CM150">
        <f t="shared" si="48"/>
        <v>1.0346788457858787</v>
      </c>
      <c r="CN150">
        <f t="shared" si="49"/>
        <v>-1.3178252528525083</v>
      </c>
      <c r="CO150" s="2">
        <f t="shared" si="50"/>
        <v>0.73589327104434976</v>
      </c>
      <c r="CP150">
        <v>-0.41778643416351102</v>
      </c>
      <c r="CQ150">
        <v>0.38598259271766</v>
      </c>
      <c r="CR150">
        <v>-0.87164133318637205</v>
      </c>
      <c r="CS150">
        <v>0.46112359373519901</v>
      </c>
      <c r="CT150">
        <v>0.51769840272847201</v>
      </c>
      <c r="CU150">
        <v>0.56074589160931898</v>
      </c>
      <c r="CV150">
        <v>-0.85809325979871898</v>
      </c>
      <c r="CW150">
        <v>0.53687213768470299</v>
      </c>
      <c r="CX150" t="s">
        <v>1826</v>
      </c>
    </row>
    <row r="151" spans="1:102" x14ac:dyDescent="0.35">
      <c r="A151" t="s">
        <v>107</v>
      </c>
      <c r="B151" t="s">
        <v>70</v>
      </c>
      <c r="C151" t="s">
        <v>108</v>
      </c>
      <c r="D151" t="s">
        <v>72</v>
      </c>
      <c r="E151" t="s">
        <v>72</v>
      </c>
      <c r="F151" t="s">
        <v>72</v>
      </c>
      <c r="G151" t="s">
        <v>73</v>
      </c>
      <c r="H151" t="s">
        <v>109</v>
      </c>
      <c r="I151" t="s">
        <v>110</v>
      </c>
      <c r="J151" t="s">
        <v>111</v>
      </c>
      <c r="K151" t="s">
        <v>112</v>
      </c>
      <c r="L151" t="s">
        <v>113</v>
      </c>
      <c r="M151" t="s">
        <v>114</v>
      </c>
      <c r="N151">
        <v>48</v>
      </c>
      <c r="O151" t="s">
        <v>80</v>
      </c>
      <c r="P151">
        <v>621</v>
      </c>
      <c r="Q151">
        <v>0.68400000000000005</v>
      </c>
      <c r="R151">
        <v>175</v>
      </c>
      <c r="S151">
        <v>0.81130000000000002</v>
      </c>
      <c r="T151" t="s">
        <v>115</v>
      </c>
      <c r="U151" t="s">
        <v>116</v>
      </c>
      <c r="V151" t="s">
        <v>117</v>
      </c>
      <c r="W151" t="s">
        <v>118</v>
      </c>
      <c r="X151" t="s">
        <v>119</v>
      </c>
      <c r="Y151" t="s">
        <v>120</v>
      </c>
      <c r="Z151" t="s">
        <v>121</v>
      </c>
      <c r="AA151" t="s">
        <v>88</v>
      </c>
      <c r="AB151">
        <v>441</v>
      </c>
      <c r="AC151">
        <v>7</v>
      </c>
      <c r="AE151">
        <v>1</v>
      </c>
      <c r="AF151" t="s">
        <v>89</v>
      </c>
      <c r="AG151" t="s">
        <v>122</v>
      </c>
      <c r="AH151" t="s">
        <v>72</v>
      </c>
      <c r="AI151" t="s">
        <v>72</v>
      </c>
      <c r="AJ151" t="s">
        <v>91</v>
      </c>
      <c r="AK151" t="s">
        <v>92</v>
      </c>
      <c r="AL151" t="s">
        <v>93</v>
      </c>
      <c r="AM151" t="s">
        <v>94</v>
      </c>
      <c r="AN151" t="s">
        <v>123</v>
      </c>
      <c r="AO151" t="s">
        <v>124</v>
      </c>
      <c r="AP151" t="s">
        <v>97</v>
      </c>
      <c r="AQ151">
        <v>39</v>
      </c>
      <c r="AR151" t="s">
        <v>80</v>
      </c>
      <c r="AS151">
        <v>1332</v>
      </c>
      <c r="AT151">
        <v>0.95830000000000004</v>
      </c>
      <c r="AU151">
        <v>172</v>
      </c>
      <c r="AV151">
        <v>0.94740000000000002</v>
      </c>
      <c r="AW151" t="s">
        <v>125</v>
      </c>
      <c r="AX151" t="s">
        <v>126</v>
      </c>
      <c r="AY151" t="s">
        <v>127</v>
      </c>
      <c r="AZ151" t="s">
        <v>101</v>
      </c>
      <c r="BA151" t="s">
        <v>128</v>
      </c>
      <c r="BB151" t="s">
        <v>103</v>
      </c>
      <c r="BC151" t="s">
        <v>104</v>
      </c>
      <c r="BD151" t="s">
        <v>105</v>
      </c>
      <c r="BE151">
        <v>65414</v>
      </c>
      <c r="BF151" t="s">
        <v>106</v>
      </c>
      <c r="BG151">
        <v>668</v>
      </c>
      <c r="BH151" t="s">
        <v>80</v>
      </c>
      <c r="BI151">
        <v>1</v>
      </c>
      <c r="BJ151">
        <v>74</v>
      </c>
      <c r="BK151">
        <v>4</v>
      </c>
      <c r="BL151">
        <v>33</v>
      </c>
      <c r="BM151">
        <v>987</v>
      </c>
      <c r="BN151">
        <v>1276</v>
      </c>
      <c r="BO151">
        <v>1788</v>
      </c>
      <c r="BP151">
        <v>7</v>
      </c>
      <c r="BQ151" s="2">
        <v>777</v>
      </c>
      <c r="BR151">
        <f t="shared" si="34"/>
        <v>75</v>
      </c>
      <c r="BS151">
        <f t="shared" si="35"/>
        <v>5</v>
      </c>
      <c r="BT151">
        <f t="shared" si="36"/>
        <v>34</v>
      </c>
      <c r="BU151">
        <f t="shared" si="37"/>
        <v>988</v>
      </c>
      <c r="BV151">
        <f t="shared" si="38"/>
        <v>1277</v>
      </c>
      <c r="BW151">
        <f t="shared" si="39"/>
        <v>1789</v>
      </c>
      <c r="BX151">
        <f t="shared" si="40"/>
        <v>8</v>
      </c>
      <c r="BY151" s="2">
        <f t="shared" si="41"/>
        <v>778</v>
      </c>
      <c r="BZ151">
        <f t="shared" si="42"/>
        <v>143.43074159391227</v>
      </c>
      <c r="CA151">
        <v>143.43074159391227</v>
      </c>
      <c r="CB151">
        <v>143.43074159391227</v>
      </c>
      <c r="CC151">
        <v>143.43074159391227</v>
      </c>
      <c r="CD151">
        <v>143.43074159391227</v>
      </c>
      <c r="CE151">
        <v>143.43074159391227</v>
      </c>
      <c r="CF151">
        <v>143.43074159391227</v>
      </c>
      <c r="CG151">
        <v>143.43074159391227</v>
      </c>
      <c r="CH151">
        <f t="shared" si="43"/>
        <v>-0.28158098050455282</v>
      </c>
      <c r="CI151">
        <f t="shared" si="44"/>
        <v>-1.457672239560234</v>
      </c>
      <c r="CJ151">
        <f t="shared" si="45"/>
        <v>-0.62516332685399778</v>
      </c>
      <c r="CK151">
        <f t="shared" si="46"/>
        <v>0.83811470069137528</v>
      </c>
      <c r="CL151">
        <f t="shared" si="47"/>
        <v>0.94954865336716243</v>
      </c>
      <c r="CM151">
        <f t="shared" si="48"/>
        <v>1.0959680966711201</v>
      </c>
      <c r="CN151">
        <f t="shared" si="49"/>
        <v>-1.2535522569043094</v>
      </c>
      <c r="CO151" s="2">
        <f t="shared" si="50"/>
        <v>0.73433735309343595</v>
      </c>
      <c r="CP151">
        <v>-1.0153288301026699</v>
      </c>
      <c r="CQ151">
        <v>0.49305558483791501</v>
      </c>
      <c r="CR151">
        <v>-0.29800832951353701</v>
      </c>
      <c r="CS151">
        <v>0.82408769192890496</v>
      </c>
      <c r="CT151">
        <v>0.75578189023261</v>
      </c>
      <c r="CU151">
        <v>0.73773662088077796</v>
      </c>
      <c r="CV151">
        <v>-0.68571476910960105</v>
      </c>
      <c r="CW151">
        <v>0.53259857038146197</v>
      </c>
      <c r="CX151" t="s">
        <v>1826</v>
      </c>
    </row>
    <row r="152" spans="1:102" x14ac:dyDescent="0.35">
      <c r="A152" t="s">
        <v>1317</v>
      </c>
      <c r="B152" t="s">
        <v>231</v>
      </c>
      <c r="C152" t="s">
        <v>301</v>
      </c>
      <c r="D152" t="s">
        <v>72</v>
      </c>
      <c r="E152" t="s">
        <v>72</v>
      </c>
      <c r="F152" t="s">
        <v>72</v>
      </c>
      <c r="G152" t="s">
        <v>73</v>
      </c>
      <c r="H152" t="s">
        <v>109</v>
      </c>
      <c r="I152" t="s">
        <v>110</v>
      </c>
      <c r="J152" t="s">
        <v>111</v>
      </c>
      <c r="K152" t="s">
        <v>112</v>
      </c>
      <c r="L152" t="s">
        <v>113</v>
      </c>
      <c r="M152" t="s">
        <v>114</v>
      </c>
      <c r="N152">
        <v>48</v>
      </c>
      <c r="O152" t="s">
        <v>80</v>
      </c>
      <c r="P152">
        <v>621</v>
      </c>
      <c r="Q152">
        <v>0.68400000000000005</v>
      </c>
      <c r="R152">
        <v>175</v>
      </c>
      <c r="S152">
        <v>0.81130000000000002</v>
      </c>
      <c r="T152" t="s">
        <v>115</v>
      </c>
      <c r="U152" t="s">
        <v>116</v>
      </c>
      <c r="V152" t="s">
        <v>117</v>
      </c>
      <c r="W152" t="s">
        <v>118</v>
      </c>
      <c r="X152" t="s">
        <v>119</v>
      </c>
      <c r="Y152" t="s">
        <v>120</v>
      </c>
      <c r="Z152" t="s">
        <v>121</v>
      </c>
      <c r="AA152" t="s">
        <v>88</v>
      </c>
      <c r="AB152">
        <v>734</v>
      </c>
      <c r="AC152">
        <v>2</v>
      </c>
      <c r="AE152">
        <v>1</v>
      </c>
      <c r="AF152" t="s">
        <v>89</v>
      </c>
      <c r="AG152" t="s">
        <v>1318</v>
      </c>
      <c r="AH152" t="s">
        <v>72</v>
      </c>
      <c r="AI152" t="s">
        <v>72</v>
      </c>
      <c r="AJ152" t="s">
        <v>91</v>
      </c>
      <c r="AK152" t="s">
        <v>92</v>
      </c>
      <c r="AL152" t="s">
        <v>93</v>
      </c>
      <c r="AM152" t="s">
        <v>94</v>
      </c>
      <c r="AN152" t="s">
        <v>737</v>
      </c>
      <c r="AO152" t="s">
        <v>738</v>
      </c>
      <c r="AP152" t="s">
        <v>97</v>
      </c>
      <c r="AQ152">
        <v>39</v>
      </c>
      <c r="AR152" t="s">
        <v>80</v>
      </c>
      <c r="AS152">
        <v>1350</v>
      </c>
      <c r="AT152">
        <v>0.96530000000000005</v>
      </c>
      <c r="AU152">
        <v>172</v>
      </c>
      <c r="AV152">
        <v>0.94740000000000002</v>
      </c>
      <c r="AW152" t="s">
        <v>644</v>
      </c>
      <c r="AX152" t="s">
        <v>146</v>
      </c>
      <c r="AY152" t="s">
        <v>127</v>
      </c>
      <c r="AZ152" t="s">
        <v>101</v>
      </c>
      <c r="BA152" t="s">
        <v>128</v>
      </c>
      <c r="BB152" t="s">
        <v>103</v>
      </c>
      <c r="BC152" t="s">
        <v>104</v>
      </c>
      <c r="BD152" t="s">
        <v>105</v>
      </c>
      <c r="BE152">
        <v>30342</v>
      </c>
      <c r="BF152" t="s">
        <v>106</v>
      </c>
      <c r="BG152">
        <v>382</v>
      </c>
      <c r="BH152" t="s">
        <v>80</v>
      </c>
      <c r="BI152">
        <v>1</v>
      </c>
      <c r="BJ152">
        <v>76</v>
      </c>
      <c r="BK152">
        <v>0</v>
      </c>
      <c r="BL152">
        <v>13</v>
      </c>
      <c r="BM152">
        <v>318</v>
      </c>
      <c r="BN152">
        <v>449</v>
      </c>
      <c r="BO152">
        <v>625</v>
      </c>
      <c r="BP152">
        <v>5</v>
      </c>
      <c r="BQ152" s="2">
        <v>328</v>
      </c>
      <c r="BR152">
        <f t="shared" si="34"/>
        <v>77</v>
      </c>
      <c r="BS152">
        <f t="shared" si="35"/>
        <v>1</v>
      </c>
      <c r="BT152">
        <f t="shared" si="36"/>
        <v>14</v>
      </c>
      <c r="BU152">
        <f t="shared" si="37"/>
        <v>319</v>
      </c>
      <c r="BV152">
        <f t="shared" si="38"/>
        <v>450</v>
      </c>
      <c r="BW152">
        <f t="shared" si="39"/>
        <v>626</v>
      </c>
      <c r="BX152">
        <f t="shared" si="40"/>
        <v>6</v>
      </c>
      <c r="BY152" s="2">
        <f t="shared" si="41"/>
        <v>329</v>
      </c>
      <c r="BZ152">
        <f t="shared" si="42"/>
        <v>60.980773655353488</v>
      </c>
      <c r="CA152">
        <v>60.980773655353488</v>
      </c>
      <c r="CB152">
        <v>60.980773655353488</v>
      </c>
      <c r="CC152">
        <v>60.980773655353488</v>
      </c>
      <c r="CD152">
        <v>60.980773655353488</v>
      </c>
      <c r="CE152">
        <v>60.980773655353488</v>
      </c>
      <c r="CF152">
        <v>60.980773655353488</v>
      </c>
      <c r="CG152">
        <v>60.980773655353488</v>
      </c>
      <c r="CH152">
        <f t="shared" si="43"/>
        <v>0.10129779526907036</v>
      </c>
      <c r="CI152">
        <f t="shared" si="44"/>
        <v>-1.7851929299034115</v>
      </c>
      <c r="CJ152">
        <f t="shared" si="45"/>
        <v>-0.63906489422517354</v>
      </c>
      <c r="CK152">
        <f t="shared" si="46"/>
        <v>0.71859775315376961</v>
      </c>
      <c r="CL152">
        <f t="shared" si="47"/>
        <v>0.86801958387193212</v>
      </c>
      <c r="CM152">
        <f t="shared" si="48"/>
        <v>1.0113814033070181</v>
      </c>
      <c r="CN152">
        <f t="shared" si="49"/>
        <v>-1.0070416795197679</v>
      </c>
      <c r="CO152" s="2">
        <f t="shared" si="50"/>
        <v>0.73200296804656273</v>
      </c>
      <c r="CP152">
        <v>-0.55532588373422898</v>
      </c>
      <c r="CQ152">
        <v>-2.2527165794045199</v>
      </c>
      <c r="CR152">
        <v>-0.36011882929865902</v>
      </c>
      <c r="CS152">
        <v>0.47193699334618699</v>
      </c>
      <c r="CT152">
        <v>0.52883633934614305</v>
      </c>
      <c r="CU152">
        <v>0.49346767764951399</v>
      </c>
      <c r="CV152">
        <v>-2.4579861026312301E-2</v>
      </c>
      <c r="CW152">
        <v>0.52618682379570203</v>
      </c>
      <c r="CX152" t="s">
        <v>1826</v>
      </c>
    </row>
    <row r="153" spans="1:102" x14ac:dyDescent="0.35">
      <c r="A153" t="s">
        <v>271</v>
      </c>
      <c r="B153" t="s">
        <v>148</v>
      </c>
      <c r="C153" t="s">
        <v>108</v>
      </c>
      <c r="D153" t="s">
        <v>72</v>
      </c>
      <c r="E153" t="s">
        <v>72</v>
      </c>
      <c r="F153" t="s">
        <v>72</v>
      </c>
      <c r="G153" t="s">
        <v>73</v>
      </c>
      <c r="H153" t="s">
        <v>109</v>
      </c>
      <c r="I153" t="s">
        <v>110</v>
      </c>
      <c r="J153" t="s">
        <v>111</v>
      </c>
      <c r="K153" t="s">
        <v>112</v>
      </c>
      <c r="L153" t="s">
        <v>113</v>
      </c>
      <c r="M153" t="s">
        <v>114</v>
      </c>
      <c r="N153">
        <v>48</v>
      </c>
      <c r="O153" t="s">
        <v>80</v>
      </c>
      <c r="P153">
        <v>621</v>
      </c>
      <c r="Q153">
        <v>0.68400000000000005</v>
      </c>
      <c r="R153">
        <v>175</v>
      </c>
      <c r="S153">
        <v>0.81130000000000002</v>
      </c>
      <c r="T153" t="s">
        <v>115</v>
      </c>
      <c r="U153" t="s">
        <v>116</v>
      </c>
      <c r="V153" t="s">
        <v>117</v>
      </c>
      <c r="W153" t="s">
        <v>118</v>
      </c>
      <c r="X153" t="s">
        <v>119</v>
      </c>
      <c r="Y153" t="s">
        <v>120</v>
      </c>
      <c r="Z153" t="s">
        <v>121</v>
      </c>
      <c r="AA153" t="s">
        <v>88</v>
      </c>
      <c r="AB153">
        <v>1115</v>
      </c>
      <c r="AC153">
        <v>9</v>
      </c>
      <c r="AE153">
        <v>1</v>
      </c>
      <c r="AF153" t="s">
        <v>89</v>
      </c>
      <c r="AG153" t="s">
        <v>272</v>
      </c>
      <c r="AH153" t="s">
        <v>72</v>
      </c>
      <c r="AI153" t="s">
        <v>72</v>
      </c>
      <c r="AJ153" t="s">
        <v>91</v>
      </c>
      <c r="AK153" t="s">
        <v>92</v>
      </c>
      <c r="AL153" t="s">
        <v>93</v>
      </c>
      <c r="AM153" t="s">
        <v>94</v>
      </c>
      <c r="AN153" t="s">
        <v>273</v>
      </c>
      <c r="AO153" t="s">
        <v>274</v>
      </c>
      <c r="AP153" t="s">
        <v>97</v>
      </c>
      <c r="AQ153">
        <v>39</v>
      </c>
      <c r="AR153" t="s">
        <v>80</v>
      </c>
      <c r="AS153">
        <v>1341</v>
      </c>
      <c r="AT153">
        <v>0.96179999999999999</v>
      </c>
      <c r="AU153">
        <v>172</v>
      </c>
      <c r="AV153">
        <v>0.94740000000000002</v>
      </c>
      <c r="AW153" t="s">
        <v>275</v>
      </c>
      <c r="AX153" t="s">
        <v>146</v>
      </c>
      <c r="AY153" t="s">
        <v>127</v>
      </c>
      <c r="AZ153" t="s">
        <v>101</v>
      </c>
      <c r="BA153" t="s">
        <v>276</v>
      </c>
      <c r="BB153" t="s">
        <v>103</v>
      </c>
      <c r="BC153" t="s">
        <v>104</v>
      </c>
      <c r="BD153" t="s">
        <v>105</v>
      </c>
      <c r="BE153">
        <v>94638</v>
      </c>
      <c r="BF153" t="s">
        <v>106</v>
      </c>
      <c r="BG153">
        <v>1161</v>
      </c>
      <c r="BH153" t="s">
        <v>80</v>
      </c>
      <c r="BI153">
        <v>1</v>
      </c>
      <c r="BJ153">
        <v>103</v>
      </c>
      <c r="BK153">
        <v>0</v>
      </c>
      <c r="BL153">
        <v>17</v>
      </c>
      <c r="BM153">
        <v>354</v>
      </c>
      <c r="BN153">
        <v>586</v>
      </c>
      <c r="BO153">
        <v>806</v>
      </c>
      <c r="BP153">
        <v>5</v>
      </c>
      <c r="BQ153" s="2">
        <v>388</v>
      </c>
      <c r="BR153">
        <f t="shared" si="34"/>
        <v>104</v>
      </c>
      <c r="BS153">
        <f t="shared" si="35"/>
        <v>1</v>
      </c>
      <c r="BT153">
        <f t="shared" si="36"/>
        <v>18</v>
      </c>
      <c r="BU153">
        <f t="shared" si="37"/>
        <v>355</v>
      </c>
      <c r="BV153">
        <f t="shared" si="38"/>
        <v>587</v>
      </c>
      <c r="BW153">
        <f t="shared" si="39"/>
        <v>807</v>
      </c>
      <c r="BX153">
        <f t="shared" si="40"/>
        <v>6</v>
      </c>
      <c r="BY153" s="2">
        <f t="shared" si="41"/>
        <v>389</v>
      </c>
      <c r="BZ153">
        <f t="shared" si="42"/>
        <v>72.155316439631761</v>
      </c>
      <c r="CA153">
        <v>72.155316439631761</v>
      </c>
      <c r="CB153">
        <v>72.155316439631761</v>
      </c>
      <c r="CC153">
        <v>72.155316439631761</v>
      </c>
      <c r="CD153">
        <v>72.155316439631761</v>
      </c>
      <c r="CE153">
        <v>72.155316439631761</v>
      </c>
      <c r="CF153">
        <v>72.155316439631761</v>
      </c>
      <c r="CG153">
        <v>72.155316439631761</v>
      </c>
      <c r="CH153">
        <f t="shared" si="43"/>
        <v>0.15876500365675325</v>
      </c>
      <c r="CI153">
        <f t="shared" si="44"/>
        <v>-1.8582683356420271</v>
      </c>
      <c r="CJ153">
        <f t="shared" si="45"/>
        <v>-0.60299583053872108</v>
      </c>
      <c r="CK153">
        <f t="shared" si="46"/>
        <v>0.69196001741306701</v>
      </c>
      <c r="CL153">
        <f t="shared" si="47"/>
        <v>0.91036976560558736</v>
      </c>
      <c r="CM153">
        <f t="shared" si="48"/>
        <v>1.0486051990800433</v>
      </c>
      <c r="CN153">
        <f t="shared" si="49"/>
        <v>-1.0801170852583835</v>
      </c>
      <c r="CO153" s="2">
        <f t="shared" si="50"/>
        <v>0.73168126568368064</v>
      </c>
      <c r="CP153">
        <v>-0.48628292065932399</v>
      </c>
      <c r="CQ153">
        <v>-2.2527165794045199</v>
      </c>
      <c r="CR153">
        <v>-0.19896667195329101</v>
      </c>
      <c r="CS153">
        <v>0.39345023943374502</v>
      </c>
      <c r="CT153">
        <v>0.64672294572092404</v>
      </c>
      <c r="CU153">
        <v>0.60096233070793603</v>
      </c>
      <c r="CV153">
        <v>-0.220566184082884</v>
      </c>
      <c r="CW153">
        <v>0.52530321891243603</v>
      </c>
      <c r="CX153" t="s">
        <v>1826</v>
      </c>
    </row>
    <row r="154" spans="1:102" x14ac:dyDescent="0.35">
      <c r="A154" t="s">
        <v>810</v>
      </c>
      <c r="B154" t="s">
        <v>159</v>
      </c>
      <c r="C154" t="s">
        <v>108</v>
      </c>
      <c r="D154" t="s">
        <v>72</v>
      </c>
      <c r="E154" t="s">
        <v>72</v>
      </c>
      <c r="F154" t="s">
        <v>72</v>
      </c>
      <c r="G154" t="s">
        <v>73</v>
      </c>
      <c r="H154" t="s">
        <v>109</v>
      </c>
      <c r="I154" t="s">
        <v>110</v>
      </c>
      <c r="J154" t="s">
        <v>111</v>
      </c>
      <c r="K154" t="s">
        <v>112</v>
      </c>
      <c r="L154" t="s">
        <v>113</v>
      </c>
      <c r="M154" t="s">
        <v>114</v>
      </c>
      <c r="N154">
        <v>48</v>
      </c>
      <c r="O154" t="s">
        <v>80</v>
      </c>
      <c r="P154">
        <v>621</v>
      </c>
      <c r="Q154">
        <v>0.68400000000000005</v>
      </c>
      <c r="R154">
        <v>175</v>
      </c>
      <c r="S154">
        <v>0.81130000000000002</v>
      </c>
      <c r="T154" t="s">
        <v>115</v>
      </c>
      <c r="U154" t="s">
        <v>116</v>
      </c>
      <c r="V154" t="s">
        <v>117</v>
      </c>
      <c r="W154" t="s">
        <v>118</v>
      </c>
      <c r="X154" t="s">
        <v>119</v>
      </c>
      <c r="Y154" t="s">
        <v>120</v>
      </c>
      <c r="Z154" t="s">
        <v>121</v>
      </c>
      <c r="AA154" t="s">
        <v>88</v>
      </c>
      <c r="AB154">
        <v>1234</v>
      </c>
      <c r="AC154">
        <v>11</v>
      </c>
      <c r="AE154">
        <v>1</v>
      </c>
      <c r="AF154" t="s">
        <v>153</v>
      </c>
      <c r="AG154" t="s">
        <v>811</v>
      </c>
      <c r="AH154" t="s">
        <v>72</v>
      </c>
      <c r="AI154" t="s">
        <v>72</v>
      </c>
      <c r="AJ154" t="s">
        <v>91</v>
      </c>
      <c r="AK154" t="s">
        <v>92</v>
      </c>
      <c r="AL154" t="s">
        <v>93</v>
      </c>
      <c r="AM154" t="s">
        <v>94</v>
      </c>
      <c r="AN154" t="s">
        <v>812</v>
      </c>
      <c r="AO154" t="s">
        <v>813</v>
      </c>
      <c r="AP154" t="s">
        <v>243</v>
      </c>
      <c r="AQ154">
        <v>39</v>
      </c>
      <c r="AR154" t="s">
        <v>80</v>
      </c>
      <c r="AS154">
        <v>1341</v>
      </c>
      <c r="AT154">
        <v>0.96179999999999999</v>
      </c>
      <c r="AU154">
        <v>172</v>
      </c>
      <c r="AV154">
        <v>0.94740000000000002</v>
      </c>
      <c r="AW154" t="s">
        <v>814</v>
      </c>
      <c r="AX154" t="s">
        <v>146</v>
      </c>
      <c r="AY154" t="s">
        <v>127</v>
      </c>
      <c r="AZ154" t="s">
        <v>101</v>
      </c>
      <c r="BA154" t="s">
        <v>815</v>
      </c>
      <c r="BB154" t="s">
        <v>103</v>
      </c>
      <c r="BC154" t="s">
        <v>246</v>
      </c>
      <c r="BD154" t="s">
        <v>105</v>
      </c>
      <c r="BE154">
        <v>56110</v>
      </c>
      <c r="BF154" t="s">
        <v>247</v>
      </c>
      <c r="BG154">
        <v>778</v>
      </c>
      <c r="BH154" t="s">
        <v>80</v>
      </c>
      <c r="BI154">
        <v>1</v>
      </c>
      <c r="BJ154">
        <v>93</v>
      </c>
      <c r="BK154">
        <v>6</v>
      </c>
      <c r="BL154">
        <v>44</v>
      </c>
      <c r="BM154">
        <v>1356</v>
      </c>
      <c r="BN154">
        <v>1754</v>
      </c>
      <c r="BO154">
        <v>2372</v>
      </c>
      <c r="BP154">
        <v>29</v>
      </c>
      <c r="BQ154" s="2">
        <v>1197</v>
      </c>
      <c r="BR154">
        <f t="shared" si="34"/>
        <v>94</v>
      </c>
      <c r="BS154">
        <f t="shared" si="35"/>
        <v>7</v>
      </c>
      <c r="BT154">
        <f t="shared" si="36"/>
        <v>45</v>
      </c>
      <c r="BU154">
        <f t="shared" si="37"/>
        <v>1357</v>
      </c>
      <c r="BV154">
        <f t="shared" si="38"/>
        <v>1755</v>
      </c>
      <c r="BW154">
        <f t="shared" si="39"/>
        <v>2373</v>
      </c>
      <c r="BX154">
        <f t="shared" si="40"/>
        <v>30</v>
      </c>
      <c r="BY154" s="2">
        <f t="shared" si="41"/>
        <v>1198</v>
      </c>
      <c r="BZ154">
        <f t="shared" si="42"/>
        <v>222.53401230157272</v>
      </c>
      <c r="CA154">
        <v>222.53401230157272</v>
      </c>
      <c r="CB154">
        <v>222.53401230157272</v>
      </c>
      <c r="CC154">
        <v>222.53401230157272</v>
      </c>
      <c r="CD154">
        <v>222.53401230157272</v>
      </c>
      <c r="CE154">
        <v>222.53401230157272</v>
      </c>
      <c r="CF154">
        <v>222.53401230157272</v>
      </c>
      <c r="CG154">
        <v>222.53401230157272</v>
      </c>
      <c r="CH154">
        <f t="shared" si="43"/>
        <v>-0.37426854475544796</v>
      </c>
      <c r="CI154">
        <f t="shared" si="44"/>
        <v>-1.5022983583408898</v>
      </c>
      <c r="CJ154">
        <f t="shared" si="45"/>
        <v>-0.69418388457980296</v>
      </c>
      <c r="CK154">
        <f t="shared" si="46"/>
        <v>0.7851834493045905</v>
      </c>
      <c r="CL154">
        <f t="shared" si="47"/>
        <v>0.89688072244669625</v>
      </c>
      <c r="CM154">
        <f t="shared" si="48"/>
        <v>1.0279013398621923</v>
      </c>
      <c r="CN154">
        <f t="shared" si="49"/>
        <v>-0.87027514363548419</v>
      </c>
      <c r="CO154" s="2">
        <f t="shared" si="50"/>
        <v>0.73106041969814595</v>
      </c>
      <c r="CP154">
        <v>-1.1266866680005101</v>
      </c>
      <c r="CQ154">
        <v>0.36122090434864601</v>
      </c>
      <c r="CR154">
        <v>-0.60638372498774096</v>
      </c>
      <c r="CS154">
        <v>0.66812841136872503</v>
      </c>
      <c r="CT154">
        <v>0.60917464117655495</v>
      </c>
      <c r="CU154">
        <v>0.54117385085586001</v>
      </c>
      <c r="CV154">
        <v>0.34222440388632203</v>
      </c>
      <c r="CW154">
        <v>0.52359797018606702</v>
      </c>
      <c r="CX154" t="s">
        <v>1826</v>
      </c>
    </row>
    <row r="155" spans="1:102" x14ac:dyDescent="0.35">
      <c r="A155" t="s">
        <v>1170</v>
      </c>
      <c r="B155" t="s">
        <v>211</v>
      </c>
      <c r="C155" t="s">
        <v>1171</v>
      </c>
      <c r="D155" t="s">
        <v>72</v>
      </c>
      <c r="E155" t="s">
        <v>72</v>
      </c>
      <c r="F155" t="s">
        <v>72</v>
      </c>
      <c r="G155" t="s">
        <v>73</v>
      </c>
      <c r="H155" t="s">
        <v>109</v>
      </c>
      <c r="I155" t="s">
        <v>110</v>
      </c>
      <c r="J155" t="s">
        <v>111</v>
      </c>
      <c r="K155" t="s">
        <v>112</v>
      </c>
      <c r="L155" t="s">
        <v>113</v>
      </c>
      <c r="M155" t="s">
        <v>114</v>
      </c>
      <c r="N155">
        <v>48</v>
      </c>
      <c r="O155" t="s">
        <v>80</v>
      </c>
      <c r="P155">
        <v>621</v>
      </c>
      <c r="Q155">
        <v>0.68400000000000005</v>
      </c>
      <c r="R155">
        <v>175</v>
      </c>
      <c r="S155">
        <v>0.81130000000000002</v>
      </c>
      <c r="T155" t="s">
        <v>115</v>
      </c>
      <c r="U155" t="s">
        <v>116</v>
      </c>
      <c r="V155" t="s">
        <v>117</v>
      </c>
      <c r="W155" t="s">
        <v>118</v>
      </c>
      <c r="X155" t="s">
        <v>119</v>
      </c>
      <c r="Y155" t="s">
        <v>120</v>
      </c>
      <c r="Z155" t="s">
        <v>121</v>
      </c>
      <c r="AA155" t="s">
        <v>88</v>
      </c>
      <c r="AB155">
        <v>1574</v>
      </c>
      <c r="AC155">
        <v>13</v>
      </c>
      <c r="AE155">
        <v>1</v>
      </c>
      <c r="AF155" t="s">
        <v>89</v>
      </c>
      <c r="AG155" t="s">
        <v>1172</v>
      </c>
      <c r="AH155" t="s">
        <v>72</v>
      </c>
      <c r="AI155" t="s">
        <v>72</v>
      </c>
      <c r="AJ155" t="s">
        <v>72</v>
      </c>
      <c r="AK155" t="s">
        <v>92</v>
      </c>
      <c r="AL155" t="s">
        <v>93</v>
      </c>
      <c r="AM155" t="s">
        <v>94</v>
      </c>
      <c r="AN155" t="s">
        <v>1173</v>
      </c>
      <c r="AO155" t="s">
        <v>1174</v>
      </c>
      <c r="AP155" t="s">
        <v>97</v>
      </c>
      <c r="AQ155">
        <v>39</v>
      </c>
      <c r="AR155" t="s">
        <v>80</v>
      </c>
      <c r="AS155">
        <v>1263</v>
      </c>
      <c r="AT155">
        <v>0.95289999999999997</v>
      </c>
      <c r="AU155">
        <v>172</v>
      </c>
      <c r="AV155">
        <v>0.94740000000000002</v>
      </c>
      <c r="AW155" t="s">
        <v>1175</v>
      </c>
      <c r="AX155" t="s">
        <v>146</v>
      </c>
      <c r="AY155" t="s">
        <v>1176</v>
      </c>
      <c r="AZ155" t="s">
        <v>101</v>
      </c>
      <c r="BA155" t="s">
        <v>407</v>
      </c>
      <c r="BB155" t="s">
        <v>1177</v>
      </c>
      <c r="BC155" t="s">
        <v>104</v>
      </c>
      <c r="BD155" t="s">
        <v>105</v>
      </c>
      <c r="BE155">
        <v>47466</v>
      </c>
      <c r="BF155" t="s">
        <v>106</v>
      </c>
      <c r="BG155">
        <v>574</v>
      </c>
      <c r="BH155" t="s">
        <v>80</v>
      </c>
      <c r="BI155">
        <v>1</v>
      </c>
      <c r="BJ155">
        <v>108</v>
      </c>
      <c r="BK155">
        <v>4</v>
      </c>
      <c r="BL155">
        <v>23</v>
      </c>
      <c r="BM155">
        <v>985</v>
      </c>
      <c r="BN155">
        <v>973</v>
      </c>
      <c r="BO155">
        <v>1521</v>
      </c>
      <c r="BP155">
        <v>16</v>
      </c>
      <c r="BQ155" s="2">
        <v>806</v>
      </c>
      <c r="BR155">
        <f t="shared" si="34"/>
        <v>109</v>
      </c>
      <c r="BS155">
        <f t="shared" si="35"/>
        <v>5</v>
      </c>
      <c r="BT155">
        <f t="shared" si="36"/>
        <v>24</v>
      </c>
      <c r="BU155">
        <f t="shared" si="37"/>
        <v>986</v>
      </c>
      <c r="BV155">
        <f t="shared" si="38"/>
        <v>974</v>
      </c>
      <c r="BW155">
        <f t="shared" si="39"/>
        <v>1522</v>
      </c>
      <c r="BX155">
        <f t="shared" si="40"/>
        <v>17</v>
      </c>
      <c r="BY155" s="2">
        <f t="shared" si="41"/>
        <v>807</v>
      </c>
      <c r="BZ155">
        <f t="shared" si="42"/>
        <v>150.43454975507288</v>
      </c>
      <c r="CA155">
        <v>150.43454975507288</v>
      </c>
      <c r="CB155">
        <v>150.43454975507288</v>
      </c>
      <c r="CC155">
        <v>150.43454975507288</v>
      </c>
      <c r="CD155">
        <v>150.43454975507288</v>
      </c>
      <c r="CE155">
        <v>150.43454975507288</v>
      </c>
      <c r="CF155">
        <v>150.43454975507288</v>
      </c>
      <c r="CG155">
        <v>150.43454975507288</v>
      </c>
      <c r="CH155">
        <f t="shared" si="43"/>
        <v>-0.13992109260224805</v>
      </c>
      <c r="CI155">
        <f t="shared" si="44"/>
        <v>-1.4783775862068529</v>
      </c>
      <c r="CJ155">
        <f t="shared" si="45"/>
        <v>-0.79713634883126561</v>
      </c>
      <c r="CK155">
        <f t="shared" si="46"/>
        <v>0.81652932439833958</v>
      </c>
      <c r="CL155">
        <f t="shared" si="47"/>
        <v>0.81121136633574387</v>
      </c>
      <c r="CM155">
        <f t="shared" si="48"/>
        <v>1.0050670618916824</v>
      </c>
      <c r="CN155">
        <f t="shared" si="49"/>
        <v>-0.94689866916459775</v>
      </c>
      <c r="CO155" s="2">
        <f t="shared" si="50"/>
        <v>0.72952594417919869</v>
      </c>
      <c r="CP155">
        <v>-0.84513405843997502</v>
      </c>
      <c r="CQ155">
        <v>0.431887756799959</v>
      </c>
      <c r="CR155">
        <v>-1.0663627214588001</v>
      </c>
      <c r="CS155">
        <v>0.76048746202534601</v>
      </c>
      <c r="CT155">
        <v>0.370704125849179</v>
      </c>
      <c r="CU155">
        <v>0.47523316057143999</v>
      </c>
      <c r="CV155">
        <v>0.136722116539504</v>
      </c>
      <c r="CW155">
        <v>0.51938329781112202</v>
      </c>
      <c r="CX155" t="s">
        <v>1826</v>
      </c>
    </row>
    <row r="156" spans="1:102" x14ac:dyDescent="0.35">
      <c r="A156" t="s">
        <v>628</v>
      </c>
      <c r="B156" t="s">
        <v>142</v>
      </c>
      <c r="C156" t="s">
        <v>629</v>
      </c>
      <c r="D156" t="s">
        <v>72</v>
      </c>
      <c r="E156" t="s">
        <v>72</v>
      </c>
      <c r="F156" t="s">
        <v>72</v>
      </c>
      <c r="G156" t="s">
        <v>73</v>
      </c>
      <c r="H156" t="s">
        <v>109</v>
      </c>
      <c r="I156" t="s">
        <v>110</v>
      </c>
      <c r="J156" t="s">
        <v>111</v>
      </c>
      <c r="K156" t="s">
        <v>112</v>
      </c>
      <c r="L156" t="s">
        <v>113</v>
      </c>
      <c r="M156" t="s">
        <v>114</v>
      </c>
      <c r="N156">
        <v>48</v>
      </c>
      <c r="O156" t="s">
        <v>80</v>
      </c>
      <c r="P156">
        <v>621</v>
      </c>
      <c r="Q156">
        <v>0.68400000000000005</v>
      </c>
      <c r="R156">
        <v>175</v>
      </c>
      <c r="S156">
        <v>0.81130000000000002</v>
      </c>
      <c r="T156" t="s">
        <v>115</v>
      </c>
      <c r="U156" t="s">
        <v>116</v>
      </c>
      <c r="V156" t="s">
        <v>117</v>
      </c>
      <c r="W156" t="s">
        <v>118</v>
      </c>
      <c r="X156" t="s">
        <v>119</v>
      </c>
      <c r="Y156" t="s">
        <v>120</v>
      </c>
      <c r="Z156" t="s">
        <v>121</v>
      </c>
      <c r="AA156" t="s">
        <v>88</v>
      </c>
      <c r="AB156">
        <v>236</v>
      </c>
      <c r="AC156">
        <v>5</v>
      </c>
      <c r="AE156">
        <v>1</v>
      </c>
      <c r="AF156" t="s">
        <v>89</v>
      </c>
      <c r="AG156" t="s">
        <v>630</v>
      </c>
      <c r="AH156" t="s">
        <v>72</v>
      </c>
      <c r="AI156" t="s">
        <v>72</v>
      </c>
      <c r="AJ156" t="s">
        <v>91</v>
      </c>
      <c r="AK156" t="s">
        <v>92</v>
      </c>
      <c r="AL156" t="s">
        <v>93</v>
      </c>
      <c r="AM156" t="s">
        <v>94</v>
      </c>
      <c r="AN156" t="s">
        <v>631</v>
      </c>
      <c r="AO156" t="s">
        <v>632</v>
      </c>
      <c r="AP156" t="s">
        <v>97</v>
      </c>
      <c r="AQ156">
        <v>39</v>
      </c>
      <c r="AR156" t="s">
        <v>80</v>
      </c>
      <c r="AS156">
        <v>1350</v>
      </c>
      <c r="AT156">
        <v>0.96530000000000005</v>
      </c>
      <c r="AU156">
        <v>172</v>
      </c>
      <c r="AV156">
        <v>0.94740000000000002</v>
      </c>
      <c r="AW156" t="s">
        <v>633</v>
      </c>
      <c r="AX156" t="s">
        <v>146</v>
      </c>
      <c r="AY156" t="s">
        <v>127</v>
      </c>
      <c r="AZ156" t="s">
        <v>101</v>
      </c>
      <c r="BA156" t="s">
        <v>128</v>
      </c>
      <c r="BB156" t="s">
        <v>103</v>
      </c>
      <c r="BC156" t="s">
        <v>104</v>
      </c>
      <c r="BD156" t="s">
        <v>105</v>
      </c>
      <c r="BE156">
        <v>33364</v>
      </c>
      <c r="BF156" t="s">
        <v>106</v>
      </c>
      <c r="BG156">
        <v>419</v>
      </c>
      <c r="BH156" t="s">
        <v>80</v>
      </c>
      <c r="BI156">
        <v>1</v>
      </c>
      <c r="BJ156">
        <v>207</v>
      </c>
      <c r="BK156">
        <v>7</v>
      </c>
      <c r="BL156">
        <v>34</v>
      </c>
      <c r="BM156">
        <v>1254</v>
      </c>
      <c r="BN156">
        <v>1546</v>
      </c>
      <c r="BO156">
        <v>2241</v>
      </c>
      <c r="BP156">
        <v>19</v>
      </c>
      <c r="BQ156" s="2">
        <v>1158</v>
      </c>
      <c r="BR156">
        <f t="shared" si="34"/>
        <v>208</v>
      </c>
      <c r="BS156">
        <f t="shared" si="35"/>
        <v>8</v>
      </c>
      <c r="BT156">
        <f t="shared" si="36"/>
        <v>35</v>
      </c>
      <c r="BU156">
        <f t="shared" si="37"/>
        <v>1255</v>
      </c>
      <c r="BV156">
        <f t="shared" si="38"/>
        <v>1547</v>
      </c>
      <c r="BW156">
        <f t="shared" si="39"/>
        <v>2242</v>
      </c>
      <c r="BX156">
        <f t="shared" si="40"/>
        <v>20</v>
      </c>
      <c r="BY156" s="2">
        <f t="shared" si="41"/>
        <v>1159</v>
      </c>
      <c r="BZ156">
        <f t="shared" si="42"/>
        <v>221.89016633182305</v>
      </c>
      <c r="CA156">
        <v>221.89016633182305</v>
      </c>
      <c r="CB156">
        <v>221.89016633182305</v>
      </c>
      <c r="CC156">
        <v>221.89016633182305</v>
      </c>
      <c r="CD156">
        <v>221.89016633182305</v>
      </c>
      <c r="CE156">
        <v>221.89016633182305</v>
      </c>
      <c r="CF156">
        <v>221.89016633182305</v>
      </c>
      <c r="CG156">
        <v>221.89016633182305</v>
      </c>
      <c r="CH156">
        <f t="shared" si="43"/>
        <v>-2.8074720750730545E-2</v>
      </c>
      <c r="CI156">
        <f t="shared" si="44"/>
        <v>-1.4430480687215486</v>
      </c>
      <c r="CJ156">
        <f t="shared" si="45"/>
        <v>-0.80207001136321654</v>
      </c>
      <c r="CK156">
        <f t="shared" si="46"/>
        <v>0.75250567010356484</v>
      </c>
      <c r="CL156">
        <f t="shared" si="47"/>
        <v>0.84335225798587543</v>
      </c>
      <c r="CM156">
        <f t="shared" si="48"/>
        <v>1.0044975525454622</v>
      </c>
      <c r="CN156">
        <f t="shared" si="49"/>
        <v>-1.0451080600495108</v>
      </c>
      <c r="CO156" s="2">
        <f t="shared" si="50"/>
        <v>0.7179453802501039</v>
      </c>
      <c r="CP156">
        <v>-0.71075820935207001</v>
      </c>
      <c r="CQ156">
        <v>0.53625837599739001</v>
      </c>
      <c r="CR156">
        <v>-1.0884057211759399</v>
      </c>
      <c r="CS156">
        <v>0.57184497198325901</v>
      </c>
      <c r="CT156">
        <v>0.46017199794292502</v>
      </c>
      <c r="CU156">
        <v>0.473588534914274</v>
      </c>
      <c r="CV156">
        <v>-0.126672895976842</v>
      </c>
      <c r="CW156">
        <v>0.48757550272050298</v>
      </c>
      <c r="CX156" t="s">
        <v>1826</v>
      </c>
    </row>
    <row r="157" spans="1:102" x14ac:dyDescent="0.35">
      <c r="A157" t="s">
        <v>1644</v>
      </c>
      <c r="B157" t="s">
        <v>159</v>
      </c>
      <c r="C157" t="s">
        <v>735</v>
      </c>
      <c r="D157" t="s">
        <v>72</v>
      </c>
      <c r="E157" t="s">
        <v>72</v>
      </c>
      <c r="F157" t="s">
        <v>72</v>
      </c>
      <c r="G157" t="s">
        <v>73</v>
      </c>
      <c r="H157" t="s">
        <v>109</v>
      </c>
      <c r="I157" t="s">
        <v>110</v>
      </c>
      <c r="J157" t="s">
        <v>111</v>
      </c>
      <c r="K157" t="s">
        <v>112</v>
      </c>
      <c r="L157" t="s">
        <v>113</v>
      </c>
      <c r="M157" t="s">
        <v>114</v>
      </c>
      <c r="N157">
        <v>48</v>
      </c>
      <c r="O157" t="s">
        <v>80</v>
      </c>
      <c r="P157">
        <v>621</v>
      </c>
      <c r="Q157">
        <v>0.68400000000000005</v>
      </c>
      <c r="R157">
        <v>175</v>
      </c>
      <c r="S157">
        <v>0.81130000000000002</v>
      </c>
      <c r="T157" t="s">
        <v>115</v>
      </c>
      <c r="U157" t="s">
        <v>116</v>
      </c>
      <c r="V157" t="s">
        <v>117</v>
      </c>
      <c r="W157" t="s">
        <v>118</v>
      </c>
      <c r="X157" t="s">
        <v>119</v>
      </c>
      <c r="Y157" t="s">
        <v>120</v>
      </c>
      <c r="Z157" t="s">
        <v>121</v>
      </c>
      <c r="AA157" t="s">
        <v>88</v>
      </c>
      <c r="AB157">
        <v>502</v>
      </c>
      <c r="AC157">
        <v>5</v>
      </c>
      <c r="AE157">
        <v>1</v>
      </c>
      <c r="AF157" t="s">
        <v>153</v>
      </c>
      <c r="AG157" t="s">
        <v>1645</v>
      </c>
      <c r="AH157" t="s">
        <v>72</v>
      </c>
      <c r="AI157" t="s">
        <v>72</v>
      </c>
      <c r="AJ157" t="s">
        <v>91</v>
      </c>
      <c r="AK157" t="s">
        <v>92</v>
      </c>
      <c r="AL157" t="s">
        <v>93</v>
      </c>
      <c r="AM157" t="s">
        <v>94</v>
      </c>
      <c r="AN157" t="s">
        <v>1646</v>
      </c>
      <c r="AO157" t="s">
        <v>1647</v>
      </c>
      <c r="AP157" t="s">
        <v>1648</v>
      </c>
      <c r="AQ157">
        <v>39</v>
      </c>
      <c r="AR157" t="s">
        <v>80</v>
      </c>
      <c r="AS157">
        <v>1359</v>
      </c>
      <c r="AT157">
        <v>0.96879999999999999</v>
      </c>
      <c r="AU157">
        <v>172</v>
      </c>
      <c r="AV157">
        <v>0.94740000000000002</v>
      </c>
      <c r="AW157" t="s">
        <v>98</v>
      </c>
      <c r="AX157" t="s">
        <v>146</v>
      </c>
      <c r="AY157" t="s">
        <v>127</v>
      </c>
      <c r="AZ157" t="s">
        <v>101</v>
      </c>
      <c r="BA157" t="s">
        <v>128</v>
      </c>
      <c r="BB157" t="s">
        <v>103</v>
      </c>
      <c r="BC157" t="s">
        <v>1649</v>
      </c>
      <c r="BD157" t="s">
        <v>105</v>
      </c>
      <c r="BE157">
        <v>5525</v>
      </c>
      <c r="BF157" t="s">
        <v>1650</v>
      </c>
      <c r="BG157">
        <v>77</v>
      </c>
      <c r="BH157" t="s">
        <v>80</v>
      </c>
      <c r="BI157">
        <v>1</v>
      </c>
      <c r="BJ157">
        <v>42</v>
      </c>
      <c r="BK157">
        <v>0</v>
      </c>
      <c r="BL157">
        <v>4</v>
      </c>
      <c r="BM157">
        <v>110</v>
      </c>
      <c r="BN157">
        <v>155</v>
      </c>
      <c r="BO157">
        <v>263</v>
      </c>
      <c r="BP157">
        <v>0</v>
      </c>
      <c r="BQ157" s="2">
        <v>126</v>
      </c>
      <c r="BR157">
        <f t="shared" si="34"/>
        <v>43</v>
      </c>
      <c r="BS157">
        <f t="shared" si="35"/>
        <v>1</v>
      </c>
      <c r="BT157">
        <f t="shared" si="36"/>
        <v>5</v>
      </c>
      <c r="BU157">
        <f t="shared" si="37"/>
        <v>111</v>
      </c>
      <c r="BV157">
        <f t="shared" si="38"/>
        <v>156</v>
      </c>
      <c r="BW157">
        <f t="shared" si="39"/>
        <v>264</v>
      </c>
      <c r="BX157">
        <f t="shared" si="40"/>
        <v>1</v>
      </c>
      <c r="BY157" s="2">
        <f t="shared" si="41"/>
        <v>127</v>
      </c>
      <c r="BZ157">
        <f t="shared" si="42"/>
        <v>24.380168935302407</v>
      </c>
      <c r="CA157">
        <v>24.380168935302407</v>
      </c>
      <c r="CB157">
        <v>24.380168935302407</v>
      </c>
      <c r="CC157">
        <v>24.380168935302407</v>
      </c>
      <c r="CD157">
        <v>24.380168935302407</v>
      </c>
      <c r="CE157">
        <v>24.380168935302407</v>
      </c>
      <c r="CF157">
        <v>24.380168935302407</v>
      </c>
      <c r="CG157">
        <v>24.380168935302407</v>
      </c>
      <c r="CH157">
        <f t="shared" si="43"/>
        <v>0.24643174496927248</v>
      </c>
      <c r="CI157">
        <f t="shared" si="44"/>
        <v>-1.3870367106103141</v>
      </c>
      <c r="CJ157">
        <f t="shared" si="45"/>
        <v>-0.68806670627429523</v>
      </c>
      <c r="CK157">
        <f t="shared" si="46"/>
        <v>0.65828626817634339</v>
      </c>
      <c r="CL157">
        <f t="shared" si="47"/>
        <v>0.80608788774414752</v>
      </c>
      <c r="CM157">
        <f t="shared" si="48"/>
        <v>1.034567216259517</v>
      </c>
      <c r="CN157">
        <f t="shared" si="49"/>
        <v>-1.3870367106103141</v>
      </c>
      <c r="CO157" s="2">
        <f t="shared" si="50"/>
        <v>0.71676701034564283</v>
      </c>
      <c r="CP157">
        <v>-0.38095726185048501</v>
      </c>
      <c r="CQ157">
        <v>-2.2527165794045199</v>
      </c>
      <c r="CR157">
        <v>-0.57905292179949197</v>
      </c>
      <c r="CS157">
        <v>0.29423222423234102</v>
      </c>
      <c r="CT157">
        <v>0.35644233335450498</v>
      </c>
      <c r="CU157">
        <v>0.560423528535964</v>
      </c>
      <c r="CV157">
        <v>-2.6172399890044602</v>
      </c>
      <c r="CW157">
        <v>0.484338929036222</v>
      </c>
      <c r="CX157" t="s">
        <v>1826</v>
      </c>
    </row>
    <row r="158" spans="1:102" x14ac:dyDescent="0.35">
      <c r="A158" t="s">
        <v>678</v>
      </c>
      <c r="B158" t="s">
        <v>130</v>
      </c>
      <c r="C158" t="s">
        <v>301</v>
      </c>
      <c r="D158" t="s">
        <v>72</v>
      </c>
      <c r="E158" t="s">
        <v>72</v>
      </c>
      <c r="F158" t="s">
        <v>72</v>
      </c>
      <c r="G158" t="s">
        <v>73</v>
      </c>
      <c r="H158" t="s">
        <v>109</v>
      </c>
      <c r="I158" t="s">
        <v>110</v>
      </c>
      <c r="J158" t="s">
        <v>111</v>
      </c>
      <c r="K158" t="s">
        <v>112</v>
      </c>
      <c r="L158" t="s">
        <v>113</v>
      </c>
      <c r="M158" t="s">
        <v>114</v>
      </c>
      <c r="N158">
        <v>48</v>
      </c>
      <c r="O158" t="s">
        <v>80</v>
      </c>
      <c r="P158">
        <v>621</v>
      </c>
      <c r="Q158">
        <v>0.68400000000000005</v>
      </c>
      <c r="R158">
        <v>175</v>
      </c>
      <c r="S158">
        <v>0.81130000000000002</v>
      </c>
      <c r="T158" t="s">
        <v>115</v>
      </c>
      <c r="U158" t="s">
        <v>116</v>
      </c>
      <c r="V158" t="s">
        <v>117</v>
      </c>
      <c r="W158" t="s">
        <v>118</v>
      </c>
      <c r="X158" t="s">
        <v>119</v>
      </c>
      <c r="Y158" t="s">
        <v>120</v>
      </c>
      <c r="Z158" t="s">
        <v>121</v>
      </c>
      <c r="AA158" t="s">
        <v>88</v>
      </c>
      <c r="AB158">
        <v>398</v>
      </c>
      <c r="AC158">
        <v>6</v>
      </c>
      <c r="AE158">
        <v>1</v>
      </c>
      <c r="AF158" t="s">
        <v>153</v>
      </c>
      <c r="AG158" t="s">
        <v>679</v>
      </c>
      <c r="AH158" t="s">
        <v>72</v>
      </c>
      <c r="AI158" t="s">
        <v>72</v>
      </c>
      <c r="AJ158" t="s">
        <v>91</v>
      </c>
      <c r="AK158" t="s">
        <v>92</v>
      </c>
      <c r="AL158" t="s">
        <v>93</v>
      </c>
      <c r="AM158" t="s">
        <v>94</v>
      </c>
      <c r="AN158" t="s">
        <v>680</v>
      </c>
      <c r="AO158" t="s">
        <v>681</v>
      </c>
      <c r="AP158" t="s">
        <v>97</v>
      </c>
      <c r="AQ158">
        <v>39</v>
      </c>
      <c r="AR158" t="s">
        <v>80</v>
      </c>
      <c r="AS158">
        <v>1323</v>
      </c>
      <c r="AT158">
        <v>0.95489999999999997</v>
      </c>
      <c r="AU158">
        <v>172</v>
      </c>
      <c r="AV158">
        <v>0.94740000000000002</v>
      </c>
      <c r="AW158" t="s">
        <v>682</v>
      </c>
      <c r="AX158" t="s">
        <v>252</v>
      </c>
      <c r="AY158" t="s">
        <v>683</v>
      </c>
      <c r="AZ158" t="s">
        <v>101</v>
      </c>
      <c r="BA158" t="s">
        <v>684</v>
      </c>
      <c r="BB158" t="s">
        <v>186</v>
      </c>
      <c r="BC158" t="s">
        <v>104</v>
      </c>
      <c r="BD158" t="s">
        <v>105</v>
      </c>
      <c r="BE158">
        <v>685</v>
      </c>
      <c r="BF158" t="s">
        <v>106</v>
      </c>
      <c r="BG158">
        <v>7</v>
      </c>
      <c r="BH158" t="s">
        <v>80</v>
      </c>
      <c r="BI158">
        <v>1</v>
      </c>
      <c r="BJ158">
        <v>98</v>
      </c>
      <c r="BK158">
        <v>0</v>
      </c>
      <c r="BL158">
        <v>15</v>
      </c>
      <c r="BM158">
        <v>449</v>
      </c>
      <c r="BN158">
        <v>536</v>
      </c>
      <c r="BO158">
        <v>761</v>
      </c>
      <c r="BP158">
        <v>4</v>
      </c>
      <c r="BQ158" s="2">
        <v>359</v>
      </c>
      <c r="BR158">
        <f t="shared" si="34"/>
        <v>99</v>
      </c>
      <c r="BS158">
        <f t="shared" si="35"/>
        <v>1</v>
      </c>
      <c r="BT158">
        <f t="shared" si="36"/>
        <v>16</v>
      </c>
      <c r="BU158">
        <f t="shared" si="37"/>
        <v>450</v>
      </c>
      <c r="BV158">
        <f t="shared" si="38"/>
        <v>537</v>
      </c>
      <c r="BW158">
        <f t="shared" si="39"/>
        <v>762</v>
      </c>
      <c r="BX158">
        <f t="shared" si="40"/>
        <v>5</v>
      </c>
      <c r="BY158" s="2">
        <f t="shared" si="41"/>
        <v>360</v>
      </c>
      <c r="BZ158">
        <f t="shared" si="42"/>
        <v>69.186471409776402</v>
      </c>
      <c r="CA158">
        <v>69.186471409776402</v>
      </c>
      <c r="CB158">
        <v>69.186471409776402</v>
      </c>
      <c r="CC158">
        <v>69.186471409776402</v>
      </c>
      <c r="CD158">
        <v>69.186471409776402</v>
      </c>
      <c r="CE158">
        <v>69.186471409776402</v>
      </c>
      <c r="CF158">
        <v>69.186471409776402</v>
      </c>
      <c r="CG158">
        <v>69.186471409776402</v>
      </c>
      <c r="CH158">
        <f t="shared" si="43"/>
        <v>0.15561401295113986</v>
      </c>
      <c r="CI158">
        <f t="shared" si="44"/>
        <v>-1.84002118164641</v>
      </c>
      <c r="CJ158">
        <f t="shared" si="45"/>
        <v>-0.63590119899048525</v>
      </c>
      <c r="CK158">
        <f t="shared" si="46"/>
        <v>0.81319133212893357</v>
      </c>
      <c r="CL158">
        <f t="shared" si="47"/>
        <v>0.88995310405314554</v>
      </c>
      <c r="CM158">
        <f t="shared" si="48"/>
        <v>1.0419337896931904</v>
      </c>
      <c r="CN158">
        <f t="shared" si="49"/>
        <v>-1.1410511773103913</v>
      </c>
      <c r="CO158" s="2">
        <f t="shared" si="50"/>
        <v>0.71628131912087722</v>
      </c>
      <c r="CP158">
        <v>-0.49006862281957803</v>
      </c>
      <c r="CQ158">
        <v>-2.2527165794045199</v>
      </c>
      <c r="CR158">
        <v>-0.34598382660811799</v>
      </c>
      <c r="CS158">
        <v>0.75065223502404399</v>
      </c>
      <c r="CT158">
        <v>0.58989081784348596</v>
      </c>
      <c r="CU158">
        <v>0.58169667489402399</v>
      </c>
      <c r="CV158">
        <v>-0.38398982202722898</v>
      </c>
      <c r="CW158">
        <v>0.48300490359072101</v>
      </c>
      <c r="CX158" t="s">
        <v>1826</v>
      </c>
    </row>
    <row r="159" spans="1:102" x14ac:dyDescent="0.35">
      <c r="A159" t="s">
        <v>254</v>
      </c>
      <c r="B159" t="s">
        <v>178</v>
      </c>
      <c r="C159" t="s">
        <v>255</v>
      </c>
      <c r="D159" t="s">
        <v>72</v>
      </c>
      <c r="E159" t="s">
        <v>72</v>
      </c>
      <c r="F159" t="s">
        <v>72</v>
      </c>
      <c r="G159" t="s">
        <v>73</v>
      </c>
      <c r="H159" t="s">
        <v>109</v>
      </c>
      <c r="I159" t="s">
        <v>110</v>
      </c>
      <c r="J159" t="s">
        <v>111</v>
      </c>
      <c r="K159" t="s">
        <v>112</v>
      </c>
      <c r="L159" t="s">
        <v>113</v>
      </c>
      <c r="M159" t="s">
        <v>114</v>
      </c>
      <c r="N159">
        <v>48</v>
      </c>
      <c r="O159" t="s">
        <v>80</v>
      </c>
      <c r="P159">
        <v>621</v>
      </c>
      <c r="Q159">
        <v>0.68400000000000005</v>
      </c>
      <c r="R159">
        <v>175</v>
      </c>
      <c r="S159">
        <v>0.81130000000000002</v>
      </c>
      <c r="T159" t="s">
        <v>115</v>
      </c>
      <c r="U159" t="s">
        <v>116</v>
      </c>
      <c r="V159" t="s">
        <v>117</v>
      </c>
      <c r="W159" t="s">
        <v>118</v>
      </c>
      <c r="X159" t="s">
        <v>119</v>
      </c>
      <c r="Y159" t="s">
        <v>120</v>
      </c>
      <c r="Z159" t="s">
        <v>121</v>
      </c>
      <c r="AA159" t="s">
        <v>88</v>
      </c>
      <c r="AB159">
        <v>405</v>
      </c>
      <c r="AC159">
        <v>7</v>
      </c>
      <c r="AE159">
        <v>1</v>
      </c>
      <c r="AF159" t="s">
        <v>89</v>
      </c>
      <c r="AG159" t="s">
        <v>256</v>
      </c>
      <c r="AH159" t="s">
        <v>72</v>
      </c>
      <c r="AI159" t="s">
        <v>72</v>
      </c>
      <c r="AJ159" t="s">
        <v>91</v>
      </c>
      <c r="AK159" t="s">
        <v>92</v>
      </c>
      <c r="AL159" t="s">
        <v>93</v>
      </c>
      <c r="AM159" t="s">
        <v>94</v>
      </c>
      <c r="AN159" t="s">
        <v>257</v>
      </c>
      <c r="AO159" t="s">
        <v>258</v>
      </c>
      <c r="AP159" t="s">
        <v>97</v>
      </c>
      <c r="AQ159">
        <v>39</v>
      </c>
      <c r="AR159" t="s">
        <v>80</v>
      </c>
      <c r="AS159">
        <v>1350</v>
      </c>
      <c r="AT159">
        <v>0.96530000000000005</v>
      </c>
      <c r="AU159">
        <v>163</v>
      </c>
      <c r="AV159">
        <v>0.92110000000000003</v>
      </c>
      <c r="AW159" t="s">
        <v>98</v>
      </c>
      <c r="AX159" t="s">
        <v>146</v>
      </c>
      <c r="AY159" t="s">
        <v>127</v>
      </c>
      <c r="AZ159" t="s">
        <v>136</v>
      </c>
      <c r="BA159" t="s">
        <v>259</v>
      </c>
      <c r="BB159" t="s">
        <v>103</v>
      </c>
      <c r="BC159" t="s">
        <v>104</v>
      </c>
      <c r="BD159" t="s">
        <v>105</v>
      </c>
      <c r="BE159">
        <v>47917</v>
      </c>
      <c r="BF159" t="s">
        <v>106</v>
      </c>
      <c r="BG159">
        <v>543</v>
      </c>
      <c r="BH159" t="s">
        <v>80</v>
      </c>
      <c r="BI159">
        <v>1</v>
      </c>
      <c r="BJ159">
        <v>161</v>
      </c>
      <c r="BK159">
        <v>7</v>
      </c>
      <c r="BL159">
        <v>27</v>
      </c>
      <c r="BM159">
        <v>731</v>
      </c>
      <c r="BN159">
        <v>1035</v>
      </c>
      <c r="BO159">
        <v>1400</v>
      </c>
      <c r="BP159">
        <v>7</v>
      </c>
      <c r="BQ159" s="2">
        <v>770</v>
      </c>
      <c r="BR159">
        <f t="shared" si="34"/>
        <v>162</v>
      </c>
      <c r="BS159">
        <f t="shared" si="35"/>
        <v>8</v>
      </c>
      <c r="BT159">
        <f t="shared" si="36"/>
        <v>28</v>
      </c>
      <c r="BU159">
        <f t="shared" si="37"/>
        <v>732</v>
      </c>
      <c r="BV159">
        <f t="shared" si="38"/>
        <v>1036</v>
      </c>
      <c r="BW159">
        <f t="shared" si="39"/>
        <v>1401</v>
      </c>
      <c r="BX159">
        <f t="shared" si="40"/>
        <v>8</v>
      </c>
      <c r="BY159" s="2">
        <f t="shared" si="41"/>
        <v>771</v>
      </c>
      <c r="BZ159">
        <f t="shared" si="42"/>
        <v>148.60281835907742</v>
      </c>
      <c r="CA159">
        <v>148.60281835907742</v>
      </c>
      <c r="CB159">
        <v>148.60281835907742</v>
      </c>
      <c r="CC159">
        <v>148.60281835907742</v>
      </c>
      <c r="CD159">
        <v>148.60281835907742</v>
      </c>
      <c r="CE159">
        <v>148.60281835907742</v>
      </c>
      <c r="CF159">
        <v>148.60281835907742</v>
      </c>
      <c r="CG159">
        <v>148.60281835907742</v>
      </c>
      <c r="CH159">
        <f t="shared" si="43"/>
        <v>3.7487968333496539E-2</v>
      </c>
      <c r="CI159">
        <f t="shared" si="44"/>
        <v>-1.2689370592171907</v>
      </c>
      <c r="CJ159">
        <f t="shared" si="45"/>
        <v>-0.72486901486691513</v>
      </c>
      <c r="CK159">
        <f t="shared" si="46"/>
        <v>0.69248403484925747</v>
      </c>
      <c r="CL159">
        <f t="shared" si="47"/>
        <v>0.84333270920007986</v>
      </c>
      <c r="CM159">
        <f t="shared" si="48"/>
        <v>0.9744110890766402</v>
      </c>
      <c r="CN159">
        <f t="shared" si="49"/>
        <v>-1.2689370592171907</v>
      </c>
      <c r="CO159" s="2">
        <f t="shared" si="50"/>
        <v>0.71502733184182266</v>
      </c>
      <c r="CP159">
        <v>-0.63198907390013903</v>
      </c>
      <c r="CQ159">
        <v>1.0506179020967299</v>
      </c>
      <c r="CR159">
        <v>-0.74348112754796203</v>
      </c>
      <c r="CS159">
        <v>0.39499423055823302</v>
      </c>
      <c r="CT159">
        <v>0.46011758164713001</v>
      </c>
      <c r="CU159">
        <v>0.38670502706203103</v>
      </c>
      <c r="CV159">
        <v>-0.72697640571329003</v>
      </c>
      <c r="CW159">
        <v>0.479560635188714</v>
      </c>
      <c r="CX159" t="s">
        <v>1826</v>
      </c>
    </row>
    <row r="160" spans="1:102" x14ac:dyDescent="0.35">
      <c r="A160" t="s">
        <v>1403</v>
      </c>
      <c r="B160" t="s">
        <v>153</v>
      </c>
      <c r="C160" t="s">
        <v>1404</v>
      </c>
      <c r="D160" t="s">
        <v>72</v>
      </c>
      <c r="E160" t="s">
        <v>72</v>
      </c>
      <c r="F160" t="s">
        <v>72</v>
      </c>
      <c r="G160" t="s">
        <v>73</v>
      </c>
      <c r="H160" t="s">
        <v>109</v>
      </c>
      <c r="I160" t="s">
        <v>110</v>
      </c>
      <c r="J160" t="s">
        <v>111</v>
      </c>
      <c r="K160" t="s">
        <v>112</v>
      </c>
      <c r="L160" t="s">
        <v>113</v>
      </c>
      <c r="M160" t="s">
        <v>114</v>
      </c>
      <c r="N160">
        <v>48</v>
      </c>
      <c r="O160" t="s">
        <v>80</v>
      </c>
      <c r="P160">
        <v>621</v>
      </c>
      <c r="Q160">
        <v>0.68400000000000005</v>
      </c>
      <c r="R160">
        <v>175</v>
      </c>
      <c r="S160">
        <v>0.81130000000000002</v>
      </c>
      <c r="T160" t="s">
        <v>115</v>
      </c>
      <c r="U160" t="s">
        <v>116</v>
      </c>
      <c r="V160" t="s">
        <v>117</v>
      </c>
      <c r="W160" t="s">
        <v>118</v>
      </c>
      <c r="X160" t="s">
        <v>119</v>
      </c>
      <c r="Y160" t="s">
        <v>120</v>
      </c>
      <c r="Z160" t="s">
        <v>121</v>
      </c>
      <c r="AA160" t="s">
        <v>88</v>
      </c>
      <c r="AB160">
        <v>260</v>
      </c>
      <c r="AC160">
        <v>3</v>
      </c>
      <c r="AE160">
        <v>1</v>
      </c>
      <c r="AF160" t="s">
        <v>231</v>
      </c>
      <c r="AG160" t="s">
        <v>346</v>
      </c>
      <c r="AH160" t="s">
        <v>72</v>
      </c>
      <c r="AI160" t="s">
        <v>72</v>
      </c>
      <c r="AJ160" t="s">
        <v>91</v>
      </c>
      <c r="AK160" t="s">
        <v>92</v>
      </c>
      <c r="AL160" t="s">
        <v>93</v>
      </c>
      <c r="AM160" t="s">
        <v>94</v>
      </c>
      <c r="AN160" t="s">
        <v>144</v>
      </c>
      <c r="AO160" t="s">
        <v>145</v>
      </c>
      <c r="AP160" t="s">
        <v>97</v>
      </c>
      <c r="AQ160">
        <v>39</v>
      </c>
      <c r="AR160" t="s">
        <v>80</v>
      </c>
      <c r="AS160">
        <v>1359</v>
      </c>
      <c r="AT160">
        <v>0.96879999999999999</v>
      </c>
      <c r="AU160">
        <v>172</v>
      </c>
      <c r="AV160">
        <v>0.94740000000000002</v>
      </c>
      <c r="AW160" t="s">
        <v>98</v>
      </c>
      <c r="AX160" t="s">
        <v>146</v>
      </c>
      <c r="AY160" t="s">
        <v>127</v>
      </c>
      <c r="AZ160" t="s">
        <v>101</v>
      </c>
      <c r="BA160" t="s">
        <v>128</v>
      </c>
      <c r="BB160" t="s">
        <v>103</v>
      </c>
      <c r="BC160" t="s">
        <v>104</v>
      </c>
      <c r="BD160" t="s">
        <v>105</v>
      </c>
      <c r="BE160">
        <v>9371</v>
      </c>
      <c r="BF160" t="s">
        <v>106</v>
      </c>
      <c r="BG160">
        <v>122</v>
      </c>
      <c r="BH160" t="s">
        <v>80</v>
      </c>
      <c r="BI160">
        <v>1</v>
      </c>
      <c r="BJ160">
        <v>971</v>
      </c>
      <c r="BK160">
        <v>0</v>
      </c>
      <c r="BL160">
        <v>36</v>
      </c>
      <c r="BM160">
        <v>671</v>
      </c>
      <c r="BN160">
        <v>944</v>
      </c>
      <c r="BO160">
        <v>1445</v>
      </c>
      <c r="BP160">
        <v>4</v>
      </c>
      <c r="BQ160" s="2">
        <v>693</v>
      </c>
      <c r="BR160">
        <f t="shared" si="34"/>
        <v>972</v>
      </c>
      <c r="BS160">
        <f t="shared" si="35"/>
        <v>1</v>
      </c>
      <c r="BT160">
        <f t="shared" si="36"/>
        <v>37</v>
      </c>
      <c r="BU160">
        <f t="shared" si="37"/>
        <v>672</v>
      </c>
      <c r="BV160">
        <f t="shared" si="38"/>
        <v>945</v>
      </c>
      <c r="BW160">
        <f t="shared" si="39"/>
        <v>1446</v>
      </c>
      <c r="BX160">
        <f t="shared" si="40"/>
        <v>5</v>
      </c>
      <c r="BY160" s="2">
        <f t="shared" si="41"/>
        <v>694</v>
      </c>
      <c r="BZ160">
        <f t="shared" si="42"/>
        <v>135.64252161718466</v>
      </c>
      <c r="CA160">
        <v>135.64252161718466</v>
      </c>
      <c r="CB160">
        <v>135.64252161718466</v>
      </c>
      <c r="CC160">
        <v>135.64252161718466</v>
      </c>
      <c r="CD160">
        <v>135.64252161718466</v>
      </c>
      <c r="CE160">
        <v>135.64252161718466</v>
      </c>
      <c r="CF160">
        <v>135.64252161718466</v>
      </c>
      <c r="CG160">
        <v>135.64252161718466</v>
      </c>
      <c r="CH160">
        <f t="shared" si="43"/>
        <v>0.85527041013805671</v>
      </c>
      <c r="CI160">
        <f t="shared" si="44"/>
        <v>-2.1323958547882178</v>
      </c>
      <c r="CJ160">
        <f t="shared" si="45"/>
        <v>-0.56419413072122293</v>
      </c>
      <c r="CK160">
        <f t="shared" si="46"/>
        <v>0.69497341826560732</v>
      </c>
      <c r="CL160">
        <f t="shared" si="47"/>
        <v>0.84303595372104501</v>
      </c>
      <c r="CM160">
        <f t="shared" si="48"/>
        <v>1.0277724381702942</v>
      </c>
      <c r="CN160">
        <f t="shared" si="49"/>
        <v>-1.4334258504521991</v>
      </c>
      <c r="CO160" s="2">
        <f t="shared" si="50"/>
        <v>0.70896361566663701</v>
      </c>
      <c r="CP160">
        <v>0.35052120486467397</v>
      </c>
      <c r="CQ160">
        <v>-2.2527165794045199</v>
      </c>
      <c r="CR160">
        <v>-2.56054311788089E-2</v>
      </c>
      <c r="CS160">
        <v>0.40232907408602703</v>
      </c>
      <c r="CT160">
        <v>0.45929152860758099</v>
      </c>
      <c r="CU160">
        <v>0.54080160932698096</v>
      </c>
      <c r="CV160">
        <v>-1.1681310329415</v>
      </c>
      <c r="CW160">
        <v>0.462905708643781</v>
      </c>
      <c r="CX160" t="s">
        <v>1826</v>
      </c>
    </row>
    <row r="161" spans="1:102" x14ac:dyDescent="0.35">
      <c r="A161" t="s">
        <v>1537</v>
      </c>
      <c r="B161" t="s">
        <v>231</v>
      </c>
      <c r="C161" t="s">
        <v>548</v>
      </c>
      <c r="D161" t="s">
        <v>72</v>
      </c>
      <c r="E161" t="s">
        <v>72</v>
      </c>
      <c r="F161" t="s">
        <v>72</v>
      </c>
      <c r="G161" t="s">
        <v>73</v>
      </c>
      <c r="H161" t="s">
        <v>109</v>
      </c>
      <c r="I161" t="s">
        <v>110</v>
      </c>
      <c r="J161" t="s">
        <v>111</v>
      </c>
      <c r="K161" t="s">
        <v>112</v>
      </c>
      <c r="L161" t="s">
        <v>113</v>
      </c>
      <c r="M161" t="s">
        <v>114</v>
      </c>
      <c r="N161">
        <v>48</v>
      </c>
      <c r="O161" t="s">
        <v>80</v>
      </c>
      <c r="P161">
        <v>621</v>
      </c>
      <c r="Q161">
        <v>0.68400000000000005</v>
      </c>
      <c r="R161">
        <v>175</v>
      </c>
      <c r="S161">
        <v>0.81130000000000002</v>
      </c>
      <c r="T161" t="s">
        <v>115</v>
      </c>
      <c r="U161" t="s">
        <v>116</v>
      </c>
      <c r="V161" t="s">
        <v>117</v>
      </c>
      <c r="W161" t="s">
        <v>118</v>
      </c>
      <c r="X161" t="s">
        <v>119</v>
      </c>
      <c r="Y161" t="s">
        <v>120</v>
      </c>
      <c r="Z161" t="s">
        <v>121</v>
      </c>
      <c r="AA161" t="s">
        <v>88</v>
      </c>
      <c r="AB161">
        <v>532</v>
      </c>
      <c r="AC161">
        <v>6</v>
      </c>
      <c r="AE161">
        <v>1</v>
      </c>
      <c r="AF161" t="s">
        <v>89</v>
      </c>
      <c r="AG161" t="s">
        <v>1538</v>
      </c>
      <c r="AH161" t="s">
        <v>72</v>
      </c>
      <c r="AI161" t="s">
        <v>72</v>
      </c>
      <c r="AJ161" t="s">
        <v>91</v>
      </c>
      <c r="AK161" t="s">
        <v>92</v>
      </c>
      <c r="AL161" t="s">
        <v>93</v>
      </c>
      <c r="AM161" t="s">
        <v>94</v>
      </c>
      <c r="AN161" t="s">
        <v>1286</v>
      </c>
      <c r="AO161" t="s">
        <v>1287</v>
      </c>
      <c r="AP161" t="s">
        <v>97</v>
      </c>
      <c r="AQ161">
        <v>39</v>
      </c>
      <c r="AR161" t="s">
        <v>80</v>
      </c>
      <c r="AS161">
        <v>1350</v>
      </c>
      <c r="AT161">
        <v>0.96530000000000005</v>
      </c>
      <c r="AU161">
        <v>172</v>
      </c>
      <c r="AV161">
        <v>0.94740000000000002</v>
      </c>
      <c r="AW161" t="s">
        <v>1288</v>
      </c>
      <c r="AX161" t="s">
        <v>146</v>
      </c>
      <c r="AY161" t="s">
        <v>127</v>
      </c>
      <c r="AZ161" t="s">
        <v>101</v>
      </c>
      <c r="BA161" t="s">
        <v>128</v>
      </c>
      <c r="BB161" t="s">
        <v>103</v>
      </c>
      <c r="BC161" t="s">
        <v>104</v>
      </c>
      <c r="BD161" t="s">
        <v>105</v>
      </c>
      <c r="BE161">
        <v>11462</v>
      </c>
      <c r="BF161" t="s">
        <v>106</v>
      </c>
      <c r="BG161">
        <v>149</v>
      </c>
      <c r="BH161" t="s">
        <v>80</v>
      </c>
      <c r="BI161">
        <v>1</v>
      </c>
      <c r="BJ161">
        <v>48</v>
      </c>
      <c r="BK161">
        <v>0</v>
      </c>
      <c r="BL161">
        <v>8</v>
      </c>
      <c r="BM161">
        <v>221</v>
      </c>
      <c r="BN161">
        <v>268</v>
      </c>
      <c r="BO161">
        <v>365</v>
      </c>
      <c r="BP161">
        <v>4</v>
      </c>
      <c r="BQ161" s="2">
        <v>209</v>
      </c>
      <c r="BR161">
        <f t="shared" si="34"/>
        <v>49</v>
      </c>
      <c r="BS161">
        <f t="shared" si="35"/>
        <v>1</v>
      </c>
      <c r="BT161">
        <f t="shared" si="36"/>
        <v>9</v>
      </c>
      <c r="BU161">
        <f t="shared" si="37"/>
        <v>222</v>
      </c>
      <c r="BV161">
        <f t="shared" si="38"/>
        <v>269</v>
      </c>
      <c r="BW161">
        <f t="shared" si="39"/>
        <v>366</v>
      </c>
      <c r="BX161">
        <f t="shared" si="40"/>
        <v>5</v>
      </c>
      <c r="BY161" s="2">
        <f t="shared" si="41"/>
        <v>210</v>
      </c>
      <c r="BZ161">
        <f t="shared" si="42"/>
        <v>42.232985037536082</v>
      </c>
      <c r="CA161">
        <v>42.232985037536082</v>
      </c>
      <c r="CB161">
        <v>42.232985037536082</v>
      </c>
      <c r="CC161">
        <v>42.232985037536082</v>
      </c>
      <c r="CD161">
        <v>42.232985037536082</v>
      </c>
      <c r="CE161">
        <v>42.232985037536082</v>
      </c>
      <c r="CF161">
        <v>42.232985037536082</v>
      </c>
      <c r="CG161">
        <v>42.232985037536082</v>
      </c>
      <c r="CH161">
        <f t="shared" si="43"/>
        <v>6.4544301480359403E-2</v>
      </c>
      <c r="CI161">
        <f t="shared" si="44"/>
        <v>-1.6256517785481543</v>
      </c>
      <c r="CJ161">
        <f t="shared" si="45"/>
        <v>-0.67140926910882937</v>
      </c>
      <c r="CK161">
        <f t="shared" si="46"/>
        <v>0.72070119590248438</v>
      </c>
      <c r="CL161">
        <f t="shared" si="47"/>
        <v>0.80410050145425371</v>
      </c>
      <c r="CM161">
        <f t="shared" si="48"/>
        <v>0.93782930684625643</v>
      </c>
      <c r="CN161">
        <f t="shared" si="49"/>
        <v>-0.92668177421213549</v>
      </c>
      <c r="CO161" s="2">
        <f t="shared" si="50"/>
        <v>0.69656751618576507</v>
      </c>
      <c r="CP161">
        <v>-0.59948272005397596</v>
      </c>
      <c r="CQ161">
        <v>-2.2527165794045199</v>
      </c>
      <c r="CR161">
        <v>-0.50462953342448402</v>
      </c>
      <c r="CS161">
        <v>0.47813468203092802</v>
      </c>
      <c r="CT161">
        <v>0.35091021482087598</v>
      </c>
      <c r="CU161">
        <v>0.28106437684216501</v>
      </c>
      <c r="CV161">
        <v>0.190943298964773</v>
      </c>
      <c r="CW161">
        <v>0.42885792007107698</v>
      </c>
      <c r="CX161" t="s">
        <v>1826</v>
      </c>
    </row>
    <row r="162" spans="1:102" x14ac:dyDescent="0.35">
      <c r="A162" t="s">
        <v>1004</v>
      </c>
      <c r="B162" t="s">
        <v>89</v>
      </c>
      <c r="C162" t="s">
        <v>539</v>
      </c>
      <c r="D162" t="s">
        <v>72</v>
      </c>
      <c r="E162" t="s">
        <v>72</v>
      </c>
      <c r="F162" t="s">
        <v>72</v>
      </c>
      <c r="G162" t="s">
        <v>73</v>
      </c>
      <c r="H162" t="s">
        <v>109</v>
      </c>
      <c r="I162" t="s">
        <v>110</v>
      </c>
      <c r="J162" t="s">
        <v>111</v>
      </c>
      <c r="K162" t="s">
        <v>112</v>
      </c>
      <c r="L162" t="s">
        <v>113</v>
      </c>
      <c r="M162" t="s">
        <v>114</v>
      </c>
      <c r="N162">
        <v>48</v>
      </c>
      <c r="O162" t="s">
        <v>80</v>
      </c>
      <c r="P162">
        <v>621</v>
      </c>
      <c r="Q162">
        <v>0.68400000000000005</v>
      </c>
      <c r="R162">
        <v>175</v>
      </c>
      <c r="S162">
        <v>0.81130000000000002</v>
      </c>
      <c r="T162" t="s">
        <v>115</v>
      </c>
      <c r="U162" t="s">
        <v>116</v>
      </c>
      <c r="V162" t="s">
        <v>117</v>
      </c>
      <c r="W162" t="s">
        <v>118</v>
      </c>
      <c r="X162" t="s">
        <v>119</v>
      </c>
      <c r="Y162" t="s">
        <v>120</v>
      </c>
      <c r="Z162" t="s">
        <v>121</v>
      </c>
      <c r="AA162" t="s">
        <v>88</v>
      </c>
      <c r="AB162">
        <v>335</v>
      </c>
      <c r="AC162">
        <v>1</v>
      </c>
      <c r="AE162">
        <v>1</v>
      </c>
      <c r="AF162" t="s">
        <v>153</v>
      </c>
      <c r="AG162" t="s">
        <v>1005</v>
      </c>
      <c r="AH162" t="s">
        <v>72</v>
      </c>
      <c r="AI162" t="s">
        <v>72</v>
      </c>
      <c r="AJ162" t="s">
        <v>91</v>
      </c>
      <c r="AK162" t="s">
        <v>92</v>
      </c>
      <c r="AL162" t="s">
        <v>93</v>
      </c>
      <c r="AM162" t="s">
        <v>94</v>
      </c>
      <c r="AN162" t="s">
        <v>1006</v>
      </c>
      <c r="AO162" t="s">
        <v>1007</v>
      </c>
      <c r="AP162" t="s">
        <v>97</v>
      </c>
      <c r="AQ162">
        <v>39</v>
      </c>
      <c r="AR162" t="s">
        <v>80</v>
      </c>
      <c r="AS162">
        <v>1350</v>
      </c>
      <c r="AT162">
        <v>0.96530000000000005</v>
      </c>
      <c r="AU162">
        <v>172</v>
      </c>
      <c r="AV162">
        <v>0.94740000000000002</v>
      </c>
      <c r="AW162" t="s">
        <v>98</v>
      </c>
      <c r="AX162" t="s">
        <v>1008</v>
      </c>
      <c r="AY162" t="s">
        <v>127</v>
      </c>
      <c r="AZ162" t="s">
        <v>101</v>
      </c>
      <c r="BA162" t="s">
        <v>128</v>
      </c>
      <c r="BB162" t="s">
        <v>103</v>
      </c>
      <c r="BC162" t="s">
        <v>104</v>
      </c>
      <c r="BD162" t="s">
        <v>105</v>
      </c>
      <c r="BE162">
        <v>5264</v>
      </c>
      <c r="BF162" t="s">
        <v>106</v>
      </c>
      <c r="BG162">
        <v>59</v>
      </c>
      <c r="BH162" t="s">
        <v>80</v>
      </c>
      <c r="BI162">
        <v>1</v>
      </c>
      <c r="BJ162">
        <v>21</v>
      </c>
      <c r="BK162">
        <v>0</v>
      </c>
      <c r="BL162">
        <v>8</v>
      </c>
      <c r="BM162">
        <v>221</v>
      </c>
      <c r="BN162">
        <v>283</v>
      </c>
      <c r="BO162">
        <v>383</v>
      </c>
      <c r="BP162">
        <v>5</v>
      </c>
      <c r="BQ162" s="2">
        <v>194</v>
      </c>
      <c r="BR162">
        <f t="shared" si="34"/>
        <v>22</v>
      </c>
      <c r="BS162">
        <f t="shared" si="35"/>
        <v>1</v>
      </c>
      <c r="BT162">
        <f t="shared" si="36"/>
        <v>9</v>
      </c>
      <c r="BU162">
        <f t="shared" si="37"/>
        <v>222</v>
      </c>
      <c r="BV162">
        <f t="shared" si="38"/>
        <v>284</v>
      </c>
      <c r="BW162">
        <f t="shared" si="39"/>
        <v>384</v>
      </c>
      <c r="BX162">
        <f t="shared" si="40"/>
        <v>6</v>
      </c>
      <c r="BY162" s="2">
        <f t="shared" si="41"/>
        <v>195</v>
      </c>
      <c r="BZ162">
        <f t="shared" si="42"/>
        <v>39.228951343821777</v>
      </c>
      <c r="CA162">
        <v>39.228951343821777</v>
      </c>
      <c r="CB162">
        <v>39.228951343821777</v>
      </c>
      <c r="CC162">
        <v>39.228951343821777</v>
      </c>
      <c r="CD162">
        <v>39.228951343821777</v>
      </c>
      <c r="CE162">
        <v>39.228951343821777</v>
      </c>
      <c r="CF162">
        <v>39.228951343821777</v>
      </c>
      <c r="CG162">
        <v>39.228951343821777</v>
      </c>
      <c r="CH162">
        <f t="shared" si="43"/>
        <v>-0.25118401803690626</v>
      </c>
      <c r="CI162">
        <f t="shared" si="44"/>
        <v>-1.5936066988591124</v>
      </c>
      <c r="CJ162">
        <f t="shared" si="45"/>
        <v>-0.63936418941978768</v>
      </c>
      <c r="CK162">
        <f t="shared" si="46"/>
        <v>0.75274627559152618</v>
      </c>
      <c r="CL162">
        <f t="shared" si="47"/>
        <v>0.8597116411879252</v>
      </c>
      <c r="CM162">
        <f t="shared" si="48"/>
        <v>0.99072452550841827</v>
      </c>
      <c r="CN162">
        <f t="shared" si="49"/>
        <v>-0.81545544847546891</v>
      </c>
      <c r="CO162" s="2">
        <f t="shared" si="50"/>
        <v>0.69642791250340552</v>
      </c>
      <c r="CP162">
        <v>-0.97880893612965703</v>
      </c>
      <c r="CQ162">
        <v>-2.2527165794045199</v>
      </c>
      <c r="CR162">
        <v>-0.36145604355834798</v>
      </c>
      <c r="CS162">
        <v>0.57255390400013295</v>
      </c>
      <c r="CT162">
        <v>0.50571022444223801</v>
      </c>
      <c r="CU162">
        <v>0.43381487045675998</v>
      </c>
      <c r="CV162">
        <v>0.48924938961029601</v>
      </c>
      <c r="CW162">
        <v>0.42847447714467302</v>
      </c>
      <c r="CX162" t="s">
        <v>1826</v>
      </c>
    </row>
    <row r="163" spans="1:102" x14ac:dyDescent="0.35">
      <c r="A163" t="s">
        <v>864</v>
      </c>
      <c r="B163" t="s">
        <v>89</v>
      </c>
      <c r="C163" t="s">
        <v>108</v>
      </c>
      <c r="D163" t="s">
        <v>72</v>
      </c>
      <c r="E163" t="s">
        <v>72</v>
      </c>
      <c r="F163" t="s">
        <v>72</v>
      </c>
      <c r="G163" t="s">
        <v>73</v>
      </c>
      <c r="H163" t="s">
        <v>109</v>
      </c>
      <c r="I163" t="s">
        <v>110</v>
      </c>
      <c r="J163" t="s">
        <v>111</v>
      </c>
      <c r="K163" t="s">
        <v>112</v>
      </c>
      <c r="L163" t="s">
        <v>113</v>
      </c>
      <c r="M163" t="s">
        <v>114</v>
      </c>
      <c r="N163">
        <v>48</v>
      </c>
      <c r="O163" t="s">
        <v>80</v>
      </c>
      <c r="P163">
        <v>621</v>
      </c>
      <c r="Q163">
        <v>0.68400000000000005</v>
      </c>
      <c r="R163">
        <v>175</v>
      </c>
      <c r="S163">
        <v>0.81130000000000002</v>
      </c>
      <c r="T163" t="s">
        <v>115</v>
      </c>
      <c r="U163" t="s">
        <v>116</v>
      </c>
      <c r="V163" t="s">
        <v>117</v>
      </c>
      <c r="W163" t="s">
        <v>118</v>
      </c>
      <c r="X163" t="s">
        <v>119</v>
      </c>
      <c r="Y163" t="s">
        <v>120</v>
      </c>
      <c r="Z163" t="s">
        <v>121</v>
      </c>
      <c r="AA163" t="s">
        <v>88</v>
      </c>
      <c r="AB163">
        <v>735</v>
      </c>
      <c r="AC163">
        <v>4</v>
      </c>
      <c r="AE163">
        <v>1</v>
      </c>
      <c r="AF163" t="s">
        <v>159</v>
      </c>
      <c r="AG163" t="s">
        <v>865</v>
      </c>
      <c r="AH163" t="s">
        <v>72</v>
      </c>
      <c r="AI163" t="s">
        <v>72</v>
      </c>
      <c r="AJ163" t="s">
        <v>91</v>
      </c>
      <c r="AK163" t="s">
        <v>92</v>
      </c>
      <c r="AL163" t="s">
        <v>93</v>
      </c>
      <c r="AM163" t="s">
        <v>94</v>
      </c>
      <c r="AN163" t="s">
        <v>866</v>
      </c>
      <c r="AO163" t="s">
        <v>867</v>
      </c>
      <c r="AP163" t="s">
        <v>97</v>
      </c>
      <c r="AQ163">
        <v>39</v>
      </c>
      <c r="AR163" t="s">
        <v>80</v>
      </c>
      <c r="AS163">
        <v>1332</v>
      </c>
      <c r="AT163">
        <v>0.95830000000000004</v>
      </c>
      <c r="AU163">
        <v>172</v>
      </c>
      <c r="AV163">
        <v>0.94740000000000002</v>
      </c>
      <c r="AW163" t="s">
        <v>98</v>
      </c>
      <c r="AX163" t="s">
        <v>146</v>
      </c>
      <c r="AY163" t="s">
        <v>499</v>
      </c>
      <c r="AZ163" t="s">
        <v>101</v>
      </c>
      <c r="BA163" t="s">
        <v>868</v>
      </c>
      <c r="BB163" t="s">
        <v>450</v>
      </c>
      <c r="BC163" t="s">
        <v>104</v>
      </c>
      <c r="BD163" t="s">
        <v>105</v>
      </c>
      <c r="BE163">
        <v>6428</v>
      </c>
      <c r="BF163" t="s">
        <v>106</v>
      </c>
      <c r="BG163">
        <v>73</v>
      </c>
      <c r="BH163" t="s">
        <v>80</v>
      </c>
      <c r="BI163">
        <v>1</v>
      </c>
      <c r="BJ163">
        <v>139</v>
      </c>
      <c r="BK163">
        <v>6</v>
      </c>
      <c r="BL163">
        <v>42</v>
      </c>
      <c r="BM163">
        <v>747</v>
      </c>
      <c r="BN163">
        <v>1111</v>
      </c>
      <c r="BO163">
        <v>1607</v>
      </c>
      <c r="BP163">
        <v>15</v>
      </c>
      <c r="BQ163" s="2">
        <v>838</v>
      </c>
      <c r="BR163">
        <f t="shared" si="34"/>
        <v>140</v>
      </c>
      <c r="BS163">
        <f t="shared" si="35"/>
        <v>7</v>
      </c>
      <c r="BT163">
        <f t="shared" si="36"/>
        <v>43</v>
      </c>
      <c r="BU163">
        <f t="shared" si="37"/>
        <v>748</v>
      </c>
      <c r="BV163">
        <f t="shared" si="38"/>
        <v>1112</v>
      </c>
      <c r="BW163">
        <f t="shared" si="39"/>
        <v>1608</v>
      </c>
      <c r="BX163">
        <f t="shared" si="40"/>
        <v>16</v>
      </c>
      <c r="BY163" s="2">
        <f t="shared" si="41"/>
        <v>839</v>
      </c>
      <c r="BZ163">
        <f t="shared" si="42"/>
        <v>171.73492036302136</v>
      </c>
      <c r="CA163">
        <v>171.73492036302136</v>
      </c>
      <c r="CB163">
        <v>171.73492036302136</v>
      </c>
      <c r="CC163">
        <v>171.73492036302136</v>
      </c>
      <c r="CD163">
        <v>171.73492036302136</v>
      </c>
      <c r="CE163">
        <v>171.73492036302136</v>
      </c>
      <c r="CF163">
        <v>171.73492036302136</v>
      </c>
      <c r="CG163">
        <v>171.73492036302136</v>
      </c>
      <c r="CH163">
        <f t="shared" si="43"/>
        <v>-8.8730577356716828E-2</v>
      </c>
      <c r="CI163">
        <f t="shared" si="44"/>
        <v>-1.3897605730206981</v>
      </c>
      <c r="CJ163">
        <f t="shared" si="45"/>
        <v>-0.60139015745536828</v>
      </c>
      <c r="CK163">
        <f t="shared" si="46"/>
        <v>0.6390429848295065</v>
      </c>
      <c r="CL163">
        <f t="shared" si="47"/>
        <v>0.8112461742110838</v>
      </c>
      <c r="CM163">
        <f t="shared" si="48"/>
        <v>0.97142743137747756</v>
      </c>
      <c r="CN163">
        <f t="shared" si="49"/>
        <v>-1.03073863037903</v>
      </c>
      <c r="CO163" s="2">
        <f t="shared" si="50"/>
        <v>0.6889033477937454</v>
      </c>
      <c r="CP163">
        <v>-0.78363211754109996</v>
      </c>
      <c r="CQ163">
        <v>0.69368053507702099</v>
      </c>
      <c r="CR163">
        <v>-0.191792721345006</v>
      </c>
      <c r="CS163">
        <v>0.23753285386495801</v>
      </c>
      <c r="CT163">
        <v>0.37080101757740802</v>
      </c>
      <c r="CU163">
        <v>0.378088838343066</v>
      </c>
      <c r="CV163">
        <v>-8.8134462189544197E-2</v>
      </c>
      <c r="CW163">
        <v>0.40780710603076198</v>
      </c>
      <c r="CX163" t="s">
        <v>1826</v>
      </c>
    </row>
    <row r="164" spans="1:102" x14ac:dyDescent="0.35">
      <c r="A164" t="s">
        <v>727</v>
      </c>
      <c r="B164" t="s">
        <v>211</v>
      </c>
      <c r="C164" t="s">
        <v>108</v>
      </c>
      <c r="D164" t="s">
        <v>72</v>
      </c>
      <c r="E164" t="s">
        <v>72</v>
      </c>
      <c r="F164" t="s">
        <v>72</v>
      </c>
      <c r="G164" t="s">
        <v>73</v>
      </c>
      <c r="H164" t="s">
        <v>109</v>
      </c>
      <c r="I164" t="s">
        <v>110</v>
      </c>
      <c r="J164" t="s">
        <v>111</v>
      </c>
      <c r="K164" t="s">
        <v>112</v>
      </c>
      <c r="L164" t="s">
        <v>113</v>
      </c>
      <c r="M164" t="s">
        <v>114</v>
      </c>
      <c r="N164">
        <v>48</v>
      </c>
      <c r="O164" t="s">
        <v>80</v>
      </c>
      <c r="P164">
        <v>621</v>
      </c>
      <c r="Q164">
        <v>0.68400000000000005</v>
      </c>
      <c r="R164">
        <v>175</v>
      </c>
      <c r="S164">
        <v>0.81130000000000002</v>
      </c>
      <c r="T164" t="s">
        <v>115</v>
      </c>
      <c r="U164" t="s">
        <v>116</v>
      </c>
      <c r="V164" t="s">
        <v>117</v>
      </c>
      <c r="W164" t="s">
        <v>118</v>
      </c>
      <c r="X164" t="s">
        <v>119</v>
      </c>
      <c r="Y164" t="s">
        <v>120</v>
      </c>
      <c r="Z164" t="s">
        <v>121</v>
      </c>
      <c r="AA164" t="s">
        <v>88</v>
      </c>
      <c r="AB164">
        <v>355</v>
      </c>
      <c r="AC164">
        <v>4</v>
      </c>
      <c r="AE164">
        <v>1</v>
      </c>
      <c r="AF164" t="s">
        <v>89</v>
      </c>
      <c r="AG164" t="s">
        <v>728</v>
      </c>
      <c r="AH164" t="s">
        <v>72</v>
      </c>
      <c r="AI164" t="s">
        <v>72</v>
      </c>
      <c r="AJ164" t="s">
        <v>91</v>
      </c>
      <c r="AK164" t="s">
        <v>92</v>
      </c>
      <c r="AL164" t="s">
        <v>93</v>
      </c>
      <c r="AM164" t="s">
        <v>94</v>
      </c>
      <c r="AN164" t="s">
        <v>729</v>
      </c>
      <c r="AO164" t="s">
        <v>730</v>
      </c>
      <c r="AP164" t="s">
        <v>97</v>
      </c>
      <c r="AQ164">
        <v>39</v>
      </c>
      <c r="AR164" t="s">
        <v>80</v>
      </c>
      <c r="AS164">
        <v>1350</v>
      </c>
      <c r="AT164">
        <v>0.96530000000000005</v>
      </c>
      <c r="AU164">
        <v>163</v>
      </c>
      <c r="AV164">
        <v>0.92110000000000003</v>
      </c>
      <c r="AW164" t="s">
        <v>731</v>
      </c>
      <c r="AX164" t="s">
        <v>146</v>
      </c>
      <c r="AY164" t="s">
        <v>127</v>
      </c>
      <c r="AZ164" t="s">
        <v>136</v>
      </c>
      <c r="BA164" t="s">
        <v>128</v>
      </c>
      <c r="BB164" t="s">
        <v>103</v>
      </c>
      <c r="BC164" t="s">
        <v>104</v>
      </c>
      <c r="BD164" t="s">
        <v>105</v>
      </c>
      <c r="BE164">
        <v>43338</v>
      </c>
      <c r="BF164" t="s">
        <v>106</v>
      </c>
      <c r="BG164">
        <v>506</v>
      </c>
      <c r="BH164" t="s">
        <v>80</v>
      </c>
      <c r="BI164">
        <v>1</v>
      </c>
      <c r="BJ164">
        <v>45</v>
      </c>
      <c r="BK164">
        <v>0</v>
      </c>
      <c r="BL164">
        <v>17</v>
      </c>
      <c r="BM164">
        <v>383</v>
      </c>
      <c r="BN164">
        <v>567</v>
      </c>
      <c r="BO164">
        <v>772</v>
      </c>
      <c r="BP164">
        <v>12</v>
      </c>
      <c r="BQ164" s="2">
        <v>338</v>
      </c>
      <c r="BR164">
        <f t="shared" si="34"/>
        <v>46</v>
      </c>
      <c r="BS164">
        <f t="shared" si="35"/>
        <v>1</v>
      </c>
      <c r="BT164">
        <f t="shared" si="36"/>
        <v>18</v>
      </c>
      <c r="BU164">
        <f t="shared" si="37"/>
        <v>384</v>
      </c>
      <c r="BV164">
        <f t="shared" si="38"/>
        <v>568</v>
      </c>
      <c r="BW164">
        <f t="shared" si="39"/>
        <v>773</v>
      </c>
      <c r="BX164">
        <f t="shared" si="40"/>
        <v>13</v>
      </c>
      <c r="BY164" s="2">
        <f t="shared" si="41"/>
        <v>339</v>
      </c>
      <c r="BZ164">
        <f t="shared" si="42"/>
        <v>70.571452336914007</v>
      </c>
      <c r="CA164">
        <v>70.571452336914007</v>
      </c>
      <c r="CB164">
        <v>70.571452336914007</v>
      </c>
      <c r="CC164">
        <v>70.571452336914007</v>
      </c>
      <c r="CD164">
        <v>70.571452336914007</v>
      </c>
      <c r="CE164">
        <v>70.571452336914007</v>
      </c>
      <c r="CF164">
        <v>70.571452336914007</v>
      </c>
      <c r="CG164">
        <v>70.571452336914007</v>
      </c>
      <c r="CH164">
        <f t="shared" si="43"/>
        <v>-0.18587122347988511</v>
      </c>
      <c r="CI164">
        <f t="shared" si="44"/>
        <v>-1.8486290551614593</v>
      </c>
      <c r="CJ164">
        <f t="shared" si="45"/>
        <v>-0.59335655005815302</v>
      </c>
      <c r="CK164">
        <f t="shared" si="46"/>
        <v>0.73570216920607168</v>
      </c>
      <c r="CL164">
        <f t="shared" si="47"/>
        <v>0.90571928054955975</v>
      </c>
      <c r="CM164">
        <f t="shared" si="48"/>
        <v>1.0395504387568657</v>
      </c>
      <c r="CN164">
        <f t="shared" si="49"/>
        <v>-0.73468570285462242</v>
      </c>
      <c r="CO164" s="2">
        <f t="shared" si="50"/>
        <v>0.68157064304162307</v>
      </c>
      <c r="CP164">
        <v>-0.90034003204616297</v>
      </c>
      <c r="CQ164">
        <v>-2.2527165794045199</v>
      </c>
      <c r="CR164">
        <v>-0.15589954777717599</v>
      </c>
      <c r="CS164">
        <v>0.52233429837920198</v>
      </c>
      <c r="CT164">
        <v>0.63377778518537797</v>
      </c>
      <c r="CU164">
        <v>0.57481404842629702</v>
      </c>
      <c r="CV164">
        <v>0.70587173058047104</v>
      </c>
      <c r="CW164">
        <v>0.38766670771824702</v>
      </c>
      <c r="CX164" t="s">
        <v>1826</v>
      </c>
    </row>
    <row r="165" spans="1:102" x14ac:dyDescent="0.35">
      <c r="A165" t="s">
        <v>740</v>
      </c>
      <c r="B165" t="s">
        <v>148</v>
      </c>
      <c r="C165" t="s">
        <v>108</v>
      </c>
      <c r="D165" t="s">
        <v>72</v>
      </c>
      <c r="E165" t="s">
        <v>72</v>
      </c>
      <c r="F165" t="s">
        <v>72</v>
      </c>
      <c r="G165" t="s">
        <v>73</v>
      </c>
      <c r="H165" t="s">
        <v>109</v>
      </c>
      <c r="I165" t="s">
        <v>110</v>
      </c>
      <c r="J165" t="s">
        <v>111</v>
      </c>
      <c r="K165" t="s">
        <v>112</v>
      </c>
      <c r="L165" t="s">
        <v>113</v>
      </c>
      <c r="M165" t="s">
        <v>114</v>
      </c>
      <c r="N165">
        <v>48</v>
      </c>
      <c r="O165" t="s">
        <v>80</v>
      </c>
      <c r="P165">
        <v>621</v>
      </c>
      <c r="Q165">
        <v>0.68400000000000005</v>
      </c>
      <c r="R165">
        <v>175</v>
      </c>
      <c r="S165">
        <v>0.81130000000000002</v>
      </c>
      <c r="T165" t="s">
        <v>115</v>
      </c>
      <c r="U165" t="s">
        <v>116</v>
      </c>
      <c r="V165" t="s">
        <v>117</v>
      </c>
      <c r="W165" t="s">
        <v>118</v>
      </c>
      <c r="X165" t="s">
        <v>119</v>
      </c>
      <c r="Y165" t="s">
        <v>120</v>
      </c>
      <c r="Z165" t="s">
        <v>121</v>
      </c>
      <c r="AA165" t="s">
        <v>88</v>
      </c>
      <c r="AB165">
        <v>470</v>
      </c>
      <c r="AC165">
        <v>8</v>
      </c>
      <c r="AE165">
        <v>1</v>
      </c>
      <c r="AF165" t="s">
        <v>89</v>
      </c>
      <c r="AG165" t="s">
        <v>741</v>
      </c>
      <c r="AH165" t="s">
        <v>72</v>
      </c>
      <c r="AI165" t="s">
        <v>72</v>
      </c>
      <c r="AJ165" t="s">
        <v>91</v>
      </c>
      <c r="AK165" t="s">
        <v>92</v>
      </c>
      <c r="AL165" t="s">
        <v>93</v>
      </c>
      <c r="AM165" t="s">
        <v>94</v>
      </c>
      <c r="AN165" t="s">
        <v>742</v>
      </c>
      <c r="AO165" t="s">
        <v>743</v>
      </c>
      <c r="AP165" t="s">
        <v>744</v>
      </c>
      <c r="AQ165">
        <v>39</v>
      </c>
      <c r="AR165" t="s">
        <v>80</v>
      </c>
      <c r="AS165">
        <v>1359</v>
      </c>
      <c r="AT165">
        <v>0.96879999999999999</v>
      </c>
      <c r="AU165">
        <v>154</v>
      </c>
      <c r="AV165">
        <v>0.89470000000000005</v>
      </c>
      <c r="AW165" t="s">
        <v>98</v>
      </c>
      <c r="AX165" t="s">
        <v>146</v>
      </c>
      <c r="AY165" t="s">
        <v>127</v>
      </c>
      <c r="AZ165" t="s">
        <v>136</v>
      </c>
      <c r="BA165" t="s">
        <v>128</v>
      </c>
      <c r="BB165" t="s">
        <v>103</v>
      </c>
      <c r="BC165" t="s">
        <v>745</v>
      </c>
      <c r="BD165" t="s">
        <v>105</v>
      </c>
      <c r="BE165">
        <v>51106</v>
      </c>
      <c r="BF165" t="s">
        <v>746</v>
      </c>
      <c r="BG165">
        <v>633</v>
      </c>
      <c r="BH165" t="s">
        <v>80</v>
      </c>
      <c r="BI165">
        <v>1</v>
      </c>
      <c r="BJ165">
        <v>128</v>
      </c>
      <c r="BK165">
        <v>17</v>
      </c>
      <c r="BL165">
        <v>115</v>
      </c>
      <c r="BM165">
        <v>1807</v>
      </c>
      <c r="BN165">
        <v>2410</v>
      </c>
      <c r="BO165">
        <v>3531</v>
      </c>
      <c r="BP165">
        <v>44</v>
      </c>
      <c r="BQ165" s="2">
        <v>1750</v>
      </c>
      <c r="BR165">
        <f t="shared" si="34"/>
        <v>129</v>
      </c>
      <c r="BS165">
        <f t="shared" si="35"/>
        <v>18</v>
      </c>
      <c r="BT165">
        <f t="shared" si="36"/>
        <v>116</v>
      </c>
      <c r="BU165">
        <f t="shared" si="37"/>
        <v>1808</v>
      </c>
      <c r="BV165">
        <f t="shared" si="38"/>
        <v>2411</v>
      </c>
      <c r="BW165">
        <f t="shared" si="39"/>
        <v>3532</v>
      </c>
      <c r="BX165">
        <f t="shared" si="40"/>
        <v>45</v>
      </c>
      <c r="BY165" s="2">
        <f t="shared" si="41"/>
        <v>1751</v>
      </c>
      <c r="BZ165">
        <f t="shared" si="42"/>
        <v>366.67339484771929</v>
      </c>
      <c r="CA165">
        <v>366.67339484771929</v>
      </c>
      <c r="CB165">
        <v>366.67339484771929</v>
      </c>
      <c r="CC165">
        <v>366.67339484771929</v>
      </c>
      <c r="CD165">
        <v>366.67339484771929</v>
      </c>
      <c r="CE165">
        <v>366.67339484771929</v>
      </c>
      <c r="CF165">
        <v>366.67339484771929</v>
      </c>
      <c r="CG165">
        <v>366.67339484771929</v>
      </c>
      <c r="CH165">
        <f t="shared" si="43"/>
        <v>-0.45368968918957508</v>
      </c>
      <c r="CI165">
        <f t="shared" si="44"/>
        <v>-1.309006894385518</v>
      </c>
      <c r="CJ165">
        <f t="shared" si="45"/>
        <v>-0.49982141026190557</v>
      </c>
      <c r="CK165">
        <f t="shared" si="46"/>
        <v>0.69291902665052041</v>
      </c>
      <c r="CL165">
        <f t="shared" si="47"/>
        <v>0.81791781088862958</v>
      </c>
      <c r="CM165">
        <f t="shared" si="48"/>
        <v>0.98374129541670685</v>
      </c>
      <c r="CN165">
        <f t="shared" si="49"/>
        <v>-0.91106688571348038</v>
      </c>
      <c r="CO165" s="2">
        <f t="shared" si="50"/>
        <v>0.67900674659462201</v>
      </c>
      <c r="CP165">
        <v>-1.22210579999558</v>
      </c>
      <c r="CQ165">
        <v>0.93224341511437103</v>
      </c>
      <c r="CR165">
        <v>0.26200399684484399</v>
      </c>
      <c r="CS165">
        <v>0.39627591210924701</v>
      </c>
      <c r="CT165">
        <v>0.389372286334358</v>
      </c>
      <c r="CU165">
        <v>0.413648740690928</v>
      </c>
      <c r="CV165">
        <v>0.23282202068868901</v>
      </c>
      <c r="CW165">
        <v>0.38062457286893397</v>
      </c>
      <c r="CX165" t="s">
        <v>1826</v>
      </c>
    </row>
    <row r="166" spans="1:102" x14ac:dyDescent="0.35">
      <c r="A166" t="s">
        <v>596</v>
      </c>
      <c r="B166" t="s">
        <v>142</v>
      </c>
      <c r="C166" t="s">
        <v>108</v>
      </c>
      <c r="D166" t="s">
        <v>72</v>
      </c>
      <c r="E166" t="s">
        <v>72</v>
      </c>
      <c r="F166" t="s">
        <v>72</v>
      </c>
      <c r="G166" t="s">
        <v>73</v>
      </c>
      <c r="H166" t="s">
        <v>109</v>
      </c>
      <c r="I166" t="s">
        <v>110</v>
      </c>
      <c r="J166" t="s">
        <v>111</v>
      </c>
      <c r="K166" t="s">
        <v>112</v>
      </c>
      <c r="L166" t="s">
        <v>113</v>
      </c>
      <c r="M166" t="s">
        <v>114</v>
      </c>
      <c r="N166">
        <v>48</v>
      </c>
      <c r="O166" t="s">
        <v>80</v>
      </c>
      <c r="P166">
        <v>621</v>
      </c>
      <c r="Q166">
        <v>0.68400000000000005</v>
      </c>
      <c r="R166">
        <v>175</v>
      </c>
      <c r="S166">
        <v>0.81130000000000002</v>
      </c>
      <c r="T166" t="s">
        <v>115</v>
      </c>
      <c r="U166" t="s">
        <v>116</v>
      </c>
      <c r="V166" t="s">
        <v>117</v>
      </c>
      <c r="W166" t="s">
        <v>118</v>
      </c>
      <c r="X166" t="s">
        <v>119</v>
      </c>
      <c r="Y166" t="s">
        <v>120</v>
      </c>
      <c r="Z166" t="s">
        <v>121</v>
      </c>
      <c r="AA166" t="s">
        <v>88</v>
      </c>
      <c r="AB166">
        <v>962</v>
      </c>
      <c r="AC166">
        <v>10</v>
      </c>
      <c r="AE166">
        <v>1</v>
      </c>
      <c r="AF166" t="s">
        <v>89</v>
      </c>
      <c r="AG166" t="s">
        <v>597</v>
      </c>
      <c r="AH166" t="s">
        <v>72</v>
      </c>
      <c r="AI166" t="s">
        <v>72</v>
      </c>
      <c r="AJ166" t="s">
        <v>91</v>
      </c>
      <c r="AK166" t="s">
        <v>92</v>
      </c>
      <c r="AL166" t="s">
        <v>93</v>
      </c>
      <c r="AM166" t="s">
        <v>94</v>
      </c>
      <c r="AN166" t="s">
        <v>144</v>
      </c>
      <c r="AO166" t="s">
        <v>145</v>
      </c>
      <c r="AP166" t="s">
        <v>97</v>
      </c>
      <c r="AQ166">
        <v>39</v>
      </c>
      <c r="AR166" t="s">
        <v>80</v>
      </c>
      <c r="AS166">
        <v>1359</v>
      </c>
      <c r="AT166">
        <v>0.96879999999999999</v>
      </c>
      <c r="AU166">
        <v>172</v>
      </c>
      <c r="AV166">
        <v>0.94740000000000002</v>
      </c>
      <c r="AW166" t="s">
        <v>98</v>
      </c>
      <c r="AX166" t="s">
        <v>146</v>
      </c>
      <c r="AY166" t="s">
        <v>127</v>
      </c>
      <c r="AZ166" t="s">
        <v>101</v>
      </c>
      <c r="BA166" t="s">
        <v>128</v>
      </c>
      <c r="BB166" t="s">
        <v>103</v>
      </c>
      <c r="BC166" t="s">
        <v>104</v>
      </c>
      <c r="BD166" t="s">
        <v>105</v>
      </c>
      <c r="BE166">
        <v>38187</v>
      </c>
      <c r="BF166" t="s">
        <v>106</v>
      </c>
      <c r="BG166">
        <v>498</v>
      </c>
      <c r="BH166" t="s">
        <v>80</v>
      </c>
      <c r="BI166">
        <v>1</v>
      </c>
      <c r="BJ166">
        <v>119</v>
      </c>
      <c r="BK166">
        <v>0</v>
      </c>
      <c r="BL166">
        <v>6</v>
      </c>
      <c r="BM166">
        <v>133</v>
      </c>
      <c r="BN166">
        <v>197</v>
      </c>
      <c r="BO166">
        <v>281</v>
      </c>
      <c r="BP166">
        <v>0</v>
      </c>
      <c r="BQ166" s="2">
        <v>148</v>
      </c>
      <c r="BR166">
        <f t="shared" si="34"/>
        <v>120</v>
      </c>
      <c r="BS166">
        <f t="shared" si="35"/>
        <v>1</v>
      </c>
      <c r="BT166">
        <f t="shared" si="36"/>
        <v>7</v>
      </c>
      <c r="BU166">
        <f t="shared" si="37"/>
        <v>134</v>
      </c>
      <c r="BV166">
        <f t="shared" si="38"/>
        <v>198</v>
      </c>
      <c r="BW166">
        <f t="shared" si="39"/>
        <v>282</v>
      </c>
      <c r="BX166">
        <f t="shared" si="40"/>
        <v>1</v>
      </c>
      <c r="BY166" s="2">
        <f t="shared" si="41"/>
        <v>149</v>
      </c>
      <c r="BZ166">
        <f t="shared" si="42"/>
        <v>31.364298713793229</v>
      </c>
      <c r="CA166">
        <v>31.364298713793229</v>
      </c>
      <c r="CB166">
        <v>31.364298713793229</v>
      </c>
      <c r="CC166">
        <v>31.364298713793229</v>
      </c>
      <c r="CD166">
        <v>31.364298713793229</v>
      </c>
      <c r="CE166">
        <v>31.364298713793229</v>
      </c>
      <c r="CF166">
        <v>31.364298713793229</v>
      </c>
      <c r="CG166">
        <v>31.364298713793229</v>
      </c>
      <c r="CH166">
        <f t="shared" si="43"/>
        <v>0.58274566462014288</v>
      </c>
      <c r="CI166">
        <f t="shared" si="44"/>
        <v>-1.4964355814274819</v>
      </c>
      <c r="CJ166">
        <f t="shared" si="45"/>
        <v>-0.65133754141322509</v>
      </c>
      <c r="CK166">
        <f t="shared" si="46"/>
        <v>0.63066921693732569</v>
      </c>
      <c r="CL166">
        <f t="shared" si="47"/>
        <v>0.80022960883404914</v>
      </c>
      <c r="CM166">
        <f t="shared" si="48"/>
        <v>0.95381352689187915</v>
      </c>
      <c r="CN166">
        <f t="shared" si="49"/>
        <v>-1.4964355814274819</v>
      </c>
      <c r="CO166" s="2">
        <f t="shared" si="50"/>
        <v>0.67675068698479213</v>
      </c>
      <c r="CP166">
        <v>2.3101160117484601E-2</v>
      </c>
      <c r="CQ166">
        <v>-2.2527165794045199</v>
      </c>
      <c r="CR166">
        <v>-0.414951513281967</v>
      </c>
      <c r="CS166">
        <v>0.212859966264033</v>
      </c>
      <c r="CT166">
        <v>0.34013513958018399</v>
      </c>
      <c r="CU166">
        <v>0.32722351114138198</v>
      </c>
      <c r="CV166">
        <v>-2.6172399890044602</v>
      </c>
      <c r="CW166">
        <v>0.37442795910978899</v>
      </c>
      <c r="CX166" t="s">
        <v>1826</v>
      </c>
    </row>
    <row r="167" spans="1:102" x14ac:dyDescent="0.35">
      <c r="A167" t="s">
        <v>1539</v>
      </c>
      <c r="B167" t="s">
        <v>142</v>
      </c>
      <c r="C167" t="s">
        <v>108</v>
      </c>
      <c r="D167" t="s">
        <v>72</v>
      </c>
      <c r="E167" t="s">
        <v>72</v>
      </c>
      <c r="F167" t="s">
        <v>72</v>
      </c>
      <c r="G167" t="s">
        <v>73</v>
      </c>
      <c r="H167" t="s">
        <v>109</v>
      </c>
      <c r="I167" t="s">
        <v>110</v>
      </c>
      <c r="J167" t="s">
        <v>111</v>
      </c>
      <c r="K167" t="s">
        <v>112</v>
      </c>
      <c r="L167" t="s">
        <v>113</v>
      </c>
      <c r="M167" t="s">
        <v>114</v>
      </c>
      <c r="N167">
        <v>48</v>
      </c>
      <c r="O167" t="s">
        <v>80</v>
      </c>
      <c r="P167">
        <v>621</v>
      </c>
      <c r="Q167">
        <v>0.68400000000000005</v>
      </c>
      <c r="R167">
        <v>175</v>
      </c>
      <c r="S167">
        <v>0.81130000000000002</v>
      </c>
      <c r="T167" t="s">
        <v>115</v>
      </c>
      <c r="U167" t="s">
        <v>116</v>
      </c>
      <c r="V167" t="s">
        <v>117</v>
      </c>
      <c r="W167" t="s">
        <v>118</v>
      </c>
      <c r="X167" t="s">
        <v>119</v>
      </c>
      <c r="Y167" t="s">
        <v>120</v>
      </c>
      <c r="Z167" t="s">
        <v>121</v>
      </c>
      <c r="AA167" t="s">
        <v>88</v>
      </c>
      <c r="AB167">
        <v>1482</v>
      </c>
      <c r="AC167">
        <v>12</v>
      </c>
      <c r="AE167">
        <v>1</v>
      </c>
      <c r="AF167" t="s">
        <v>89</v>
      </c>
      <c r="AG167" t="s">
        <v>362</v>
      </c>
      <c r="AH167" t="s">
        <v>72</v>
      </c>
      <c r="AI167" t="s">
        <v>72</v>
      </c>
      <c r="AJ167" t="s">
        <v>91</v>
      </c>
      <c r="AK167" t="s">
        <v>92</v>
      </c>
      <c r="AL167" t="s">
        <v>93</v>
      </c>
      <c r="AM167" t="s">
        <v>94</v>
      </c>
      <c r="AN167" t="s">
        <v>144</v>
      </c>
      <c r="AO167" t="s">
        <v>145</v>
      </c>
      <c r="AP167" t="s">
        <v>97</v>
      </c>
      <c r="AQ167">
        <v>39</v>
      </c>
      <c r="AR167" t="s">
        <v>80</v>
      </c>
      <c r="AS167">
        <v>1359</v>
      </c>
      <c r="AT167">
        <v>0.96879999999999999</v>
      </c>
      <c r="AU167">
        <v>172</v>
      </c>
      <c r="AV167">
        <v>0.94740000000000002</v>
      </c>
      <c r="AW167" t="s">
        <v>98</v>
      </c>
      <c r="AX167" t="s">
        <v>146</v>
      </c>
      <c r="AY167" t="s">
        <v>127</v>
      </c>
      <c r="AZ167" t="s">
        <v>101</v>
      </c>
      <c r="BA167" t="s">
        <v>128</v>
      </c>
      <c r="BB167" t="s">
        <v>103</v>
      </c>
      <c r="BC167" t="s">
        <v>104</v>
      </c>
      <c r="BD167" t="s">
        <v>105</v>
      </c>
      <c r="BE167">
        <v>8429</v>
      </c>
      <c r="BF167" t="s">
        <v>106</v>
      </c>
      <c r="BG167">
        <v>110</v>
      </c>
      <c r="BH167" t="s">
        <v>80</v>
      </c>
      <c r="BI167">
        <v>1</v>
      </c>
      <c r="BJ167">
        <v>46</v>
      </c>
      <c r="BK167">
        <v>6</v>
      </c>
      <c r="BL167">
        <v>11</v>
      </c>
      <c r="BM167">
        <v>318</v>
      </c>
      <c r="BN167">
        <v>409</v>
      </c>
      <c r="BO167">
        <v>608</v>
      </c>
      <c r="BP167">
        <v>0</v>
      </c>
      <c r="BQ167" s="2">
        <v>256</v>
      </c>
      <c r="BR167">
        <f t="shared" si="34"/>
        <v>47</v>
      </c>
      <c r="BS167">
        <f t="shared" si="35"/>
        <v>7</v>
      </c>
      <c r="BT167">
        <f t="shared" si="36"/>
        <v>12</v>
      </c>
      <c r="BU167">
        <f t="shared" si="37"/>
        <v>319</v>
      </c>
      <c r="BV167">
        <f t="shared" si="38"/>
        <v>410</v>
      </c>
      <c r="BW167">
        <f t="shared" si="39"/>
        <v>609</v>
      </c>
      <c r="BX167">
        <f t="shared" si="40"/>
        <v>1</v>
      </c>
      <c r="BY167" s="2">
        <f t="shared" si="41"/>
        <v>257</v>
      </c>
      <c r="BZ167">
        <f t="shared" si="42"/>
        <v>54.756762494761766</v>
      </c>
      <c r="CA167">
        <v>54.756762494761766</v>
      </c>
      <c r="CB167">
        <v>54.756762494761766</v>
      </c>
      <c r="CC167">
        <v>54.756762494761766</v>
      </c>
      <c r="CD167">
        <v>54.756762494761766</v>
      </c>
      <c r="CE167">
        <v>54.756762494761766</v>
      </c>
      <c r="CF167">
        <v>54.756762494761766</v>
      </c>
      <c r="CG167">
        <v>54.756762494761766</v>
      </c>
      <c r="CH167">
        <f t="shared" si="43"/>
        <v>-6.6339904531618213E-2</v>
      </c>
      <c r="CI167">
        <f t="shared" si="44"/>
        <v>-0.8933397224530788</v>
      </c>
      <c r="CJ167">
        <f t="shared" si="45"/>
        <v>-0.65925651641971084</v>
      </c>
      <c r="CK167">
        <f t="shared" si="46"/>
        <v>0.76535292058984539</v>
      </c>
      <c r="CL167">
        <f t="shared" si="47"/>
        <v>0.87434609425239984</v>
      </c>
      <c r="CM167">
        <f t="shared" si="48"/>
        <v>1.0461795301655397</v>
      </c>
      <c r="CN167">
        <f t="shared" si="49"/>
        <v>-1.7384377624673357</v>
      </c>
      <c r="CO167" s="2">
        <f t="shared" si="50"/>
        <v>0.67149536086395889</v>
      </c>
      <c r="CP167">
        <v>-0.75673123892774297</v>
      </c>
      <c r="CQ167">
        <v>2.1602092409335101</v>
      </c>
      <c r="CR167">
        <v>-0.45033252337285501</v>
      </c>
      <c r="CS167">
        <v>0.60969875194352297</v>
      </c>
      <c r="CT167">
        <v>0.54644690932288198</v>
      </c>
      <c r="CU167">
        <v>0.59395749863790503</v>
      </c>
      <c r="CV167">
        <v>-2.6172399890044602</v>
      </c>
      <c r="CW167">
        <v>0.35999339984226802</v>
      </c>
      <c r="CX167" t="s">
        <v>1826</v>
      </c>
    </row>
    <row r="168" spans="1:102" x14ac:dyDescent="0.35">
      <c r="A168" t="s">
        <v>1394</v>
      </c>
      <c r="B168" t="s">
        <v>231</v>
      </c>
      <c r="C168" t="s">
        <v>1395</v>
      </c>
      <c r="D168" t="s">
        <v>72</v>
      </c>
      <c r="E168" t="s">
        <v>72</v>
      </c>
      <c r="F168" t="s">
        <v>72</v>
      </c>
      <c r="G168" t="s">
        <v>73</v>
      </c>
      <c r="H168" t="s">
        <v>109</v>
      </c>
      <c r="I168" t="s">
        <v>110</v>
      </c>
      <c r="J168" t="s">
        <v>111</v>
      </c>
      <c r="K168" t="s">
        <v>112</v>
      </c>
      <c r="L168" t="s">
        <v>113</v>
      </c>
      <c r="M168" t="s">
        <v>114</v>
      </c>
      <c r="N168">
        <v>48</v>
      </c>
      <c r="O168" t="s">
        <v>80</v>
      </c>
      <c r="P168">
        <v>621</v>
      </c>
      <c r="Q168">
        <v>0.68400000000000005</v>
      </c>
      <c r="R168">
        <v>175</v>
      </c>
      <c r="S168">
        <v>0.81130000000000002</v>
      </c>
      <c r="T168" t="s">
        <v>115</v>
      </c>
      <c r="U168" t="s">
        <v>116</v>
      </c>
      <c r="V168" t="s">
        <v>117</v>
      </c>
      <c r="W168" t="s">
        <v>118</v>
      </c>
      <c r="X168" t="s">
        <v>119</v>
      </c>
      <c r="Y168" t="s">
        <v>120</v>
      </c>
      <c r="Z168" t="s">
        <v>121</v>
      </c>
      <c r="AA168" t="s">
        <v>88</v>
      </c>
      <c r="AB168">
        <v>2723</v>
      </c>
      <c r="AC168">
        <v>11</v>
      </c>
      <c r="AE168">
        <v>1</v>
      </c>
      <c r="AF168" t="s">
        <v>89</v>
      </c>
      <c r="AG168" t="s">
        <v>1396</v>
      </c>
      <c r="AH168" t="s">
        <v>72</v>
      </c>
      <c r="AI168" t="s">
        <v>72</v>
      </c>
      <c r="AJ168" t="s">
        <v>91</v>
      </c>
      <c r="AK168" t="s">
        <v>92</v>
      </c>
      <c r="AL168" t="s">
        <v>93</v>
      </c>
      <c r="AM168" t="s">
        <v>94</v>
      </c>
      <c r="AN168" t="s">
        <v>1397</v>
      </c>
      <c r="AO168" t="s">
        <v>1398</v>
      </c>
      <c r="AP168" t="s">
        <v>97</v>
      </c>
      <c r="AQ168">
        <v>39</v>
      </c>
      <c r="AR168" t="s">
        <v>80</v>
      </c>
      <c r="AS168">
        <v>1323</v>
      </c>
      <c r="AT168">
        <v>0.95489999999999997</v>
      </c>
      <c r="AU168">
        <v>163</v>
      </c>
      <c r="AV168">
        <v>0.92110000000000003</v>
      </c>
      <c r="AW168" t="s">
        <v>98</v>
      </c>
      <c r="AX168" t="s">
        <v>99</v>
      </c>
      <c r="AY168" t="s">
        <v>1399</v>
      </c>
      <c r="AZ168" t="s">
        <v>136</v>
      </c>
      <c r="BA168" t="s">
        <v>1105</v>
      </c>
      <c r="BB168" t="s">
        <v>103</v>
      </c>
      <c r="BC168" t="s">
        <v>104</v>
      </c>
      <c r="BD168" t="s">
        <v>105</v>
      </c>
      <c r="BE168">
        <v>56594</v>
      </c>
      <c r="BF168" t="s">
        <v>106</v>
      </c>
      <c r="BG168">
        <v>701</v>
      </c>
      <c r="BH168" t="s">
        <v>80</v>
      </c>
      <c r="BI168">
        <v>1</v>
      </c>
      <c r="BJ168">
        <v>889</v>
      </c>
      <c r="BK168">
        <v>0</v>
      </c>
      <c r="BL168">
        <v>25</v>
      </c>
      <c r="BM168">
        <v>615</v>
      </c>
      <c r="BN168">
        <v>901</v>
      </c>
      <c r="BO168">
        <v>1271</v>
      </c>
      <c r="BP168">
        <v>12</v>
      </c>
      <c r="BQ168" s="2">
        <v>631</v>
      </c>
      <c r="BR168">
        <f t="shared" si="34"/>
        <v>890</v>
      </c>
      <c r="BS168">
        <f t="shared" si="35"/>
        <v>1</v>
      </c>
      <c r="BT168">
        <f t="shared" si="36"/>
        <v>26</v>
      </c>
      <c r="BU168">
        <f t="shared" si="37"/>
        <v>616</v>
      </c>
      <c r="BV168">
        <f t="shared" si="38"/>
        <v>902</v>
      </c>
      <c r="BW168">
        <f t="shared" si="39"/>
        <v>1272</v>
      </c>
      <c r="BX168">
        <f t="shared" si="40"/>
        <v>13</v>
      </c>
      <c r="BY168" s="2">
        <f t="shared" si="41"/>
        <v>632</v>
      </c>
      <c r="BZ168">
        <f t="shared" si="42"/>
        <v>138.36851125753822</v>
      </c>
      <c r="CA168">
        <v>138.36851125753822</v>
      </c>
      <c r="CB168">
        <v>138.36851125753822</v>
      </c>
      <c r="CC168">
        <v>138.36851125753822</v>
      </c>
      <c r="CD168">
        <v>138.36851125753822</v>
      </c>
      <c r="CE168">
        <v>138.36851125753822</v>
      </c>
      <c r="CF168">
        <v>138.36851125753822</v>
      </c>
      <c r="CG168">
        <v>138.36851125753822</v>
      </c>
      <c r="CH168">
        <f t="shared" si="43"/>
        <v>0.80835273836694843</v>
      </c>
      <c r="CI168">
        <f t="shared" si="44"/>
        <v>-2.1410372682779641</v>
      </c>
      <c r="CJ168">
        <f t="shared" si="45"/>
        <v>-0.72606392030714639</v>
      </c>
      <c r="CK168">
        <f t="shared" si="46"/>
        <v>0.64854344388646112</v>
      </c>
      <c r="CL168">
        <f t="shared" si="47"/>
        <v>0.81416926926397737</v>
      </c>
      <c r="CM168">
        <f t="shared" si="48"/>
        <v>0.96344984303443071</v>
      </c>
      <c r="CN168">
        <f t="shared" si="49"/>
        <v>-1.0270939159711276</v>
      </c>
      <c r="CO168" s="2">
        <f t="shared" si="50"/>
        <v>0.65967981000442066</v>
      </c>
      <c r="CP168">
        <v>0.29415279633158398</v>
      </c>
      <c r="CQ168">
        <v>-2.2527165794045199</v>
      </c>
      <c r="CR168">
        <v>-0.74881981865430502</v>
      </c>
      <c r="CS168">
        <v>0.26552548054001901</v>
      </c>
      <c r="CT168">
        <v>0.37893778917531301</v>
      </c>
      <c r="CU168">
        <v>0.35505120681274899</v>
      </c>
      <c r="CV168">
        <v>-7.8359433666936304E-2</v>
      </c>
      <c r="CW168">
        <v>0.327540177104232</v>
      </c>
      <c r="CX168" t="s">
        <v>1826</v>
      </c>
    </row>
    <row r="169" spans="1:102" x14ac:dyDescent="0.35">
      <c r="A169" t="s">
        <v>1117</v>
      </c>
      <c r="B169" t="s">
        <v>300</v>
      </c>
      <c r="C169" t="s">
        <v>696</v>
      </c>
      <c r="D169" t="s">
        <v>72</v>
      </c>
      <c r="E169" t="s">
        <v>72</v>
      </c>
      <c r="F169" t="s">
        <v>72</v>
      </c>
      <c r="G169" t="s">
        <v>73</v>
      </c>
      <c r="H169" t="s">
        <v>74</v>
      </c>
      <c r="I169" t="s">
        <v>75</v>
      </c>
      <c r="J169" t="s">
        <v>76</v>
      </c>
      <c r="K169" t="s">
        <v>77</v>
      </c>
      <c r="L169" t="s">
        <v>78</v>
      </c>
      <c r="M169" t="s">
        <v>79</v>
      </c>
      <c r="N169">
        <v>60</v>
      </c>
      <c r="O169" t="s">
        <v>80</v>
      </c>
      <c r="P169">
        <v>792</v>
      </c>
      <c r="Q169">
        <v>0.75</v>
      </c>
      <c r="R169">
        <v>177</v>
      </c>
      <c r="S169">
        <v>0.85419999999999996</v>
      </c>
      <c r="T169" t="s">
        <v>81</v>
      </c>
      <c r="U169" t="s">
        <v>82</v>
      </c>
      <c r="V169" t="s">
        <v>83</v>
      </c>
      <c r="W169" t="s">
        <v>84</v>
      </c>
      <c r="X169" t="s">
        <v>85</v>
      </c>
      <c r="Y169" t="s">
        <v>86</v>
      </c>
      <c r="Z169" t="s">
        <v>87</v>
      </c>
      <c r="AA169" t="s">
        <v>88</v>
      </c>
      <c r="AB169">
        <v>159</v>
      </c>
      <c r="AC169">
        <v>2</v>
      </c>
      <c r="AE169">
        <v>22</v>
      </c>
      <c r="AF169" t="s">
        <v>89</v>
      </c>
      <c r="AG169" t="s">
        <v>1118</v>
      </c>
      <c r="AH169" t="s">
        <v>72</v>
      </c>
      <c r="AI169" t="s">
        <v>72</v>
      </c>
      <c r="AJ169" t="s">
        <v>91</v>
      </c>
      <c r="AK169" t="s">
        <v>92</v>
      </c>
      <c r="AL169" t="s">
        <v>93</v>
      </c>
      <c r="AM169" t="s">
        <v>94</v>
      </c>
      <c r="AN169" t="s">
        <v>144</v>
      </c>
      <c r="AO169" t="s">
        <v>145</v>
      </c>
      <c r="AP169" t="s">
        <v>97</v>
      </c>
      <c r="AQ169">
        <v>39</v>
      </c>
      <c r="AR169" t="s">
        <v>80</v>
      </c>
      <c r="AS169">
        <v>1359</v>
      </c>
      <c r="AT169">
        <v>0.96879999999999999</v>
      </c>
      <c r="AU169">
        <v>172</v>
      </c>
      <c r="AV169">
        <v>0.94740000000000002</v>
      </c>
      <c r="AW169" t="s">
        <v>98</v>
      </c>
      <c r="AX169" t="s">
        <v>146</v>
      </c>
      <c r="AY169" t="s">
        <v>127</v>
      </c>
      <c r="AZ169" t="s">
        <v>101</v>
      </c>
      <c r="BA169" t="s">
        <v>128</v>
      </c>
      <c r="BB169" t="s">
        <v>103</v>
      </c>
      <c r="BC169" t="s">
        <v>104</v>
      </c>
      <c r="BD169" t="s">
        <v>105</v>
      </c>
      <c r="BE169">
        <v>6615</v>
      </c>
      <c r="BF169" t="s">
        <v>106</v>
      </c>
      <c r="BG169">
        <v>83</v>
      </c>
      <c r="BH169" t="s">
        <v>80</v>
      </c>
      <c r="BI169">
        <v>1</v>
      </c>
      <c r="BJ169">
        <v>1398</v>
      </c>
      <c r="BK169">
        <v>0</v>
      </c>
      <c r="BL169">
        <v>52</v>
      </c>
      <c r="BM169">
        <v>707</v>
      </c>
      <c r="BN169">
        <v>976</v>
      </c>
      <c r="BO169">
        <v>1409</v>
      </c>
      <c r="BP169">
        <v>11</v>
      </c>
      <c r="BQ169" s="2">
        <v>771</v>
      </c>
      <c r="BR169">
        <f t="shared" si="34"/>
        <v>1399</v>
      </c>
      <c r="BS169">
        <f t="shared" si="35"/>
        <v>1</v>
      </c>
      <c r="BT169">
        <f t="shared" si="36"/>
        <v>53</v>
      </c>
      <c r="BU169">
        <f t="shared" si="37"/>
        <v>708</v>
      </c>
      <c r="BV169">
        <f t="shared" si="38"/>
        <v>977</v>
      </c>
      <c r="BW169">
        <f t="shared" si="39"/>
        <v>1410</v>
      </c>
      <c r="BX169">
        <f t="shared" si="40"/>
        <v>12</v>
      </c>
      <c r="BY169" s="2">
        <f t="shared" si="41"/>
        <v>772</v>
      </c>
      <c r="BZ169">
        <f t="shared" si="42"/>
        <v>169.14333256244518</v>
      </c>
      <c r="CA169">
        <v>169.14333256244518</v>
      </c>
      <c r="CB169">
        <v>169.14333256244518</v>
      </c>
      <c r="CC169">
        <v>169.14333256244518</v>
      </c>
      <c r="CD169">
        <v>169.14333256244518</v>
      </c>
      <c r="CE169">
        <v>169.14333256244518</v>
      </c>
      <c r="CF169">
        <v>169.14333256244518</v>
      </c>
      <c r="CG169">
        <v>169.14333256244518</v>
      </c>
      <c r="CH169">
        <f t="shared" si="43"/>
        <v>0.91756283142434014</v>
      </c>
      <c r="CI169">
        <f t="shared" si="44"/>
        <v>-2.2282548830674873</v>
      </c>
      <c r="CJ169">
        <f t="shared" si="45"/>
        <v>-0.50397901346669849</v>
      </c>
      <c r="CK169">
        <f t="shared" si="46"/>
        <v>0.62177837462228147</v>
      </c>
      <c r="CL169">
        <f t="shared" si="47"/>
        <v>0.76163968065128551</v>
      </c>
      <c r="CM169">
        <f t="shared" si="48"/>
        <v>0.92096422958789237</v>
      </c>
      <c r="CN169">
        <f t="shared" si="49"/>
        <v>-1.1490736370198626</v>
      </c>
      <c r="CO169" s="2">
        <f t="shared" si="50"/>
        <v>0.65936241726824862</v>
      </c>
      <c r="CP169">
        <v>0.42536133479931598</v>
      </c>
      <c r="CQ169">
        <v>-2.2527165794045199</v>
      </c>
      <c r="CR169">
        <v>0.24342833511814299</v>
      </c>
      <c r="CS169">
        <v>0.18666354477957001</v>
      </c>
      <c r="CT169">
        <v>0.23271563185945801</v>
      </c>
      <c r="CU169">
        <v>0.23236150839356201</v>
      </c>
      <c r="CV169">
        <v>-0.40550584871824402</v>
      </c>
      <c r="CW169">
        <v>0.32666840927174801</v>
      </c>
      <c r="CX169" t="s">
        <v>1826</v>
      </c>
    </row>
    <row r="170" spans="1:102" x14ac:dyDescent="0.35">
      <c r="A170" t="s">
        <v>1057</v>
      </c>
      <c r="B170" t="s">
        <v>153</v>
      </c>
      <c r="C170" t="s">
        <v>791</v>
      </c>
      <c r="D170" t="s">
        <v>72</v>
      </c>
      <c r="E170" t="s">
        <v>72</v>
      </c>
      <c r="F170" t="s">
        <v>72</v>
      </c>
      <c r="G170" t="s">
        <v>73</v>
      </c>
      <c r="H170" t="s">
        <v>74</v>
      </c>
      <c r="I170" t="s">
        <v>75</v>
      </c>
      <c r="J170" t="s">
        <v>76</v>
      </c>
      <c r="K170" t="s">
        <v>77</v>
      </c>
      <c r="L170" t="s">
        <v>78</v>
      </c>
      <c r="M170" t="s">
        <v>79</v>
      </c>
      <c r="N170">
        <v>60</v>
      </c>
      <c r="O170" t="s">
        <v>80</v>
      </c>
      <c r="P170">
        <v>792</v>
      </c>
      <c r="Q170">
        <v>0.75</v>
      </c>
      <c r="R170">
        <v>177</v>
      </c>
      <c r="S170">
        <v>0.85419999999999996</v>
      </c>
      <c r="T170" t="s">
        <v>81</v>
      </c>
      <c r="U170" t="s">
        <v>82</v>
      </c>
      <c r="V170" t="s">
        <v>83</v>
      </c>
      <c r="W170" t="s">
        <v>84</v>
      </c>
      <c r="X170" t="s">
        <v>85</v>
      </c>
      <c r="Y170" t="s">
        <v>86</v>
      </c>
      <c r="Z170" t="s">
        <v>87</v>
      </c>
      <c r="AA170" t="s">
        <v>88</v>
      </c>
      <c r="AB170">
        <v>156</v>
      </c>
      <c r="AC170">
        <v>3</v>
      </c>
      <c r="AE170">
        <v>22</v>
      </c>
      <c r="AF170" t="s">
        <v>142</v>
      </c>
      <c r="AG170" t="s">
        <v>1058</v>
      </c>
      <c r="AH170" t="s">
        <v>72</v>
      </c>
      <c r="AI170" t="s">
        <v>72</v>
      </c>
      <c r="AJ170" t="s">
        <v>91</v>
      </c>
      <c r="AK170" t="s">
        <v>92</v>
      </c>
      <c r="AL170" t="s">
        <v>93</v>
      </c>
      <c r="AM170" t="s">
        <v>94</v>
      </c>
      <c r="AN170" t="s">
        <v>144</v>
      </c>
      <c r="AO170" t="s">
        <v>145</v>
      </c>
      <c r="AP170" t="s">
        <v>97</v>
      </c>
      <c r="AQ170">
        <v>39</v>
      </c>
      <c r="AR170" t="s">
        <v>80</v>
      </c>
      <c r="AS170">
        <v>1359</v>
      </c>
      <c r="AT170">
        <v>0.96879999999999999</v>
      </c>
      <c r="AU170">
        <v>172</v>
      </c>
      <c r="AV170">
        <v>0.94740000000000002</v>
      </c>
      <c r="AW170" t="s">
        <v>98</v>
      </c>
      <c r="AX170" t="s">
        <v>146</v>
      </c>
      <c r="AY170" t="s">
        <v>127</v>
      </c>
      <c r="AZ170" t="s">
        <v>101</v>
      </c>
      <c r="BA170" t="s">
        <v>128</v>
      </c>
      <c r="BB170" t="s">
        <v>103</v>
      </c>
      <c r="BC170" t="s">
        <v>104</v>
      </c>
      <c r="BD170" t="s">
        <v>105</v>
      </c>
      <c r="BE170">
        <v>5561</v>
      </c>
      <c r="BF170" t="s">
        <v>106</v>
      </c>
      <c r="BG170">
        <v>65</v>
      </c>
      <c r="BH170" t="s">
        <v>80</v>
      </c>
      <c r="BI170">
        <v>1</v>
      </c>
      <c r="BJ170">
        <v>761</v>
      </c>
      <c r="BK170">
        <v>0</v>
      </c>
      <c r="BL170">
        <v>17</v>
      </c>
      <c r="BM170">
        <v>269</v>
      </c>
      <c r="BN170">
        <v>383</v>
      </c>
      <c r="BO170">
        <v>499</v>
      </c>
      <c r="BP170">
        <v>0</v>
      </c>
      <c r="BQ170" s="2">
        <v>278</v>
      </c>
      <c r="BR170">
        <f t="shared" si="34"/>
        <v>762</v>
      </c>
      <c r="BS170">
        <f t="shared" si="35"/>
        <v>1</v>
      </c>
      <c r="BT170">
        <f t="shared" si="36"/>
        <v>18</v>
      </c>
      <c r="BU170">
        <f t="shared" si="37"/>
        <v>270</v>
      </c>
      <c r="BV170">
        <f t="shared" si="38"/>
        <v>384</v>
      </c>
      <c r="BW170">
        <f t="shared" si="39"/>
        <v>500</v>
      </c>
      <c r="BX170">
        <f t="shared" si="40"/>
        <v>1</v>
      </c>
      <c r="BY170" s="2">
        <f t="shared" si="41"/>
        <v>279</v>
      </c>
      <c r="BZ170">
        <f t="shared" si="42"/>
        <v>61.261423501187124</v>
      </c>
      <c r="CA170">
        <v>61.261423501187124</v>
      </c>
      <c r="CB170">
        <v>61.261423501187124</v>
      </c>
      <c r="CC170">
        <v>61.261423501187124</v>
      </c>
      <c r="CD170">
        <v>61.261423501187124</v>
      </c>
      <c r="CE170">
        <v>61.261423501187124</v>
      </c>
      <c r="CF170">
        <v>61.261423501187124</v>
      </c>
      <c r="CG170">
        <v>61.261423501187124</v>
      </c>
      <c r="CH170">
        <f t="shared" si="43"/>
        <v>1.0947678872672204</v>
      </c>
      <c r="CI170">
        <f t="shared" si="44"/>
        <v>-1.7871870840723802</v>
      </c>
      <c r="CJ170">
        <f t="shared" si="45"/>
        <v>-0.53191457896907401</v>
      </c>
      <c r="CK170">
        <f t="shared" si="46"/>
        <v>0.64417668008660722</v>
      </c>
      <c r="CL170">
        <f t="shared" si="47"/>
        <v>0.79714414029515068</v>
      </c>
      <c r="CM170">
        <f t="shared" si="48"/>
        <v>0.91178292026363872</v>
      </c>
      <c r="CN170">
        <f t="shared" si="49"/>
        <v>-1.7871870840723802</v>
      </c>
      <c r="CO170" s="2">
        <f t="shared" si="50"/>
        <v>0.65841711920121737</v>
      </c>
      <c r="CP170">
        <v>0.63826122102153904</v>
      </c>
      <c r="CQ170">
        <v>-2.2527165794045199</v>
      </c>
      <c r="CR170">
        <v>0.118615651137617</v>
      </c>
      <c r="CS170">
        <v>0.25265902976172799</v>
      </c>
      <c r="CT170">
        <v>0.33154638269091102</v>
      </c>
      <c r="CU170">
        <v>0.205847778669418</v>
      </c>
      <c r="CV170">
        <v>-2.6172399890044602</v>
      </c>
      <c r="CW170">
        <v>0.32407200313817902</v>
      </c>
      <c r="CX170" t="s">
        <v>1826</v>
      </c>
    </row>
    <row r="171" spans="1:102" x14ac:dyDescent="0.35">
      <c r="A171" t="s">
        <v>832</v>
      </c>
      <c r="B171" t="s">
        <v>89</v>
      </c>
      <c r="C171" t="s">
        <v>188</v>
      </c>
      <c r="D171" t="s">
        <v>72</v>
      </c>
      <c r="E171" t="s">
        <v>72</v>
      </c>
      <c r="F171" t="s">
        <v>72</v>
      </c>
      <c r="G171" t="s">
        <v>73</v>
      </c>
      <c r="H171" t="s">
        <v>109</v>
      </c>
      <c r="I171" t="s">
        <v>110</v>
      </c>
      <c r="J171" t="s">
        <v>111</v>
      </c>
      <c r="K171" t="s">
        <v>112</v>
      </c>
      <c r="L171" t="s">
        <v>113</v>
      </c>
      <c r="M171" t="s">
        <v>114</v>
      </c>
      <c r="N171">
        <v>48</v>
      </c>
      <c r="O171" t="s">
        <v>80</v>
      </c>
      <c r="P171">
        <v>621</v>
      </c>
      <c r="Q171">
        <v>0.68400000000000005</v>
      </c>
      <c r="R171">
        <v>175</v>
      </c>
      <c r="S171">
        <v>0.81130000000000002</v>
      </c>
      <c r="T171" t="s">
        <v>115</v>
      </c>
      <c r="U171" t="s">
        <v>116</v>
      </c>
      <c r="V171" t="s">
        <v>117</v>
      </c>
      <c r="W171" t="s">
        <v>118</v>
      </c>
      <c r="X171" t="s">
        <v>119</v>
      </c>
      <c r="Y171" t="s">
        <v>120</v>
      </c>
      <c r="Z171" t="s">
        <v>121</v>
      </c>
      <c r="AA171" t="s">
        <v>88</v>
      </c>
      <c r="AB171">
        <v>530</v>
      </c>
      <c r="AC171">
        <v>4</v>
      </c>
      <c r="AE171">
        <v>1</v>
      </c>
      <c r="AF171" t="s">
        <v>153</v>
      </c>
      <c r="AG171" t="s">
        <v>833</v>
      </c>
      <c r="AH171" t="s">
        <v>72</v>
      </c>
      <c r="AI171" t="s">
        <v>72</v>
      </c>
      <c r="AJ171" t="s">
        <v>91</v>
      </c>
      <c r="AK171" t="s">
        <v>92</v>
      </c>
      <c r="AL171" t="s">
        <v>93</v>
      </c>
      <c r="AM171" t="s">
        <v>94</v>
      </c>
      <c r="AN171" t="s">
        <v>834</v>
      </c>
      <c r="AO171" t="s">
        <v>835</v>
      </c>
      <c r="AP171" t="s">
        <v>836</v>
      </c>
      <c r="AQ171">
        <v>39</v>
      </c>
      <c r="AR171" t="s">
        <v>80</v>
      </c>
      <c r="AS171">
        <v>1332</v>
      </c>
      <c r="AT171">
        <v>0.95830000000000004</v>
      </c>
      <c r="AU171">
        <v>172</v>
      </c>
      <c r="AV171">
        <v>0.94740000000000002</v>
      </c>
      <c r="AW171" t="s">
        <v>644</v>
      </c>
      <c r="AX171" t="s">
        <v>146</v>
      </c>
      <c r="AY171" t="s">
        <v>837</v>
      </c>
      <c r="AZ171" t="s">
        <v>101</v>
      </c>
      <c r="BA171" t="s">
        <v>128</v>
      </c>
      <c r="BB171" t="s">
        <v>103</v>
      </c>
      <c r="BC171" t="s">
        <v>838</v>
      </c>
      <c r="BD171" t="s">
        <v>105</v>
      </c>
      <c r="BE171">
        <v>7083</v>
      </c>
      <c r="BF171" t="s">
        <v>106</v>
      </c>
      <c r="BG171">
        <v>103</v>
      </c>
      <c r="BH171" t="s">
        <v>80</v>
      </c>
      <c r="BI171">
        <v>1</v>
      </c>
      <c r="BJ171">
        <v>35</v>
      </c>
      <c r="BK171">
        <v>0</v>
      </c>
      <c r="BL171">
        <v>10</v>
      </c>
      <c r="BM171">
        <v>177</v>
      </c>
      <c r="BN171">
        <v>241</v>
      </c>
      <c r="BO171">
        <v>368</v>
      </c>
      <c r="BP171">
        <v>0</v>
      </c>
      <c r="BQ171" s="2">
        <v>141</v>
      </c>
      <c r="BR171">
        <f t="shared" si="34"/>
        <v>36</v>
      </c>
      <c r="BS171">
        <f t="shared" si="35"/>
        <v>1</v>
      </c>
      <c r="BT171">
        <f t="shared" si="36"/>
        <v>11</v>
      </c>
      <c r="BU171">
        <f t="shared" si="37"/>
        <v>178</v>
      </c>
      <c r="BV171">
        <f t="shared" si="38"/>
        <v>242</v>
      </c>
      <c r="BW171">
        <f t="shared" si="39"/>
        <v>369</v>
      </c>
      <c r="BX171">
        <f t="shared" si="40"/>
        <v>1</v>
      </c>
      <c r="BY171" s="2">
        <f t="shared" si="41"/>
        <v>142</v>
      </c>
      <c r="BZ171">
        <f t="shared" si="42"/>
        <v>31.182121404664521</v>
      </c>
      <c r="CA171">
        <v>31.182121404664521</v>
      </c>
      <c r="CB171">
        <v>31.182121404664521</v>
      </c>
      <c r="CC171">
        <v>31.182121404664521</v>
      </c>
      <c r="CD171">
        <v>31.182121404664521</v>
      </c>
      <c r="CE171">
        <v>31.182121404664521</v>
      </c>
      <c r="CF171">
        <v>31.182121404664521</v>
      </c>
      <c r="CG171">
        <v>31.182121404664521</v>
      </c>
      <c r="CH171">
        <f t="shared" si="43"/>
        <v>6.2396842672668006E-2</v>
      </c>
      <c r="CI171">
        <f t="shared" si="44"/>
        <v>-1.4939056580946193</v>
      </c>
      <c r="CJ171">
        <f t="shared" si="45"/>
        <v>-0.45251297293639425</v>
      </c>
      <c r="CK171">
        <f t="shared" si="46"/>
        <v>0.75651434421427466</v>
      </c>
      <c r="CL171">
        <f t="shared" si="47"/>
        <v>0.88990970788581203</v>
      </c>
      <c r="CM171">
        <f t="shared" si="48"/>
        <v>1.0731207080644412</v>
      </c>
      <c r="CN171">
        <f t="shared" si="49"/>
        <v>-1.4939056580946193</v>
      </c>
      <c r="CO171" s="2">
        <f t="shared" si="50"/>
        <v>0.65838268628843721</v>
      </c>
      <c r="CP171">
        <v>-0.60206274653036396</v>
      </c>
      <c r="CQ171">
        <v>-2.2527165794045199</v>
      </c>
      <c r="CR171">
        <v>0.47337229855398499</v>
      </c>
      <c r="CS171">
        <v>0.583656329431396</v>
      </c>
      <c r="CT171">
        <v>0.58977001961577502</v>
      </c>
      <c r="CU171">
        <v>0.67175806978025698</v>
      </c>
      <c r="CV171">
        <v>-2.6172399890044602</v>
      </c>
      <c r="CW171">
        <v>0.323977427861812</v>
      </c>
      <c r="CX171" t="s">
        <v>1826</v>
      </c>
    </row>
    <row r="172" spans="1:102" x14ac:dyDescent="0.35">
      <c r="A172" t="s">
        <v>1436</v>
      </c>
      <c r="B172" t="s">
        <v>89</v>
      </c>
      <c r="C172" t="s">
        <v>444</v>
      </c>
      <c r="D172" t="s">
        <v>72</v>
      </c>
      <c r="E172" t="s">
        <v>72</v>
      </c>
      <c r="F172" t="s">
        <v>72</v>
      </c>
      <c r="G172" t="s">
        <v>73</v>
      </c>
      <c r="H172" t="s">
        <v>74</v>
      </c>
      <c r="I172" t="s">
        <v>75</v>
      </c>
      <c r="J172" t="s">
        <v>76</v>
      </c>
      <c r="K172" t="s">
        <v>77</v>
      </c>
      <c r="L172" t="s">
        <v>78</v>
      </c>
      <c r="M172" t="s">
        <v>79</v>
      </c>
      <c r="N172">
        <v>60</v>
      </c>
      <c r="O172" t="s">
        <v>80</v>
      </c>
      <c r="P172">
        <v>792</v>
      </c>
      <c r="Q172">
        <v>0.75</v>
      </c>
      <c r="R172">
        <v>177</v>
      </c>
      <c r="S172">
        <v>0.85419999999999996</v>
      </c>
      <c r="T172" t="s">
        <v>81</v>
      </c>
      <c r="U172" t="s">
        <v>82</v>
      </c>
      <c r="V172" t="s">
        <v>83</v>
      </c>
      <c r="W172" t="s">
        <v>84</v>
      </c>
      <c r="X172" t="s">
        <v>85</v>
      </c>
      <c r="Y172" t="s">
        <v>86</v>
      </c>
      <c r="Z172" t="s">
        <v>87</v>
      </c>
      <c r="AA172" t="s">
        <v>88</v>
      </c>
      <c r="AB172">
        <v>482</v>
      </c>
      <c r="AC172">
        <v>3</v>
      </c>
      <c r="AE172">
        <v>22</v>
      </c>
      <c r="AF172" t="s">
        <v>153</v>
      </c>
      <c r="AG172" t="s">
        <v>161</v>
      </c>
      <c r="AH172" t="s">
        <v>72</v>
      </c>
      <c r="AI172" t="s">
        <v>72</v>
      </c>
      <c r="AJ172" t="s">
        <v>91</v>
      </c>
      <c r="AK172" t="s">
        <v>92</v>
      </c>
      <c r="AL172" t="s">
        <v>93</v>
      </c>
      <c r="AM172" t="s">
        <v>94</v>
      </c>
      <c r="AN172" t="s">
        <v>144</v>
      </c>
      <c r="AO172" t="s">
        <v>145</v>
      </c>
      <c r="AP172" t="s">
        <v>97</v>
      </c>
      <c r="AQ172">
        <v>39</v>
      </c>
      <c r="AR172" t="s">
        <v>80</v>
      </c>
      <c r="AS172">
        <v>1359</v>
      </c>
      <c r="AT172">
        <v>0.96879999999999999</v>
      </c>
      <c r="AU172">
        <v>172</v>
      </c>
      <c r="AV172">
        <v>0.94740000000000002</v>
      </c>
      <c r="AW172" t="s">
        <v>98</v>
      </c>
      <c r="AX172" t="s">
        <v>146</v>
      </c>
      <c r="AY172" t="s">
        <v>127</v>
      </c>
      <c r="AZ172" t="s">
        <v>101</v>
      </c>
      <c r="BA172" t="s">
        <v>128</v>
      </c>
      <c r="BB172" t="s">
        <v>103</v>
      </c>
      <c r="BC172" t="s">
        <v>104</v>
      </c>
      <c r="BD172" t="s">
        <v>105</v>
      </c>
      <c r="BE172">
        <v>4199</v>
      </c>
      <c r="BF172" t="s">
        <v>106</v>
      </c>
      <c r="BG172">
        <v>51</v>
      </c>
      <c r="BH172" t="s">
        <v>80</v>
      </c>
      <c r="BI172">
        <v>1</v>
      </c>
      <c r="BJ172">
        <v>605</v>
      </c>
      <c r="BK172">
        <v>0</v>
      </c>
      <c r="BL172">
        <v>20</v>
      </c>
      <c r="BM172">
        <v>230</v>
      </c>
      <c r="BN172">
        <v>346</v>
      </c>
      <c r="BO172">
        <v>535</v>
      </c>
      <c r="BP172">
        <v>0</v>
      </c>
      <c r="BQ172" s="2">
        <v>266</v>
      </c>
      <c r="BR172">
        <f t="shared" si="34"/>
        <v>606</v>
      </c>
      <c r="BS172">
        <f t="shared" si="35"/>
        <v>1</v>
      </c>
      <c r="BT172">
        <f t="shared" si="36"/>
        <v>21</v>
      </c>
      <c r="BU172">
        <f t="shared" si="37"/>
        <v>231</v>
      </c>
      <c r="BV172">
        <f t="shared" si="38"/>
        <v>347</v>
      </c>
      <c r="BW172">
        <f t="shared" si="39"/>
        <v>536</v>
      </c>
      <c r="BX172">
        <f t="shared" si="40"/>
        <v>1</v>
      </c>
      <c r="BY172" s="2">
        <f t="shared" si="41"/>
        <v>267</v>
      </c>
      <c r="BZ172">
        <f t="shared" si="42"/>
        <v>58.957448197762432</v>
      </c>
      <c r="CA172">
        <v>58.957448197762432</v>
      </c>
      <c r="CB172">
        <v>58.957448197762432</v>
      </c>
      <c r="CC172">
        <v>58.957448197762432</v>
      </c>
      <c r="CD172">
        <v>58.957448197762432</v>
      </c>
      <c r="CE172">
        <v>58.957448197762432</v>
      </c>
      <c r="CF172">
        <v>58.957448197762432</v>
      </c>
      <c r="CG172">
        <v>58.957448197762432</v>
      </c>
      <c r="CH172">
        <f t="shared" si="43"/>
        <v>1.0119339460862151</v>
      </c>
      <c r="CI172">
        <f t="shared" si="44"/>
        <v>-1.7705386780800711</v>
      </c>
      <c r="CJ172">
        <f t="shared" si="45"/>
        <v>-0.44831938334615179</v>
      </c>
      <c r="CK172">
        <f t="shared" si="46"/>
        <v>0.59307330181207318</v>
      </c>
      <c r="CL172">
        <f t="shared" si="47"/>
        <v>0.76979079671080264</v>
      </c>
      <c r="CM172">
        <f t="shared" si="48"/>
        <v>0.95862611161269895</v>
      </c>
      <c r="CN172">
        <f t="shared" si="49"/>
        <v>-1.7705386780800711</v>
      </c>
      <c r="CO172" s="2">
        <f t="shared" si="50"/>
        <v>0.65597258328450414</v>
      </c>
      <c r="CP172">
        <v>0.53874184461948604</v>
      </c>
      <c r="CQ172">
        <v>-2.2527165794045199</v>
      </c>
      <c r="CR172">
        <v>0.49210874304179902</v>
      </c>
      <c r="CS172">
        <v>0.102085485757421</v>
      </c>
      <c r="CT172">
        <v>0.25540520179959902</v>
      </c>
      <c r="CU172">
        <v>0.34112126428921302</v>
      </c>
      <c r="CV172">
        <v>-2.6172399890044602</v>
      </c>
      <c r="CW172">
        <v>0.31735771029315502</v>
      </c>
      <c r="CX172" t="s">
        <v>1826</v>
      </c>
    </row>
    <row r="173" spans="1:102" x14ac:dyDescent="0.35">
      <c r="A173" t="s">
        <v>1199</v>
      </c>
      <c r="B173" t="s">
        <v>178</v>
      </c>
      <c r="C173" t="s">
        <v>71</v>
      </c>
      <c r="D173" t="s">
        <v>72</v>
      </c>
      <c r="E173" t="s">
        <v>72</v>
      </c>
      <c r="F173" t="s">
        <v>72</v>
      </c>
      <c r="G173" t="s">
        <v>73</v>
      </c>
      <c r="H173" t="s">
        <v>74</v>
      </c>
      <c r="I173" t="s">
        <v>75</v>
      </c>
      <c r="J173" t="s">
        <v>76</v>
      </c>
      <c r="K173" t="s">
        <v>77</v>
      </c>
      <c r="L173" t="s">
        <v>78</v>
      </c>
      <c r="M173" t="s">
        <v>79</v>
      </c>
      <c r="N173">
        <v>60</v>
      </c>
      <c r="O173" t="s">
        <v>80</v>
      </c>
      <c r="P173">
        <v>792</v>
      </c>
      <c r="Q173">
        <v>0.75</v>
      </c>
      <c r="R173">
        <v>177</v>
      </c>
      <c r="S173">
        <v>0.85419999999999996</v>
      </c>
      <c r="T173" t="s">
        <v>81</v>
      </c>
      <c r="U173" t="s">
        <v>82</v>
      </c>
      <c r="V173" t="s">
        <v>83</v>
      </c>
      <c r="W173" t="s">
        <v>84</v>
      </c>
      <c r="X173" t="s">
        <v>85</v>
      </c>
      <c r="Y173" t="s">
        <v>86</v>
      </c>
      <c r="Z173" t="s">
        <v>87</v>
      </c>
      <c r="AA173" t="s">
        <v>88</v>
      </c>
      <c r="AB173">
        <v>263</v>
      </c>
      <c r="AC173">
        <v>10</v>
      </c>
      <c r="AE173">
        <v>22</v>
      </c>
      <c r="AF173" t="s">
        <v>89</v>
      </c>
      <c r="AG173" t="s">
        <v>1200</v>
      </c>
      <c r="AH173" t="s">
        <v>72</v>
      </c>
      <c r="AI173" t="s">
        <v>72</v>
      </c>
      <c r="AJ173" t="s">
        <v>91</v>
      </c>
      <c r="AK173" t="s">
        <v>92</v>
      </c>
      <c r="AL173" t="s">
        <v>93</v>
      </c>
      <c r="AM173" t="s">
        <v>94</v>
      </c>
      <c r="AN173" t="s">
        <v>1201</v>
      </c>
      <c r="AO173" t="s">
        <v>1202</v>
      </c>
      <c r="AP173" t="s">
        <v>97</v>
      </c>
      <c r="AQ173">
        <v>39</v>
      </c>
      <c r="AR173" t="s">
        <v>80</v>
      </c>
      <c r="AS173">
        <v>1332</v>
      </c>
      <c r="AT173">
        <v>0.95830000000000004</v>
      </c>
      <c r="AU173">
        <v>163</v>
      </c>
      <c r="AV173">
        <v>0.92110000000000003</v>
      </c>
      <c r="AW173" t="s">
        <v>624</v>
      </c>
      <c r="AX173" t="s">
        <v>146</v>
      </c>
      <c r="AY173" t="s">
        <v>127</v>
      </c>
      <c r="AZ173" t="s">
        <v>136</v>
      </c>
      <c r="BA173" t="s">
        <v>176</v>
      </c>
      <c r="BB173" t="s">
        <v>450</v>
      </c>
      <c r="BC173" t="s">
        <v>104</v>
      </c>
      <c r="BD173" t="s">
        <v>105</v>
      </c>
      <c r="BE173">
        <v>32423</v>
      </c>
      <c r="BF173" t="s">
        <v>106</v>
      </c>
      <c r="BG173">
        <v>350</v>
      </c>
      <c r="BH173" t="s">
        <v>80</v>
      </c>
      <c r="BI173">
        <v>1</v>
      </c>
      <c r="BJ173">
        <v>984</v>
      </c>
      <c r="BK173">
        <v>0</v>
      </c>
      <c r="BL173">
        <v>38</v>
      </c>
      <c r="BM173">
        <v>676</v>
      </c>
      <c r="BN173">
        <v>1074</v>
      </c>
      <c r="BO173">
        <v>1366</v>
      </c>
      <c r="BP173">
        <v>11</v>
      </c>
      <c r="BQ173" s="2">
        <v>679</v>
      </c>
      <c r="BR173">
        <f t="shared" si="34"/>
        <v>985</v>
      </c>
      <c r="BS173">
        <f t="shared" si="35"/>
        <v>1</v>
      </c>
      <c r="BT173">
        <f t="shared" si="36"/>
        <v>39</v>
      </c>
      <c r="BU173">
        <f t="shared" si="37"/>
        <v>677</v>
      </c>
      <c r="BV173">
        <f t="shared" si="38"/>
        <v>1075</v>
      </c>
      <c r="BW173">
        <f t="shared" si="39"/>
        <v>1367</v>
      </c>
      <c r="BX173">
        <f t="shared" si="40"/>
        <v>12</v>
      </c>
      <c r="BY173" s="2">
        <f t="shared" si="41"/>
        <v>680</v>
      </c>
      <c r="BZ173">
        <f t="shared" si="42"/>
        <v>153.72502787690925</v>
      </c>
      <c r="CA173">
        <v>153.72502787690925</v>
      </c>
      <c r="CB173">
        <v>153.72502787690925</v>
      </c>
      <c r="CC173">
        <v>153.72502787690925</v>
      </c>
      <c r="CD173">
        <v>153.72502787690925</v>
      </c>
      <c r="CE173">
        <v>153.72502787690925</v>
      </c>
      <c r="CF173">
        <v>153.72502787690925</v>
      </c>
      <c r="CG173">
        <v>153.72502787690925</v>
      </c>
      <c r="CH173">
        <f t="shared" si="43"/>
        <v>0.80669165002479137</v>
      </c>
      <c r="CI173">
        <f t="shared" si="44"/>
        <v>-2.1867445804728205</v>
      </c>
      <c r="CJ173">
        <f t="shared" si="45"/>
        <v>-0.59567997344632118</v>
      </c>
      <c r="CK173">
        <f t="shared" si="46"/>
        <v>0.64384408821232397</v>
      </c>
      <c r="CL173">
        <f t="shared" si="47"/>
        <v>0.84466388377880375</v>
      </c>
      <c r="CM173">
        <f t="shared" si="48"/>
        <v>0.94902393409500185</v>
      </c>
      <c r="CN173">
        <f t="shared" si="49"/>
        <v>-1.1075633344251956</v>
      </c>
      <c r="CO173" s="2">
        <f t="shared" si="50"/>
        <v>0.64576433223341589</v>
      </c>
      <c r="CP173">
        <v>0.29215711106533598</v>
      </c>
      <c r="CQ173">
        <v>-2.2527165794045199</v>
      </c>
      <c r="CR173">
        <v>-0.16628031880812999</v>
      </c>
      <c r="CS173">
        <v>0.25167906446571903</v>
      </c>
      <c r="CT173">
        <v>0.46382305933705098</v>
      </c>
      <c r="CU173">
        <v>0.31339215393292302</v>
      </c>
      <c r="CV173">
        <v>-0.29417630504668002</v>
      </c>
      <c r="CW173">
        <v>0.28931918301117698</v>
      </c>
      <c r="CX173" t="s">
        <v>1826</v>
      </c>
    </row>
    <row r="174" spans="1:102" x14ac:dyDescent="0.35">
      <c r="A174" t="s">
        <v>1822</v>
      </c>
      <c r="B174" t="s">
        <v>178</v>
      </c>
      <c r="C174" t="s">
        <v>108</v>
      </c>
      <c r="D174" t="s">
        <v>72</v>
      </c>
      <c r="E174" t="s">
        <v>72</v>
      </c>
      <c r="F174" t="s">
        <v>72</v>
      </c>
      <c r="G174" t="s">
        <v>73</v>
      </c>
      <c r="H174" t="s">
        <v>109</v>
      </c>
      <c r="I174" t="s">
        <v>110</v>
      </c>
      <c r="J174" t="s">
        <v>111</v>
      </c>
      <c r="K174" t="s">
        <v>112</v>
      </c>
      <c r="L174" t="s">
        <v>113</v>
      </c>
      <c r="M174" t="s">
        <v>114</v>
      </c>
      <c r="N174">
        <v>48</v>
      </c>
      <c r="O174" t="s">
        <v>80</v>
      </c>
      <c r="P174">
        <v>621</v>
      </c>
      <c r="Q174">
        <v>0.68400000000000005</v>
      </c>
      <c r="R174">
        <v>175</v>
      </c>
      <c r="S174">
        <v>0.81130000000000002</v>
      </c>
      <c r="T174" t="s">
        <v>115</v>
      </c>
      <c r="U174" t="s">
        <v>116</v>
      </c>
      <c r="V174" t="s">
        <v>117</v>
      </c>
      <c r="W174" t="s">
        <v>118</v>
      </c>
      <c r="X174" t="s">
        <v>119</v>
      </c>
      <c r="Y174" t="s">
        <v>120</v>
      </c>
      <c r="Z174" t="s">
        <v>121</v>
      </c>
      <c r="AA174" t="s">
        <v>88</v>
      </c>
      <c r="AB174">
        <v>405</v>
      </c>
      <c r="AC174">
        <v>12</v>
      </c>
      <c r="AE174">
        <v>1</v>
      </c>
      <c r="AF174" t="s">
        <v>89</v>
      </c>
      <c r="AG174" t="s">
        <v>1823</v>
      </c>
      <c r="AH174" t="s">
        <v>72</v>
      </c>
      <c r="AI174" t="s">
        <v>72</v>
      </c>
      <c r="AJ174" t="s">
        <v>72</v>
      </c>
      <c r="AK174" t="s">
        <v>92</v>
      </c>
      <c r="AL174" t="s">
        <v>93</v>
      </c>
      <c r="AM174" t="s">
        <v>94</v>
      </c>
      <c r="AN174" t="s">
        <v>1824</v>
      </c>
      <c r="AO174" t="s">
        <v>1825</v>
      </c>
      <c r="AP174" t="s">
        <v>286</v>
      </c>
      <c r="AQ174">
        <v>39</v>
      </c>
      <c r="AR174" t="s">
        <v>80</v>
      </c>
      <c r="AS174">
        <v>1323</v>
      </c>
      <c r="AT174">
        <v>0.95489999999999997</v>
      </c>
      <c r="AU174">
        <v>163</v>
      </c>
      <c r="AV174">
        <v>0.92110000000000003</v>
      </c>
      <c r="AW174" t="s">
        <v>98</v>
      </c>
      <c r="AX174" t="s">
        <v>146</v>
      </c>
      <c r="AY174" t="s">
        <v>691</v>
      </c>
      <c r="AZ174" t="s">
        <v>136</v>
      </c>
      <c r="BA174" t="s">
        <v>128</v>
      </c>
      <c r="BB174" t="s">
        <v>655</v>
      </c>
      <c r="BC174" t="s">
        <v>104</v>
      </c>
      <c r="BD174" t="s">
        <v>105</v>
      </c>
      <c r="BE174">
        <v>84539</v>
      </c>
      <c r="BG174">
        <v>950</v>
      </c>
      <c r="BH174" t="s">
        <v>80</v>
      </c>
      <c r="BI174">
        <v>1</v>
      </c>
      <c r="BJ174">
        <v>119</v>
      </c>
      <c r="BK174">
        <v>0</v>
      </c>
      <c r="BL174">
        <v>10</v>
      </c>
      <c r="BM174">
        <v>184</v>
      </c>
      <c r="BN174">
        <v>303</v>
      </c>
      <c r="BO174">
        <v>377</v>
      </c>
      <c r="BP174">
        <v>0</v>
      </c>
      <c r="BQ174" s="2">
        <v>169</v>
      </c>
      <c r="BR174">
        <f t="shared" si="34"/>
        <v>120</v>
      </c>
      <c r="BS174">
        <f t="shared" si="35"/>
        <v>1</v>
      </c>
      <c r="BT174">
        <f t="shared" si="36"/>
        <v>11</v>
      </c>
      <c r="BU174">
        <f t="shared" si="37"/>
        <v>185</v>
      </c>
      <c r="BV174">
        <f t="shared" si="38"/>
        <v>304</v>
      </c>
      <c r="BW174">
        <f t="shared" si="39"/>
        <v>378</v>
      </c>
      <c r="BX174">
        <f t="shared" si="40"/>
        <v>1</v>
      </c>
      <c r="BY174" s="2">
        <f t="shared" si="41"/>
        <v>170</v>
      </c>
      <c r="BZ174">
        <f t="shared" si="42"/>
        <v>38.443241118348233</v>
      </c>
      <c r="CA174">
        <v>38.443241118348233</v>
      </c>
      <c r="CB174">
        <v>38.443241118348233</v>
      </c>
      <c r="CC174">
        <v>38.443241118348233</v>
      </c>
      <c r="CD174">
        <v>38.443241118348233</v>
      </c>
      <c r="CE174">
        <v>38.443241118348233</v>
      </c>
      <c r="CF174">
        <v>38.443241118348233</v>
      </c>
      <c r="CG174">
        <v>38.443241118348233</v>
      </c>
      <c r="CH174">
        <f t="shared" si="43"/>
        <v>0.49436125049348517</v>
      </c>
      <c r="CI174">
        <f t="shared" si="44"/>
        <v>-1.5848199955541395</v>
      </c>
      <c r="CJ174">
        <f t="shared" si="45"/>
        <v>-0.54342731039591463</v>
      </c>
      <c r="CK174">
        <f t="shared" si="46"/>
        <v>0.68235173284887418</v>
      </c>
      <c r="CL174">
        <f t="shared" si="47"/>
        <v>0.89805358805461422</v>
      </c>
      <c r="CM174">
        <f t="shared" si="48"/>
        <v>0.99267180428308577</v>
      </c>
      <c r="CN174">
        <f t="shared" si="49"/>
        <v>-1.5848199955541395</v>
      </c>
      <c r="CO174" s="2">
        <f t="shared" si="50"/>
        <v>0.64562892582413434</v>
      </c>
      <c r="CP174">
        <v>-8.30867340251491E-2</v>
      </c>
      <c r="CQ174">
        <v>-2.2527165794045199</v>
      </c>
      <c r="CR174">
        <v>6.71781776700138E-2</v>
      </c>
      <c r="CS174">
        <v>0.365139910303247</v>
      </c>
      <c r="CT174">
        <v>0.61243944762108804</v>
      </c>
      <c r="CU174">
        <v>0.43943821036457797</v>
      </c>
      <c r="CV174">
        <v>-2.6172399890044602</v>
      </c>
      <c r="CW174">
        <v>0.28894726853907099</v>
      </c>
      <c r="CX174" t="s">
        <v>1826</v>
      </c>
    </row>
    <row r="175" spans="1:102" x14ac:dyDescent="0.35">
      <c r="A175" t="s">
        <v>374</v>
      </c>
      <c r="B175" t="s">
        <v>89</v>
      </c>
      <c r="C175" t="s">
        <v>375</v>
      </c>
      <c r="D175" t="s">
        <v>72</v>
      </c>
      <c r="E175" t="s">
        <v>72</v>
      </c>
      <c r="F175" t="s">
        <v>72</v>
      </c>
      <c r="G175" t="s">
        <v>73</v>
      </c>
      <c r="H175" t="s">
        <v>109</v>
      </c>
      <c r="I175" t="s">
        <v>110</v>
      </c>
      <c r="J175" t="s">
        <v>111</v>
      </c>
      <c r="K175" t="s">
        <v>112</v>
      </c>
      <c r="L175" t="s">
        <v>113</v>
      </c>
      <c r="M175" t="s">
        <v>114</v>
      </c>
      <c r="N175">
        <v>48</v>
      </c>
      <c r="O175" t="s">
        <v>80</v>
      </c>
      <c r="P175">
        <v>621</v>
      </c>
      <c r="Q175">
        <v>0.68400000000000005</v>
      </c>
      <c r="R175">
        <v>175</v>
      </c>
      <c r="S175">
        <v>0.81130000000000002</v>
      </c>
      <c r="T175" t="s">
        <v>115</v>
      </c>
      <c r="U175" t="s">
        <v>116</v>
      </c>
      <c r="V175" t="s">
        <v>117</v>
      </c>
      <c r="W175" t="s">
        <v>118</v>
      </c>
      <c r="X175" t="s">
        <v>119</v>
      </c>
      <c r="Y175" t="s">
        <v>120</v>
      </c>
      <c r="Z175" t="s">
        <v>121</v>
      </c>
      <c r="AA175" t="s">
        <v>88</v>
      </c>
      <c r="AB175">
        <v>387</v>
      </c>
      <c r="AC175">
        <v>4</v>
      </c>
      <c r="AE175">
        <v>1</v>
      </c>
      <c r="AF175" t="s">
        <v>159</v>
      </c>
      <c r="AG175" t="s">
        <v>346</v>
      </c>
      <c r="AH175" t="s">
        <v>72</v>
      </c>
      <c r="AI175" t="s">
        <v>72</v>
      </c>
      <c r="AJ175" t="s">
        <v>91</v>
      </c>
      <c r="AK175" t="s">
        <v>92</v>
      </c>
      <c r="AL175" t="s">
        <v>93</v>
      </c>
      <c r="AM175" t="s">
        <v>94</v>
      </c>
      <c r="AN175" t="s">
        <v>144</v>
      </c>
      <c r="AO175" t="s">
        <v>145</v>
      </c>
      <c r="AP175" t="s">
        <v>97</v>
      </c>
      <c r="AQ175">
        <v>39</v>
      </c>
      <c r="AR175" t="s">
        <v>80</v>
      </c>
      <c r="AS175">
        <v>1359</v>
      </c>
      <c r="AT175">
        <v>0.96879999999999999</v>
      </c>
      <c r="AU175">
        <v>172</v>
      </c>
      <c r="AV175">
        <v>0.94740000000000002</v>
      </c>
      <c r="AW175" t="s">
        <v>98</v>
      </c>
      <c r="AX175" t="s">
        <v>146</v>
      </c>
      <c r="AY175" t="s">
        <v>127</v>
      </c>
      <c r="AZ175" t="s">
        <v>101</v>
      </c>
      <c r="BA175" t="s">
        <v>128</v>
      </c>
      <c r="BB175" t="s">
        <v>103</v>
      </c>
      <c r="BC175" t="s">
        <v>104</v>
      </c>
      <c r="BD175" t="s">
        <v>105</v>
      </c>
      <c r="BE175">
        <v>4758</v>
      </c>
      <c r="BF175" t="s">
        <v>106</v>
      </c>
      <c r="BG175">
        <v>54</v>
      </c>
      <c r="BH175" t="s">
        <v>80</v>
      </c>
      <c r="BI175">
        <v>1</v>
      </c>
      <c r="BJ175">
        <v>555</v>
      </c>
      <c r="BK175">
        <v>0</v>
      </c>
      <c r="BL175">
        <v>10</v>
      </c>
      <c r="BM175">
        <v>218</v>
      </c>
      <c r="BN175">
        <v>253</v>
      </c>
      <c r="BO175">
        <v>393</v>
      </c>
      <c r="BP175">
        <v>0</v>
      </c>
      <c r="BQ175" s="2">
        <v>204</v>
      </c>
      <c r="BR175">
        <f t="shared" si="34"/>
        <v>556</v>
      </c>
      <c r="BS175">
        <f t="shared" si="35"/>
        <v>1</v>
      </c>
      <c r="BT175">
        <f t="shared" si="36"/>
        <v>11</v>
      </c>
      <c r="BU175">
        <f t="shared" si="37"/>
        <v>219</v>
      </c>
      <c r="BV175">
        <f t="shared" si="38"/>
        <v>254</v>
      </c>
      <c r="BW175">
        <f t="shared" si="39"/>
        <v>394</v>
      </c>
      <c r="BX175">
        <f t="shared" si="40"/>
        <v>1</v>
      </c>
      <c r="BY175" s="2">
        <f t="shared" si="41"/>
        <v>205</v>
      </c>
      <c r="BZ175">
        <f t="shared" si="42"/>
        <v>47.849171658645474</v>
      </c>
      <c r="CA175">
        <v>47.849171658645474</v>
      </c>
      <c r="CB175">
        <v>47.849171658645474</v>
      </c>
      <c r="CC175">
        <v>47.849171658645474</v>
      </c>
      <c r="CD175">
        <v>47.849171658645474</v>
      </c>
      <c r="CE175">
        <v>47.849171658645474</v>
      </c>
      <c r="CF175">
        <v>47.849171658645474</v>
      </c>
      <c r="CG175">
        <v>47.849171658645474</v>
      </c>
      <c r="CH175">
        <f t="shared" si="43"/>
        <v>1.0652003676968491</v>
      </c>
      <c r="CI175">
        <f t="shared" si="44"/>
        <v>-1.6798744238852084</v>
      </c>
      <c r="CJ175">
        <f t="shared" si="45"/>
        <v>-0.63848173872698344</v>
      </c>
      <c r="CK175">
        <f t="shared" si="46"/>
        <v>0.66056969095490992</v>
      </c>
      <c r="CL175">
        <f t="shared" si="47"/>
        <v>0.72495929273472959</v>
      </c>
      <c r="CM175">
        <f t="shared" si="48"/>
        <v>0.91562179794036569</v>
      </c>
      <c r="CN175">
        <f t="shared" si="49"/>
        <v>-1.6798744238852084</v>
      </c>
      <c r="CO175" s="2">
        <f t="shared" si="50"/>
        <v>0.63187943717054584</v>
      </c>
      <c r="CP175">
        <v>0.60273784657568297</v>
      </c>
      <c r="CQ175">
        <v>-2.2527165794045199</v>
      </c>
      <c r="CR175">
        <v>-0.35751336198134498</v>
      </c>
      <c r="CS175">
        <v>0.30096021505873799</v>
      </c>
      <c r="CT175">
        <v>0.130611549303492</v>
      </c>
      <c r="CU175">
        <v>0.21693366648456</v>
      </c>
      <c r="CV175">
        <v>-2.6172399890044602</v>
      </c>
      <c r="CW175">
        <v>0.251182189016876</v>
      </c>
      <c r="CX175" t="s">
        <v>1826</v>
      </c>
    </row>
    <row r="176" spans="1:102" x14ac:dyDescent="0.35">
      <c r="A176" t="s">
        <v>1362</v>
      </c>
      <c r="B176" t="s">
        <v>70</v>
      </c>
      <c r="C176" t="s">
        <v>108</v>
      </c>
      <c r="D176" t="s">
        <v>72</v>
      </c>
      <c r="E176" t="s">
        <v>72</v>
      </c>
      <c r="F176" t="s">
        <v>72</v>
      </c>
      <c r="G176" t="s">
        <v>73</v>
      </c>
      <c r="H176" t="s">
        <v>109</v>
      </c>
      <c r="I176" t="s">
        <v>110</v>
      </c>
      <c r="J176" t="s">
        <v>111</v>
      </c>
      <c r="K176" t="s">
        <v>112</v>
      </c>
      <c r="L176" t="s">
        <v>113</v>
      </c>
      <c r="M176" t="s">
        <v>114</v>
      </c>
      <c r="N176">
        <v>48</v>
      </c>
      <c r="O176" t="s">
        <v>80</v>
      </c>
      <c r="P176">
        <v>621</v>
      </c>
      <c r="Q176">
        <v>0.68400000000000005</v>
      </c>
      <c r="R176">
        <v>175</v>
      </c>
      <c r="S176">
        <v>0.81130000000000002</v>
      </c>
      <c r="T176" t="s">
        <v>115</v>
      </c>
      <c r="U176" t="s">
        <v>116</v>
      </c>
      <c r="V176" t="s">
        <v>117</v>
      </c>
      <c r="W176" t="s">
        <v>118</v>
      </c>
      <c r="X176" t="s">
        <v>119</v>
      </c>
      <c r="Y176" t="s">
        <v>120</v>
      </c>
      <c r="Z176" t="s">
        <v>121</v>
      </c>
      <c r="AA176" t="s">
        <v>88</v>
      </c>
      <c r="AB176">
        <v>484</v>
      </c>
      <c r="AC176">
        <v>6</v>
      </c>
      <c r="AE176">
        <v>1</v>
      </c>
      <c r="AF176" t="s">
        <v>89</v>
      </c>
      <c r="AG176" t="s">
        <v>1363</v>
      </c>
      <c r="AH176" t="s">
        <v>72</v>
      </c>
      <c r="AI176" t="s">
        <v>72</v>
      </c>
      <c r="AJ176" t="s">
        <v>91</v>
      </c>
      <c r="AK176" t="s">
        <v>92</v>
      </c>
      <c r="AL176" t="s">
        <v>93</v>
      </c>
      <c r="AM176" t="s">
        <v>94</v>
      </c>
      <c r="AN176" t="s">
        <v>1364</v>
      </c>
      <c r="AO176" t="s">
        <v>1365</v>
      </c>
      <c r="AP176" t="s">
        <v>1366</v>
      </c>
      <c r="AQ176">
        <v>39</v>
      </c>
      <c r="AR176" t="s">
        <v>80</v>
      </c>
      <c r="AS176">
        <v>1332</v>
      </c>
      <c r="AT176">
        <v>0.95830000000000004</v>
      </c>
      <c r="AU176">
        <v>163</v>
      </c>
      <c r="AV176">
        <v>0.92110000000000003</v>
      </c>
      <c r="AW176" t="s">
        <v>1288</v>
      </c>
      <c r="AX176" t="s">
        <v>146</v>
      </c>
      <c r="AY176" t="s">
        <v>1063</v>
      </c>
      <c r="AZ176" t="s">
        <v>1367</v>
      </c>
      <c r="BA176" t="s">
        <v>128</v>
      </c>
      <c r="BB176" t="s">
        <v>450</v>
      </c>
      <c r="BC176" t="s">
        <v>1368</v>
      </c>
      <c r="BD176" t="s">
        <v>105</v>
      </c>
      <c r="BE176">
        <v>60811</v>
      </c>
      <c r="BF176" t="s">
        <v>1369</v>
      </c>
      <c r="BG176">
        <v>809</v>
      </c>
      <c r="BH176" t="s">
        <v>80</v>
      </c>
      <c r="BI176">
        <v>1</v>
      </c>
      <c r="BJ176">
        <v>893</v>
      </c>
      <c r="BK176">
        <v>6</v>
      </c>
      <c r="BL176">
        <v>55</v>
      </c>
      <c r="BM176">
        <v>1382</v>
      </c>
      <c r="BN176">
        <v>1625</v>
      </c>
      <c r="BO176">
        <v>2415</v>
      </c>
      <c r="BP176">
        <v>15</v>
      </c>
      <c r="BQ176" s="2">
        <v>1188</v>
      </c>
      <c r="BR176">
        <f t="shared" si="34"/>
        <v>894</v>
      </c>
      <c r="BS176">
        <f t="shared" si="35"/>
        <v>7</v>
      </c>
      <c r="BT176">
        <f t="shared" si="36"/>
        <v>56</v>
      </c>
      <c r="BU176">
        <f t="shared" si="37"/>
        <v>1383</v>
      </c>
      <c r="BV176">
        <f t="shared" si="38"/>
        <v>1626</v>
      </c>
      <c r="BW176">
        <f t="shared" si="39"/>
        <v>2416</v>
      </c>
      <c r="BX176">
        <f t="shared" si="40"/>
        <v>16</v>
      </c>
      <c r="BY176" s="2">
        <f t="shared" si="41"/>
        <v>1189</v>
      </c>
      <c r="BZ176">
        <f t="shared" si="42"/>
        <v>278.52913749031615</v>
      </c>
      <c r="CA176">
        <v>278.52913749031615</v>
      </c>
      <c r="CB176">
        <v>278.52913749031615</v>
      </c>
      <c r="CC176">
        <v>278.52913749031615</v>
      </c>
      <c r="CD176">
        <v>278.52913749031615</v>
      </c>
      <c r="CE176">
        <v>278.52913749031615</v>
      </c>
      <c r="CF176">
        <v>278.52913749031615</v>
      </c>
      <c r="CG176">
        <v>278.52913749031615</v>
      </c>
      <c r="CH176">
        <f t="shared" si="43"/>
        <v>0.506466884494987</v>
      </c>
      <c r="CI176">
        <f t="shared" si="44"/>
        <v>-1.5997725942866738</v>
      </c>
      <c r="CJ176">
        <f t="shared" si="45"/>
        <v>-0.69668260729473019</v>
      </c>
      <c r="CK176">
        <f t="shared" si="46"/>
        <v>0.69595154580837981</v>
      </c>
      <c r="CL176">
        <f t="shared" si="47"/>
        <v>0.7662499069571187</v>
      </c>
      <c r="CM176">
        <f t="shared" si="48"/>
        <v>0.93822629564816351</v>
      </c>
      <c r="CN176">
        <f t="shared" si="49"/>
        <v>-1.240750651645006</v>
      </c>
      <c r="CO176" s="2">
        <f t="shared" si="50"/>
        <v>0.63031122031776088</v>
      </c>
      <c r="CP176">
        <v>-6.8542633749292606E-2</v>
      </c>
      <c r="CQ176">
        <v>7.3262078822945206E-2</v>
      </c>
      <c r="CR176">
        <v>-0.61754771193286495</v>
      </c>
      <c r="CS176">
        <v>0.40521107789039901</v>
      </c>
      <c r="CT176">
        <v>0.24554872752909301</v>
      </c>
      <c r="CU176">
        <v>0.282210798711372</v>
      </c>
      <c r="CV176">
        <v>-0.65138119930409399</v>
      </c>
      <c r="CW176">
        <v>0.24687484089320499</v>
      </c>
      <c r="CX176" t="s">
        <v>1826</v>
      </c>
    </row>
    <row r="177" spans="1:102" x14ac:dyDescent="0.35">
      <c r="A177" t="s">
        <v>187</v>
      </c>
      <c r="B177" t="s">
        <v>89</v>
      </c>
      <c r="C177" t="s">
        <v>188</v>
      </c>
      <c r="D177" t="s">
        <v>72</v>
      </c>
      <c r="E177" t="s">
        <v>72</v>
      </c>
      <c r="F177" t="s">
        <v>72</v>
      </c>
      <c r="G177" t="s">
        <v>73</v>
      </c>
      <c r="H177" t="s">
        <v>109</v>
      </c>
      <c r="I177" t="s">
        <v>110</v>
      </c>
      <c r="J177" t="s">
        <v>111</v>
      </c>
      <c r="K177" t="s">
        <v>112</v>
      </c>
      <c r="L177" t="s">
        <v>113</v>
      </c>
      <c r="M177" t="s">
        <v>114</v>
      </c>
      <c r="N177">
        <v>48</v>
      </c>
      <c r="O177" t="s">
        <v>80</v>
      </c>
      <c r="P177">
        <v>621</v>
      </c>
      <c r="Q177">
        <v>0.68400000000000005</v>
      </c>
      <c r="R177">
        <v>175</v>
      </c>
      <c r="S177">
        <v>0.81130000000000002</v>
      </c>
      <c r="T177" t="s">
        <v>115</v>
      </c>
      <c r="U177" t="s">
        <v>116</v>
      </c>
      <c r="V177" t="s">
        <v>117</v>
      </c>
      <c r="W177" t="s">
        <v>118</v>
      </c>
      <c r="X177" t="s">
        <v>119</v>
      </c>
      <c r="Y177" t="s">
        <v>120</v>
      </c>
      <c r="Z177" t="s">
        <v>121</v>
      </c>
      <c r="AA177" t="s">
        <v>88</v>
      </c>
      <c r="AB177">
        <v>97</v>
      </c>
      <c r="AC177">
        <v>1</v>
      </c>
      <c r="AE177">
        <v>1</v>
      </c>
      <c r="AF177" t="s">
        <v>159</v>
      </c>
      <c r="AG177" t="s">
        <v>189</v>
      </c>
      <c r="AH177" t="s">
        <v>72</v>
      </c>
      <c r="AI177" t="s">
        <v>72</v>
      </c>
      <c r="AJ177" t="s">
        <v>91</v>
      </c>
      <c r="AK177" t="s">
        <v>92</v>
      </c>
      <c r="AL177" t="s">
        <v>93</v>
      </c>
      <c r="AM177" t="s">
        <v>94</v>
      </c>
      <c r="AN177" t="s">
        <v>190</v>
      </c>
      <c r="AO177" t="s">
        <v>191</v>
      </c>
      <c r="AP177" t="s">
        <v>97</v>
      </c>
      <c r="AQ177">
        <v>39</v>
      </c>
      <c r="AR177" t="s">
        <v>80</v>
      </c>
      <c r="AS177">
        <v>1323</v>
      </c>
      <c r="AT177">
        <v>0.95489999999999997</v>
      </c>
      <c r="AU177">
        <v>163</v>
      </c>
      <c r="AV177">
        <v>0.92110000000000003</v>
      </c>
      <c r="AW177" t="s">
        <v>192</v>
      </c>
      <c r="AX177" t="s">
        <v>193</v>
      </c>
      <c r="AY177" t="s">
        <v>127</v>
      </c>
      <c r="AZ177" t="s">
        <v>136</v>
      </c>
      <c r="BA177" t="s">
        <v>194</v>
      </c>
      <c r="BB177" t="s">
        <v>103</v>
      </c>
      <c r="BC177" t="s">
        <v>104</v>
      </c>
      <c r="BD177" t="s">
        <v>105</v>
      </c>
      <c r="BE177">
        <v>10670</v>
      </c>
      <c r="BF177" t="s">
        <v>106</v>
      </c>
      <c r="BG177">
        <v>125</v>
      </c>
      <c r="BH177" t="s">
        <v>80</v>
      </c>
      <c r="BI177">
        <v>1</v>
      </c>
      <c r="BJ177">
        <v>40</v>
      </c>
      <c r="BK177">
        <v>4</v>
      </c>
      <c r="BL177">
        <v>8</v>
      </c>
      <c r="BM177">
        <v>202</v>
      </c>
      <c r="BN177">
        <v>329</v>
      </c>
      <c r="BO177">
        <v>408</v>
      </c>
      <c r="BP177">
        <v>0</v>
      </c>
      <c r="BQ177" s="2">
        <v>176</v>
      </c>
      <c r="BR177">
        <f t="shared" si="34"/>
        <v>41</v>
      </c>
      <c r="BS177">
        <f t="shared" si="35"/>
        <v>5</v>
      </c>
      <c r="BT177">
        <f t="shared" si="36"/>
        <v>9</v>
      </c>
      <c r="BU177">
        <f t="shared" si="37"/>
        <v>203</v>
      </c>
      <c r="BV177">
        <f t="shared" si="38"/>
        <v>330</v>
      </c>
      <c r="BW177">
        <f t="shared" si="39"/>
        <v>409</v>
      </c>
      <c r="BX177">
        <f t="shared" si="40"/>
        <v>1</v>
      </c>
      <c r="BY177" s="2">
        <f t="shared" si="41"/>
        <v>177</v>
      </c>
      <c r="BZ177">
        <f t="shared" si="42"/>
        <v>41.587504927270714</v>
      </c>
      <c r="CA177">
        <v>41.587504927270714</v>
      </c>
      <c r="CB177">
        <v>41.587504927270714</v>
      </c>
      <c r="CC177">
        <v>41.587504927270714</v>
      </c>
      <c r="CD177">
        <v>41.587504927270714</v>
      </c>
      <c r="CE177">
        <v>41.587504927270714</v>
      </c>
      <c r="CF177">
        <v>41.587504927270714</v>
      </c>
      <c r="CG177">
        <v>41.587504927270714</v>
      </c>
      <c r="CH177">
        <f t="shared" si="43"/>
        <v>-6.1790086121805109E-3</v>
      </c>
      <c r="CI177">
        <f t="shared" si="44"/>
        <v>-0.91999286099589717</v>
      </c>
      <c r="CJ177">
        <f t="shared" si="45"/>
        <v>-0.66472035589259115</v>
      </c>
      <c r="CK177">
        <f t="shared" si="46"/>
        <v>0.68853317258129687</v>
      </c>
      <c r="CL177">
        <f t="shared" si="47"/>
        <v>0.8995510745459715</v>
      </c>
      <c r="CM177">
        <f t="shared" si="48"/>
        <v>0.99276044267542574</v>
      </c>
      <c r="CN177">
        <f t="shared" si="49"/>
        <v>-1.6189628653319159</v>
      </c>
      <c r="CO177" s="2">
        <f t="shared" si="50"/>
        <v>0.62901040102989059</v>
      </c>
      <c r="CP177">
        <v>-0.68445199251825095</v>
      </c>
      <c r="CQ177">
        <v>2.0814704193680602</v>
      </c>
      <c r="CR177">
        <v>-0.47474428870443303</v>
      </c>
      <c r="CS177">
        <v>0.38335321280860701</v>
      </c>
      <c r="CT177">
        <v>0.61660787366630299</v>
      </c>
      <c r="CU177">
        <v>0.439694179779689</v>
      </c>
      <c r="CV177">
        <v>-2.6172399890044602</v>
      </c>
      <c r="CW177">
        <v>0.24330194119576001</v>
      </c>
      <c r="CX177" t="s">
        <v>1826</v>
      </c>
    </row>
    <row r="178" spans="1:102" x14ac:dyDescent="0.35">
      <c r="A178" t="s">
        <v>1713</v>
      </c>
      <c r="B178" t="s">
        <v>159</v>
      </c>
      <c r="C178" t="s">
        <v>71</v>
      </c>
      <c r="D178" t="s">
        <v>72</v>
      </c>
      <c r="E178" t="s">
        <v>72</v>
      </c>
      <c r="F178" t="s">
        <v>72</v>
      </c>
      <c r="G178" t="s">
        <v>73</v>
      </c>
      <c r="H178" t="s">
        <v>74</v>
      </c>
      <c r="I178" t="s">
        <v>75</v>
      </c>
      <c r="J178" t="s">
        <v>76</v>
      </c>
      <c r="K178" t="s">
        <v>77</v>
      </c>
      <c r="L178" t="s">
        <v>78</v>
      </c>
      <c r="M178" t="s">
        <v>79</v>
      </c>
      <c r="N178">
        <v>60</v>
      </c>
      <c r="O178" t="s">
        <v>80</v>
      </c>
      <c r="P178">
        <v>792</v>
      </c>
      <c r="Q178">
        <v>0.75</v>
      </c>
      <c r="R178">
        <v>177</v>
      </c>
      <c r="S178">
        <v>0.85419999999999996</v>
      </c>
      <c r="T178" t="s">
        <v>81</v>
      </c>
      <c r="U178" t="s">
        <v>82</v>
      </c>
      <c r="V178" t="s">
        <v>83</v>
      </c>
      <c r="W178" t="s">
        <v>84</v>
      </c>
      <c r="X178" t="s">
        <v>85</v>
      </c>
      <c r="Y178" t="s">
        <v>86</v>
      </c>
      <c r="Z178" t="s">
        <v>87</v>
      </c>
      <c r="AA178" t="s">
        <v>88</v>
      </c>
      <c r="AB178">
        <v>200</v>
      </c>
      <c r="AC178">
        <v>1</v>
      </c>
      <c r="AE178">
        <v>22</v>
      </c>
      <c r="AF178" t="s">
        <v>153</v>
      </c>
      <c r="AG178" t="s">
        <v>1714</v>
      </c>
      <c r="AH178" t="s">
        <v>72</v>
      </c>
      <c r="AI178" t="s">
        <v>72</v>
      </c>
      <c r="AJ178" t="s">
        <v>91</v>
      </c>
      <c r="AK178" t="s">
        <v>92</v>
      </c>
      <c r="AL178" t="s">
        <v>93</v>
      </c>
      <c r="AM178" t="s">
        <v>94</v>
      </c>
      <c r="AN178" t="s">
        <v>1715</v>
      </c>
      <c r="AO178" t="s">
        <v>1716</v>
      </c>
      <c r="AP178" t="s">
        <v>97</v>
      </c>
      <c r="AQ178">
        <v>39</v>
      </c>
      <c r="AR178" t="s">
        <v>80</v>
      </c>
      <c r="AS178">
        <v>1332</v>
      </c>
      <c r="AT178">
        <v>0.95830000000000004</v>
      </c>
      <c r="AU178">
        <v>172</v>
      </c>
      <c r="AV178">
        <v>0.94740000000000002</v>
      </c>
      <c r="AW178" t="s">
        <v>624</v>
      </c>
      <c r="AX178" t="s">
        <v>1001</v>
      </c>
      <c r="AY178" t="s">
        <v>127</v>
      </c>
      <c r="AZ178" t="s">
        <v>101</v>
      </c>
      <c r="BA178" t="s">
        <v>128</v>
      </c>
      <c r="BB178" t="s">
        <v>450</v>
      </c>
      <c r="BC178" t="s">
        <v>104</v>
      </c>
      <c r="BD178" t="s">
        <v>105</v>
      </c>
      <c r="BE178">
        <v>4954</v>
      </c>
      <c r="BF178" t="s">
        <v>106</v>
      </c>
      <c r="BG178">
        <v>58</v>
      </c>
      <c r="BH178" t="s">
        <v>80</v>
      </c>
      <c r="BI178">
        <v>1</v>
      </c>
      <c r="BJ178">
        <v>79</v>
      </c>
      <c r="BK178">
        <v>0</v>
      </c>
      <c r="BL178">
        <v>6</v>
      </c>
      <c r="BM178">
        <v>188</v>
      </c>
      <c r="BN178">
        <v>186</v>
      </c>
      <c r="BO178">
        <v>268</v>
      </c>
      <c r="BP178">
        <v>5</v>
      </c>
      <c r="BQ178" s="2">
        <v>162</v>
      </c>
      <c r="BR178">
        <f t="shared" si="34"/>
        <v>80</v>
      </c>
      <c r="BS178">
        <f t="shared" si="35"/>
        <v>1</v>
      </c>
      <c r="BT178">
        <f t="shared" si="36"/>
        <v>7</v>
      </c>
      <c r="BU178">
        <f t="shared" si="37"/>
        <v>189</v>
      </c>
      <c r="BV178">
        <f t="shared" si="38"/>
        <v>187</v>
      </c>
      <c r="BW178">
        <f t="shared" si="39"/>
        <v>269</v>
      </c>
      <c r="BX178">
        <f t="shared" si="40"/>
        <v>6</v>
      </c>
      <c r="BY178" s="2">
        <f t="shared" si="41"/>
        <v>163</v>
      </c>
      <c r="BZ178">
        <f t="shared" si="42"/>
        <v>38.866266260898328</v>
      </c>
      <c r="CA178">
        <v>38.866266260898328</v>
      </c>
      <c r="CB178">
        <v>38.866266260898328</v>
      </c>
      <c r="CC178">
        <v>38.866266260898328</v>
      </c>
      <c r="CD178">
        <v>38.866266260898328</v>
      </c>
      <c r="CE178">
        <v>38.866266260898328</v>
      </c>
      <c r="CF178">
        <v>38.866266260898328</v>
      </c>
      <c r="CG178">
        <v>38.866266260898328</v>
      </c>
      <c r="CH178">
        <f t="shared" si="43"/>
        <v>0.31351716542869951</v>
      </c>
      <c r="CI178">
        <f t="shared" si="44"/>
        <v>-1.5895728215632441</v>
      </c>
      <c r="CJ178">
        <f t="shared" si="45"/>
        <v>-0.74447478154898727</v>
      </c>
      <c r="CK178">
        <f t="shared" si="46"/>
        <v>0.68688898260999998</v>
      </c>
      <c r="CL178">
        <f t="shared" si="47"/>
        <v>0.68226878497325483</v>
      </c>
      <c r="CM178">
        <f t="shared" si="48"/>
        <v>0.84017945843916386</v>
      </c>
      <c r="CN178">
        <f t="shared" si="49"/>
        <v>-0.81142157117960045</v>
      </c>
      <c r="CO178" s="2">
        <f t="shared" si="50"/>
        <v>0.6226147828407137</v>
      </c>
      <c r="CP178">
        <v>-0.30035866766790398</v>
      </c>
      <c r="CQ178">
        <v>-2.2527165794045199</v>
      </c>
      <c r="CR178">
        <v>-0.831077290971871</v>
      </c>
      <c r="CS178">
        <v>0.37850868942573901</v>
      </c>
      <c r="CT178">
        <v>1.17776062506067E-2</v>
      </c>
      <c r="CU178">
        <v>-9.28266781100661E-4</v>
      </c>
      <c r="CV178">
        <v>0.50006814279938505</v>
      </c>
      <c r="CW178">
        <v>0.22573539486133901</v>
      </c>
      <c r="CX178" t="s">
        <v>1826</v>
      </c>
    </row>
    <row r="179" spans="1:102" x14ac:dyDescent="0.35">
      <c r="A179" t="s">
        <v>1381</v>
      </c>
      <c r="B179" t="s">
        <v>148</v>
      </c>
      <c r="C179" t="s">
        <v>108</v>
      </c>
      <c r="D179" t="s">
        <v>72</v>
      </c>
      <c r="E179" t="s">
        <v>72</v>
      </c>
      <c r="F179" t="s">
        <v>72</v>
      </c>
      <c r="G179" t="s">
        <v>73</v>
      </c>
      <c r="H179" t="s">
        <v>109</v>
      </c>
      <c r="I179" t="s">
        <v>110</v>
      </c>
      <c r="J179" t="s">
        <v>111</v>
      </c>
      <c r="K179" t="s">
        <v>112</v>
      </c>
      <c r="L179" t="s">
        <v>113</v>
      </c>
      <c r="M179" t="s">
        <v>114</v>
      </c>
      <c r="N179">
        <v>48</v>
      </c>
      <c r="O179" t="s">
        <v>80</v>
      </c>
      <c r="P179">
        <v>621</v>
      </c>
      <c r="Q179">
        <v>0.68400000000000005</v>
      </c>
      <c r="R179">
        <v>175</v>
      </c>
      <c r="S179">
        <v>0.81130000000000002</v>
      </c>
      <c r="T179" t="s">
        <v>115</v>
      </c>
      <c r="U179" t="s">
        <v>116</v>
      </c>
      <c r="V179" t="s">
        <v>117</v>
      </c>
      <c r="W179" t="s">
        <v>118</v>
      </c>
      <c r="X179" t="s">
        <v>119</v>
      </c>
      <c r="Y179" t="s">
        <v>120</v>
      </c>
      <c r="Z179" t="s">
        <v>121</v>
      </c>
      <c r="AA179" t="s">
        <v>88</v>
      </c>
      <c r="AB179">
        <v>645</v>
      </c>
      <c r="AC179">
        <v>15</v>
      </c>
      <c r="AE179">
        <v>1</v>
      </c>
      <c r="AF179" t="s">
        <v>89</v>
      </c>
      <c r="AG179" t="s">
        <v>1382</v>
      </c>
      <c r="AH179" t="s">
        <v>72</v>
      </c>
      <c r="AI179" t="s">
        <v>72</v>
      </c>
      <c r="AJ179" t="s">
        <v>91</v>
      </c>
      <c r="AK179" t="s">
        <v>92</v>
      </c>
      <c r="AL179" t="s">
        <v>93</v>
      </c>
      <c r="AM179" t="s">
        <v>94</v>
      </c>
      <c r="AN179" t="s">
        <v>1383</v>
      </c>
      <c r="AO179" t="s">
        <v>1384</v>
      </c>
      <c r="AP179" t="s">
        <v>1238</v>
      </c>
      <c r="AQ179">
        <v>39</v>
      </c>
      <c r="AR179" t="s">
        <v>80</v>
      </c>
      <c r="AS179">
        <v>1350</v>
      </c>
      <c r="AT179">
        <v>0.96530000000000005</v>
      </c>
      <c r="AU179">
        <v>172</v>
      </c>
      <c r="AV179">
        <v>0.94740000000000002</v>
      </c>
      <c r="AW179" t="s">
        <v>98</v>
      </c>
      <c r="AX179" t="s">
        <v>146</v>
      </c>
      <c r="AY179" t="s">
        <v>127</v>
      </c>
      <c r="AZ179" t="s">
        <v>101</v>
      </c>
      <c r="BA179" t="s">
        <v>128</v>
      </c>
      <c r="BB179" t="s">
        <v>450</v>
      </c>
      <c r="BC179" t="s">
        <v>1241</v>
      </c>
      <c r="BD179" t="s">
        <v>105</v>
      </c>
      <c r="BE179">
        <v>38712</v>
      </c>
      <c r="BF179" t="s">
        <v>1242</v>
      </c>
      <c r="BG179">
        <v>450</v>
      </c>
      <c r="BH179" t="s">
        <v>80</v>
      </c>
      <c r="BI179">
        <v>1</v>
      </c>
      <c r="BJ179">
        <v>148</v>
      </c>
      <c r="BK179">
        <v>0</v>
      </c>
      <c r="BL179">
        <v>14</v>
      </c>
      <c r="BM179">
        <v>233</v>
      </c>
      <c r="BN179">
        <v>325</v>
      </c>
      <c r="BO179">
        <v>407</v>
      </c>
      <c r="BP179">
        <v>0</v>
      </c>
      <c r="BQ179" s="2">
        <v>180</v>
      </c>
      <c r="BR179">
        <f t="shared" si="34"/>
        <v>149</v>
      </c>
      <c r="BS179">
        <f t="shared" si="35"/>
        <v>1</v>
      </c>
      <c r="BT179">
        <f t="shared" si="36"/>
        <v>15</v>
      </c>
      <c r="BU179">
        <f t="shared" si="37"/>
        <v>234</v>
      </c>
      <c r="BV179">
        <f t="shared" si="38"/>
        <v>326</v>
      </c>
      <c r="BW179">
        <f t="shared" si="39"/>
        <v>408</v>
      </c>
      <c r="BX179">
        <f t="shared" si="40"/>
        <v>1</v>
      </c>
      <c r="BY179" s="2">
        <f t="shared" si="41"/>
        <v>181</v>
      </c>
      <c r="BZ179">
        <f t="shared" si="42"/>
        <v>43.401647498476606</v>
      </c>
      <c r="CA179">
        <v>43.401647498476606</v>
      </c>
      <c r="CB179">
        <v>43.401647498476606</v>
      </c>
      <c r="CC179">
        <v>43.401647498476606</v>
      </c>
      <c r="CD179">
        <v>43.401647498476606</v>
      </c>
      <c r="CE179">
        <v>43.401647498476606</v>
      </c>
      <c r="CF179">
        <v>43.401647498476606</v>
      </c>
      <c r="CG179">
        <v>43.401647498476606</v>
      </c>
      <c r="CH179">
        <f t="shared" si="43"/>
        <v>0.53568005304913635</v>
      </c>
      <c r="CI179">
        <f t="shared" si="44"/>
        <v>-1.6375062153631377</v>
      </c>
      <c r="CJ179">
        <f t="shared" si="45"/>
        <v>-0.46141495630745649</v>
      </c>
      <c r="CK179">
        <f t="shared" si="46"/>
        <v>0.73170964204700506</v>
      </c>
      <c r="CL179">
        <f t="shared" si="47"/>
        <v>0.87571138470480125</v>
      </c>
      <c r="CM179">
        <f t="shared" si="48"/>
        <v>0.97315394772674224</v>
      </c>
      <c r="CN179">
        <f t="shared" si="49"/>
        <v>-1.6375062153631377</v>
      </c>
      <c r="CO179" s="2">
        <f t="shared" si="50"/>
        <v>0.62017235950604677</v>
      </c>
      <c r="CP179">
        <v>-3.3444988076679498E-2</v>
      </c>
      <c r="CQ179">
        <v>-2.2527165794045199</v>
      </c>
      <c r="CR179">
        <v>0.43359932752900998</v>
      </c>
      <c r="CS179">
        <v>0.51057051711518298</v>
      </c>
      <c r="CT179">
        <v>0.55024735247473799</v>
      </c>
      <c r="CU179">
        <v>0.38307466184950101</v>
      </c>
      <c r="CV179">
        <v>-2.6172399890044602</v>
      </c>
      <c r="CW179">
        <v>0.21902690454693799</v>
      </c>
      <c r="CX179" t="s">
        <v>1826</v>
      </c>
    </row>
    <row r="180" spans="1:102" x14ac:dyDescent="0.35">
      <c r="A180" t="s">
        <v>1188</v>
      </c>
      <c r="B180" t="s">
        <v>211</v>
      </c>
      <c r="C180" t="s">
        <v>152</v>
      </c>
      <c r="D180" t="s">
        <v>72</v>
      </c>
      <c r="E180" t="s">
        <v>72</v>
      </c>
      <c r="F180" t="s">
        <v>72</v>
      </c>
      <c r="G180" t="s">
        <v>73</v>
      </c>
      <c r="H180" t="s">
        <v>109</v>
      </c>
      <c r="I180" t="s">
        <v>110</v>
      </c>
      <c r="J180" t="s">
        <v>111</v>
      </c>
      <c r="K180" t="s">
        <v>112</v>
      </c>
      <c r="L180" t="s">
        <v>113</v>
      </c>
      <c r="M180" t="s">
        <v>114</v>
      </c>
      <c r="N180">
        <v>48</v>
      </c>
      <c r="O180" t="s">
        <v>80</v>
      </c>
      <c r="P180">
        <v>621</v>
      </c>
      <c r="Q180">
        <v>0.68400000000000005</v>
      </c>
      <c r="R180">
        <v>175</v>
      </c>
      <c r="S180">
        <v>0.81130000000000002</v>
      </c>
      <c r="T180" t="s">
        <v>115</v>
      </c>
      <c r="U180" t="s">
        <v>116</v>
      </c>
      <c r="V180" t="s">
        <v>117</v>
      </c>
      <c r="W180" t="s">
        <v>118</v>
      </c>
      <c r="X180" t="s">
        <v>119</v>
      </c>
      <c r="Y180" t="s">
        <v>120</v>
      </c>
      <c r="Z180" t="s">
        <v>121</v>
      </c>
      <c r="AA180" t="s">
        <v>88</v>
      </c>
      <c r="AB180">
        <v>305</v>
      </c>
      <c r="AC180">
        <v>3</v>
      </c>
      <c r="AE180">
        <v>1</v>
      </c>
      <c r="AF180" t="s">
        <v>89</v>
      </c>
      <c r="AG180" t="s">
        <v>1189</v>
      </c>
      <c r="AH180" t="s">
        <v>72</v>
      </c>
      <c r="AI180" t="s">
        <v>72</v>
      </c>
      <c r="AJ180" t="s">
        <v>91</v>
      </c>
      <c r="AK180" t="s">
        <v>92</v>
      </c>
      <c r="AL180" t="s">
        <v>93</v>
      </c>
      <c r="AM180" t="s">
        <v>94</v>
      </c>
      <c r="AN180" t="s">
        <v>1190</v>
      </c>
      <c r="AO180" t="s">
        <v>1191</v>
      </c>
      <c r="AP180" t="s">
        <v>97</v>
      </c>
      <c r="AQ180">
        <v>39</v>
      </c>
      <c r="AR180" t="s">
        <v>80</v>
      </c>
      <c r="AS180">
        <v>1350</v>
      </c>
      <c r="AT180">
        <v>0.96530000000000005</v>
      </c>
      <c r="AU180">
        <v>172</v>
      </c>
      <c r="AV180">
        <v>0.94740000000000002</v>
      </c>
      <c r="AW180" t="s">
        <v>98</v>
      </c>
      <c r="AX180" t="s">
        <v>146</v>
      </c>
      <c r="AY180" t="s">
        <v>127</v>
      </c>
      <c r="AZ180" t="s">
        <v>101</v>
      </c>
      <c r="BA180" t="s">
        <v>1192</v>
      </c>
      <c r="BB180" t="s">
        <v>103</v>
      </c>
      <c r="BC180" t="s">
        <v>104</v>
      </c>
      <c r="BD180" t="s">
        <v>105</v>
      </c>
      <c r="BE180">
        <v>46076</v>
      </c>
      <c r="BF180" t="s">
        <v>106</v>
      </c>
      <c r="BG180">
        <v>567</v>
      </c>
      <c r="BH180" t="s">
        <v>80</v>
      </c>
      <c r="BI180">
        <v>1</v>
      </c>
      <c r="BJ180">
        <v>71</v>
      </c>
      <c r="BK180">
        <v>0</v>
      </c>
      <c r="BL180">
        <v>10</v>
      </c>
      <c r="BM180">
        <v>188</v>
      </c>
      <c r="BN180">
        <v>309</v>
      </c>
      <c r="BO180">
        <v>349</v>
      </c>
      <c r="BP180">
        <v>4</v>
      </c>
      <c r="BQ180" s="2">
        <v>184</v>
      </c>
      <c r="BR180">
        <f t="shared" si="34"/>
        <v>72</v>
      </c>
      <c r="BS180">
        <f t="shared" si="35"/>
        <v>1</v>
      </c>
      <c r="BT180">
        <f t="shared" si="36"/>
        <v>11</v>
      </c>
      <c r="BU180">
        <f t="shared" si="37"/>
        <v>189</v>
      </c>
      <c r="BV180">
        <f t="shared" si="38"/>
        <v>310</v>
      </c>
      <c r="BW180">
        <f t="shared" si="39"/>
        <v>350</v>
      </c>
      <c r="BX180">
        <f t="shared" si="40"/>
        <v>5</v>
      </c>
      <c r="BY180" s="2">
        <f t="shared" si="41"/>
        <v>185</v>
      </c>
      <c r="BZ180">
        <f t="shared" si="42"/>
        <v>44.370549488263308</v>
      </c>
      <c r="CA180">
        <v>44.370549488263308</v>
      </c>
      <c r="CB180">
        <v>44.370549488263308</v>
      </c>
      <c r="CC180">
        <v>44.370549488263308</v>
      </c>
      <c r="CD180">
        <v>44.370549488263308</v>
      </c>
      <c r="CE180">
        <v>44.370549488263308</v>
      </c>
      <c r="CF180">
        <v>44.370549488263308</v>
      </c>
      <c r="CG180">
        <v>44.370549488263308</v>
      </c>
      <c r="CH180">
        <f t="shared" si="43"/>
        <v>0.21023768934547868</v>
      </c>
      <c r="CI180">
        <f t="shared" si="44"/>
        <v>-1.6470948070857898</v>
      </c>
      <c r="CJ180">
        <f t="shared" si="45"/>
        <v>-0.60570212192756478</v>
      </c>
      <c r="CK180">
        <f t="shared" si="46"/>
        <v>0.62936699708745436</v>
      </c>
      <c r="CL180">
        <f t="shared" si="47"/>
        <v>0.84426688674848294</v>
      </c>
      <c r="CM180">
        <f t="shared" si="48"/>
        <v>0.89697323726448586</v>
      </c>
      <c r="CN180">
        <f t="shared" si="49"/>
        <v>-0.94812480274977096</v>
      </c>
      <c r="CO180" s="2">
        <f t="shared" si="50"/>
        <v>0.62007692131722403</v>
      </c>
      <c r="CP180">
        <v>-0.42444197106249998</v>
      </c>
      <c r="CQ180">
        <v>-2.2527165794045199</v>
      </c>
      <c r="CR180">
        <v>-0.21105805030202099</v>
      </c>
      <c r="CS180">
        <v>0.209023040712565</v>
      </c>
      <c r="CT180">
        <v>0.46271797239929602</v>
      </c>
      <c r="CU180">
        <v>0.163080465373207</v>
      </c>
      <c r="CV180">
        <v>0.133433658398145</v>
      </c>
      <c r="CW180">
        <v>0.21876476892276001</v>
      </c>
      <c r="CX180" t="s">
        <v>1826</v>
      </c>
    </row>
    <row r="181" spans="1:102" x14ac:dyDescent="0.35">
      <c r="A181" t="s">
        <v>412</v>
      </c>
      <c r="B181" t="s">
        <v>89</v>
      </c>
      <c r="C181" t="s">
        <v>413</v>
      </c>
      <c r="D181" t="s">
        <v>72</v>
      </c>
      <c r="E181" t="s">
        <v>72</v>
      </c>
      <c r="F181" t="s">
        <v>72</v>
      </c>
      <c r="G181" t="s">
        <v>73</v>
      </c>
      <c r="H181" t="s">
        <v>109</v>
      </c>
      <c r="I181" t="s">
        <v>110</v>
      </c>
      <c r="J181" t="s">
        <v>111</v>
      </c>
      <c r="K181" t="s">
        <v>112</v>
      </c>
      <c r="L181" t="s">
        <v>113</v>
      </c>
      <c r="M181" t="s">
        <v>114</v>
      </c>
      <c r="N181">
        <v>48</v>
      </c>
      <c r="O181" t="s">
        <v>80</v>
      </c>
      <c r="P181">
        <v>621</v>
      </c>
      <c r="Q181">
        <v>0.68400000000000005</v>
      </c>
      <c r="R181">
        <v>175</v>
      </c>
      <c r="S181">
        <v>0.81130000000000002</v>
      </c>
      <c r="T181" t="s">
        <v>115</v>
      </c>
      <c r="U181" t="s">
        <v>116</v>
      </c>
      <c r="V181" t="s">
        <v>117</v>
      </c>
      <c r="W181" t="s">
        <v>118</v>
      </c>
      <c r="X181" t="s">
        <v>119</v>
      </c>
      <c r="Y181" t="s">
        <v>120</v>
      </c>
      <c r="Z181" t="s">
        <v>121</v>
      </c>
      <c r="AA181" t="s">
        <v>88</v>
      </c>
      <c r="AB181">
        <v>915</v>
      </c>
      <c r="AC181">
        <v>7</v>
      </c>
      <c r="AE181">
        <v>1</v>
      </c>
      <c r="AF181" t="s">
        <v>142</v>
      </c>
      <c r="AG181" t="s">
        <v>384</v>
      </c>
      <c r="AH181" t="s">
        <v>72</v>
      </c>
      <c r="AI181" t="s">
        <v>72</v>
      </c>
      <c r="AJ181" t="s">
        <v>91</v>
      </c>
      <c r="AK181" t="s">
        <v>92</v>
      </c>
      <c r="AL181" t="s">
        <v>93</v>
      </c>
      <c r="AM181" t="s">
        <v>94</v>
      </c>
      <c r="AN181" t="s">
        <v>144</v>
      </c>
      <c r="AO181" t="s">
        <v>145</v>
      </c>
      <c r="AP181" t="s">
        <v>97</v>
      </c>
      <c r="AQ181">
        <v>39</v>
      </c>
      <c r="AR181" t="s">
        <v>80</v>
      </c>
      <c r="AS181">
        <v>1359</v>
      </c>
      <c r="AT181">
        <v>0.96879999999999999</v>
      </c>
      <c r="AU181">
        <v>172</v>
      </c>
      <c r="AV181">
        <v>0.94740000000000002</v>
      </c>
      <c r="AW181" t="s">
        <v>98</v>
      </c>
      <c r="AX181" t="s">
        <v>146</v>
      </c>
      <c r="AY181" t="s">
        <v>127</v>
      </c>
      <c r="AZ181" t="s">
        <v>101</v>
      </c>
      <c r="BA181" t="s">
        <v>128</v>
      </c>
      <c r="BB181" t="s">
        <v>103</v>
      </c>
      <c r="BC181" t="s">
        <v>104</v>
      </c>
      <c r="BD181" t="s">
        <v>105</v>
      </c>
      <c r="BE181">
        <v>7359</v>
      </c>
      <c r="BF181" t="s">
        <v>106</v>
      </c>
      <c r="BG181">
        <v>98</v>
      </c>
      <c r="BH181" t="s">
        <v>80</v>
      </c>
      <c r="BI181">
        <v>1</v>
      </c>
      <c r="BJ181">
        <v>1577</v>
      </c>
      <c r="BK181">
        <v>0</v>
      </c>
      <c r="BL181">
        <v>35</v>
      </c>
      <c r="BM181">
        <v>487</v>
      </c>
      <c r="BN181">
        <v>715</v>
      </c>
      <c r="BO181">
        <v>1001</v>
      </c>
      <c r="BP181">
        <v>8</v>
      </c>
      <c r="BQ181" s="2">
        <v>549</v>
      </c>
      <c r="BR181">
        <f t="shared" si="34"/>
        <v>1578</v>
      </c>
      <c r="BS181">
        <f t="shared" si="35"/>
        <v>1</v>
      </c>
      <c r="BT181">
        <f t="shared" si="36"/>
        <v>36</v>
      </c>
      <c r="BU181">
        <f t="shared" si="37"/>
        <v>488</v>
      </c>
      <c r="BV181">
        <f t="shared" si="38"/>
        <v>716</v>
      </c>
      <c r="BW181">
        <f t="shared" si="39"/>
        <v>1002</v>
      </c>
      <c r="BX181">
        <f t="shared" si="40"/>
        <v>9</v>
      </c>
      <c r="BY181" s="2">
        <f t="shared" si="41"/>
        <v>550</v>
      </c>
      <c r="BZ181">
        <f t="shared" si="42"/>
        <v>133.09198673402943</v>
      </c>
      <c r="CA181">
        <v>133.09198673402943</v>
      </c>
      <c r="CB181">
        <v>133.09198673402943</v>
      </c>
      <c r="CC181">
        <v>133.09198673402943</v>
      </c>
      <c r="CD181">
        <v>133.09198673402943</v>
      </c>
      <c r="CE181">
        <v>133.09198673402943</v>
      </c>
      <c r="CF181">
        <v>133.09198673402943</v>
      </c>
      <c r="CG181">
        <v>133.09198673402943</v>
      </c>
      <c r="CH181">
        <f t="shared" si="43"/>
        <v>1.0739550908213951</v>
      </c>
      <c r="CI181">
        <f t="shared" si="44"/>
        <v>-2.1241519080520064</v>
      </c>
      <c r="CJ181">
        <f t="shared" si="45"/>
        <v>-0.56784940728471911</v>
      </c>
      <c r="CK181">
        <f t="shared" si="46"/>
        <v>0.5642679139507043</v>
      </c>
      <c r="CL181">
        <f t="shared" si="47"/>
        <v>0.73076111425584922</v>
      </c>
      <c r="CM181">
        <f t="shared" si="48"/>
        <v>0.87671581347922056</v>
      </c>
      <c r="CN181">
        <f t="shared" si="49"/>
        <v>-1.1699093986126814</v>
      </c>
      <c r="CO181" s="2">
        <f t="shared" si="50"/>
        <v>0.61621078144223751</v>
      </c>
      <c r="CP181">
        <v>0.61325605413052597</v>
      </c>
      <c r="CQ181">
        <v>-2.2527165794045199</v>
      </c>
      <c r="CR181">
        <v>-4.1936759017590898E-2</v>
      </c>
      <c r="CS181">
        <v>1.72118534624239E-2</v>
      </c>
      <c r="CT181">
        <v>0.14676158743599499</v>
      </c>
      <c r="CU181">
        <v>0.10458119907236101</v>
      </c>
      <c r="CV181">
        <v>-0.46138681525391101</v>
      </c>
      <c r="CW181">
        <v>0.20814582275673699</v>
      </c>
      <c r="CX181" t="s">
        <v>1826</v>
      </c>
    </row>
    <row r="182" spans="1:102" x14ac:dyDescent="0.35">
      <c r="A182" t="s">
        <v>598</v>
      </c>
      <c r="B182" t="s">
        <v>178</v>
      </c>
      <c r="C182" t="s">
        <v>599</v>
      </c>
      <c r="D182" t="s">
        <v>72</v>
      </c>
      <c r="E182" t="s">
        <v>72</v>
      </c>
      <c r="F182" t="s">
        <v>72</v>
      </c>
      <c r="G182" t="s">
        <v>73</v>
      </c>
      <c r="H182" t="s">
        <v>109</v>
      </c>
      <c r="I182" t="s">
        <v>110</v>
      </c>
      <c r="J182" t="s">
        <v>111</v>
      </c>
      <c r="K182" t="s">
        <v>600</v>
      </c>
      <c r="L182" t="s">
        <v>601</v>
      </c>
      <c r="M182" t="s">
        <v>114</v>
      </c>
      <c r="N182">
        <v>48</v>
      </c>
      <c r="O182" t="s">
        <v>80</v>
      </c>
      <c r="P182">
        <v>621</v>
      </c>
      <c r="Q182">
        <v>0.68400000000000005</v>
      </c>
      <c r="R182">
        <v>175</v>
      </c>
      <c r="S182">
        <v>0.81130000000000002</v>
      </c>
      <c r="T182" t="s">
        <v>115</v>
      </c>
      <c r="U182" t="s">
        <v>116</v>
      </c>
      <c r="V182" t="s">
        <v>117</v>
      </c>
      <c r="W182" t="s">
        <v>118</v>
      </c>
      <c r="X182" t="s">
        <v>602</v>
      </c>
      <c r="Y182" t="s">
        <v>120</v>
      </c>
      <c r="Z182" t="s">
        <v>121</v>
      </c>
      <c r="AA182" t="s">
        <v>88</v>
      </c>
      <c r="AB182">
        <v>538</v>
      </c>
      <c r="AC182">
        <v>3</v>
      </c>
      <c r="AE182">
        <v>1</v>
      </c>
      <c r="AF182" t="s">
        <v>89</v>
      </c>
      <c r="AG182" t="s">
        <v>603</v>
      </c>
      <c r="AH182" t="s">
        <v>72</v>
      </c>
      <c r="AI182" t="s">
        <v>72</v>
      </c>
      <c r="AJ182" t="s">
        <v>91</v>
      </c>
      <c r="AK182" t="s">
        <v>92</v>
      </c>
      <c r="AL182" t="s">
        <v>93</v>
      </c>
      <c r="AM182" t="s">
        <v>94</v>
      </c>
      <c r="AN182" t="s">
        <v>604</v>
      </c>
      <c r="AO182" t="s">
        <v>605</v>
      </c>
      <c r="AP182" t="s">
        <v>97</v>
      </c>
      <c r="AQ182">
        <v>39</v>
      </c>
      <c r="AR182" t="s">
        <v>80</v>
      </c>
      <c r="AS182">
        <v>1359</v>
      </c>
      <c r="AT182">
        <v>0.96879999999999999</v>
      </c>
      <c r="AU182">
        <v>163</v>
      </c>
      <c r="AV182">
        <v>0.92110000000000003</v>
      </c>
      <c r="AW182" t="s">
        <v>98</v>
      </c>
      <c r="AX182" t="s">
        <v>146</v>
      </c>
      <c r="AY182" t="s">
        <v>127</v>
      </c>
      <c r="AZ182" t="s">
        <v>136</v>
      </c>
      <c r="BA182" t="s">
        <v>128</v>
      </c>
      <c r="BB182" t="s">
        <v>103</v>
      </c>
      <c r="BC182" t="s">
        <v>104</v>
      </c>
      <c r="BD182" t="s">
        <v>105</v>
      </c>
      <c r="BE182">
        <v>40430</v>
      </c>
      <c r="BF182" t="s">
        <v>106</v>
      </c>
      <c r="BG182">
        <v>458</v>
      </c>
      <c r="BH182" t="s">
        <v>80</v>
      </c>
      <c r="BI182">
        <v>1</v>
      </c>
      <c r="BJ182">
        <v>129</v>
      </c>
      <c r="BK182">
        <v>4</v>
      </c>
      <c r="BL182">
        <v>26</v>
      </c>
      <c r="BM182">
        <v>294</v>
      </c>
      <c r="BN182">
        <v>402</v>
      </c>
      <c r="BO182">
        <v>612</v>
      </c>
      <c r="BP182">
        <v>0</v>
      </c>
      <c r="BQ182" s="2">
        <v>266</v>
      </c>
      <c r="BR182">
        <f t="shared" si="34"/>
        <v>130</v>
      </c>
      <c r="BS182">
        <f t="shared" si="35"/>
        <v>5</v>
      </c>
      <c r="BT182">
        <f t="shared" si="36"/>
        <v>27</v>
      </c>
      <c r="BU182">
        <f t="shared" si="37"/>
        <v>295</v>
      </c>
      <c r="BV182">
        <f t="shared" si="38"/>
        <v>403</v>
      </c>
      <c r="BW182">
        <f t="shared" si="39"/>
        <v>613</v>
      </c>
      <c r="BX182">
        <f t="shared" si="40"/>
        <v>1</v>
      </c>
      <c r="BY182" s="2">
        <f t="shared" si="41"/>
        <v>267</v>
      </c>
      <c r="BZ182">
        <f t="shared" si="42"/>
        <v>65.564988572430252</v>
      </c>
      <c r="CA182">
        <v>65.564988572430252</v>
      </c>
      <c r="CB182">
        <v>65.564988572430252</v>
      </c>
      <c r="CC182">
        <v>65.564988572430252</v>
      </c>
      <c r="CD182">
        <v>65.564988572430252</v>
      </c>
      <c r="CE182">
        <v>65.564988572430252</v>
      </c>
      <c r="CF182">
        <v>65.564988572430252</v>
      </c>
      <c r="CG182">
        <v>65.564988572430252</v>
      </c>
      <c r="CH182">
        <f t="shared" si="43"/>
        <v>0.29727136245632357</v>
      </c>
      <c r="CI182">
        <f t="shared" si="44"/>
        <v>-1.1177019855144943</v>
      </c>
      <c r="CJ182">
        <f t="shared" si="45"/>
        <v>-0.3853082256915259</v>
      </c>
      <c r="CK182">
        <f t="shared" si="46"/>
        <v>0.65315002612764983</v>
      </c>
      <c r="CL182">
        <f t="shared" si="47"/>
        <v>0.78863305629059621</v>
      </c>
      <c r="CM182">
        <f t="shared" si="48"/>
        <v>0.97078848466790191</v>
      </c>
      <c r="CN182">
        <f t="shared" si="49"/>
        <v>-1.8166719898505133</v>
      </c>
      <c r="CO182" s="2">
        <f t="shared" si="50"/>
        <v>0.60983927151406203</v>
      </c>
      <c r="CP182">
        <v>-0.31987690086929799</v>
      </c>
      <c r="CQ182">
        <v>1.49739723592956</v>
      </c>
      <c r="CR182">
        <v>0.77363487527367203</v>
      </c>
      <c r="CS182">
        <v>0.27909854434172798</v>
      </c>
      <c r="CT182">
        <v>0.30785480053483599</v>
      </c>
      <c r="CU182">
        <v>0.37624369188654999</v>
      </c>
      <c r="CV182">
        <v>-2.6172399890044602</v>
      </c>
      <c r="CW182">
        <v>0.19064549345894899</v>
      </c>
      <c r="CX182" t="s">
        <v>1826</v>
      </c>
    </row>
    <row r="183" spans="1:102" x14ac:dyDescent="0.35">
      <c r="A183" t="s">
        <v>1439</v>
      </c>
      <c r="B183" t="s">
        <v>89</v>
      </c>
      <c r="C183" t="s">
        <v>108</v>
      </c>
      <c r="D183" t="s">
        <v>72</v>
      </c>
      <c r="E183" t="s">
        <v>72</v>
      </c>
      <c r="F183" t="s">
        <v>72</v>
      </c>
      <c r="G183" t="s">
        <v>73</v>
      </c>
      <c r="H183" t="s">
        <v>109</v>
      </c>
      <c r="I183" t="s">
        <v>110</v>
      </c>
      <c r="J183" t="s">
        <v>111</v>
      </c>
      <c r="K183" t="s">
        <v>112</v>
      </c>
      <c r="L183" t="s">
        <v>113</v>
      </c>
      <c r="M183" t="s">
        <v>114</v>
      </c>
      <c r="N183">
        <v>48</v>
      </c>
      <c r="O183" t="s">
        <v>80</v>
      </c>
      <c r="P183">
        <v>621</v>
      </c>
      <c r="Q183">
        <v>0.68400000000000005</v>
      </c>
      <c r="R183">
        <v>175</v>
      </c>
      <c r="S183">
        <v>0.81130000000000002</v>
      </c>
      <c r="T183" t="s">
        <v>115</v>
      </c>
      <c r="U183" t="s">
        <v>116</v>
      </c>
      <c r="V183" t="s">
        <v>117</v>
      </c>
      <c r="W183" t="s">
        <v>118</v>
      </c>
      <c r="X183" t="s">
        <v>119</v>
      </c>
      <c r="Y183" t="s">
        <v>120</v>
      </c>
      <c r="Z183" t="s">
        <v>121</v>
      </c>
      <c r="AA183" t="s">
        <v>88</v>
      </c>
      <c r="AB183">
        <v>510</v>
      </c>
      <c r="AC183">
        <v>8</v>
      </c>
      <c r="AE183">
        <v>1</v>
      </c>
      <c r="AF183" t="s">
        <v>142</v>
      </c>
      <c r="AG183" t="s">
        <v>1440</v>
      </c>
      <c r="AH183" t="s">
        <v>72</v>
      </c>
      <c r="AI183" t="s">
        <v>72</v>
      </c>
      <c r="AJ183" t="s">
        <v>91</v>
      </c>
      <c r="AK183" t="s">
        <v>92</v>
      </c>
      <c r="AL183" t="s">
        <v>93</v>
      </c>
      <c r="AM183" t="s">
        <v>94</v>
      </c>
      <c r="AN183" t="s">
        <v>144</v>
      </c>
      <c r="AO183" t="s">
        <v>145</v>
      </c>
      <c r="AP183" t="s">
        <v>97</v>
      </c>
      <c r="AQ183">
        <v>39</v>
      </c>
      <c r="AR183" t="s">
        <v>80</v>
      </c>
      <c r="AS183">
        <v>1359</v>
      </c>
      <c r="AT183">
        <v>0.96879999999999999</v>
      </c>
      <c r="AU183">
        <v>172</v>
      </c>
      <c r="AV183">
        <v>0.94740000000000002</v>
      </c>
      <c r="AW183" t="s">
        <v>98</v>
      </c>
      <c r="AX183" t="s">
        <v>146</v>
      </c>
      <c r="AY183" t="s">
        <v>127</v>
      </c>
      <c r="AZ183" t="s">
        <v>101</v>
      </c>
      <c r="BA183" t="s">
        <v>128</v>
      </c>
      <c r="BB183" t="s">
        <v>103</v>
      </c>
      <c r="BC183" t="s">
        <v>104</v>
      </c>
      <c r="BD183" t="s">
        <v>105</v>
      </c>
      <c r="BE183">
        <v>9838</v>
      </c>
      <c r="BF183" t="s">
        <v>106</v>
      </c>
      <c r="BG183">
        <v>125</v>
      </c>
      <c r="BH183" t="s">
        <v>80</v>
      </c>
      <c r="BI183">
        <v>1</v>
      </c>
      <c r="BJ183">
        <v>232</v>
      </c>
      <c r="BK183">
        <v>5</v>
      </c>
      <c r="BL183">
        <v>22</v>
      </c>
      <c r="BM183">
        <v>677</v>
      </c>
      <c r="BN183">
        <v>879</v>
      </c>
      <c r="BO183">
        <v>1141</v>
      </c>
      <c r="BP183">
        <v>20</v>
      </c>
      <c r="BQ183" s="2">
        <v>612</v>
      </c>
      <c r="BR183">
        <f t="shared" si="34"/>
        <v>233</v>
      </c>
      <c r="BS183">
        <f t="shared" si="35"/>
        <v>6</v>
      </c>
      <c r="BT183">
        <f t="shared" si="36"/>
        <v>23</v>
      </c>
      <c r="BU183">
        <f t="shared" si="37"/>
        <v>678</v>
      </c>
      <c r="BV183">
        <f t="shared" si="38"/>
        <v>880</v>
      </c>
      <c r="BW183">
        <f t="shared" si="39"/>
        <v>1142</v>
      </c>
      <c r="BX183">
        <f t="shared" si="40"/>
        <v>21</v>
      </c>
      <c r="BY183" s="2">
        <f t="shared" si="41"/>
        <v>613</v>
      </c>
      <c r="BZ183">
        <f t="shared" si="42"/>
        <v>151.80520262275363</v>
      </c>
      <c r="CA183">
        <v>151.80520262275363</v>
      </c>
      <c r="CB183">
        <v>151.80520262275363</v>
      </c>
      <c r="CC183">
        <v>151.80520262275363</v>
      </c>
      <c r="CD183">
        <v>151.80520262275363</v>
      </c>
      <c r="CE183">
        <v>151.80520262275363</v>
      </c>
      <c r="CF183">
        <v>151.80520262275363</v>
      </c>
      <c r="CG183">
        <v>151.80520262275363</v>
      </c>
      <c r="CH183">
        <f t="shared" si="43"/>
        <v>0.1860692652001876</v>
      </c>
      <c r="CI183">
        <f t="shared" si="44"/>
        <v>-1.4031354054421876</v>
      </c>
      <c r="CJ183">
        <f t="shared" si="45"/>
        <v>-0.81955881980823841</v>
      </c>
      <c r="CK183">
        <f t="shared" si="46"/>
        <v>0.64994303804123199</v>
      </c>
      <c r="CL183">
        <f t="shared" si="47"/>
        <v>0.76319601632433731</v>
      </c>
      <c r="CM183">
        <f t="shared" si="48"/>
        <v>0.87637944808399793</v>
      </c>
      <c r="CN183">
        <f t="shared" si="49"/>
        <v>-0.85906736109191206</v>
      </c>
      <c r="CO183" s="2">
        <f t="shared" si="50"/>
        <v>0.60617381869258369</v>
      </c>
      <c r="CP183">
        <v>-0.45347869761766801</v>
      </c>
      <c r="CQ183">
        <v>0.65416854507960898</v>
      </c>
      <c r="CR183">
        <v>-1.1665435745678401</v>
      </c>
      <c r="CS183">
        <v>0.26964931460279801</v>
      </c>
      <c r="CT183">
        <v>0.237047871376869</v>
      </c>
      <c r="CU183">
        <v>0.10360984511155601</v>
      </c>
      <c r="CV183">
        <v>0.37228338293857999</v>
      </c>
      <c r="CW183">
        <v>0.180577765067329</v>
      </c>
      <c r="CX183" t="s">
        <v>1826</v>
      </c>
    </row>
    <row r="184" spans="1:102" x14ac:dyDescent="0.35">
      <c r="A184" t="s">
        <v>1617</v>
      </c>
      <c r="B184" t="s">
        <v>89</v>
      </c>
      <c r="C184" t="s">
        <v>149</v>
      </c>
      <c r="D184" t="s">
        <v>72</v>
      </c>
      <c r="E184" t="s">
        <v>72</v>
      </c>
      <c r="F184" t="s">
        <v>72</v>
      </c>
      <c r="G184" t="s">
        <v>73</v>
      </c>
      <c r="H184" t="s">
        <v>74</v>
      </c>
      <c r="I184" t="s">
        <v>75</v>
      </c>
      <c r="J184" t="s">
        <v>76</v>
      </c>
      <c r="K184" t="s">
        <v>77</v>
      </c>
      <c r="L184" t="s">
        <v>78</v>
      </c>
      <c r="M184" t="s">
        <v>79</v>
      </c>
      <c r="N184">
        <v>60</v>
      </c>
      <c r="O184" t="s">
        <v>80</v>
      </c>
      <c r="P184">
        <v>792</v>
      </c>
      <c r="Q184">
        <v>0.75</v>
      </c>
      <c r="R184">
        <v>177</v>
      </c>
      <c r="S184">
        <v>0.85419999999999996</v>
      </c>
      <c r="T184" t="s">
        <v>81</v>
      </c>
      <c r="U184" t="s">
        <v>82</v>
      </c>
      <c r="V184" t="s">
        <v>83</v>
      </c>
      <c r="W184" t="s">
        <v>84</v>
      </c>
      <c r="X184" t="s">
        <v>85</v>
      </c>
      <c r="Y184" t="s">
        <v>86</v>
      </c>
      <c r="Z184" t="s">
        <v>87</v>
      </c>
      <c r="AA184" t="s">
        <v>88</v>
      </c>
      <c r="AB184">
        <v>619</v>
      </c>
      <c r="AC184">
        <v>4</v>
      </c>
      <c r="AE184">
        <v>22</v>
      </c>
      <c r="AF184" t="s">
        <v>142</v>
      </c>
      <c r="AG184" t="s">
        <v>1618</v>
      </c>
      <c r="AH184" t="s">
        <v>72</v>
      </c>
      <c r="AI184" t="s">
        <v>72</v>
      </c>
      <c r="AJ184" t="s">
        <v>91</v>
      </c>
      <c r="AK184" t="s">
        <v>92</v>
      </c>
      <c r="AL184" t="s">
        <v>93</v>
      </c>
      <c r="AM184" t="s">
        <v>94</v>
      </c>
      <c r="AN184" t="s">
        <v>1619</v>
      </c>
      <c r="AO184" t="s">
        <v>1620</v>
      </c>
      <c r="AP184" t="s">
        <v>1621</v>
      </c>
      <c r="AQ184">
        <v>39</v>
      </c>
      <c r="AR184" t="s">
        <v>80</v>
      </c>
      <c r="AS184">
        <v>1350</v>
      </c>
      <c r="AT184">
        <v>0.96530000000000005</v>
      </c>
      <c r="AU184">
        <v>163</v>
      </c>
      <c r="AV184">
        <v>0.92110000000000003</v>
      </c>
      <c r="AW184" t="s">
        <v>98</v>
      </c>
      <c r="AX184" t="s">
        <v>146</v>
      </c>
      <c r="AY184" t="s">
        <v>127</v>
      </c>
      <c r="AZ184" t="s">
        <v>101</v>
      </c>
      <c r="BA184" t="s">
        <v>1192</v>
      </c>
      <c r="BB184" t="s">
        <v>103</v>
      </c>
      <c r="BC184" t="s">
        <v>1622</v>
      </c>
      <c r="BD184" t="s">
        <v>105</v>
      </c>
      <c r="BE184">
        <v>3525</v>
      </c>
      <c r="BF184" t="s">
        <v>1623</v>
      </c>
      <c r="BG184">
        <v>43</v>
      </c>
      <c r="BH184" t="s">
        <v>80</v>
      </c>
      <c r="BI184">
        <v>1</v>
      </c>
      <c r="BJ184">
        <v>655</v>
      </c>
      <c r="BK184">
        <v>0</v>
      </c>
      <c r="BL184">
        <v>11</v>
      </c>
      <c r="BM184">
        <v>271</v>
      </c>
      <c r="BN184">
        <v>329</v>
      </c>
      <c r="BO184">
        <v>545</v>
      </c>
      <c r="BP184">
        <v>4</v>
      </c>
      <c r="BQ184" s="2">
        <v>279</v>
      </c>
      <c r="BR184">
        <f t="shared" si="34"/>
        <v>656</v>
      </c>
      <c r="BS184">
        <f t="shared" si="35"/>
        <v>1</v>
      </c>
      <c r="BT184">
        <f t="shared" si="36"/>
        <v>12</v>
      </c>
      <c r="BU184">
        <f t="shared" si="37"/>
        <v>272</v>
      </c>
      <c r="BV184">
        <f t="shared" si="38"/>
        <v>330</v>
      </c>
      <c r="BW184">
        <f t="shared" si="39"/>
        <v>546</v>
      </c>
      <c r="BX184">
        <f t="shared" si="40"/>
        <v>5</v>
      </c>
      <c r="BY184" s="2">
        <f t="shared" si="41"/>
        <v>280</v>
      </c>
      <c r="BZ184">
        <f t="shared" si="42"/>
        <v>69.432223919440418</v>
      </c>
      <c r="CA184">
        <v>69.432223919440418</v>
      </c>
      <c r="CB184">
        <v>69.432223919440418</v>
      </c>
      <c r="CC184">
        <v>69.432223919440418</v>
      </c>
      <c r="CD184">
        <v>69.432223919440418</v>
      </c>
      <c r="CE184">
        <v>69.432223919440418</v>
      </c>
      <c r="CF184">
        <v>69.432223919440418</v>
      </c>
      <c r="CG184">
        <v>69.432223919440418</v>
      </c>
      <c r="CH184">
        <f t="shared" si="43"/>
        <v>0.97534276341086701</v>
      </c>
      <c r="CI184">
        <f t="shared" si="44"/>
        <v>-1.8415610759647933</v>
      </c>
      <c r="CJ184">
        <f t="shared" si="45"/>
        <v>-0.76237982991716857</v>
      </c>
      <c r="CK184">
        <f t="shared" si="46"/>
        <v>0.59300782806940533</v>
      </c>
      <c r="CL184">
        <f t="shared" si="47"/>
        <v>0.67695286391309406</v>
      </c>
      <c r="CM184">
        <f t="shared" si="48"/>
        <v>0.89563156673994382</v>
      </c>
      <c r="CN184">
        <f t="shared" si="49"/>
        <v>-1.1425910716287746</v>
      </c>
      <c r="CO184" s="2">
        <f t="shared" si="50"/>
        <v>0.60559695537742586</v>
      </c>
      <c r="CP184">
        <v>0.49478001412168499</v>
      </c>
      <c r="CQ184">
        <v>-2.2527165794045199</v>
      </c>
      <c r="CR184">
        <v>-0.91107485334245497</v>
      </c>
      <c r="CS184">
        <v>0.101892570654632</v>
      </c>
      <c r="CT184">
        <v>-3.0198720100488301E-3</v>
      </c>
      <c r="CU184">
        <v>0.15920599731966001</v>
      </c>
      <c r="CV184">
        <v>-0.38811977823212701</v>
      </c>
      <c r="CW184">
        <v>0.17899332149133601</v>
      </c>
      <c r="CX184" t="s">
        <v>1826</v>
      </c>
    </row>
    <row r="185" spans="1:102" x14ac:dyDescent="0.35">
      <c r="A185" t="s">
        <v>790</v>
      </c>
      <c r="B185" t="s">
        <v>159</v>
      </c>
      <c r="C185" t="s">
        <v>791</v>
      </c>
      <c r="D185" t="s">
        <v>72</v>
      </c>
      <c r="E185" t="s">
        <v>72</v>
      </c>
      <c r="F185" t="s">
        <v>72</v>
      </c>
      <c r="G185" t="s">
        <v>73</v>
      </c>
      <c r="H185" t="s">
        <v>74</v>
      </c>
      <c r="I185" t="s">
        <v>75</v>
      </c>
      <c r="J185" t="s">
        <v>76</v>
      </c>
      <c r="K185" t="s">
        <v>77</v>
      </c>
      <c r="L185" t="s">
        <v>78</v>
      </c>
      <c r="M185" t="s">
        <v>79</v>
      </c>
      <c r="N185">
        <v>60</v>
      </c>
      <c r="O185" t="s">
        <v>80</v>
      </c>
      <c r="P185">
        <v>792</v>
      </c>
      <c r="Q185">
        <v>0.75</v>
      </c>
      <c r="R185">
        <v>177</v>
      </c>
      <c r="S185">
        <v>0.85419999999999996</v>
      </c>
      <c r="T185" t="s">
        <v>81</v>
      </c>
      <c r="U185" t="s">
        <v>82</v>
      </c>
      <c r="V185" t="s">
        <v>83</v>
      </c>
      <c r="W185" t="s">
        <v>84</v>
      </c>
      <c r="X185" t="s">
        <v>85</v>
      </c>
      <c r="Y185" t="s">
        <v>86</v>
      </c>
      <c r="Z185" t="s">
        <v>87</v>
      </c>
      <c r="AA185" t="s">
        <v>88</v>
      </c>
      <c r="AB185">
        <v>440</v>
      </c>
      <c r="AC185">
        <v>6</v>
      </c>
      <c r="AE185">
        <v>22</v>
      </c>
      <c r="AF185" t="s">
        <v>231</v>
      </c>
      <c r="AG185" t="s">
        <v>411</v>
      </c>
      <c r="AH185" t="s">
        <v>72</v>
      </c>
      <c r="AI185" t="s">
        <v>72</v>
      </c>
      <c r="AJ185" t="s">
        <v>91</v>
      </c>
      <c r="AK185" t="s">
        <v>92</v>
      </c>
      <c r="AL185" t="s">
        <v>93</v>
      </c>
      <c r="AM185" t="s">
        <v>94</v>
      </c>
      <c r="AN185" t="s">
        <v>144</v>
      </c>
      <c r="AO185" t="s">
        <v>145</v>
      </c>
      <c r="AP185" t="s">
        <v>97</v>
      </c>
      <c r="AQ185">
        <v>39</v>
      </c>
      <c r="AR185" t="s">
        <v>80</v>
      </c>
      <c r="AS185">
        <v>1359</v>
      </c>
      <c r="AT185">
        <v>0.96879999999999999</v>
      </c>
      <c r="AU185">
        <v>172</v>
      </c>
      <c r="AV185">
        <v>0.94740000000000002</v>
      </c>
      <c r="AW185" t="s">
        <v>98</v>
      </c>
      <c r="AX185" t="s">
        <v>146</v>
      </c>
      <c r="AY185" t="s">
        <v>127</v>
      </c>
      <c r="AZ185" t="s">
        <v>101</v>
      </c>
      <c r="BA185" t="s">
        <v>128</v>
      </c>
      <c r="BB185" t="s">
        <v>103</v>
      </c>
      <c r="BC185" t="s">
        <v>104</v>
      </c>
      <c r="BD185" t="s">
        <v>105</v>
      </c>
      <c r="BE185">
        <v>6023</v>
      </c>
      <c r="BF185" t="s">
        <v>106</v>
      </c>
      <c r="BG185">
        <v>80</v>
      </c>
      <c r="BH185" t="s">
        <v>80</v>
      </c>
      <c r="BI185">
        <v>1</v>
      </c>
      <c r="BJ185">
        <v>1286</v>
      </c>
      <c r="BK185">
        <v>0</v>
      </c>
      <c r="BL185">
        <v>34</v>
      </c>
      <c r="BM185">
        <v>502</v>
      </c>
      <c r="BN185">
        <v>641</v>
      </c>
      <c r="BO185">
        <v>980</v>
      </c>
      <c r="BP185">
        <v>10</v>
      </c>
      <c r="BQ185" s="2">
        <v>519</v>
      </c>
      <c r="BR185">
        <f t="shared" si="34"/>
        <v>1287</v>
      </c>
      <c r="BS185">
        <f t="shared" si="35"/>
        <v>1</v>
      </c>
      <c r="BT185">
        <f t="shared" si="36"/>
        <v>35</v>
      </c>
      <c r="BU185">
        <f t="shared" si="37"/>
        <v>503</v>
      </c>
      <c r="BV185">
        <f t="shared" si="38"/>
        <v>642</v>
      </c>
      <c r="BW185">
        <f t="shared" si="39"/>
        <v>981</v>
      </c>
      <c r="BX185">
        <f t="shared" si="40"/>
        <v>11</v>
      </c>
      <c r="BY185" s="2">
        <f t="shared" si="41"/>
        <v>520</v>
      </c>
      <c r="BZ185">
        <f t="shared" si="42"/>
        <v>130.01002148775927</v>
      </c>
      <c r="CA185">
        <v>130.01002148775927</v>
      </c>
      <c r="CB185">
        <v>130.01002148775927</v>
      </c>
      <c r="CC185">
        <v>130.01002148775927</v>
      </c>
      <c r="CD185">
        <v>130.01002148775927</v>
      </c>
      <c r="CE185">
        <v>130.01002148775927</v>
      </c>
      <c r="CF185">
        <v>130.01002148775927</v>
      </c>
      <c r="CG185">
        <v>130.01002148775927</v>
      </c>
      <c r="CH185">
        <f t="shared" si="43"/>
        <v>0.99560171683533472</v>
      </c>
      <c r="CI185">
        <f t="shared" si="44"/>
        <v>-2.1139768300690518</v>
      </c>
      <c r="CJ185">
        <f t="shared" si="45"/>
        <v>-0.56990878571877635</v>
      </c>
      <c r="CK185">
        <f t="shared" si="46"/>
        <v>0.58759115498687542</v>
      </c>
      <c r="CL185">
        <f t="shared" si="47"/>
        <v>0.69355819799980123</v>
      </c>
      <c r="CM185">
        <f t="shared" si="48"/>
        <v>0.87769217731089655</v>
      </c>
      <c r="CN185">
        <f t="shared" si="49"/>
        <v>-1.0725841449108269</v>
      </c>
      <c r="CO185" s="2">
        <f t="shared" si="50"/>
        <v>0.60202651356574721</v>
      </c>
      <c r="CP185">
        <v>0.51911977609142601</v>
      </c>
      <c r="CQ185">
        <v>-2.2527165794045199</v>
      </c>
      <c r="CR185">
        <v>-5.1137809544542001E-2</v>
      </c>
      <c r="CS185">
        <v>8.5932614771329505E-2</v>
      </c>
      <c r="CT185">
        <v>4.3202987091539101E-2</v>
      </c>
      <c r="CU185">
        <v>0.107400736660219</v>
      </c>
      <c r="CV185">
        <v>-0.20036303549137399</v>
      </c>
      <c r="CW185">
        <v>0.16918655541118599</v>
      </c>
      <c r="CX185" t="s">
        <v>1826</v>
      </c>
    </row>
    <row r="186" spans="1:102" x14ac:dyDescent="0.35">
      <c r="A186" t="s">
        <v>1532</v>
      </c>
      <c r="B186" t="s">
        <v>159</v>
      </c>
      <c r="C186" t="s">
        <v>149</v>
      </c>
      <c r="D186" t="s">
        <v>72</v>
      </c>
      <c r="E186" t="s">
        <v>72</v>
      </c>
      <c r="F186" t="s">
        <v>72</v>
      </c>
      <c r="G186" t="s">
        <v>73</v>
      </c>
      <c r="H186" t="s">
        <v>74</v>
      </c>
      <c r="I186" t="s">
        <v>75</v>
      </c>
      <c r="J186" t="s">
        <v>76</v>
      </c>
      <c r="K186" t="s">
        <v>77</v>
      </c>
      <c r="L186" t="s">
        <v>78</v>
      </c>
      <c r="M186" t="s">
        <v>79</v>
      </c>
      <c r="N186">
        <v>60</v>
      </c>
      <c r="O186" t="s">
        <v>80</v>
      </c>
      <c r="P186">
        <v>792</v>
      </c>
      <c r="Q186">
        <v>0.75</v>
      </c>
      <c r="R186">
        <v>177</v>
      </c>
      <c r="S186">
        <v>0.85419999999999996</v>
      </c>
      <c r="T186" t="s">
        <v>81</v>
      </c>
      <c r="U186" t="s">
        <v>82</v>
      </c>
      <c r="V186" t="s">
        <v>83</v>
      </c>
      <c r="W186" t="s">
        <v>84</v>
      </c>
      <c r="X186" t="s">
        <v>85</v>
      </c>
      <c r="Y186" t="s">
        <v>86</v>
      </c>
      <c r="Z186" t="s">
        <v>87</v>
      </c>
      <c r="AA186" t="s">
        <v>88</v>
      </c>
      <c r="AB186">
        <v>455</v>
      </c>
      <c r="AC186">
        <v>4</v>
      </c>
      <c r="AE186">
        <v>22</v>
      </c>
      <c r="AF186" t="s">
        <v>148</v>
      </c>
      <c r="AG186" t="s">
        <v>1533</v>
      </c>
      <c r="AH186" t="s">
        <v>72</v>
      </c>
      <c r="AI186" t="s">
        <v>72</v>
      </c>
      <c r="AJ186" t="s">
        <v>91</v>
      </c>
      <c r="AK186" t="s">
        <v>92</v>
      </c>
      <c r="AL186" t="s">
        <v>93</v>
      </c>
      <c r="AM186" t="s">
        <v>94</v>
      </c>
      <c r="AN186" t="s">
        <v>144</v>
      </c>
      <c r="AO186" t="s">
        <v>145</v>
      </c>
      <c r="AP186" t="s">
        <v>97</v>
      </c>
      <c r="AQ186">
        <v>39</v>
      </c>
      <c r="AR186" t="s">
        <v>80</v>
      </c>
      <c r="AS186">
        <v>1359</v>
      </c>
      <c r="AT186">
        <v>0.96879999999999999</v>
      </c>
      <c r="AU186">
        <v>172</v>
      </c>
      <c r="AV186">
        <v>0.94740000000000002</v>
      </c>
      <c r="AW186" t="s">
        <v>98</v>
      </c>
      <c r="AX186" t="s">
        <v>146</v>
      </c>
      <c r="AY186" t="s">
        <v>127</v>
      </c>
      <c r="AZ186" t="s">
        <v>101</v>
      </c>
      <c r="BA186" t="s">
        <v>128</v>
      </c>
      <c r="BB186" t="s">
        <v>103</v>
      </c>
      <c r="BC186" t="s">
        <v>104</v>
      </c>
      <c r="BD186" t="s">
        <v>105</v>
      </c>
      <c r="BE186">
        <v>6944</v>
      </c>
      <c r="BF186" t="s">
        <v>106</v>
      </c>
      <c r="BG186">
        <v>98</v>
      </c>
      <c r="BH186" t="s">
        <v>80</v>
      </c>
      <c r="BI186">
        <v>1</v>
      </c>
      <c r="BJ186">
        <v>1147</v>
      </c>
      <c r="BK186">
        <v>0</v>
      </c>
      <c r="BL186">
        <v>40</v>
      </c>
      <c r="BM186">
        <v>534</v>
      </c>
      <c r="BN186">
        <v>692</v>
      </c>
      <c r="BO186">
        <v>975</v>
      </c>
      <c r="BP186">
        <v>6</v>
      </c>
      <c r="BQ186" s="2">
        <v>498</v>
      </c>
      <c r="BR186">
        <f t="shared" si="34"/>
        <v>1148</v>
      </c>
      <c r="BS186">
        <f t="shared" si="35"/>
        <v>1</v>
      </c>
      <c r="BT186">
        <f t="shared" si="36"/>
        <v>41</v>
      </c>
      <c r="BU186">
        <f t="shared" si="37"/>
        <v>535</v>
      </c>
      <c r="BV186">
        <f t="shared" si="38"/>
        <v>693</v>
      </c>
      <c r="BW186">
        <f t="shared" si="39"/>
        <v>976</v>
      </c>
      <c r="BX186">
        <f t="shared" si="40"/>
        <v>7</v>
      </c>
      <c r="BY186" s="2">
        <f t="shared" si="41"/>
        <v>499</v>
      </c>
      <c r="BZ186">
        <f t="shared" si="42"/>
        <v>124.97053976078155</v>
      </c>
      <c r="CA186">
        <v>124.97053976078155</v>
      </c>
      <c r="CB186">
        <v>124.97053976078155</v>
      </c>
      <c r="CC186">
        <v>124.97053976078155</v>
      </c>
      <c r="CD186">
        <v>124.97053976078155</v>
      </c>
      <c r="CE186">
        <v>124.97053976078155</v>
      </c>
      <c r="CF186">
        <v>124.97053976078155</v>
      </c>
      <c r="CG186">
        <v>124.97053976078155</v>
      </c>
      <c r="CH186">
        <f t="shared" si="43"/>
        <v>0.96313424247207169</v>
      </c>
      <c r="CI186">
        <f t="shared" si="44"/>
        <v>-2.096807645589883</v>
      </c>
      <c r="CJ186">
        <f t="shared" si="45"/>
        <v>-0.48402378887014758</v>
      </c>
      <c r="CK186">
        <f t="shared" si="46"/>
        <v>0.6315461364313455</v>
      </c>
      <c r="CL186">
        <f t="shared" si="47"/>
        <v>0.74392558902192374</v>
      </c>
      <c r="CM186">
        <f t="shared" si="48"/>
        <v>0.89264217207680885</v>
      </c>
      <c r="CN186">
        <f t="shared" si="49"/>
        <v>-1.2517096055756263</v>
      </c>
      <c r="CO186" s="2">
        <f t="shared" si="50"/>
        <v>0.60129290003350688</v>
      </c>
      <c r="CP186">
        <v>0.48011230215123302</v>
      </c>
      <c r="CQ186">
        <v>-2.2527165794045199</v>
      </c>
      <c r="CR186">
        <v>0.332585833688127</v>
      </c>
      <c r="CS186">
        <v>0.215443765622887</v>
      </c>
      <c r="CT186">
        <v>0.183406418493371</v>
      </c>
      <c r="CU186">
        <v>0.15057324143071699</v>
      </c>
      <c r="CV186">
        <v>-0.68077282653762805</v>
      </c>
      <c r="CW186">
        <v>0.16717157332118801</v>
      </c>
      <c r="CX186" t="s">
        <v>1826</v>
      </c>
    </row>
    <row r="187" spans="1:102" x14ac:dyDescent="0.35">
      <c r="A187" t="s">
        <v>1526</v>
      </c>
      <c r="B187" t="s">
        <v>70</v>
      </c>
      <c r="C187" t="s">
        <v>696</v>
      </c>
      <c r="D187" t="s">
        <v>72</v>
      </c>
      <c r="E187" t="s">
        <v>72</v>
      </c>
      <c r="F187" t="s">
        <v>72</v>
      </c>
      <c r="G187" t="s">
        <v>73</v>
      </c>
      <c r="H187" t="s">
        <v>74</v>
      </c>
      <c r="I187" t="s">
        <v>75</v>
      </c>
      <c r="J187" t="s">
        <v>76</v>
      </c>
      <c r="K187" t="s">
        <v>77</v>
      </c>
      <c r="L187" t="s">
        <v>78</v>
      </c>
      <c r="M187" t="s">
        <v>79</v>
      </c>
      <c r="N187">
        <v>60</v>
      </c>
      <c r="O187" t="s">
        <v>80</v>
      </c>
      <c r="P187">
        <v>792</v>
      </c>
      <c r="Q187">
        <v>0.75</v>
      </c>
      <c r="R187">
        <v>177</v>
      </c>
      <c r="S187">
        <v>0.85419999999999996</v>
      </c>
      <c r="T187" t="s">
        <v>81</v>
      </c>
      <c r="U187" t="s">
        <v>82</v>
      </c>
      <c r="V187" t="s">
        <v>83</v>
      </c>
      <c r="W187" t="s">
        <v>84</v>
      </c>
      <c r="X187" t="s">
        <v>85</v>
      </c>
      <c r="Y187" t="s">
        <v>86</v>
      </c>
      <c r="Z187" t="s">
        <v>87</v>
      </c>
      <c r="AA187" t="s">
        <v>88</v>
      </c>
      <c r="AB187">
        <v>214</v>
      </c>
      <c r="AC187">
        <v>6</v>
      </c>
      <c r="AE187">
        <v>22</v>
      </c>
      <c r="AF187" t="s">
        <v>89</v>
      </c>
      <c r="AG187" t="s">
        <v>1527</v>
      </c>
      <c r="AH187" t="s">
        <v>72</v>
      </c>
      <c r="AI187" t="s">
        <v>72</v>
      </c>
      <c r="AJ187" t="s">
        <v>91</v>
      </c>
      <c r="AK187" t="s">
        <v>92</v>
      </c>
      <c r="AL187" t="s">
        <v>93</v>
      </c>
      <c r="AM187" t="s">
        <v>94</v>
      </c>
      <c r="AN187" t="s">
        <v>144</v>
      </c>
      <c r="AO187" t="s">
        <v>145</v>
      </c>
      <c r="AP187" t="s">
        <v>97</v>
      </c>
      <c r="AQ187">
        <v>39</v>
      </c>
      <c r="AR187" t="s">
        <v>80</v>
      </c>
      <c r="AS187">
        <v>1359</v>
      </c>
      <c r="AT187">
        <v>0.96879999999999999</v>
      </c>
      <c r="AU187">
        <v>172</v>
      </c>
      <c r="AV187">
        <v>0.94740000000000002</v>
      </c>
      <c r="AW187" t="s">
        <v>98</v>
      </c>
      <c r="AX187" t="s">
        <v>146</v>
      </c>
      <c r="AY187" t="s">
        <v>127</v>
      </c>
      <c r="AZ187" t="s">
        <v>101</v>
      </c>
      <c r="BA187" t="s">
        <v>128</v>
      </c>
      <c r="BB187" t="s">
        <v>103</v>
      </c>
      <c r="BC187" t="s">
        <v>104</v>
      </c>
      <c r="BD187" t="s">
        <v>105</v>
      </c>
      <c r="BE187">
        <v>4186</v>
      </c>
      <c r="BF187" t="s">
        <v>106</v>
      </c>
      <c r="BG187">
        <v>58</v>
      </c>
      <c r="BH187" t="s">
        <v>80</v>
      </c>
      <c r="BI187">
        <v>1</v>
      </c>
      <c r="BJ187">
        <v>705</v>
      </c>
      <c r="BK187">
        <v>0</v>
      </c>
      <c r="BL187">
        <v>20</v>
      </c>
      <c r="BM187">
        <v>292</v>
      </c>
      <c r="BN187">
        <v>499</v>
      </c>
      <c r="BO187">
        <v>618</v>
      </c>
      <c r="BP187">
        <v>5</v>
      </c>
      <c r="BQ187" s="2">
        <v>327</v>
      </c>
      <c r="BR187">
        <f t="shared" si="34"/>
        <v>706</v>
      </c>
      <c r="BS187">
        <f t="shared" si="35"/>
        <v>1</v>
      </c>
      <c r="BT187">
        <f t="shared" si="36"/>
        <v>21</v>
      </c>
      <c r="BU187">
        <f t="shared" si="37"/>
        <v>293</v>
      </c>
      <c r="BV187">
        <f t="shared" si="38"/>
        <v>500</v>
      </c>
      <c r="BW187">
        <f t="shared" si="39"/>
        <v>619</v>
      </c>
      <c r="BX187">
        <f t="shared" si="40"/>
        <v>6</v>
      </c>
      <c r="BY187" s="2">
        <f t="shared" si="41"/>
        <v>328</v>
      </c>
      <c r="BZ187">
        <f t="shared" si="42"/>
        <v>84.688057291744244</v>
      </c>
      <c r="CA187">
        <v>84.688057291744244</v>
      </c>
      <c r="CB187">
        <v>84.688057291744244</v>
      </c>
      <c r="CC187">
        <v>84.688057291744244</v>
      </c>
      <c r="CD187">
        <v>84.688057291744244</v>
      </c>
      <c r="CE187">
        <v>84.688057291744244</v>
      </c>
      <c r="CF187">
        <v>84.688057291744244</v>
      </c>
      <c r="CG187">
        <v>84.688057291744244</v>
      </c>
      <c r="CH187">
        <f t="shared" si="43"/>
        <v>0.92098253060289226</v>
      </c>
      <c r="CI187">
        <f t="shared" si="44"/>
        <v>-1.9278221704489116</v>
      </c>
      <c r="CJ187">
        <f t="shared" si="45"/>
        <v>-0.60560287571499227</v>
      </c>
      <c r="CK187">
        <f t="shared" si="46"/>
        <v>0.53904544990519787</v>
      </c>
      <c r="CL187">
        <f t="shared" si="47"/>
        <v>0.77114783388710728</v>
      </c>
      <c r="CM187">
        <f t="shared" si="48"/>
        <v>0.86386847857120641</v>
      </c>
      <c r="CN187">
        <f t="shared" si="49"/>
        <v>-1.1496709200652679</v>
      </c>
      <c r="CO187" s="2">
        <f t="shared" si="50"/>
        <v>0.58805167326276764</v>
      </c>
      <c r="CP187">
        <v>0.42946987201099401</v>
      </c>
      <c r="CQ187">
        <v>-2.2527165794045199</v>
      </c>
      <c r="CR187">
        <v>-0.210614630383959</v>
      </c>
      <c r="CS187">
        <v>-5.7104873299760703E-2</v>
      </c>
      <c r="CT187">
        <v>0.25918267100728898</v>
      </c>
      <c r="CU187">
        <v>6.7480742765239493E-2</v>
      </c>
      <c r="CV187">
        <v>-0.40710774619263801</v>
      </c>
      <c r="CW187">
        <v>0.130802513018871</v>
      </c>
      <c r="CX187" t="s">
        <v>1826</v>
      </c>
    </row>
    <row r="188" spans="1:102" x14ac:dyDescent="0.35">
      <c r="A188" t="s">
        <v>339</v>
      </c>
      <c r="B188" t="s">
        <v>89</v>
      </c>
      <c r="C188" t="s">
        <v>340</v>
      </c>
      <c r="D188" t="s">
        <v>72</v>
      </c>
      <c r="E188" t="s">
        <v>72</v>
      </c>
      <c r="F188" t="s">
        <v>72</v>
      </c>
      <c r="G188" t="s">
        <v>73</v>
      </c>
      <c r="H188" t="s">
        <v>74</v>
      </c>
      <c r="I188" t="s">
        <v>75</v>
      </c>
      <c r="J188" t="s">
        <v>76</v>
      </c>
      <c r="K188" t="s">
        <v>341</v>
      </c>
      <c r="L188" t="s">
        <v>342</v>
      </c>
      <c r="M188" t="s">
        <v>79</v>
      </c>
      <c r="N188">
        <v>60</v>
      </c>
      <c r="O188" t="s">
        <v>80</v>
      </c>
      <c r="P188">
        <v>326</v>
      </c>
      <c r="Q188">
        <v>0.5766</v>
      </c>
      <c r="R188">
        <v>177</v>
      </c>
      <c r="S188">
        <v>0.85419999999999996</v>
      </c>
      <c r="T188" t="s">
        <v>343</v>
      </c>
      <c r="U188" t="s">
        <v>344</v>
      </c>
      <c r="V188" t="s">
        <v>83</v>
      </c>
      <c r="W188" t="s">
        <v>84</v>
      </c>
      <c r="X188" t="s">
        <v>345</v>
      </c>
      <c r="Y188" t="s">
        <v>86</v>
      </c>
      <c r="Z188" t="s">
        <v>87</v>
      </c>
      <c r="AA188" t="s">
        <v>88</v>
      </c>
      <c r="AB188">
        <v>708</v>
      </c>
      <c r="AC188">
        <v>4</v>
      </c>
      <c r="AE188">
        <v>22</v>
      </c>
      <c r="AF188" t="s">
        <v>142</v>
      </c>
      <c r="AG188" t="s">
        <v>346</v>
      </c>
      <c r="AH188" t="s">
        <v>72</v>
      </c>
      <c r="AI188" t="s">
        <v>72</v>
      </c>
      <c r="AJ188" t="s">
        <v>91</v>
      </c>
      <c r="AK188" t="s">
        <v>92</v>
      </c>
      <c r="AL188" t="s">
        <v>93</v>
      </c>
      <c r="AM188" t="s">
        <v>94</v>
      </c>
      <c r="AN188" t="s">
        <v>144</v>
      </c>
      <c r="AO188" t="s">
        <v>145</v>
      </c>
      <c r="AP188" t="s">
        <v>97</v>
      </c>
      <c r="AQ188">
        <v>39</v>
      </c>
      <c r="AR188" t="s">
        <v>80</v>
      </c>
      <c r="AS188">
        <v>1359</v>
      </c>
      <c r="AT188">
        <v>0.96879999999999999</v>
      </c>
      <c r="AU188">
        <v>172</v>
      </c>
      <c r="AV188">
        <v>0.94740000000000002</v>
      </c>
      <c r="AW188" t="s">
        <v>98</v>
      </c>
      <c r="AX188" t="s">
        <v>146</v>
      </c>
      <c r="AY188" t="s">
        <v>127</v>
      </c>
      <c r="AZ188" t="s">
        <v>101</v>
      </c>
      <c r="BA188" t="s">
        <v>128</v>
      </c>
      <c r="BB188" t="s">
        <v>103</v>
      </c>
      <c r="BC188" t="s">
        <v>104</v>
      </c>
      <c r="BD188" t="s">
        <v>105</v>
      </c>
      <c r="BE188">
        <v>8242</v>
      </c>
      <c r="BF188" t="s">
        <v>106</v>
      </c>
      <c r="BG188">
        <v>114</v>
      </c>
      <c r="BH188" t="s">
        <v>80</v>
      </c>
      <c r="BI188">
        <v>1</v>
      </c>
      <c r="BJ188">
        <v>1231</v>
      </c>
      <c r="BK188">
        <v>0</v>
      </c>
      <c r="BL188">
        <v>24</v>
      </c>
      <c r="BM188">
        <v>440</v>
      </c>
      <c r="BN188">
        <v>581</v>
      </c>
      <c r="BO188">
        <v>837</v>
      </c>
      <c r="BP188">
        <v>7</v>
      </c>
      <c r="BQ188" s="2">
        <v>424</v>
      </c>
      <c r="BR188">
        <f t="shared" si="34"/>
        <v>1232</v>
      </c>
      <c r="BS188">
        <f t="shared" si="35"/>
        <v>1</v>
      </c>
      <c r="BT188">
        <f t="shared" si="36"/>
        <v>25</v>
      </c>
      <c r="BU188">
        <f t="shared" si="37"/>
        <v>441</v>
      </c>
      <c r="BV188">
        <f t="shared" si="38"/>
        <v>582</v>
      </c>
      <c r="BW188">
        <f t="shared" si="39"/>
        <v>838</v>
      </c>
      <c r="BX188">
        <f t="shared" si="40"/>
        <v>8</v>
      </c>
      <c r="BY188" s="2">
        <f t="shared" si="41"/>
        <v>425</v>
      </c>
      <c r="BZ188">
        <f t="shared" si="42"/>
        <v>110.68261296257442</v>
      </c>
      <c r="CA188">
        <v>110.68261296257442</v>
      </c>
      <c r="CB188">
        <v>110.68261296257442</v>
      </c>
      <c r="CC188">
        <v>110.68261296257442</v>
      </c>
      <c r="CD188">
        <v>110.68261296257442</v>
      </c>
      <c r="CE188">
        <v>110.68261296257442</v>
      </c>
      <c r="CF188">
        <v>110.68261296257442</v>
      </c>
      <c r="CG188">
        <v>110.68261296257442</v>
      </c>
      <c r="CH188">
        <f t="shared" si="43"/>
        <v>1.0465313045420688</v>
      </c>
      <c r="CI188">
        <f t="shared" si="44"/>
        <v>-2.0440794032863376</v>
      </c>
      <c r="CJ188">
        <f t="shared" si="45"/>
        <v>-0.64613939461430026</v>
      </c>
      <c r="CK188">
        <f t="shared" si="46"/>
        <v>0.60035918618150064</v>
      </c>
      <c r="CL188">
        <f t="shared" si="47"/>
        <v>0.72084358136355065</v>
      </c>
      <c r="CM188">
        <f t="shared" si="48"/>
        <v>0.87916461534393864</v>
      </c>
      <c r="CN188">
        <f t="shared" si="49"/>
        <v>-1.1409894162943943</v>
      </c>
      <c r="CO188" s="2">
        <f t="shared" si="50"/>
        <v>0.58430952676397363</v>
      </c>
      <c r="CP188">
        <v>0.58030823020484801</v>
      </c>
      <c r="CQ188">
        <v>-2.2527165794045199</v>
      </c>
      <c r="CR188">
        <v>-0.391726830264778</v>
      </c>
      <c r="CS188">
        <v>0.123552979057311</v>
      </c>
      <c r="CT188">
        <v>0.119154992884967</v>
      </c>
      <c r="CU188">
        <v>0.111652834336582</v>
      </c>
      <c r="CV188">
        <v>-0.38382418060093598</v>
      </c>
      <c r="CW188">
        <v>0.120524133679013</v>
      </c>
      <c r="CX188" t="s">
        <v>1826</v>
      </c>
    </row>
    <row r="189" spans="1:102" x14ac:dyDescent="0.35">
      <c r="A189" t="s">
        <v>1400</v>
      </c>
      <c r="B189" t="s">
        <v>89</v>
      </c>
      <c r="C189" t="s">
        <v>1401</v>
      </c>
      <c r="D189" t="s">
        <v>72</v>
      </c>
      <c r="E189" t="s">
        <v>72</v>
      </c>
      <c r="F189" t="s">
        <v>72</v>
      </c>
      <c r="G189" t="s">
        <v>73</v>
      </c>
      <c r="H189" t="s">
        <v>109</v>
      </c>
      <c r="I189" t="s">
        <v>110</v>
      </c>
      <c r="J189" t="s">
        <v>111</v>
      </c>
      <c r="K189" t="s">
        <v>112</v>
      </c>
      <c r="L189" t="s">
        <v>113</v>
      </c>
      <c r="M189" t="s">
        <v>114</v>
      </c>
      <c r="N189">
        <v>48</v>
      </c>
      <c r="O189" t="s">
        <v>80</v>
      </c>
      <c r="P189">
        <v>621</v>
      </c>
      <c r="Q189">
        <v>0.68400000000000005</v>
      </c>
      <c r="R189">
        <v>175</v>
      </c>
      <c r="S189">
        <v>0.81130000000000002</v>
      </c>
      <c r="T189" t="s">
        <v>115</v>
      </c>
      <c r="U189" t="s">
        <v>116</v>
      </c>
      <c r="V189" t="s">
        <v>117</v>
      </c>
      <c r="W189" t="s">
        <v>118</v>
      </c>
      <c r="X189" t="s">
        <v>119</v>
      </c>
      <c r="Y189" t="s">
        <v>120</v>
      </c>
      <c r="Z189" t="s">
        <v>121</v>
      </c>
      <c r="AA189" t="s">
        <v>88</v>
      </c>
      <c r="AB189">
        <v>813</v>
      </c>
      <c r="AC189">
        <v>7</v>
      </c>
      <c r="AE189">
        <v>1</v>
      </c>
      <c r="AF189" t="s">
        <v>211</v>
      </c>
      <c r="AG189" t="s">
        <v>1402</v>
      </c>
      <c r="AH189" t="s">
        <v>72</v>
      </c>
      <c r="AI189" t="s">
        <v>72</v>
      </c>
      <c r="AJ189" t="s">
        <v>91</v>
      </c>
      <c r="AK189" t="s">
        <v>92</v>
      </c>
      <c r="AL189" t="s">
        <v>93</v>
      </c>
      <c r="AM189" t="s">
        <v>94</v>
      </c>
      <c r="AN189" t="s">
        <v>144</v>
      </c>
      <c r="AO189" t="s">
        <v>145</v>
      </c>
      <c r="AP189" t="s">
        <v>97</v>
      </c>
      <c r="AQ189">
        <v>39</v>
      </c>
      <c r="AR189" t="s">
        <v>80</v>
      </c>
      <c r="AS189">
        <v>1359</v>
      </c>
      <c r="AT189">
        <v>0.96879999999999999</v>
      </c>
      <c r="AU189">
        <v>172</v>
      </c>
      <c r="AV189">
        <v>0.94740000000000002</v>
      </c>
      <c r="AW189" t="s">
        <v>98</v>
      </c>
      <c r="AX189" t="s">
        <v>146</v>
      </c>
      <c r="AY189" t="s">
        <v>127</v>
      </c>
      <c r="AZ189" t="s">
        <v>101</v>
      </c>
      <c r="BA189" t="s">
        <v>128</v>
      </c>
      <c r="BB189" t="s">
        <v>103</v>
      </c>
      <c r="BC189" t="s">
        <v>104</v>
      </c>
      <c r="BD189" t="s">
        <v>105</v>
      </c>
      <c r="BE189">
        <v>13464</v>
      </c>
      <c r="BF189" t="s">
        <v>106</v>
      </c>
      <c r="BG189">
        <v>167</v>
      </c>
      <c r="BH189" t="s">
        <v>80</v>
      </c>
      <c r="BI189">
        <v>1</v>
      </c>
      <c r="BJ189">
        <v>1926</v>
      </c>
      <c r="BK189">
        <v>0</v>
      </c>
      <c r="BL189">
        <v>45</v>
      </c>
      <c r="BM189">
        <v>522</v>
      </c>
      <c r="BN189">
        <v>705</v>
      </c>
      <c r="BO189">
        <v>982</v>
      </c>
      <c r="BP189">
        <v>15</v>
      </c>
      <c r="BQ189" s="2">
        <v>576</v>
      </c>
      <c r="BR189">
        <f t="shared" si="34"/>
        <v>1927</v>
      </c>
      <c r="BS189">
        <f t="shared" si="35"/>
        <v>1</v>
      </c>
      <c r="BT189">
        <f t="shared" si="36"/>
        <v>46</v>
      </c>
      <c r="BU189">
        <f t="shared" si="37"/>
        <v>523</v>
      </c>
      <c r="BV189">
        <f t="shared" si="38"/>
        <v>706</v>
      </c>
      <c r="BW189">
        <f t="shared" si="39"/>
        <v>983</v>
      </c>
      <c r="BX189">
        <f t="shared" si="40"/>
        <v>16</v>
      </c>
      <c r="BY189" s="2">
        <f t="shared" si="41"/>
        <v>577</v>
      </c>
      <c r="BZ189">
        <f t="shared" si="42"/>
        <v>152.79157448690194</v>
      </c>
      <c r="CA189">
        <v>152.79157448690194</v>
      </c>
      <c r="CB189">
        <v>152.79157448690194</v>
      </c>
      <c r="CC189">
        <v>152.79157448690194</v>
      </c>
      <c r="CD189">
        <v>152.79157448690194</v>
      </c>
      <c r="CE189">
        <v>152.79157448690194</v>
      </c>
      <c r="CF189">
        <v>152.79157448690194</v>
      </c>
      <c r="CG189">
        <v>152.79157448690194</v>
      </c>
      <c r="CH189">
        <f t="shared" si="43"/>
        <v>1.100782308417966</v>
      </c>
      <c r="CI189">
        <f t="shared" si="44"/>
        <v>-2.184099406237487</v>
      </c>
      <c r="CJ189">
        <f t="shared" si="45"/>
        <v>-0.52134157455591301</v>
      </c>
      <c r="CK189">
        <f t="shared" si="46"/>
        <v>0.53440228262978717</v>
      </c>
      <c r="CL189">
        <f t="shared" si="47"/>
        <v>0.66470529481431673</v>
      </c>
      <c r="CM189">
        <f t="shared" si="48"/>
        <v>0.80845411159464853</v>
      </c>
      <c r="CN189">
        <f t="shared" si="49"/>
        <v>-0.97997942358156231</v>
      </c>
      <c r="CO189" s="2">
        <f t="shared" si="50"/>
        <v>0.57707640691824436</v>
      </c>
      <c r="CP189">
        <v>0.645487141143262</v>
      </c>
      <c r="CQ189">
        <v>-2.2527165794045199</v>
      </c>
      <c r="CR189">
        <v>0.16585453944407899</v>
      </c>
      <c r="CS189">
        <v>-7.0785733072035603E-2</v>
      </c>
      <c r="CT189">
        <v>-3.7112390584723702E-2</v>
      </c>
      <c r="CU189">
        <v>-9.2544532166927096E-2</v>
      </c>
      <c r="CV189">
        <v>4.8000400161920503E-2</v>
      </c>
      <c r="CW189">
        <v>0.100657260586519</v>
      </c>
      <c r="CX189" t="s">
        <v>1826</v>
      </c>
    </row>
    <row r="190" spans="1:102" x14ac:dyDescent="0.35">
      <c r="A190" t="s">
        <v>992</v>
      </c>
      <c r="B190" t="s">
        <v>148</v>
      </c>
      <c r="C190" t="s">
        <v>618</v>
      </c>
      <c r="D190" t="s">
        <v>72</v>
      </c>
      <c r="E190" t="s">
        <v>72</v>
      </c>
      <c r="F190" t="s">
        <v>72</v>
      </c>
      <c r="G190" t="s">
        <v>73</v>
      </c>
      <c r="H190" t="s">
        <v>74</v>
      </c>
      <c r="I190" t="s">
        <v>75</v>
      </c>
      <c r="J190" t="s">
        <v>76</v>
      </c>
      <c r="K190" t="s">
        <v>77</v>
      </c>
      <c r="L190" t="s">
        <v>78</v>
      </c>
      <c r="M190" t="s">
        <v>79</v>
      </c>
      <c r="N190">
        <v>60</v>
      </c>
      <c r="O190" t="s">
        <v>80</v>
      </c>
      <c r="P190">
        <v>792</v>
      </c>
      <c r="Q190">
        <v>0.75</v>
      </c>
      <c r="R190">
        <v>177</v>
      </c>
      <c r="S190">
        <v>0.85419999999999996</v>
      </c>
      <c r="T190" t="s">
        <v>81</v>
      </c>
      <c r="U190" t="s">
        <v>82</v>
      </c>
      <c r="V190" t="s">
        <v>83</v>
      </c>
      <c r="W190" t="s">
        <v>84</v>
      </c>
      <c r="X190" t="s">
        <v>85</v>
      </c>
      <c r="Y190" t="s">
        <v>86</v>
      </c>
      <c r="Z190" t="s">
        <v>87</v>
      </c>
      <c r="AA190" t="s">
        <v>88</v>
      </c>
      <c r="AB190">
        <v>179</v>
      </c>
      <c r="AC190">
        <v>2</v>
      </c>
      <c r="AE190">
        <v>22</v>
      </c>
      <c r="AF190" t="s">
        <v>89</v>
      </c>
      <c r="AG190" t="s">
        <v>161</v>
      </c>
      <c r="AH190" t="s">
        <v>72</v>
      </c>
      <c r="AI190" t="s">
        <v>72</v>
      </c>
      <c r="AJ190" t="s">
        <v>91</v>
      </c>
      <c r="AK190" t="s">
        <v>92</v>
      </c>
      <c r="AL190" t="s">
        <v>93</v>
      </c>
      <c r="AM190" t="s">
        <v>94</v>
      </c>
      <c r="AN190" t="s">
        <v>144</v>
      </c>
      <c r="AO190" t="s">
        <v>145</v>
      </c>
      <c r="AP190" t="s">
        <v>97</v>
      </c>
      <c r="AQ190">
        <v>39</v>
      </c>
      <c r="AR190" t="s">
        <v>80</v>
      </c>
      <c r="AS190">
        <v>1359</v>
      </c>
      <c r="AT190">
        <v>0.96879999999999999</v>
      </c>
      <c r="AU190">
        <v>172</v>
      </c>
      <c r="AV190">
        <v>0.94740000000000002</v>
      </c>
      <c r="AW190" t="s">
        <v>98</v>
      </c>
      <c r="AX190" t="s">
        <v>146</v>
      </c>
      <c r="AY190" t="s">
        <v>127</v>
      </c>
      <c r="AZ190" t="s">
        <v>101</v>
      </c>
      <c r="BA190" t="s">
        <v>128</v>
      </c>
      <c r="BB190" t="s">
        <v>103</v>
      </c>
      <c r="BC190" t="s">
        <v>104</v>
      </c>
      <c r="BD190" t="s">
        <v>105</v>
      </c>
      <c r="BE190">
        <v>6802</v>
      </c>
      <c r="BF190" t="s">
        <v>106</v>
      </c>
      <c r="BG190">
        <v>80</v>
      </c>
      <c r="BH190" t="s">
        <v>80</v>
      </c>
      <c r="BI190">
        <v>1</v>
      </c>
      <c r="BJ190">
        <v>1210</v>
      </c>
      <c r="BK190">
        <v>0</v>
      </c>
      <c r="BL190">
        <v>27</v>
      </c>
      <c r="BM190">
        <v>364</v>
      </c>
      <c r="BN190">
        <v>451</v>
      </c>
      <c r="BO190">
        <v>749</v>
      </c>
      <c r="BP190">
        <v>13</v>
      </c>
      <c r="BQ190" s="2">
        <v>416</v>
      </c>
      <c r="BR190">
        <f t="shared" si="34"/>
        <v>1211</v>
      </c>
      <c r="BS190">
        <f t="shared" si="35"/>
        <v>1</v>
      </c>
      <c r="BT190">
        <f t="shared" si="36"/>
        <v>28</v>
      </c>
      <c r="BU190">
        <f t="shared" si="37"/>
        <v>365</v>
      </c>
      <c r="BV190">
        <f t="shared" si="38"/>
        <v>452</v>
      </c>
      <c r="BW190">
        <f t="shared" si="39"/>
        <v>750</v>
      </c>
      <c r="BX190">
        <f t="shared" si="40"/>
        <v>14</v>
      </c>
      <c r="BY190" s="2">
        <f t="shared" si="41"/>
        <v>417</v>
      </c>
      <c r="BZ190">
        <f t="shared" si="42"/>
        <v>111.84906384176433</v>
      </c>
      <c r="CA190">
        <v>111.84906384176433</v>
      </c>
      <c r="CB190">
        <v>111.84906384176433</v>
      </c>
      <c r="CC190">
        <v>111.84906384176433</v>
      </c>
      <c r="CD190">
        <v>111.84906384176433</v>
      </c>
      <c r="CE190">
        <v>111.84906384176433</v>
      </c>
      <c r="CF190">
        <v>111.84906384176433</v>
      </c>
      <c r="CG190">
        <v>111.84906384176433</v>
      </c>
      <c r="CH190">
        <f t="shared" si="43"/>
        <v>1.0345117896684493</v>
      </c>
      <c r="CI190">
        <f t="shared" si="44"/>
        <v>-2.0486323534746029</v>
      </c>
      <c r="CJ190">
        <f t="shared" si="45"/>
        <v>-0.60147432213238383</v>
      </c>
      <c r="CK190">
        <f t="shared" si="46"/>
        <v>0.51366051098187171</v>
      </c>
      <c r="CL190">
        <f t="shared" si="47"/>
        <v>0.60650608133677908</v>
      </c>
      <c r="CM190">
        <f t="shared" si="48"/>
        <v>0.82642890991709705</v>
      </c>
      <c r="CN190">
        <f t="shared" si="49"/>
        <v>-0.90250431779636497</v>
      </c>
      <c r="CO190" s="2">
        <f t="shared" si="50"/>
        <v>0.57150370149915453</v>
      </c>
      <c r="CP190">
        <v>0.56586759623496397</v>
      </c>
      <c r="CQ190">
        <v>-2.2527165794045199</v>
      </c>
      <c r="CR190">
        <v>-0.19216875880999901</v>
      </c>
      <c r="CS190">
        <v>-0.13190032415007799</v>
      </c>
      <c r="CT190">
        <v>-0.19911660142134499</v>
      </c>
      <c r="CU190">
        <v>-4.0637017918557602E-2</v>
      </c>
      <c r="CV190">
        <v>0.25578660343764098</v>
      </c>
      <c r="CW190">
        <v>8.53509703958093E-2</v>
      </c>
      <c r="CX190" t="s">
        <v>1826</v>
      </c>
    </row>
    <row r="191" spans="1:102" x14ac:dyDescent="0.35">
      <c r="A191" t="s">
        <v>137</v>
      </c>
      <c r="B191" t="s">
        <v>89</v>
      </c>
      <c r="C191" t="s">
        <v>138</v>
      </c>
      <c r="D191" t="s">
        <v>72</v>
      </c>
      <c r="E191" t="s">
        <v>72</v>
      </c>
      <c r="F191" t="s">
        <v>72</v>
      </c>
      <c r="G191" t="s">
        <v>73</v>
      </c>
      <c r="H191" t="s">
        <v>74</v>
      </c>
      <c r="I191" t="s">
        <v>75</v>
      </c>
      <c r="J191" t="s">
        <v>76</v>
      </c>
      <c r="K191" t="s">
        <v>139</v>
      </c>
      <c r="L191" t="s">
        <v>140</v>
      </c>
      <c r="M191" t="s">
        <v>79</v>
      </c>
      <c r="N191">
        <v>60</v>
      </c>
      <c r="O191" t="s">
        <v>80</v>
      </c>
      <c r="P191">
        <v>783</v>
      </c>
      <c r="Q191">
        <v>0.74650000000000005</v>
      </c>
      <c r="R191">
        <v>177</v>
      </c>
      <c r="S191">
        <v>0.85419999999999996</v>
      </c>
      <c r="T191" t="s">
        <v>81</v>
      </c>
      <c r="U191" t="s">
        <v>82</v>
      </c>
      <c r="V191" t="s">
        <v>141</v>
      </c>
      <c r="W191" t="s">
        <v>84</v>
      </c>
      <c r="X191" t="s">
        <v>85</v>
      </c>
      <c r="Y191" t="s">
        <v>86</v>
      </c>
      <c r="Z191" t="s">
        <v>87</v>
      </c>
      <c r="AA191" t="s">
        <v>88</v>
      </c>
      <c r="AB191">
        <v>746</v>
      </c>
      <c r="AC191">
        <v>8</v>
      </c>
      <c r="AE191">
        <v>22</v>
      </c>
      <c r="AF191" t="s">
        <v>142</v>
      </c>
      <c r="AG191" t="s">
        <v>143</v>
      </c>
      <c r="AH191" t="s">
        <v>72</v>
      </c>
      <c r="AI191" t="s">
        <v>72</v>
      </c>
      <c r="AJ191" t="s">
        <v>91</v>
      </c>
      <c r="AK191" t="s">
        <v>92</v>
      </c>
      <c r="AL191" t="s">
        <v>93</v>
      </c>
      <c r="AM191" t="s">
        <v>94</v>
      </c>
      <c r="AN191" t="s">
        <v>144</v>
      </c>
      <c r="AO191" t="s">
        <v>145</v>
      </c>
      <c r="AP191" t="s">
        <v>97</v>
      </c>
      <c r="AQ191">
        <v>39</v>
      </c>
      <c r="AR191" t="s">
        <v>80</v>
      </c>
      <c r="AS191">
        <v>1359</v>
      </c>
      <c r="AT191">
        <v>0.96879999999999999</v>
      </c>
      <c r="AU191">
        <v>172</v>
      </c>
      <c r="AV191">
        <v>0.94740000000000002</v>
      </c>
      <c r="AW191" t="s">
        <v>98</v>
      </c>
      <c r="AX191" t="s">
        <v>146</v>
      </c>
      <c r="AY191" t="s">
        <v>127</v>
      </c>
      <c r="AZ191" t="s">
        <v>101</v>
      </c>
      <c r="BA191" t="s">
        <v>128</v>
      </c>
      <c r="BB191" t="s">
        <v>103</v>
      </c>
      <c r="BC191" t="s">
        <v>104</v>
      </c>
      <c r="BD191" t="s">
        <v>105</v>
      </c>
      <c r="BE191">
        <v>3157</v>
      </c>
      <c r="BF191" t="s">
        <v>106</v>
      </c>
      <c r="BG191">
        <v>39</v>
      </c>
      <c r="BH191" t="s">
        <v>80</v>
      </c>
      <c r="BI191">
        <v>1</v>
      </c>
      <c r="BJ191">
        <v>683</v>
      </c>
      <c r="BK191">
        <v>0</v>
      </c>
      <c r="BL191">
        <v>17</v>
      </c>
      <c r="BM191">
        <v>171</v>
      </c>
      <c r="BN191">
        <v>229</v>
      </c>
      <c r="BO191">
        <v>287</v>
      </c>
      <c r="BP191">
        <v>0</v>
      </c>
      <c r="BQ191" s="2">
        <v>174</v>
      </c>
      <c r="BR191">
        <f t="shared" si="34"/>
        <v>684</v>
      </c>
      <c r="BS191">
        <f t="shared" si="35"/>
        <v>1</v>
      </c>
      <c r="BT191">
        <f t="shared" si="36"/>
        <v>18</v>
      </c>
      <c r="BU191">
        <f t="shared" si="37"/>
        <v>172</v>
      </c>
      <c r="BV191">
        <f t="shared" si="38"/>
        <v>230</v>
      </c>
      <c r="BW191">
        <f t="shared" si="39"/>
        <v>288</v>
      </c>
      <c r="BX191">
        <f t="shared" si="40"/>
        <v>1</v>
      </c>
      <c r="BY191" s="2">
        <f t="shared" si="41"/>
        <v>175</v>
      </c>
      <c r="BZ191">
        <f t="shared" si="42"/>
        <v>47.179347289729989</v>
      </c>
      <c r="CA191">
        <v>47.179347289729989</v>
      </c>
      <c r="CB191">
        <v>47.179347289729989</v>
      </c>
      <c r="CC191">
        <v>47.179347289729989</v>
      </c>
      <c r="CD191">
        <v>47.179347289729989</v>
      </c>
      <c r="CE191">
        <v>47.179347289729989</v>
      </c>
      <c r="CF191">
        <v>47.179347289729989</v>
      </c>
      <c r="CG191">
        <v>47.179347289729989</v>
      </c>
      <c r="CH191">
        <f t="shared" si="43"/>
        <v>1.1613041734458551</v>
      </c>
      <c r="CI191">
        <f t="shared" si="44"/>
        <v>-1.6737519282742612</v>
      </c>
      <c r="CJ191">
        <f t="shared" si="45"/>
        <v>-0.41847942317095516</v>
      </c>
      <c r="CK191">
        <f t="shared" si="46"/>
        <v>0.5617765186332877</v>
      </c>
      <c r="CL191">
        <f t="shared" si="47"/>
        <v>0.68797590774333162</v>
      </c>
      <c r="CM191">
        <f t="shared" si="48"/>
        <v>0.78564055948496969</v>
      </c>
      <c r="CN191">
        <f t="shared" si="49"/>
        <v>-1.6737519282742612</v>
      </c>
      <c r="CO191" s="2">
        <f t="shared" si="50"/>
        <v>0.56928612041203319</v>
      </c>
      <c r="CP191">
        <v>0.71820006751608001</v>
      </c>
      <c r="CQ191">
        <v>-2.2527165794045199</v>
      </c>
      <c r="CR191">
        <v>0.625430029092787</v>
      </c>
      <c r="CS191">
        <v>9.8710819689257004E-3</v>
      </c>
      <c r="CT191">
        <v>2.7664039507490301E-2</v>
      </c>
      <c r="CU191">
        <v>-0.158425370435369</v>
      </c>
      <c r="CV191">
        <v>-2.6172399890044602</v>
      </c>
      <c r="CW191">
        <v>7.9260043801226795E-2</v>
      </c>
      <c r="CX191" t="s">
        <v>1826</v>
      </c>
    </row>
    <row r="192" spans="1:102" x14ac:dyDescent="0.35">
      <c r="A192" t="s">
        <v>685</v>
      </c>
      <c r="B192" t="s">
        <v>686</v>
      </c>
      <c r="C192" t="s">
        <v>71</v>
      </c>
      <c r="D192" t="s">
        <v>72</v>
      </c>
      <c r="E192" t="s">
        <v>72</v>
      </c>
      <c r="F192" t="s">
        <v>72</v>
      </c>
      <c r="G192" t="s">
        <v>73</v>
      </c>
      <c r="H192" t="s">
        <v>74</v>
      </c>
      <c r="I192" t="s">
        <v>75</v>
      </c>
      <c r="J192" t="s">
        <v>76</v>
      </c>
      <c r="K192" t="s">
        <v>77</v>
      </c>
      <c r="L192" t="s">
        <v>78</v>
      </c>
      <c r="M192" t="s">
        <v>79</v>
      </c>
      <c r="N192">
        <v>60</v>
      </c>
      <c r="O192" t="s">
        <v>80</v>
      </c>
      <c r="P192">
        <v>792</v>
      </c>
      <c r="Q192">
        <v>0.75</v>
      </c>
      <c r="R192">
        <v>177</v>
      </c>
      <c r="S192">
        <v>0.85419999999999996</v>
      </c>
      <c r="T192" t="s">
        <v>81</v>
      </c>
      <c r="U192" t="s">
        <v>82</v>
      </c>
      <c r="V192" t="s">
        <v>83</v>
      </c>
      <c r="W192" t="s">
        <v>84</v>
      </c>
      <c r="X192" t="s">
        <v>85</v>
      </c>
      <c r="Y192" t="s">
        <v>86</v>
      </c>
      <c r="Z192" t="s">
        <v>87</v>
      </c>
      <c r="AA192" t="s">
        <v>88</v>
      </c>
      <c r="AB192">
        <v>317</v>
      </c>
      <c r="AC192">
        <v>12</v>
      </c>
      <c r="AE192">
        <v>22</v>
      </c>
      <c r="AF192" t="s">
        <v>89</v>
      </c>
      <c r="AG192" t="s">
        <v>687</v>
      </c>
      <c r="AH192" t="s">
        <v>72</v>
      </c>
      <c r="AI192" t="s">
        <v>72</v>
      </c>
      <c r="AJ192" t="s">
        <v>72</v>
      </c>
      <c r="AK192" t="s">
        <v>92</v>
      </c>
      <c r="AL192" t="s">
        <v>93</v>
      </c>
      <c r="AM192" t="s">
        <v>94</v>
      </c>
      <c r="AN192" t="s">
        <v>688</v>
      </c>
      <c r="AO192" t="s">
        <v>689</v>
      </c>
      <c r="AP192" t="s">
        <v>286</v>
      </c>
      <c r="AQ192">
        <v>39</v>
      </c>
      <c r="AR192" t="s">
        <v>80</v>
      </c>
      <c r="AS192">
        <v>1323</v>
      </c>
      <c r="AT192">
        <v>0.95489999999999997</v>
      </c>
      <c r="AU192">
        <v>172</v>
      </c>
      <c r="AV192">
        <v>0.94740000000000002</v>
      </c>
      <c r="AW192" t="s">
        <v>98</v>
      </c>
      <c r="AX192" t="s">
        <v>690</v>
      </c>
      <c r="AY192" t="s">
        <v>691</v>
      </c>
      <c r="AZ192" t="s">
        <v>101</v>
      </c>
      <c r="BA192" t="s">
        <v>128</v>
      </c>
      <c r="BB192" t="s">
        <v>103</v>
      </c>
      <c r="BC192" t="s">
        <v>104</v>
      </c>
      <c r="BD192" t="s">
        <v>105</v>
      </c>
      <c r="BE192">
        <v>51735</v>
      </c>
      <c r="BG192">
        <v>571</v>
      </c>
      <c r="BH192" t="s">
        <v>80</v>
      </c>
      <c r="BI192">
        <v>1</v>
      </c>
      <c r="BJ192">
        <v>4944</v>
      </c>
      <c r="BK192">
        <v>8</v>
      </c>
      <c r="BL192">
        <v>118</v>
      </c>
      <c r="BM192">
        <v>2179</v>
      </c>
      <c r="BN192">
        <v>2525</v>
      </c>
      <c r="BO192">
        <v>3697</v>
      </c>
      <c r="BP192">
        <v>51</v>
      </c>
      <c r="BQ192" s="2">
        <v>2111</v>
      </c>
      <c r="BR192">
        <f t="shared" si="34"/>
        <v>4945</v>
      </c>
      <c r="BS192">
        <f t="shared" si="35"/>
        <v>9</v>
      </c>
      <c r="BT192">
        <f t="shared" si="36"/>
        <v>119</v>
      </c>
      <c r="BU192">
        <f t="shared" si="37"/>
        <v>2180</v>
      </c>
      <c r="BV192">
        <f t="shared" si="38"/>
        <v>2526</v>
      </c>
      <c r="BW192">
        <f t="shared" si="39"/>
        <v>3698</v>
      </c>
      <c r="BX192">
        <f t="shared" si="40"/>
        <v>52</v>
      </c>
      <c r="BY192" s="2">
        <f t="shared" si="41"/>
        <v>2112</v>
      </c>
      <c r="BZ192">
        <f t="shared" si="42"/>
        <v>574.36599700615625</v>
      </c>
      <c r="CA192">
        <v>574.36599700615625</v>
      </c>
      <c r="CB192">
        <v>574.36599700615625</v>
      </c>
      <c r="CC192">
        <v>574.36599700615625</v>
      </c>
      <c r="CD192">
        <v>574.36599700615625</v>
      </c>
      <c r="CE192">
        <v>574.36599700615625</v>
      </c>
      <c r="CF192">
        <v>574.36599700615625</v>
      </c>
      <c r="CG192">
        <v>574.36599700615625</v>
      </c>
      <c r="CH192">
        <f t="shared" si="43"/>
        <v>0.93497757456961084</v>
      </c>
      <c r="CI192">
        <f t="shared" si="44"/>
        <v>-1.8049462119242625</v>
      </c>
      <c r="CJ192">
        <f t="shared" si="45"/>
        <v>-0.68364175997105658</v>
      </c>
      <c r="CK192">
        <f t="shared" si="46"/>
        <v>0.57926777224101744</v>
      </c>
      <c r="CL192">
        <f t="shared" si="47"/>
        <v>0.64324462485572464</v>
      </c>
      <c r="CM192">
        <f t="shared" si="48"/>
        <v>0.80877818545956692</v>
      </c>
      <c r="CN192">
        <f t="shared" si="49"/>
        <v>-1.0431853777287883</v>
      </c>
      <c r="CO192" s="2">
        <f t="shared" si="50"/>
        <v>0.56550519249818731</v>
      </c>
      <c r="CP192">
        <v>0.44628397053666602</v>
      </c>
      <c r="CQ192">
        <v>-0.53286274370596298</v>
      </c>
      <c r="CR192">
        <v>-0.55928280386398899</v>
      </c>
      <c r="CS192">
        <v>6.1408184479943603E-2</v>
      </c>
      <c r="CT192">
        <v>-9.6850636051026798E-2</v>
      </c>
      <c r="CU192">
        <v>-9.16086736132454E-2</v>
      </c>
      <c r="CV192">
        <v>-0.121516312381642</v>
      </c>
      <c r="CW192">
        <v>6.8875145356526196E-2</v>
      </c>
      <c r="CX192" t="s">
        <v>1826</v>
      </c>
    </row>
    <row r="193" spans="1:102" x14ac:dyDescent="0.35">
      <c r="A193" t="s">
        <v>1011</v>
      </c>
      <c r="B193" t="s">
        <v>70</v>
      </c>
      <c r="C193" t="s">
        <v>149</v>
      </c>
      <c r="D193" t="s">
        <v>72</v>
      </c>
      <c r="E193" t="s">
        <v>72</v>
      </c>
      <c r="F193" t="s">
        <v>72</v>
      </c>
      <c r="G193" t="s">
        <v>73</v>
      </c>
      <c r="H193" t="s">
        <v>74</v>
      </c>
      <c r="I193" t="s">
        <v>75</v>
      </c>
      <c r="J193" t="s">
        <v>76</v>
      </c>
      <c r="K193" t="s">
        <v>77</v>
      </c>
      <c r="L193" t="s">
        <v>78</v>
      </c>
      <c r="M193" t="s">
        <v>79</v>
      </c>
      <c r="N193">
        <v>60</v>
      </c>
      <c r="O193" t="s">
        <v>80</v>
      </c>
      <c r="P193">
        <v>792</v>
      </c>
      <c r="Q193">
        <v>0.75</v>
      </c>
      <c r="R193">
        <v>177</v>
      </c>
      <c r="S193">
        <v>0.85419999999999996</v>
      </c>
      <c r="T193" t="s">
        <v>81</v>
      </c>
      <c r="U193" t="s">
        <v>82</v>
      </c>
      <c r="V193" t="s">
        <v>83</v>
      </c>
      <c r="W193" t="s">
        <v>84</v>
      </c>
      <c r="X193" t="s">
        <v>85</v>
      </c>
      <c r="Y193" t="s">
        <v>86</v>
      </c>
      <c r="Z193" t="s">
        <v>87</v>
      </c>
      <c r="AA193" t="s">
        <v>88</v>
      </c>
      <c r="AB193">
        <v>393</v>
      </c>
      <c r="AC193">
        <v>4</v>
      </c>
      <c r="AE193">
        <v>22</v>
      </c>
      <c r="AF193" t="s">
        <v>89</v>
      </c>
      <c r="AG193" t="s">
        <v>384</v>
      </c>
      <c r="AH193" t="s">
        <v>72</v>
      </c>
      <c r="AI193" t="s">
        <v>72</v>
      </c>
      <c r="AJ193" t="s">
        <v>91</v>
      </c>
      <c r="AK193" t="s">
        <v>92</v>
      </c>
      <c r="AL193" t="s">
        <v>93</v>
      </c>
      <c r="AM193" t="s">
        <v>94</v>
      </c>
      <c r="AN193" t="s">
        <v>144</v>
      </c>
      <c r="AO193" t="s">
        <v>145</v>
      </c>
      <c r="AP193" t="s">
        <v>97</v>
      </c>
      <c r="AQ193">
        <v>39</v>
      </c>
      <c r="AR193" t="s">
        <v>80</v>
      </c>
      <c r="AS193">
        <v>1359</v>
      </c>
      <c r="AT193">
        <v>0.96879999999999999</v>
      </c>
      <c r="AU193">
        <v>172</v>
      </c>
      <c r="AV193">
        <v>0.94740000000000002</v>
      </c>
      <c r="AW193" t="s">
        <v>98</v>
      </c>
      <c r="AX193" t="s">
        <v>146</v>
      </c>
      <c r="AY193" t="s">
        <v>127</v>
      </c>
      <c r="AZ193" t="s">
        <v>101</v>
      </c>
      <c r="BA193" t="s">
        <v>128</v>
      </c>
      <c r="BB193" t="s">
        <v>103</v>
      </c>
      <c r="BC193" t="s">
        <v>104</v>
      </c>
      <c r="BD193" t="s">
        <v>105</v>
      </c>
      <c r="BE193">
        <v>8766</v>
      </c>
      <c r="BF193" t="s">
        <v>106</v>
      </c>
      <c r="BG193">
        <v>106</v>
      </c>
      <c r="BH193" t="s">
        <v>80</v>
      </c>
      <c r="BI193">
        <v>1</v>
      </c>
      <c r="BJ193">
        <v>1857</v>
      </c>
      <c r="BK193">
        <v>0</v>
      </c>
      <c r="BL193">
        <v>40</v>
      </c>
      <c r="BM193">
        <v>539</v>
      </c>
      <c r="BN193">
        <v>717</v>
      </c>
      <c r="BO193">
        <v>1001</v>
      </c>
      <c r="BP193">
        <v>15</v>
      </c>
      <c r="BQ193" s="2">
        <v>548</v>
      </c>
      <c r="BR193">
        <f t="shared" si="34"/>
        <v>1858</v>
      </c>
      <c r="BS193">
        <f t="shared" si="35"/>
        <v>1</v>
      </c>
      <c r="BT193">
        <f t="shared" si="36"/>
        <v>41</v>
      </c>
      <c r="BU193">
        <f t="shared" si="37"/>
        <v>540</v>
      </c>
      <c r="BV193">
        <f t="shared" si="38"/>
        <v>718</v>
      </c>
      <c r="BW193">
        <f t="shared" si="39"/>
        <v>1002</v>
      </c>
      <c r="BX193">
        <f t="shared" si="40"/>
        <v>16</v>
      </c>
      <c r="BY193" s="2">
        <f t="shared" si="41"/>
        <v>549</v>
      </c>
      <c r="BZ193">
        <f t="shared" si="42"/>
        <v>150.26695202519088</v>
      </c>
      <c r="CA193">
        <v>150.26695202519088</v>
      </c>
      <c r="CB193">
        <v>150.26695202519088</v>
      </c>
      <c r="CC193">
        <v>150.26695202519088</v>
      </c>
      <c r="CD193">
        <v>150.26695202519088</v>
      </c>
      <c r="CE193">
        <v>150.26695202519088</v>
      </c>
      <c r="CF193">
        <v>150.26695202519088</v>
      </c>
      <c r="CG193">
        <v>150.26695202519088</v>
      </c>
      <c r="CH193">
        <f t="shared" si="43"/>
        <v>1.0921822322726391</v>
      </c>
      <c r="CI193">
        <f t="shared" si="44"/>
        <v>-2.176863477384984</v>
      </c>
      <c r="CJ193">
        <f t="shared" si="45"/>
        <v>-0.56407962066524842</v>
      </c>
      <c r="CK193">
        <f t="shared" si="46"/>
        <v>0.55553028243798463</v>
      </c>
      <c r="CL193">
        <f t="shared" si="47"/>
        <v>0.67926096685731652</v>
      </c>
      <c r="CM193">
        <f t="shared" si="48"/>
        <v>0.82400424414624307</v>
      </c>
      <c r="CN193">
        <f t="shared" si="49"/>
        <v>-0.97274349472905908</v>
      </c>
      <c r="CO193" s="2">
        <f t="shared" si="50"/>
        <v>0.56270886706510803</v>
      </c>
      <c r="CP193">
        <v>0.63515473147168999</v>
      </c>
      <c r="CQ193">
        <v>-2.2527165794045199</v>
      </c>
      <c r="CR193">
        <v>-2.50938142785627E-2</v>
      </c>
      <c r="CS193">
        <v>-8.5331400682588706E-3</v>
      </c>
      <c r="CT193">
        <v>3.4049982530646502E-3</v>
      </c>
      <c r="CU193">
        <v>-4.7638953116403503E-2</v>
      </c>
      <c r="CV193">
        <v>6.7406971707669003E-2</v>
      </c>
      <c r="CW193">
        <v>6.1194608646340097E-2</v>
      </c>
      <c r="CX193" t="s">
        <v>1826</v>
      </c>
    </row>
    <row r="194" spans="1:102" x14ac:dyDescent="0.35">
      <c r="A194" t="s">
        <v>1360</v>
      </c>
      <c r="B194" t="s">
        <v>89</v>
      </c>
      <c r="C194" t="s">
        <v>188</v>
      </c>
      <c r="D194" t="s">
        <v>72</v>
      </c>
      <c r="E194" t="s">
        <v>72</v>
      </c>
      <c r="F194" t="s">
        <v>72</v>
      </c>
      <c r="G194" t="s">
        <v>73</v>
      </c>
      <c r="H194" t="s">
        <v>109</v>
      </c>
      <c r="I194" t="s">
        <v>110</v>
      </c>
      <c r="J194" t="s">
        <v>111</v>
      </c>
      <c r="K194" t="s">
        <v>112</v>
      </c>
      <c r="L194" t="s">
        <v>113</v>
      </c>
      <c r="M194" t="s">
        <v>114</v>
      </c>
      <c r="N194">
        <v>48</v>
      </c>
      <c r="O194" t="s">
        <v>80</v>
      </c>
      <c r="P194">
        <v>621</v>
      </c>
      <c r="Q194">
        <v>0.68400000000000005</v>
      </c>
      <c r="R194">
        <v>175</v>
      </c>
      <c r="S194">
        <v>0.81130000000000002</v>
      </c>
      <c r="T194" t="s">
        <v>115</v>
      </c>
      <c r="U194" t="s">
        <v>116</v>
      </c>
      <c r="V194" t="s">
        <v>117</v>
      </c>
      <c r="W194" t="s">
        <v>118</v>
      </c>
      <c r="X194" t="s">
        <v>119</v>
      </c>
      <c r="Y194" t="s">
        <v>120</v>
      </c>
      <c r="Z194" t="s">
        <v>121</v>
      </c>
      <c r="AA194" t="s">
        <v>88</v>
      </c>
      <c r="AB194">
        <v>315</v>
      </c>
      <c r="AC194">
        <v>5</v>
      </c>
      <c r="AE194">
        <v>1</v>
      </c>
      <c r="AF194" t="s">
        <v>153</v>
      </c>
      <c r="AG194" t="s">
        <v>429</v>
      </c>
      <c r="AH194" t="s">
        <v>72</v>
      </c>
      <c r="AI194" t="s">
        <v>72</v>
      </c>
      <c r="AJ194" t="s">
        <v>91</v>
      </c>
      <c r="AK194" t="s">
        <v>92</v>
      </c>
      <c r="AL194" t="s">
        <v>93</v>
      </c>
      <c r="AM194" t="s">
        <v>94</v>
      </c>
      <c r="AN194" t="s">
        <v>144</v>
      </c>
      <c r="AO194" t="s">
        <v>145</v>
      </c>
      <c r="AP194" t="s">
        <v>97</v>
      </c>
      <c r="AQ194">
        <v>39</v>
      </c>
      <c r="AR194" t="s">
        <v>80</v>
      </c>
      <c r="AS194">
        <v>1359</v>
      </c>
      <c r="AT194">
        <v>0.96879999999999999</v>
      </c>
      <c r="AU194">
        <v>172</v>
      </c>
      <c r="AV194">
        <v>0.94740000000000002</v>
      </c>
      <c r="AW194" t="s">
        <v>98</v>
      </c>
      <c r="AX194" t="s">
        <v>146</v>
      </c>
      <c r="AY194" t="s">
        <v>127</v>
      </c>
      <c r="AZ194" t="s">
        <v>101</v>
      </c>
      <c r="BA194" t="s">
        <v>128</v>
      </c>
      <c r="BB194" t="s">
        <v>103</v>
      </c>
      <c r="BC194" t="s">
        <v>104</v>
      </c>
      <c r="BD194" t="s">
        <v>105</v>
      </c>
      <c r="BE194">
        <v>3709</v>
      </c>
      <c r="BF194" t="s">
        <v>106</v>
      </c>
      <c r="BG194">
        <v>52</v>
      </c>
      <c r="BH194" t="s">
        <v>80</v>
      </c>
      <c r="BI194">
        <v>1</v>
      </c>
      <c r="BJ194">
        <v>600</v>
      </c>
      <c r="BK194">
        <v>0</v>
      </c>
      <c r="BL194">
        <v>21</v>
      </c>
      <c r="BM194">
        <v>346</v>
      </c>
      <c r="BN194">
        <v>475</v>
      </c>
      <c r="BO194">
        <v>598</v>
      </c>
      <c r="BP194">
        <v>20</v>
      </c>
      <c r="BQ194" s="2">
        <v>363</v>
      </c>
      <c r="BR194">
        <f t="shared" ref="BR194:BR257" si="51">BJ194+1</f>
        <v>601</v>
      </c>
      <c r="BS194">
        <f t="shared" ref="BS194:BS257" si="52">BK194+1</f>
        <v>1</v>
      </c>
      <c r="BT194">
        <f t="shared" ref="BT194:BT257" si="53">BL194+1</f>
        <v>22</v>
      </c>
      <c r="BU194">
        <f t="shared" ref="BU194:BU257" si="54">BM194+1</f>
        <v>347</v>
      </c>
      <c r="BV194">
        <f t="shared" ref="BV194:BV257" si="55">BN194+1</f>
        <v>476</v>
      </c>
      <c r="BW194">
        <f t="shared" ref="BW194:BW257" si="56">BO194+1</f>
        <v>599</v>
      </c>
      <c r="BX194">
        <f t="shared" ref="BX194:BX257" si="57">BP194+1</f>
        <v>21</v>
      </c>
      <c r="BY194" s="2">
        <f t="shared" ref="BY194:BY257" si="58">BQ194+1</f>
        <v>364</v>
      </c>
      <c r="BZ194">
        <f t="shared" ref="BZ194:BZ257" si="59">GEOMEAN(BR194:BY194)</f>
        <v>99.999455472016109</v>
      </c>
      <c r="CA194">
        <v>99.999455472016109</v>
      </c>
      <c r="CB194">
        <v>99.999455472016109</v>
      </c>
      <c r="CC194">
        <v>99.999455472016109</v>
      </c>
      <c r="CD194">
        <v>99.999455472016109</v>
      </c>
      <c r="CE194">
        <v>99.999455472016109</v>
      </c>
      <c r="CF194">
        <v>99.999455472016109</v>
      </c>
      <c r="CG194">
        <v>99.999455472016109</v>
      </c>
      <c r="CH194">
        <f t="shared" ref="CH194:CH257" si="60">LOG(BR194/BZ194)</f>
        <v>0.77887683686416465</v>
      </c>
      <c r="CI194">
        <f t="shared" ref="CI194:CI257" si="61">LOG(BS194/CA194)</f>
        <v>-1.9999976351385749</v>
      </c>
      <c r="CJ194">
        <f t="shared" ref="CJ194:CJ257" si="62">LOG(BT194/CB194)</f>
        <v>-0.65757495431636859</v>
      </c>
      <c r="CK194">
        <f t="shared" ref="CK194:CK257" si="63">LOG(BU194/CC194)</f>
        <v>0.54033183965229881</v>
      </c>
      <c r="CL194">
        <f t="shared" ref="CL194:CL257" si="64">LOG(BV194/CD194)</f>
        <v>0.67760931758191822</v>
      </c>
      <c r="CM194">
        <f t="shared" ref="CM194:CM257" si="65">LOG(BW194/CE194)</f>
        <v>0.77742918725073651</v>
      </c>
      <c r="CN194">
        <f t="shared" ref="CN194:CN257" si="66">LOG(BX194/CF194)</f>
        <v>-0.67777834040465557</v>
      </c>
      <c r="CO194" s="2">
        <f t="shared" ref="CO194:CO257" si="67">LOG(BY194/CG194)</f>
        <v>0.56110374851048117</v>
      </c>
      <c r="CP194">
        <v>0.25873949479573899</v>
      </c>
      <c r="CQ194">
        <v>-2.2527165794045199</v>
      </c>
      <c r="CR194">
        <v>-0.44281950992122998</v>
      </c>
      <c r="CS194">
        <v>-5.3314590353079103E-2</v>
      </c>
      <c r="CT194">
        <v>-1.19255764935397E-3</v>
      </c>
      <c r="CU194">
        <v>-0.18213812167746801</v>
      </c>
      <c r="CV194">
        <v>0.85849578526324799</v>
      </c>
      <c r="CW194">
        <v>5.6785904338473601E-2</v>
      </c>
      <c r="CX194" t="s">
        <v>1826</v>
      </c>
    </row>
    <row r="195" spans="1:102" x14ac:dyDescent="0.35">
      <c r="A195" t="s">
        <v>1719</v>
      </c>
      <c r="B195" t="s">
        <v>89</v>
      </c>
      <c r="C195" t="s">
        <v>149</v>
      </c>
      <c r="D195" t="s">
        <v>72</v>
      </c>
      <c r="E195" t="s">
        <v>72</v>
      </c>
      <c r="F195" t="s">
        <v>72</v>
      </c>
      <c r="G195" t="s">
        <v>73</v>
      </c>
      <c r="H195" t="s">
        <v>74</v>
      </c>
      <c r="I195" t="s">
        <v>75</v>
      </c>
      <c r="J195" t="s">
        <v>76</v>
      </c>
      <c r="K195" t="s">
        <v>77</v>
      </c>
      <c r="L195" t="s">
        <v>78</v>
      </c>
      <c r="M195" t="s">
        <v>79</v>
      </c>
      <c r="N195">
        <v>60</v>
      </c>
      <c r="O195" t="s">
        <v>80</v>
      </c>
      <c r="P195">
        <v>792</v>
      </c>
      <c r="Q195">
        <v>0.75</v>
      </c>
      <c r="R195">
        <v>177</v>
      </c>
      <c r="S195">
        <v>0.85419999999999996</v>
      </c>
      <c r="T195" t="s">
        <v>81</v>
      </c>
      <c r="U195" t="s">
        <v>82</v>
      </c>
      <c r="V195" t="s">
        <v>83</v>
      </c>
      <c r="W195" t="s">
        <v>84</v>
      </c>
      <c r="X195" t="s">
        <v>85</v>
      </c>
      <c r="Y195" t="s">
        <v>86</v>
      </c>
      <c r="Z195" t="s">
        <v>87</v>
      </c>
      <c r="AA195" t="s">
        <v>88</v>
      </c>
      <c r="AB195">
        <v>1143</v>
      </c>
      <c r="AC195">
        <v>7</v>
      </c>
      <c r="AE195">
        <v>22</v>
      </c>
      <c r="AF195" t="s">
        <v>153</v>
      </c>
      <c r="AG195" t="s">
        <v>1720</v>
      </c>
      <c r="AH195" t="s">
        <v>72</v>
      </c>
      <c r="AI195" t="s">
        <v>72</v>
      </c>
      <c r="AJ195" t="s">
        <v>91</v>
      </c>
      <c r="AK195" t="s">
        <v>92</v>
      </c>
      <c r="AL195" t="s">
        <v>93</v>
      </c>
      <c r="AM195" t="s">
        <v>94</v>
      </c>
      <c r="AN195" t="s">
        <v>1721</v>
      </c>
      <c r="AO195" t="s">
        <v>1722</v>
      </c>
      <c r="AP195" t="s">
        <v>1723</v>
      </c>
      <c r="AQ195">
        <v>39</v>
      </c>
      <c r="AR195" t="s">
        <v>80</v>
      </c>
      <c r="AS195">
        <v>1350</v>
      </c>
      <c r="AT195">
        <v>0.96530000000000005</v>
      </c>
      <c r="AU195">
        <v>172</v>
      </c>
      <c r="AV195">
        <v>0.94740000000000002</v>
      </c>
      <c r="AW195" t="s">
        <v>98</v>
      </c>
      <c r="AX195" t="s">
        <v>146</v>
      </c>
      <c r="AY195" t="s">
        <v>1150</v>
      </c>
      <c r="AZ195" t="s">
        <v>101</v>
      </c>
      <c r="BA195" t="s">
        <v>128</v>
      </c>
      <c r="BB195" t="s">
        <v>103</v>
      </c>
      <c r="BC195" t="s">
        <v>1724</v>
      </c>
      <c r="BD195" t="s">
        <v>105</v>
      </c>
      <c r="BE195">
        <v>3792</v>
      </c>
      <c r="BF195" t="s">
        <v>1725</v>
      </c>
      <c r="BG195">
        <v>50</v>
      </c>
      <c r="BH195" t="s">
        <v>80</v>
      </c>
      <c r="BI195">
        <v>1</v>
      </c>
      <c r="BJ195">
        <v>445</v>
      </c>
      <c r="BK195">
        <v>0</v>
      </c>
      <c r="BL195">
        <v>9</v>
      </c>
      <c r="BM195">
        <v>216</v>
      </c>
      <c r="BN195">
        <v>322</v>
      </c>
      <c r="BO195">
        <v>482</v>
      </c>
      <c r="BP195">
        <v>4</v>
      </c>
      <c r="BQ195" s="2">
        <v>213</v>
      </c>
      <c r="BR195">
        <f t="shared" si="51"/>
        <v>446</v>
      </c>
      <c r="BS195">
        <f t="shared" si="52"/>
        <v>1</v>
      </c>
      <c r="BT195">
        <f t="shared" si="53"/>
        <v>10</v>
      </c>
      <c r="BU195">
        <f t="shared" si="54"/>
        <v>217</v>
      </c>
      <c r="BV195">
        <f t="shared" si="55"/>
        <v>323</v>
      </c>
      <c r="BW195">
        <f t="shared" si="56"/>
        <v>483</v>
      </c>
      <c r="BX195">
        <f t="shared" si="57"/>
        <v>5</v>
      </c>
      <c r="BY195" s="2">
        <f t="shared" si="58"/>
        <v>214</v>
      </c>
      <c r="BZ195">
        <f t="shared" si="59"/>
        <v>59.709165696020285</v>
      </c>
      <c r="CA195">
        <v>59.709165696020285</v>
      </c>
      <c r="CB195">
        <v>59.709165696020285</v>
      </c>
      <c r="CC195">
        <v>59.709165696020285</v>
      </c>
      <c r="CD195">
        <v>59.709165696020285</v>
      </c>
      <c r="CE195">
        <v>59.709165696020285</v>
      </c>
      <c r="CF195">
        <v>59.709165696020285</v>
      </c>
      <c r="CG195">
        <v>59.709165696020285</v>
      </c>
      <c r="CH195">
        <f t="shared" si="60"/>
        <v>0.87329385579607988</v>
      </c>
      <c r="CI195">
        <f t="shared" si="61"/>
        <v>-1.776041002916062</v>
      </c>
      <c r="CJ195">
        <f t="shared" si="62"/>
        <v>-0.77604100291606204</v>
      </c>
      <c r="CK195">
        <f t="shared" si="63"/>
        <v>0.56041873093246752</v>
      </c>
      <c r="CL195">
        <f t="shared" si="64"/>
        <v>0.73316151941504093</v>
      </c>
      <c r="CM195">
        <f t="shared" si="65"/>
        <v>0.90790612783545022</v>
      </c>
      <c r="CN195">
        <f t="shared" si="66"/>
        <v>-1.0770709985800433</v>
      </c>
      <c r="CO195" s="2">
        <f t="shared" si="67"/>
        <v>0.55437277043312883</v>
      </c>
      <c r="CP195">
        <v>0.37217515549082297</v>
      </c>
      <c r="CQ195">
        <v>-2.2527165794045199</v>
      </c>
      <c r="CR195">
        <v>-0.97211130052549899</v>
      </c>
      <c r="CS195">
        <v>5.8704285283716099E-3</v>
      </c>
      <c r="CT195">
        <v>0.15344339154066799</v>
      </c>
      <c r="CU195">
        <v>0.19465240086354599</v>
      </c>
      <c r="CV195">
        <v>-0.21239665944233799</v>
      </c>
      <c r="CW195">
        <v>3.8298240632738997E-2</v>
      </c>
      <c r="CX195" t="s">
        <v>1826</v>
      </c>
    </row>
    <row r="196" spans="1:102" x14ac:dyDescent="0.35">
      <c r="A196" t="s">
        <v>1691</v>
      </c>
      <c r="B196" t="s">
        <v>89</v>
      </c>
      <c r="C196" t="s">
        <v>108</v>
      </c>
      <c r="D196" t="s">
        <v>72</v>
      </c>
      <c r="E196" t="s">
        <v>72</v>
      </c>
      <c r="F196" t="s">
        <v>72</v>
      </c>
      <c r="G196" t="s">
        <v>73</v>
      </c>
      <c r="H196" t="s">
        <v>109</v>
      </c>
      <c r="I196" t="s">
        <v>110</v>
      </c>
      <c r="J196" t="s">
        <v>111</v>
      </c>
      <c r="K196" t="s">
        <v>112</v>
      </c>
      <c r="L196" t="s">
        <v>113</v>
      </c>
      <c r="M196" t="s">
        <v>114</v>
      </c>
      <c r="N196">
        <v>48</v>
      </c>
      <c r="O196" t="s">
        <v>80</v>
      </c>
      <c r="P196">
        <v>621</v>
      </c>
      <c r="Q196">
        <v>0.68400000000000005</v>
      </c>
      <c r="R196">
        <v>175</v>
      </c>
      <c r="S196">
        <v>0.81130000000000002</v>
      </c>
      <c r="T196" t="s">
        <v>115</v>
      </c>
      <c r="U196" t="s">
        <v>116</v>
      </c>
      <c r="V196" t="s">
        <v>117</v>
      </c>
      <c r="W196" t="s">
        <v>118</v>
      </c>
      <c r="X196" t="s">
        <v>119</v>
      </c>
      <c r="Y196" t="s">
        <v>120</v>
      </c>
      <c r="Z196" t="s">
        <v>121</v>
      </c>
      <c r="AA196" t="s">
        <v>88</v>
      </c>
      <c r="AB196">
        <v>354</v>
      </c>
      <c r="AC196">
        <v>2</v>
      </c>
      <c r="AE196">
        <v>1</v>
      </c>
      <c r="AF196" t="s">
        <v>178</v>
      </c>
      <c r="AG196" t="s">
        <v>346</v>
      </c>
      <c r="AH196" t="s">
        <v>72</v>
      </c>
      <c r="AI196" t="s">
        <v>72</v>
      </c>
      <c r="AJ196" t="s">
        <v>91</v>
      </c>
      <c r="AK196" t="s">
        <v>92</v>
      </c>
      <c r="AL196" t="s">
        <v>93</v>
      </c>
      <c r="AM196" t="s">
        <v>94</v>
      </c>
      <c r="AN196" t="s">
        <v>144</v>
      </c>
      <c r="AO196" t="s">
        <v>145</v>
      </c>
      <c r="AP196" t="s">
        <v>97</v>
      </c>
      <c r="AQ196">
        <v>39</v>
      </c>
      <c r="AR196" t="s">
        <v>80</v>
      </c>
      <c r="AS196">
        <v>1359</v>
      </c>
      <c r="AT196">
        <v>0.96879999999999999</v>
      </c>
      <c r="AU196">
        <v>172</v>
      </c>
      <c r="AV196">
        <v>0.94740000000000002</v>
      </c>
      <c r="AW196" t="s">
        <v>98</v>
      </c>
      <c r="AX196" t="s">
        <v>146</v>
      </c>
      <c r="AY196" t="s">
        <v>127</v>
      </c>
      <c r="AZ196" t="s">
        <v>101</v>
      </c>
      <c r="BA196" t="s">
        <v>128</v>
      </c>
      <c r="BB196" t="s">
        <v>103</v>
      </c>
      <c r="BC196" t="s">
        <v>104</v>
      </c>
      <c r="BD196" t="s">
        <v>105</v>
      </c>
      <c r="BE196">
        <v>3594</v>
      </c>
      <c r="BF196" t="s">
        <v>106</v>
      </c>
      <c r="BG196">
        <v>52</v>
      </c>
      <c r="BH196" t="s">
        <v>80</v>
      </c>
      <c r="BI196">
        <v>1</v>
      </c>
      <c r="BJ196">
        <v>722</v>
      </c>
      <c r="BK196">
        <v>0</v>
      </c>
      <c r="BL196">
        <v>21</v>
      </c>
      <c r="BM196">
        <v>256</v>
      </c>
      <c r="BN196">
        <v>349</v>
      </c>
      <c r="BO196">
        <v>625</v>
      </c>
      <c r="BP196">
        <v>9</v>
      </c>
      <c r="BQ196" s="2">
        <v>303</v>
      </c>
      <c r="BR196">
        <f t="shared" si="51"/>
        <v>723</v>
      </c>
      <c r="BS196">
        <f t="shared" si="52"/>
        <v>1</v>
      </c>
      <c r="BT196">
        <f t="shared" si="53"/>
        <v>22</v>
      </c>
      <c r="BU196">
        <f t="shared" si="54"/>
        <v>257</v>
      </c>
      <c r="BV196">
        <f t="shared" si="55"/>
        <v>350</v>
      </c>
      <c r="BW196">
        <f t="shared" si="56"/>
        <v>626</v>
      </c>
      <c r="BX196">
        <f t="shared" si="57"/>
        <v>10</v>
      </c>
      <c r="BY196" s="2">
        <f t="shared" si="58"/>
        <v>304</v>
      </c>
      <c r="BZ196">
        <f t="shared" si="59"/>
        <v>84.991649462743936</v>
      </c>
      <c r="CA196">
        <v>84.991649462743936</v>
      </c>
      <c r="CB196">
        <v>84.991649462743936</v>
      </c>
      <c r="CC196">
        <v>84.991649462743936</v>
      </c>
      <c r="CD196">
        <v>84.991649462743936</v>
      </c>
      <c r="CE196">
        <v>84.991649462743936</v>
      </c>
      <c r="CF196">
        <v>84.991649462743936</v>
      </c>
      <c r="CG196">
        <v>84.991649462743936</v>
      </c>
      <c r="CH196">
        <f t="shared" si="60"/>
        <v>0.92976203946734448</v>
      </c>
      <c r="CI196">
        <f t="shared" si="61"/>
        <v>-1.9293762578271862</v>
      </c>
      <c r="CJ196">
        <f t="shared" si="62"/>
        <v>-0.58695357700498008</v>
      </c>
      <c r="CK196">
        <f t="shared" si="63"/>
        <v>0.4805568655041082</v>
      </c>
      <c r="CL196">
        <f t="shared" si="64"/>
        <v>0.61469178652308931</v>
      </c>
      <c r="CM196">
        <f t="shared" si="65"/>
        <v>0.86719807538324334</v>
      </c>
      <c r="CN196">
        <f t="shared" si="66"/>
        <v>-0.92937625782718636</v>
      </c>
      <c r="CO196" s="2">
        <f t="shared" si="67"/>
        <v>0.55349732578156741</v>
      </c>
      <c r="CP196">
        <v>0.44001785795551601</v>
      </c>
      <c r="CQ196">
        <v>-2.2527165794045199</v>
      </c>
      <c r="CR196">
        <v>-0.12729184867212201</v>
      </c>
      <c r="CS196">
        <v>-0.229438557185699</v>
      </c>
      <c r="CT196">
        <v>-0.17633074866473999</v>
      </c>
      <c r="CU196">
        <v>7.7095932369135006E-2</v>
      </c>
      <c r="CV196">
        <v>0.18371676452528099</v>
      </c>
      <c r="CW196">
        <v>3.58936976190707E-2</v>
      </c>
      <c r="CX196" t="s">
        <v>1826</v>
      </c>
    </row>
    <row r="197" spans="1:102" x14ac:dyDescent="0.35">
      <c r="A197" t="s">
        <v>918</v>
      </c>
      <c r="B197" t="s">
        <v>211</v>
      </c>
      <c r="C197" t="s">
        <v>108</v>
      </c>
      <c r="D197" t="s">
        <v>72</v>
      </c>
      <c r="E197" t="s">
        <v>72</v>
      </c>
      <c r="F197" t="s">
        <v>72</v>
      </c>
      <c r="G197" t="s">
        <v>73</v>
      </c>
      <c r="H197" t="s">
        <v>109</v>
      </c>
      <c r="I197" t="s">
        <v>110</v>
      </c>
      <c r="J197" t="s">
        <v>111</v>
      </c>
      <c r="K197" t="s">
        <v>112</v>
      </c>
      <c r="L197" t="s">
        <v>113</v>
      </c>
      <c r="M197" t="s">
        <v>114</v>
      </c>
      <c r="N197">
        <v>48</v>
      </c>
      <c r="O197" t="s">
        <v>80</v>
      </c>
      <c r="P197">
        <v>621</v>
      </c>
      <c r="Q197">
        <v>0.68400000000000005</v>
      </c>
      <c r="R197">
        <v>175</v>
      </c>
      <c r="S197">
        <v>0.81130000000000002</v>
      </c>
      <c r="T197" t="s">
        <v>115</v>
      </c>
      <c r="U197" t="s">
        <v>116</v>
      </c>
      <c r="V197" t="s">
        <v>117</v>
      </c>
      <c r="W197" t="s">
        <v>118</v>
      </c>
      <c r="X197" t="s">
        <v>119</v>
      </c>
      <c r="Y197" t="s">
        <v>120</v>
      </c>
      <c r="Z197" t="s">
        <v>121</v>
      </c>
      <c r="AA197" t="s">
        <v>88</v>
      </c>
      <c r="AB197">
        <v>306</v>
      </c>
      <c r="AC197">
        <v>6</v>
      </c>
      <c r="AE197">
        <v>1</v>
      </c>
      <c r="AF197" t="s">
        <v>89</v>
      </c>
      <c r="AG197" t="s">
        <v>919</v>
      </c>
      <c r="AH197" t="s">
        <v>72</v>
      </c>
      <c r="AI197" t="s">
        <v>72</v>
      </c>
      <c r="AJ197" t="s">
        <v>91</v>
      </c>
      <c r="AK197" t="s">
        <v>92</v>
      </c>
      <c r="AL197" t="s">
        <v>93</v>
      </c>
      <c r="AM197" t="s">
        <v>94</v>
      </c>
      <c r="AN197" t="s">
        <v>920</v>
      </c>
      <c r="AO197" t="s">
        <v>921</v>
      </c>
      <c r="AP197" t="s">
        <v>97</v>
      </c>
      <c r="AQ197">
        <v>39</v>
      </c>
      <c r="AR197" t="s">
        <v>80</v>
      </c>
      <c r="AS197">
        <v>1350</v>
      </c>
      <c r="AT197">
        <v>0.96530000000000005</v>
      </c>
      <c r="AU197">
        <v>172</v>
      </c>
      <c r="AV197">
        <v>0.94740000000000002</v>
      </c>
      <c r="AW197" t="s">
        <v>98</v>
      </c>
      <c r="AX197" t="s">
        <v>146</v>
      </c>
      <c r="AY197" t="s">
        <v>922</v>
      </c>
      <c r="AZ197" t="s">
        <v>101</v>
      </c>
      <c r="BA197" t="s">
        <v>128</v>
      </c>
      <c r="BB197" t="s">
        <v>103</v>
      </c>
      <c r="BC197" t="s">
        <v>104</v>
      </c>
      <c r="BD197" t="s">
        <v>105</v>
      </c>
      <c r="BE197">
        <v>66505</v>
      </c>
      <c r="BF197" t="s">
        <v>106</v>
      </c>
      <c r="BG197">
        <v>824</v>
      </c>
      <c r="BH197" t="s">
        <v>80</v>
      </c>
      <c r="BI197">
        <v>1</v>
      </c>
      <c r="BJ197">
        <v>54</v>
      </c>
      <c r="BK197">
        <v>8</v>
      </c>
      <c r="BL197">
        <v>19</v>
      </c>
      <c r="BM197">
        <v>309</v>
      </c>
      <c r="BN197">
        <v>486</v>
      </c>
      <c r="BO197">
        <v>793</v>
      </c>
      <c r="BP197">
        <v>13</v>
      </c>
      <c r="BQ197" s="2">
        <v>325</v>
      </c>
      <c r="BR197">
        <f t="shared" si="51"/>
        <v>55</v>
      </c>
      <c r="BS197">
        <f t="shared" si="52"/>
        <v>9</v>
      </c>
      <c r="BT197">
        <f t="shared" si="53"/>
        <v>20</v>
      </c>
      <c r="BU197">
        <f t="shared" si="54"/>
        <v>310</v>
      </c>
      <c r="BV197">
        <f t="shared" si="55"/>
        <v>487</v>
      </c>
      <c r="BW197">
        <f t="shared" si="56"/>
        <v>794</v>
      </c>
      <c r="BX197">
        <f t="shared" si="57"/>
        <v>14</v>
      </c>
      <c r="BY197" s="2">
        <f t="shared" si="58"/>
        <v>326</v>
      </c>
      <c r="BZ197">
        <f t="shared" si="59"/>
        <v>92.62143354284828</v>
      </c>
      <c r="CA197">
        <v>92.62143354284828</v>
      </c>
      <c r="CB197">
        <v>92.62143354284828</v>
      </c>
      <c r="CC197">
        <v>92.62143354284828</v>
      </c>
      <c r="CD197">
        <v>92.62143354284828</v>
      </c>
      <c r="CE197">
        <v>92.62143354284828</v>
      </c>
      <c r="CF197">
        <v>92.62143354284828</v>
      </c>
      <c r="CG197">
        <v>92.62143354284828</v>
      </c>
      <c r="CH197">
        <f t="shared" si="60"/>
        <v>-0.2263488089832224</v>
      </c>
      <c r="CI197">
        <f t="shared" si="61"/>
        <v>-1.0124689890381413</v>
      </c>
      <c r="CJ197">
        <f t="shared" si="62"/>
        <v>-0.66568150281348504</v>
      </c>
      <c r="CK197">
        <f t="shared" si="63"/>
        <v>0.52465019535680646</v>
      </c>
      <c r="CL197">
        <f t="shared" si="64"/>
        <v>0.72081746273716807</v>
      </c>
      <c r="CM197">
        <f t="shared" si="65"/>
        <v>0.93310900394963003</v>
      </c>
      <c r="CN197">
        <f t="shared" si="66"/>
        <v>-0.82058346279922822</v>
      </c>
      <c r="CO197" s="2">
        <f t="shared" si="67"/>
        <v>0.54650610159047275</v>
      </c>
      <c r="CP197">
        <v>-0.94897111261675204</v>
      </c>
      <c r="CQ197">
        <v>1.80827702665432</v>
      </c>
      <c r="CR197">
        <v>-0.47903857538662598</v>
      </c>
      <c r="CS197">
        <v>-9.95197696800173E-2</v>
      </c>
      <c r="CT197">
        <v>0.119082288681552</v>
      </c>
      <c r="CU197">
        <v>0.26743311458998997</v>
      </c>
      <c r="CV197">
        <v>0.475496189587159</v>
      </c>
      <c r="CW197">
        <v>1.6691228044664198E-2</v>
      </c>
      <c r="CX197" t="s">
        <v>1826</v>
      </c>
    </row>
    <row r="198" spans="1:102" x14ac:dyDescent="0.35">
      <c r="A198" t="s">
        <v>847</v>
      </c>
      <c r="B198" t="s">
        <v>686</v>
      </c>
      <c r="C198" t="s">
        <v>779</v>
      </c>
      <c r="D198" t="s">
        <v>72</v>
      </c>
      <c r="E198" t="s">
        <v>72</v>
      </c>
      <c r="F198" t="s">
        <v>72</v>
      </c>
      <c r="G198" t="s">
        <v>73</v>
      </c>
      <c r="H198" t="s">
        <v>109</v>
      </c>
      <c r="I198" t="s">
        <v>110</v>
      </c>
      <c r="J198" t="s">
        <v>111</v>
      </c>
      <c r="K198" t="s">
        <v>112</v>
      </c>
      <c r="L198" t="s">
        <v>113</v>
      </c>
      <c r="M198" t="s">
        <v>114</v>
      </c>
      <c r="N198">
        <v>48</v>
      </c>
      <c r="O198" t="s">
        <v>80</v>
      </c>
      <c r="P198">
        <v>621</v>
      </c>
      <c r="Q198">
        <v>0.68400000000000005</v>
      </c>
      <c r="R198">
        <v>175</v>
      </c>
      <c r="S198">
        <v>0.81130000000000002</v>
      </c>
      <c r="T198" t="s">
        <v>115</v>
      </c>
      <c r="U198" t="s">
        <v>116</v>
      </c>
      <c r="V198" t="s">
        <v>117</v>
      </c>
      <c r="W198" t="s">
        <v>118</v>
      </c>
      <c r="X198" t="s">
        <v>119</v>
      </c>
      <c r="Y198" t="s">
        <v>120</v>
      </c>
      <c r="Z198" t="s">
        <v>121</v>
      </c>
      <c r="AA198" t="s">
        <v>88</v>
      </c>
      <c r="AB198">
        <v>398</v>
      </c>
      <c r="AC198">
        <v>7</v>
      </c>
      <c r="AE198">
        <v>1</v>
      </c>
      <c r="AF198" t="s">
        <v>89</v>
      </c>
      <c r="AG198" t="s">
        <v>346</v>
      </c>
      <c r="AH198" t="s">
        <v>72</v>
      </c>
      <c r="AI198" t="s">
        <v>72</v>
      </c>
      <c r="AJ198" t="s">
        <v>91</v>
      </c>
      <c r="AK198" t="s">
        <v>92</v>
      </c>
      <c r="AL198" t="s">
        <v>93</v>
      </c>
      <c r="AM198" t="s">
        <v>94</v>
      </c>
      <c r="AN198" t="s">
        <v>144</v>
      </c>
      <c r="AO198" t="s">
        <v>145</v>
      </c>
      <c r="AP198" t="s">
        <v>97</v>
      </c>
      <c r="AQ198">
        <v>39</v>
      </c>
      <c r="AR198" t="s">
        <v>80</v>
      </c>
      <c r="AS198">
        <v>1359</v>
      </c>
      <c r="AT198">
        <v>0.96879999999999999</v>
      </c>
      <c r="AU198">
        <v>172</v>
      </c>
      <c r="AV198">
        <v>0.94740000000000002</v>
      </c>
      <c r="AW198" t="s">
        <v>98</v>
      </c>
      <c r="AX198" t="s">
        <v>146</v>
      </c>
      <c r="AY198" t="s">
        <v>127</v>
      </c>
      <c r="AZ198" t="s">
        <v>101</v>
      </c>
      <c r="BA198" t="s">
        <v>128</v>
      </c>
      <c r="BB198" t="s">
        <v>103</v>
      </c>
      <c r="BC198" t="s">
        <v>104</v>
      </c>
      <c r="BD198" t="s">
        <v>105</v>
      </c>
      <c r="BE198">
        <v>12187</v>
      </c>
      <c r="BF198" t="s">
        <v>106</v>
      </c>
      <c r="BG198">
        <v>194</v>
      </c>
      <c r="BH198" t="s">
        <v>80</v>
      </c>
      <c r="BI198">
        <v>1</v>
      </c>
      <c r="BJ198">
        <v>1063</v>
      </c>
      <c r="BK198">
        <v>8</v>
      </c>
      <c r="BL198">
        <v>44</v>
      </c>
      <c r="BM198">
        <v>1095</v>
      </c>
      <c r="BN198">
        <v>1449</v>
      </c>
      <c r="BO198">
        <v>2062</v>
      </c>
      <c r="BP198">
        <v>28</v>
      </c>
      <c r="BQ198" s="2">
        <v>990</v>
      </c>
      <c r="BR198">
        <f t="shared" si="51"/>
        <v>1064</v>
      </c>
      <c r="BS198">
        <f t="shared" si="52"/>
        <v>9</v>
      </c>
      <c r="BT198">
        <f t="shared" si="53"/>
        <v>45</v>
      </c>
      <c r="BU198">
        <f t="shared" si="54"/>
        <v>1096</v>
      </c>
      <c r="BV198">
        <f t="shared" si="55"/>
        <v>1450</v>
      </c>
      <c r="BW198">
        <f t="shared" si="56"/>
        <v>2063</v>
      </c>
      <c r="BX198">
        <f t="shared" si="57"/>
        <v>29</v>
      </c>
      <c r="BY198" s="2">
        <f t="shared" si="58"/>
        <v>991</v>
      </c>
      <c r="BZ198">
        <f t="shared" si="59"/>
        <v>282.53240152263669</v>
      </c>
      <c r="CA198">
        <v>282.53240152263669</v>
      </c>
      <c r="CB198">
        <v>282.53240152263669</v>
      </c>
      <c r="CC198">
        <v>282.53240152263669</v>
      </c>
      <c r="CD198">
        <v>282.53240152263669</v>
      </c>
      <c r="CE198">
        <v>282.53240152263669</v>
      </c>
      <c r="CF198">
        <v>282.53240152263669</v>
      </c>
      <c r="CG198">
        <v>282.53240152263669</v>
      </c>
      <c r="CH198">
        <f t="shared" si="60"/>
        <v>0.57587336696972857</v>
      </c>
      <c r="CI198">
        <f t="shared" si="61"/>
        <v>-1.4968257515499759</v>
      </c>
      <c r="CJ198">
        <f t="shared" si="62"/>
        <v>-0.79785574721395713</v>
      </c>
      <c r="CK198">
        <f t="shared" si="63"/>
        <v>0.58874229315904958</v>
      </c>
      <c r="CL198">
        <f t="shared" si="64"/>
        <v>0.71029974124567419</v>
      </c>
      <c r="CM198">
        <f t="shared" si="65"/>
        <v>0.8634309669838508</v>
      </c>
      <c r="CN198">
        <f t="shared" si="66"/>
        <v>-0.98867026309034467</v>
      </c>
      <c r="CO198" s="2">
        <f t="shared" si="67"/>
        <v>0.54500539349597454</v>
      </c>
      <c r="CP198">
        <v>1.4844559418937199E-2</v>
      </c>
      <c r="CQ198">
        <v>0.37738810390435301</v>
      </c>
      <c r="CR198">
        <v>-1.0695769052915001</v>
      </c>
      <c r="CS198">
        <v>8.9324385728070194E-2</v>
      </c>
      <c r="CT198">
        <v>8.9805000068597499E-2</v>
      </c>
      <c r="CU198">
        <v>6.6217299440474595E-2</v>
      </c>
      <c r="CV198">
        <v>2.46917963658147E-2</v>
      </c>
      <c r="CW198">
        <v>1.25693030803103E-2</v>
      </c>
      <c r="CX198" t="s">
        <v>1826</v>
      </c>
    </row>
    <row r="199" spans="1:102" x14ac:dyDescent="0.35">
      <c r="A199" t="s">
        <v>443</v>
      </c>
      <c r="B199" t="s">
        <v>199</v>
      </c>
      <c r="C199" t="s">
        <v>444</v>
      </c>
      <c r="D199" t="s">
        <v>72</v>
      </c>
      <c r="E199" t="s">
        <v>72</v>
      </c>
      <c r="F199" t="s">
        <v>72</v>
      </c>
      <c r="G199" t="s">
        <v>73</v>
      </c>
      <c r="H199" t="s">
        <v>74</v>
      </c>
      <c r="I199" t="s">
        <v>75</v>
      </c>
      <c r="J199" t="s">
        <v>76</v>
      </c>
      <c r="K199" t="s">
        <v>77</v>
      </c>
      <c r="L199" t="s">
        <v>78</v>
      </c>
      <c r="M199" t="s">
        <v>79</v>
      </c>
      <c r="N199">
        <v>60</v>
      </c>
      <c r="O199" t="s">
        <v>80</v>
      </c>
      <c r="P199">
        <v>792</v>
      </c>
      <c r="Q199">
        <v>0.75</v>
      </c>
      <c r="R199">
        <v>177</v>
      </c>
      <c r="S199">
        <v>0.85419999999999996</v>
      </c>
      <c r="T199" t="s">
        <v>81</v>
      </c>
      <c r="U199" t="s">
        <v>82</v>
      </c>
      <c r="V199" t="s">
        <v>83</v>
      </c>
      <c r="W199" t="s">
        <v>84</v>
      </c>
      <c r="X199" t="s">
        <v>85</v>
      </c>
      <c r="Y199" t="s">
        <v>86</v>
      </c>
      <c r="Z199" t="s">
        <v>87</v>
      </c>
      <c r="AA199" t="s">
        <v>88</v>
      </c>
      <c r="AB199">
        <v>511</v>
      </c>
      <c r="AC199">
        <v>8</v>
      </c>
      <c r="AE199">
        <v>22</v>
      </c>
      <c r="AF199" t="s">
        <v>89</v>
      </c>
      <c r="AG199" t="s">
        <v>346</v>
      </c>
      <c r="AH199" t="s">
        <v>72</v>
      </c>
      <c r="AI199" t="s">
        <v>72</v>
      </c>
      <c r="AJ199" t="s">
        <v>91</v>
      </c>
      <c r="AK199" t="s">
        <v>92</v>
      </c>
      <c r="AL199" t="s">
        <v>93</v>
      </c>
      <c r="AM199" t="s">
        <v>94</v>
      </c>
      <c r="AN199" t="s">
        <v>144</v>
      </c>
      <c r="AO199" t="s">
        <v>145</v>
      </c>
      <c r="AP199" t="s">
        <v>97</v>
      </c>
      <c r="AQ199">
        <v>39</v>
      </c>
      <c r="AR199" t="s">
        <v>80</v>
      </c>
      <c r="AS199">
        <v>1359</v>
      </c>
      <c r="AT199">
        <v>0.96879999999999999</v>
      </c>
      <c r="AU199">
        <v>172</v>
      </c>
      <c r="AV199">
        <v>0.94740000000000002</v>
      </c>
      <c r="AW199" t="s">
        <v>98</v>
      </c>
      <c r="AX199" t="s">
        <v>146</v>
      </c>
      <c r="AY199" t="s">
        <v>127</v>
      </c>
      <c r="AZ199" t="s">
        <v>101</v>
      </c>
      <c r="BA199" t="s">
        <v>128</v>
      </c>
      <c r="BB199" t="s">
        <v>103</v>
      </c>
      <c r="BC199" t="s">
        <v>104</v>
      </c>
      <c r="BD199" t="s">
        <v>105</v>
      </c>
      <c r="BE199">
        <v>6927</v>
      </c>
      <c r="BF199" t="s">
        <v>106</v>
      </c>
      <c r="BG199">
        <v>79</v>
      </c>
      <c r="BH199" t="s">
        <v>80</v>
      </c>
      <c r="BI199">
        <v>1</v>
      </c>
      <c r="BJ199">
        <v>1115</v>
      </c>
      <c r="BK199">
        <v>0</v>
      </c>
      <c r="BL199">
        <v>22</v>
      </c>
      <c r="BM199">
        <v>342</v>
      </c>
      <c r="BN199">
        <v>421</v>
      </c>
      <c r="BO199">
        <v>656</v>
      </c>
      <c r="BP199">
        <v>10</v>
      </c>
      <c r="BQ199" s="2">
        <v>345</v>
      </c>
      <c r="BR199">
        <f t="shared" si="51"/>
        <v>1116</v>
      </c>
      <c r="BS199">
        <f t="shared" si="52"/>
        <v>1</v>
      </c>
      <c r="BT199">
        <f t="shared" si="53"/>
        <v>23</v>
      </c>
      <c r="BU199">
        <f t="shared" si="54"/>
        <v>343</v>
      </c>
      <c r="BV199">
        <f t="shared" si="55"/>
        <v>422</v>
      </c>
      <c r="BW199">
        <f t="shared" si="56"/>
        <v>657</v>
      </c>
      <c r="BX199">
        <f t="shared" si="57"/>
        <v>11</v>
      </c>
      <c r="BY199" s="2">
        <f t="shared" si="58"/>
        <v>346</v>
      </c>
      <c r="BZ199">
        <f t="shared" si="59"/>
        <v>99.084128618877827</v>
      </c>
      <c r="CA199">
        <v>99.084128618877827</v>
      </c>
      <c r="CB199">
        <v>99.084128618877827</v>
      </c>
      <c r="CC199">
        <v>99.084128618877827</v>
      </c>
      <c r="CD199">
        <v>99.084128618877827</v>
      </c>
      <c r="CE199">
        <v>99.084128618877827</v>
      </c>
      <c r="CF199">
        <v>99.084128618877827</v>
      </c>
      <c r="CG199">
        <v>99.084128618877827</v>
      </c>
      <c r="CH199">
        <f t="shared" si="60"/>
        <v>1.0516601002097625</v>
      </c>
      <c r="CI199">
        <f t="shared" si="61"/>
        <v>-1.9960040943917974</v>
      </c>
      <c r="CJ199">
        <f t="shared" si="62"/>
        <v>-0.63427625837420454</v>
      </c>
      <c r="CK199">
        <f t="shared" si="63"/>
        <v>0.53929002565097306</v>
      </c>
      <c r="CL199">
        <f t="shared" si="64"/>
        <v>0.62930835656987638</v>
      </c>
      <c r="CM199">
        <f t="shared" si="65"/>
        <v>0.82156127516798338</v>
      </c>
      <c r="CN199">
        <f t="shared" si="66"/>
        <v>-0.95461140923357246</v>
      </c>
      <c r="CO199" s="2">
        <f t="shared" si="67"/>
        <v>0.54307200440097914</v>
      </c>
      <c r="CP199">
        <v>0.586470131223503</v>
      </c>
      <c r="CQ199">
        <v>-2.2527165794045199</v>
      </c>
      <c r="CR199">
        <v>-0.33872379102338301</v>
      </c>
      <c r="CS199">
        <v>-5.63842431171332E-2</v>
      </c>
      <c r="CT199">
        <v>-0.13564384322259199</v>
      </c>
      <c r="CU199">
        <v>-5.4693744206269303E-2</v>
      </c>
      <c r="CV199">
        <v>0.116036749807279</v>
      </c>
      <c r="CW199">
        <v>7.2589533822660602E-3</v>
      </c>
      <c r="CX199" t="s">
        <v>1826</v>
      </c>
    </row>
    <row r="200" spans="1:102" x14ac:dyDescent="0.35">
      <c r="A200" t="s">
        <v>1485</v>
      </c>
      <c r="B200" t="s">
        <v>199</v>
      </c>
      <c r="C200" t="s">
        <v>1486</v>
      </c>
      <c r="D200" t="s">
        <v>72</v>
      </c>
      <c r="E200" t="s">
        <v>72</v>
      </c>
      <c r="F200" t="s">
        <v>72</v>
      </c>
      <c r="G200" t="s">
        <v>73</v>
      </c>
      <c r="H200" t="s">
        <v>109</v>
      </c>
      <c r="I200" t="s">
        <v>110</v>
      </c>
      <c r="J200" t="s">
        <v>111</v>
      </c>
      <c r="K200" t="s">
        <v>112</v>
      </c>
      <c r="L200" t="s">
        <v>113</v>
      </c>
      <c r="M200" t="s">
        <v>114</v>
      </c>
      <c r="N200">
        <v>48</v>
      </c>
      <c r="O200" t="s">
        <v>80</v>
      </c>
      <c r="P200">
        <v>621</v>
      </c>
      <c r="Q200">
        <v>0.68400000000000005</v>
      </c>
      <c r="R200">
        <v>175</v>
      </c>
      <c r="S200">
        <v>0.81130000000000002</v>
      </c>
      <c r="T200" t="s">
        <v>115</v>
      </c>
      <c r="U200" t="s">
        <v>116</v>
      </c>
      <c r="V200" t="s">
        <v>117</v>
      </c>
      <c r="W200" t="s">
        <v>118</v>
      </c>
      <c r="X200" t="s">
        <v>119</v>
      </c>
      <c r="Y200" t="s">
        <v>120</v>
      </c>
      <c r="Z200" t="s">
        <v>121</v>
      </c>
      <c r="AA200" t="s">
        <v>88</v>
      </c>
      <c r="AB200">
        <v>467</v>
      </c>
      <c r="AC200">
        <v>6</v>
      </c>
      <c r="AE200">
        <v>1</v>
      </c>
      <c r="AF200" t="s">
        <v>153</v>
      </c>
      <c r="AG200" t="s">
        <v>1487</v>
      </c>
      <c r="AH200" t="s">
        <v>72</v>
      </c>
      <c r="AI200" t="s">
        <v>72</v>
      </c>
      <c r="AJ200" t="s">
        <v>91</v>
      </c>
      <c r="AK200" t="s">
        <v>92</v>
      </c>
      <c r="AL200" t="s">
        <v>93</v>
      </c>
      <c r="AM200" t="s">
        <v>94</v>
      </c>
      <c r="AN200" t="s">
        <v>1488</v>
      </c>
      <c r="AO200" t="s">
        <v>1489</v>
      </c>
      <c r="AP200" t="s">
        <v>97</v>
      </c>
      <c r="AQ200">
        <v>39</v>
      </c>
      <c r="AR200" t="s">
        <v>80</v>
      </c>
      <c r="AS200">
        <v>1350</v>
      </c>
      <c r="AT200">
        <v>0.96530000000000005</v>
      </c>
      <c r="AU200">
        <v>172</v>
      </c>
      <c r="AV200">
        <v>0.94740000000000002</v>
      </c>
      <c r="AW200" t="s">
        <v>98</v>
      </c>
      <c r="AX200" t="s">
        <v>146</v>
      </c>
      <c r="AY200" t="s">
        <v>479</v>
      </c>
      <c r="AZ200" t="s">
        <v>101</v>
      </c>
      <c r="BA200" t="s">
        <v>128</v>
      </c>
      <c r="BB200" t="s">
        <v>103</v>
      </c>
      <c r="BC200" t="s">
        <v>104</v>
      </c>
      <c r="BD200" t="s">
        <v>105</v>
      </c>
      <c r="BE200">
        <v>5200</v>
      </c>
      <c r="BF200" t="s">
        <v>106</v>
      </c>
      <c r="BG200">
        <v>72</v>
      </c>
      <c r="BH200" t="s">
        <v>80</v>
      </c>
      <c r="BI200">
        <v>1</v>
      </c>
      <c r="BJ200">
        <v>71</v>
      </c>
      <c r="BK200">
        <v>0</v>
      </c>
      <c r="BL200">
        <v>7</v>
      </c>
      <c r="BM200">
        <v>100</v>
      </c>
      <c r="BN200">
        <v>142</v>
      </c>
      <c r="BO200">
        <v>228</v>
      </c>
      <c r="BP200">
        <v>0</v>
      </c>
      <c r="BQ200" s="2">
        <v>87</v>
      </c>
      <c r="BR200">
        <f t="shared" si="51"/>
        <v>72</v>
      </c>
      <c r="BS200">
        <f t="shared" si="52"/>
        <v>1</v>
      </c>
      <c r="BT200">
        <f t="shared" si="53"/>
        <v>8</v>
      </c>
      <c r="BU200">
        <f t="shared" si="54"/>
        <v>101</v>
      </c>
      <c r="BV200">
        <f t="shared" si="55"/>
        <v>143</v>
      </c>
      <c r="BW200">
        <f t="shared" si="56"/>
        <v>229</v>
      </c>
      <c r="BX200">
        <f t="shared" si="57"/>
        <v>1</v>
      </c>
      <c r="BY200" s="2">
        <f t="shared" si="58"/>
        <v>88</v>
      </c>
      <c r="BZ200">
        <f t="shared" si="59"/>
        <v>25.295877890471445</v>
      </c>
      <c r="CA200">
        <v>25.295877890471445</v>
      </c>
      <c r="CB200">
        <v>25.295877890471445</v>
      </c>
      <c r="CC200">
        <v>25.295877890471445</v>
      </c>
      <c r="CD200">
        <v>25.295877890471445</v>
      </c>
      <c r="CE200">
        <v>25.295877890471445</v>
      </c>
      <c r="CF200">
        <v>25.295877890471445</v>
      </c>
      <c r="CG200">
        <v>25.295877890471445</v>
      </c>
      <c r="CH200">
        <f t="shared" si="60"/>
        <v>0.45428274028614685</v>
      </c>
      <c r="CI200">
        <f t="shared" si="61"/>
        <v>-1.4030497561451216</v>
      </c>
      <c r="CJ200">
        <f t="shared" si="62"/>
        <v>-0.49995976915317797</v>
      </c>
      <c r="CK200">
        <f t="shared" si="63"/>
        <v>0.60127161763752091</v>
      </c>
      <c r="CL200">
        <f t="shared" si="64"/>
        <v>0.75228628131994024</v>
      </c>
      <c r="CM200">
        <f t="shared" si="65"/>
        <v>0.95678572619476632</v>
      </c>
      <c r="CN200">
        <f t="shared" si="66"/>
        <v>-1.4030497561451216</v>
      </c>
      <c r="CO200" s="2">
        <f t="shared" si="67"/>
        <v>0.54143291600504706</v>
      </c>
      <c r="CP200">
        <v>-0.13123835262605499</v>
      </c>
      <c r="CQ200">
        <v>-2.2527165794045199</v>
      </c>
      <c r="CR200">
        <v>0.26138582627046297</v>
      </c>
      <c r="CS200">
        <v>0.126241412633187</v>
      </c>
      <c r="CT200">
        <v>0.20667936802061401</v>
      </c>
      <c r="CU200">
        <v>0.33580661037265103</v>
      </c>
      <c r="CV200">
        <v>-2.6172399890044602</v>
      </c>
      <c r="CW200">
        <v>2.7569456948654801E-3</v>
      </c>
      <c r="CX200" t="s">
        <v>1826</v>
      </c>
    </row>
    <row r="201" spans="1:102" x14ac:dyDescent="0.35">
      <c r="A201" t="s">
        <v>1605</v>
      </c>
      <c r="B201" t="s">
        <v>153</v>
      </c>
      <c r="C201" t="s">
        <v>1606</v>
      </c>
      <c r="D201" t="s">
        <v>72</v>
      </c>
      <c r="E201" t="s">
        <v>72</v>
      </c>
      <c r="F201" t="s">
        <v>72</v>
      </c>
      <c r="G201" t="s">
        <v>73</v>
      </c>
      <c r="H201" t="s">
        <v>74</v>
      </c>
      <c r="I201" t="s">
        <v>75</v>
      </c>
      <c r="J201" t="s">
        <v>76</v>
      </c>
      <c r="K201" t="s">
        <v>77</v>
      </c>
      <c r="L201" t="s">
        <v>78</v>
      </c>
      <c r="M201" t="s">
        <v>79</v>
      </c>
      <c r="N201">
        <v>60</v>
      </c>
      <c r="O201" t="s">
        <v>80</v>
      </c>
      <c r="P201">
        <v>792</v>
      </c>
      <c r="Q201">
        <v>0.75</v>
      </c>
      <c r="R201">
        <v>177</v>
      </c>
      <c r="S201">
        <v>0.85419999999999996</v>
      </c>
      <c r="T201" t="s">
        <v>81</v>
      </c>
      <c r="U201" t="s">
        <v>82</v>
      </c>
      <c r="V201" t="s">
        <v>83</v>
      </c>
      <c r="W201" t="s">
        <v>84</v>
      </c>
      <c r="X201" t="s">
        <v>85</v>
      </c>
      <c r="Y201" t="s">
        <v>86</v>
      </c>
      <c r="Z201" t="s">
        <v>87</v>
      </c>
      <c r="AA201" t="s">
        <v>88</v>
      </c>
      <c r="AB201">
        <v>174</v>
      </c>
      <c r="AC201">
        <v>4</v>
      </c>
      <c r="AE201">
        <v>22</v>
      </c>
      <c r="AF201" t="s">
        <v>142</v>
      </c>
      <c r="AG201" t="s">
        <v>608</v>
      </c>
      <c r="AH201" t="s">
        <v>72</v>
      </c>
      <c r="AI201" t="s">
        <v>72</v>
      </c>
      <c r="AJ201" t="s">
        <v>91</v>
      </c>
      <c r="AK201" t="s">
        <v>92</v>
      </c>
      <c r="AL201" t="s">
        <v>93</v>
      </c>
      <c r="AM201" t="s">
        <v>94</v>
      </c>
      <c r="AN201" t="s">
        <v>144</v>
      </c>
      <c r="AO201" t="s">
        <v>145</v>
      </c>
      <c r="AP201" t="s">
        <v>97</v>
      </c>
      <c r="AQ201">
        <v>39</v>
      </c>
      <c r="AR201" t="s">
        <v>80</v>
      </c>
      <c r="AS201">
        <v>1359</v>
      </c>
      <c r="AT201">
        <v>0.96879999999999999</v>
      </c>
      <c r="AU201">
        <v>172</v>
      </c>
      <c r="AV201">
        <v>0.94740000000000002</v>
      </c>
      <c r="AW201" t="s">
        <v>98</v>
      </c>
      <c r="AX201" t="s">
        <v>146</v>
      </c>
      <c r="AY201" t="s">
        <v>127</v>
      </c>
      <c r="AZ201" t="s">
        <v>101</v>
      </c>
      <c r="BA201" t="s">
        <v>128</v>
      </c>
      <c r="BB201" t="s">
        <v>103</v>
      </c>
      <c r="BC201" t="s">
        <v>104</v>
      </c>
      <c r="BD201" t="s">
        <v>105</v>
      </c>
      <c r="BE201">
        <v>5669</v>
      </c>
      <c r="BF201" t="s">
        <v>106</v>
      </c>
      <c r="BG201">
        <v>66</v>
      </c>
      <c r="BH201" t="s">
        <v>80</v>
      </c>
      <c r="BI201">
        <v>1</v>
      </c>
      <c r="BJ201">
        <v>995</v>
      </c>
      <c r="BK201">
        <v>6</v>
      </c>
      <c r="BL201">
        <v>30</v>
      </c>
      <c r="BM201">
        <v>297</v>
      </c>
      <c r="BN201">
        <v>465</v>
      </c>
      <c r="BO201">
        <v>631</v>
      </c>
      <c r="BP201">
        <v>0</v>
      </c>
      <c r="BQ201" s="2">
        <v>324</v>
      </c>
      <c r="BR201">
        <f t="shared" si="51"/>
        <v>996</v>
      </c>
      <c r="BS201">
        <f t="shared" si="52"/>
        <v>7</v>
      </c>
      <c r="BT201">
        <f t="shared" si="53"/>
        <v>31</v>
      </c>
      <c r="BU201">
        <f t="shared" si="54"/>
        <v>298</v>
      </c>
      <c r="BV201">
        <f t="shared" si="55"/>
        <v>466</v>
      </c>
      <c r="BW201">
        <f t="shared" si="56"/>
        <v>632</v>
      </c>
      <c r="BX201">
        <f t="shared" si="57"/>
        <v>1</v>
      </c>
      <c r="BY201" s="2">
        <f t="shared" si="58"/>
        <v>325</v>
      </c>
      <c r="BZ201">
        <f t="shared" si="59"/>
        <v>94.132634073816675</v>
      </c>
      <c r="CA201">
        <v>94.132634073816675</v>
      </c>
      <c r="CB201">
        <v>94.132634073816675</v>
      </c>
      <c r="CC201">
        <v>94.132634073816675</v>
      </c>
      <c r="CD201">
        <v>94.132634073816675</v>
      </c>
      <c r="CE201">
        <v>94.132634073816675</v>
      </c>
      <c r="CF201">
        <v>94.132634073816675</v>
      </c>
      <c r="CG201">
        <v>94.132634073816675</v>
      </c>
      <c r="CH201">
        <f t="shared" si="60"/>
        <v>1.0245191268862308</v>
      </c>
      <c r="CI201">
        <f t="shared" si="61"/>
        <v>-1.1286421715232111</v>
      </c>
      <c r="CJ201">
        <f t="shared" si="62"/>
        <v>-0.48237851770319518</v>
      </c>
      <c r="CK201">
        <f t="shared" si="63"/>
        <v>0.50047605253878735</v>
      </c>
      <c r="CL201">
        <f t="shared" si="64"/>
        <v>0.69464570515253221</v>
      </c>
      <c r="CM201">
        <f t="shared" si="65"/>
        <v>0.82697686674491711</v>
      </c>
      <c r="CN201">
        <f t="shared" si="66"/>
        <v>-1.9737402115374678</v>
      </c>
      <c r="CO201" s="2">
        <f t="shared" si="67"/>
        <v>0.53814314944140651</v>
      </c>
      <c r="CP201">
        <v>0.55386208793119596</v>
      </c>
      <c r="CQ201">
        <v>1.4650776892972099</v>
      </c>
      <c r="CR201">
        <v>0.33993670368235102</v>
      </c>
      <c r="CS201">
        <v>-0.17074767046225001</v>
      </c>
      <c r="CT201">
        <v>4.6230188449257699E-2</v>
      </c>
      <c r="CU201">
        <v>-3.9054631494113402E-2</v>
      </c>
      <c r="CV201">
        <v>-2.6172399890044602</v>
      </c>
      <c r="CW201">
        <v>-6.27890276579114E-3</v>
      </c>
      <c r="CX201" t="s">
        <v>1826</v>
      </c>
    </row>
    <row r="202" spans="1:102" x14ac:dyDescent="0.35">
      <c r="A202" t="s">
        <v>361</v>
      </c>
      <c r="B202" t="s">
        <v>159</v>
      </c>
      <c r="C202" t="s">
        <v>149</v>
      </c>
      <c r="D202" t="s">
        <v>72</v>
      </c>
      <c r="E202" t="s">
        <v>72</v>
      </c>
      <c r="F202" t="s">
        <v>72</v>
      </c>
      <c r="G202" t="s">
        <v>73</v>
      </c>
      <c r="H202" t="s">
        <v>74</v>
      </c>
      <c r="I202" t="s">
        <v>75</v>
      </c>
      <c r="J202" t="s">
        <v>76</v>
      </c>
      <c r="K202" t="s">
        <v>77</v>
      </c>
      <c r="L202" t="s">
        <v>78</v>
      </c>
      <c r="M202" t="s">
        <v>79</v>
      </c>
      <c r="N202">
        <v>60</v>
      </c>
      <c r="O202" t="s">
        <v>80</v>
      </c>
      <c r="P202">
        <v>792</v>
      </c>
      <c r="Q202">
        <v>0.75</v>
      </c>
      <c r="R202">
        <v>177</v>
      </c>
      <c r="S202">
        <v>0.85419999999999996</v>
      </c>
      <c r="T202" t="s">
        <v>81</v>
      </c>
      <c r="U202" t="s">
        <v>82</v>
      </c>
      <c r="V202" t="s">
        <v>83</v>
      </c>
      <c r="W202" t="s">
        <v>84</v>
      </c>
      <c r="X202" t="s">
        <v>85</v>
      </c>
      <c r="Y202" t="s">
        <v>86</v>
      </c>
      <c r="Z202" t="s">
        <v>87</v>
      </c>
      <c r="AA202" t="s">
        <v>88</v>
      </c>
      <c r="AB202">
        <v>439</v>
      </c>
      <c r="AC202">
        <v>8</v>
      </c>
      <c r="AE202">
        <v>22</v>
      </c>
      <c r="AF202" t="s">
        <v>142</v>
      </c>
      <c r="AG202" t="s">
        <v>362</v>
      </c>
      <c r="AH202" t="s">
        <v>72</v>
      </c>
      <c r="AI202" t="s">
        <v>72</v>
      </c>
      <c r="AJ202" t="s">
        <v>91</v>
      </c>
      <c r="AK202" t="s">
        <v>92</v>
      </c>
      <c r="AL202" t="s">
        <v>93</v>
      </c>
      <c r="AM202" t="s">
        <v>94</v>
      </c>
      <c r="AN202" t="s">
        <v>144</v>
      </c>
      <c r="AO202" t="s">
        <v>145</v>
      </c>
      <c r="AP202" t="s">
        <v>97</v>
      </c>
      <c r="AQ202">
        <v>39</v>
      </c>
      <c r="AR202" t="s">
        <v>80</v>
      </c>
      <c r="AS202">
        <v>1359</v>
      </c>
      <c r="AT202">
        <v>0.96879999999999999</v>
      </c>
      <c r="AU202">
        <v>172</v>
      </c>
      <c r="AV202">
        <v>0.94740000000000002</v>
      </c>
      <c r="AW202" t="s">
        <v>98</v>
      </c>
      <c r="AX202" t="s">
        <v>146</v>
      </c>
      <c r="AY202" t="s">
        <v>127</v>
      </c>
      <c r="AZ202" t="s">
        <v>101</v>
      </c>
      <c r="BA202" t="s">
        <v>128</v>
      </c>
      <c r="BB202" t="s">
        <v>103</v>
      </c>
      <c r="BC202" t="s">
        <v>104</v>
      </c>
      <c r="BD202" t="s">
        <v>105</v>
      </c>
      <c r="BE202">
        <v>5979</v>
      </c>
      <c r="BF202" t="s">
        <v>106</v>
      </c>
      <c r="BG202">
        <v>76</v>
      </c>
      <c r="BH202" t="s">
        <v>80</v>
      </c>
      <c r="BI202">
        <v>1</v>
      </c>
      <c r="BJ202">
        <v>668</v>
      </c>
      <c r="BK202">
        <v>0</v>
      </c>
      <c r="BL202">
        <v>13</v>
      </c>
      <c r="BM202">
        <v>229</v>
      </c>
      <c r="BN202">
        <v>275</v>
      </c>
      <c r="BO202">
        <v>422</v>
      </c>
      <c r="BP202">
        <v>6</v>
      </c>
      <c r="BQ202" s="2">
        <v>230</v>
      </c>
      <c r="BR202">
        <f t="shared" si="51"/>
        <v>669</v>
      </c>
      <c r="BS202">
        <f t="shared" si="52"/>
        <v>1</v>
      </c>
      <c r="BT202">
        <f t="shared" si="53"/>
        <v>14</v>
      </c>
      <c r="BU202">
        <f t="shared" si="54"/>
        <v>230</v>
      </c>
      <c r="BV202">
        <f t="shared" si="55"/>
        <v>276</v>
      </c>
      <c r="BW202">
        <f t="shared" si="56"/>
        <v>423</v>
      </c>
      <c r="BX202">
        <f t="shared" si="57"/>
        <v>7</v>
      </c>
      <c r="BY202" s="2">
        <f t="shared" si="58"/>
        <v>231</v>
      </c>
      <c r="BZ202">
        <f t="shared" si="59"/>
        <v>67.012401573603043</v>
      </c>
      <c r="CA202">
        <v>67.012401573603043</v>
      </c>
      <c r="CB202">
        <v>67.012401573603043</v>
      </c>
      <c r="CC202">
        <v>67.012401573603043</v>
      </c>
      <c r="CD202">
        <v>67.012401573603043</v>
      </c>
      <c r="CE202">
        <v>67.012401573603043</v>
      </c>
      <c r="CF202">
        <v>67.012401573603043</v>
      </c>
      <c r="CG202">
        <v>67.012401573603043</v>
      </c>
      <c r="CH202">
        <f t="shared" si="60"/>
        <v>0.99927093541653367</v>
      </c>
      <c r="CI202">
        <f t="shared" si="61"/>
        <v>-1.8261551823512894</v>
      </c>
      <c r="CJ202">
        <f t="shared" si="62"/>
        <v>-0.68002714667305131</v>
      </c>
      <c r="CK202">
        <f t="shared" si="63"/>
        <v>0.53557265366630347</v>
      </c>
      <c r="CL202">
        <f t="shared" si="64"/>
        <v>0.61475389971392835</v>
      </c>
      <c r="CM202">
        <f t="shared" si="65"/>
        <v>0.80018518502375291</v>
      </c>
      <c r="CN202">
        <f t="shared" si="66"/>
        <v>-0.98105714233703256</v>
      </c>
      <c r="CO202" s="2">
        <f t="shared" si="67"/>
        <v>0.53745679754085496</v>
      </c>
      <c r="CP202">
        <v>0.52352809398476197</v>
      </c>
      <c r="CQ202">
        <v>-2.2527165794045199</v>
      </c>
      <c r="CR202">
        <v>-0.54313315451333</v>
      </c>
      <c r="CS202">
        <v>-6.7337293444002702E-2</v>
      </c>
      <c r="CT202">
        <v>-0.17615784944732499</v>
      </c>
      <c r="CU202">
        <v>-0.11642348847551801</v>
      </c>
      <c r="CV202">
        <v>4.5109986704220999E-2</v>
      </c>
      <c r="CW202">
        <v>-8.1640735352347792E-3</v>
      </c>
      <c r="CX202" t="s">
        <v>1826</v>
      </c>
    </row>
    <row r="203" spans="1:102" x14ac:dyDescent="0.35">
      <c r="A203" t="s">
        <v>1588</v>
      </c>
      <c r="B203" t="s">
        <v>130</v>
      </c>
      <c r="C203" t="s">
        <v>149</v>
      </c>
      <c r="D203" t="s">
        <v>72</v>
      </c>
      <c r="E203" t="s">
        <v>72</v>
      </c>
      <c r="F203" t="s">
        <v>72</v>
      </c>
      <c r="G203" t="s">
        <v>73</v>
      </c>
      <c r="H203" t="s">
        <v>74</v>
      </c>
      <c r="I203" t="s">
        <v>75</v>
      </c>
      <c r="J203" t="s">
        <v>76</v>
      </c>
      <c r="K203" t="s">
        <v>77</v>
      </c>
      <c r="L203" t="s">
        <v>78</v>
      </c>
      <c r="M203" t="s">
        <v>79</v>
      </c>
      <c r="N203">
        <v>60</v>
      </c>
      <c r="O203" t="s">
        <v>80</v>
      </c>
      <c r="P203">
        <v>792</v>
      </c>
      <c r="Q203">
        <v>0.75</v>
      </c>
      <c r="R203">
        <v>177</v>
      </c>
      <c r="S203">
        <v>0.85419999999999996</v>
      </c>
      <c r="T203" t="s">
        <v>81</v>
      </c>
      <c r="U203" t="s">
        <v>82</v>
      </c>
      <c r="V203" t="s">
        <v>83</v>
      </c>
      <c r="W203" t="s">
        <v>84</v>
      </c>
      <c r="X203" t="s">
        <v>85</v>
      </c>
      <c r="Y203" t="s">
        <v>86</v>
      </c>
      <c r="Z203" t="s">
        <v>87</v>
      </c>
      <c r="AA203" t="s">
        <v>88</v>
      </c>
      <c r="AB203">
        <v>585</v>
      </c>
      <c r="AC203">
        <v>7</v>
      </c>
      <c r="AE203">
        <v>22</v>
      </c>
      <c r="AF203" t="s">
        <v>142</v>
      </c>
      <c r="AG203" t="s">
        <v>1589</v>
      </c>
      <c r="AH203" t="s">
        <v>72</v>
      </c>
      <c r="AI203" t="s">
        <v>72</v>
      </c>
      <c r="AJ203" t="s">
        <v>91</v>
      </c>
      <c r="AK203" t="s">
        <v>92</v>
      </c>
      <c r="AL203" t="s">
        <v>93</v>
      </c>
      <c r="AM203" t="s">
        <v>94</v>
      </c>
      <c r="AN203" t="s">
        <v>250</v>
      </c>
      <c r="AO203" t="s">
        <v>251</v>
      </c>
      <c r="AP203" t="s">
        <v>97</v>
      </c>
      <c r="AQ203">
        <v>39</v>
      </c>
      <c r="AR203" t="s">
        <v>80</v>
      </c>
      <c r="AS203">
        <v>1341</v>
      </c>
      <c r="AT203">
        <v>0.96179999999999999</v>
      </c>
      <c r="AU203">
        <v>172</v>
      </c>
      <c r="AV203">
        <v>0.94740000000000002</v>
      </c>
      <c r="AW203" t="s">
        <v>98</v>
      </c>
      <c r="AX203" t="s">
        <v>252</v>
      </c>
      <c r="AY203" t="s">
        <v>184</v>
      </c>
      <c r="AZ203" t="s">
        <v>101</v>
      </c>
      <c r="BA203" t="s">
        <v>253</v>
      </c>
      <c r="BB203" t="s">
        <v>186</v>
      </c>
      <c r="BC203" t="s">
        <v>104</v>
      </c>
      <c r="BD203" t="s">
        <v>105</v>
      </c>
      <c r="BE203">
        <v>769</v>
      </c>
      <c r="BF203" t="s">
        <v>106</v>
      </c>
      <c r="BG203">
        <v>10</v>
      </c>
      <c r="BH203" t="s">
        <v>80</v>
      </c>
      <c r="BI203">
        <v>1</v>
      </c>
      <c r="BJ203">
        <v>1921</v>
      </c>
      <c r="BK203">
        <v>0</v>
      </c>
      <c r="BL203">
        <v>32</v>
      </c>
      <c r="BM203">
        <v>476</v>
      </c>
      <c r="BN203">
        <v>685</v>
      </c>
      <c r="BO203">
        <v>1044</v>
      </c>
      <c r="BP203">
        <v>21</v>
      </c>
      <c r="BQ203" s="2">
        <v>513</v>
      </c>
      <c r="BR203">
        <f t="shared" si="51"/>
        <v>1922</v>
      </c>
      <c r="BS203">
        <f t="shared" si="52"/>
        <v>1</v>
      </c>
      <c r="BT203">
        <f t="shared" si="53"/>
        <v>33</v>
      </c>
      <c r="BU203">
        <f t="shared" si="54"/>
        <v>477</v>
      </c>
      <c r="BV203">
        <f t="shared" si="55"/>
        <v>686</v>
      </c>
      <c r="BW203">
        <f t="shared" si="56"/>
        <v>1045</v>
      </c>
      <c r="BX203">
        <f t="shared" si="57"/>
        <v>22</v>
      </c>
      <c r="BY203" s="2">
        <f t="shared" si="58"/>
        <v>514</v>
      </c>
      <c r="BZ203">
        <f t="shared" si="59"/>
        <v>149.17686927810419</v>
      </c>
      <c r="CA203">
        <v>149.17686927810419</v>
      </c>
      <c r="CB203">
        <v>149.17686927810419</v>
      </c>
      <c r="CC203">
        <v>149.17686927810419</v>
      </c>
      <c r="CD203">
        <v>149.17686927810419</v>
      </c>
      <c r="CE203">
        <v>149.17686927810419</v>
      </c>
      <c r="CF203">
        <v>149.17686927810419</v>
      </c>
      <c r="CG203">
        <v>149.17686927810419</v>
      </c>
      <c r="CH203">
        <f t="shared" si="60"/>
        <v>1.1100518948047973</v>
      </c>
      <c r="CI203">
        <f t="shared" si="61"/>
        <v>-2.1737014885277293</v>
      </c>
      <c r="CJ203">
        <f t="shared" si="62"/>
        <v>-0.65518754864984174</v>
      </c>
      <c r="CK203">
        <f t="shared" si="63"/>
        <v>0.50481689051238465</v>
      </c>
      <c r="CL203">
        <f t="shared" si="64"/>
        <v>0.66262262717902243</v>
      </c>
      <c r="CM203">
        <f t="shared" si="65"/>
        <v>0.84541480191934348</v>
      </c>
      <c r="CN203">
        <f t="shared" si="66"/>
        <v>-0.83127880770552309</v>
      </c>
      <c r="CO203" s="2">
        <f t="shared" si="67"/>
        <v>0.53726163046754638</v>
      </c>
      <c r="CP203">
        <v>0.65662392207593101</v>
      </c>
      <c r="CQ203">
        <v>-2.2527165794045199</v>
      </c>
      <c r="CR203">
        <v>-0.43215287390972101</v>
      </c>
      <c r="CS203">
        <v>-0.157957608832239</v>
      </c>
      <c r="CT203">
        <v>-4.2909735712438397E-2</v>
      </c>
      <c r="CU203">
        <v>1.4190326563734999E-2</v>
      </c>
      <c r="CV203">
        <v>0.44681155484829399</v>
      </c>
      <c r="CW203">
        <v>-8.7001298373494008E-3</v>
      </c>
      <c r="CX203" t="s">
        <v>1826</v>
      </c>
    </row>
    <row r="204" spans="1:102" x14ac:dyDescent="0.35">
      <c r="A204" t="s">
        <v>1629</v>
      </c>
      <c r="B204" t="s">
        <v>231</v>
      </c>
      <c r="C204" t="s">
        <v>1630</v>
      </c>
      <c r="D204" t="s">
        <v>72</v>
      </c>
      <c r="E204" t="s">
        <v>72</v>
      </c>
      <c r="F204" t="s">
        <v>72</v>
      </c>
      <c r="G204" t="s">
        <v>73</v>
      </c>
      <c r="H204" t="s">
        <v>109</v>
      </c>
      <c r="I204" t="s">
        <v>110</v>
      </c>
      <c r="J204" t="s">
        <v>111</v>
      </c>
      <c r="K204" t="s">
        <v>112</v>
      </c>
      <c r="L204" t="s">
        <v>113</v>
      </c>
      <c r="M204" t="s">
        <v>114</v>
      </c>
      <c r="N204">
        <v>48</v>
      </c>
      <c r="O204" t="s">
        <v>80</v>
      </c>
      <c r="P204">
        <v>621</v>
      </c>
      <c r="Q204">
        <v>0.68400000000000005</v>
      </c>
      <c r="R204">
        <v>175</v>
      </c>
      <c r="S204">
        <v>0.81130000000000002</v>
      </c>
      <c r="T204" t="s">
        <v>115</v>
      </c>
      <c r="U204" t="s">
        <v>116</v>
      </c>
      <c r="V204" t="s">
        <v>117</v>
      </c>
      <c r="W204" t="s">
        <v>118</v>
      </c>
      <c r="X204" t="s">
        <v>119</v>
      </c>
      <c r="Y204" t="s">
        <v>120</v>
      </c>
      <c r="Z204" t="s">
        <v>121</v>
      </c>
      <c r="AA204" t="s">
        <v>88</v>
      </c>
      <c r="AB204">
        <v>1650</v>
      </c>
      <c r="AC204">
        <v>14</v>
      </c>
      <c r="AE204">
        <v>1</v>
      </c>
      <c r="AF204" t="s">
        <v>89</v>
      </c>
      <c r="AG204" t="s">
        <v>1631</v>
      </c>
      <c r="AH204" t="s">
        <v>72</v>
      </c>
      <c r="AI204" t="s">
        <v>72</v>
      </c>
      <c r="AJ204" t="s">
        <v>91</v>
      </c>
      <c r="AK204" t="s">
        <v>92</v>
      </c>
      <c r="AL204" t="s">
        <v>93</v>
      </c>
      <c r="AM204" t="s">
        <v>94</v>
      </c>
      <c r="AN204" t="s">
        <v>1632</v>
      </c>
      <c r="AO204" t="s">
        <v>1633</v>
      </c>
      <c r="AP204" t="s">
        <v>97</v>
      </c>
      <c r="AQ204">
        <v>39</v>
      </c>
      <c r="AR204" t="s">
        <v>80</v>
      </c>
      <c r="AS204">
        <v>1332</v>
      </c>
      <c r="AT204">
        <v>0.95830000000000004</v>
      </c>
      <c r="AU204">
        <v>172</v>
      </c>
      <c r="AV204">
        <v>0.94740000000000002</v>
      </c>
      <c r="AW204" t="s">
        <v>1634</v>
      </c>
      <c r="AX204" t="s">
        <v>146</v>
      </c>
      <c r="AY204" t="s">
        <v>1635</v>
      </c>
      <c r="AZ204" t="s">
        <v>101</v>
      </c>
      <c r="BA204" t="s">
        <v>128</v>
      </c>
      <c r="BB204" t="s">
        <v>103</v>
      </c>
      <c r="BC204" t="s">
        <v>104</v>
      </c>
      <c r="BD204" t="s">
        <v>105</v>
      </c>
      <c r="BE204">
        <v>8615</v>
      </c>
      <c r="BF204" t="s">
        <v>106</v>
      </c>
      <c r="BG204">
        <v>107</v>
      </c>
      <c r="BH204" t="s">
        <v>80</v>
      </c>
      <c r="BI204">
        <v>1</v>
      </c>
      <c r="BJ204">
        <v>93</v>
      </c>
      <c r="BK204">
        <v>0</v>
      </c>
      <c r="BL204">
        <v>9</v>
      </c>
      <c r="BM204">
        <v>103</v>
      </c>
      <c r="BN204">
        <v>158</v>
      </c>
      <c r="BO204">
        <v>199</v>
      </c>
      <c r="BP204">
        <v>0</v>
      </c>
      <c r="BQ204" s="2">
        <v>92</v>
      </c>
      <c r="BR204">
        <f t="shared" si="51"/>
        <v>94</v>
      </c>
      <c r="BS204">
        <f t="shared" si="52"/>
        <v>1</v>
      </c>
      <c r="BT204">
        <f t="shared" si="53"/>
        <v>10</v>
      </c>
      <c r="BU204">
        <f t="shared" si="54"/>
        <v>104</v>
      </c>
      <c r="BV204">
        <f t="shared" si="55"/>
        <v>159</v>
      </c>
      <c r="BW204">
        <f t="shared" si="56"/>
        <v>200</v>
      </c>
      <c r="BX204">
        <f t="shared" si="57"/>
        <v>1</v>
      </c>
      <c r="BY204" s="2">
        <f t="shared" si="58"/>
        <v>93</v>
      </c>
      <c r="BZ204">
        <f t="shared" si="59"/>
        <v>27.079080148556258</v>
      </c>
      <c r="CA204">
        <v>27.079080148556258</v>
      </c>
      <c r="CB204">
        <v>27.079080148556258</v>
      </c>
      <c r="CC204">
        <v>27.079080148556258</v>
      </c>
      <c r="CD204">
        <v>27.079080148556258</v>
      </c>
      <c r="CE204">
        <v>27.079080148556258</v>
      </c>
      <c r="CF204">
        <v>27.079080148556258</v>
      </c>
      <c r="CG204">
        <v>27.079080148556258</v>
      </c>
      <c r="CH204">
        <f t="shared" si="60"/>
        <v>0.54049394592009281</v>
      </c>
      <c r="CI204">
        <f t="shared" si="61"/>
        <v>-1.4326339076796057</v>
      </c>
      <c r="CJ204">
        <f t="shared" si="62"/>
        <v>-0.43263390767960586</v>
      </c>
      <c r="CK204">
        <f t="shared" si="63"/>
        <v>0.58439943161917451</v>
      </c>
      <c r="CL204">
        <f t="shared" si="64"/>
        <v>0.76876321664084568</v>
      </c>
      <c r="CM204">
        <f t="shared" si="65"/>
        <v>0.8683960879843754</v>
      </c>
      <c r="CN204">
        <f t="shared" si="66"/>
        <v>-1.4326339076796057</v>
      </c>
      <c r="CO204" s="2">
        <f t="shared" si="67"/>
        <v>0.53584904087432927</v>
      </c>
      <c r="CP204">
        <v>-2.76614214643289E-2</v>
      </c>
      <c r="CQ204">
        <v>-2.2527165794045199</v>
      </c>
      <c r="CR204">
        <v>0.56218952652500298</v>
      </c>
      <c r="CS204">
        <v>7.6528361761395505E-2</v>
      </c>
      <c r="CT204">
        <v>0.25254481437582299</v>
      </c>
      <c r="CU204">
        <v>8.0555545937389894E-2</v>
      </c>
      <c r="CV204">
        <v>-2.6172399890044602</v>
      </c>
      <c r="CW204">
        <v>-1.2580023822072E-2</v>
      </c>
      <c r="CX204" t="s">
        <v>1826</v>
      </c>
    </row>
    <row r="205" spans="1:102" x14ac:dyDescent="0.35">
      <c r="A205" t="s">
        <v>1524</v>
      </c>
      <c r="B205" t="s">
        <v>733</v>
      </c>
      <c r="C205" t="s">
        <v>108</v>
      </c>
      <c r="D205" t="s">
        <v>72</v>
      </c>
      <c r="E205" t="s">
        <v>72</v>
      </c>
      <c r="F205" t="s">
        <v>72</v>
      </c>
      <c r="G205" t="s">
        <v>73</v>
      </c>
      <c r="H205" t="s">
        <v>109</v>
      </c>
      <c r="I205" t="s">
        <v>110</v>
      </c>
      <c r="J205" t="s">
        <v>111</v>
      </c>
      <c r="K205" t="s">
        <v>112</v>
      </c>
      <c r="L205" t="s">
        <v>113</v>
      </c>
      <c r="M205" t="s">
        <v>114</v>
      </c>
      <c r="N205">
        <v>48</v>
      </c>
      <c r="O205" t="s">
        <v>80</v>
      </c>
      <c r="P205">
        <v>621</v>
      </c>
      <c r="Q205">
        <v>0.68400000000000005</v>
      </c>
      <c r="R205">
        <v>175</v>
      </c>
      <c r="S205">
        <v>0.81130000000000002</v>
      </c>
      <c r="T205" t="s">
        <v>115</v>
      </c>
      <c r="U205" t="s">
        <v>116</v>
      </c>
      <c r="V205" t="s">
        <v>117</v>
      </c>
      <c r="W205" t="s">
        <v>118</v>
      </c>
      <c r="X205" t="s">
        <v>119</v>
      </c>
      <c r="Y205" t="s">
        <v>120</v>
      </c>
      <c r="Z205" t="s">
        <v>121</v>
      </c>
      <c r="AA205" t="s">
        <v>88</v>
      </c>
      <c r="AB205">
        <v>322</v>
      </c>
      <c r="AC205">
        <v>4</v>
      </c>
      <c r="AE205">
        <v>1</v>
      </c>
      <c r="AF205" t="s">
        <v>89</v>
      </c>
      <c r="AG205" t="s">
        <v>1525</v>
      </c>
      <c r="AH205" t="s">
        <v>72</v>
      </c>
      <c r="AI205" t="s">
        <v>72</v>
      </c>
      <c r="AJ205" t="s">
        <v>91</v>
      </c>
      <c r="AK205" t="s">
        <v>92</v>
      </c>
      <c r="AL205" t="s">
        <v>93</v>
      </c>
      <c r="AM205" t="s">
        <v>94</v>
      </c>
      <c r="AN205" t="s">
        <v>144</v>
      </c>
      <c r="AO205" t="s">
        <v>145</v>
      </c>
      <c r="AP205" t="s">
        <v>97</v>
      </c>
      <c r="AQ205">
        <v>39</v>
      </c>
      <c r="AR205" t="s">
        <v>80</v>
      </c>
      <c r="AS205">
        <v>1359</v>
      </c>
      <c r="AT205">
        <v>0.96879999999999999</v>
      </c>
      <c r="AU205">
        <v>172</v>
      </c>
      <c r="AV205">
        <v>0.94740000000000002</v>
      </c>
      <c r="AW205" t="s">
        <v>98</v>
      </c>
      <c r="AX205" t="s">
        <v>146</v>
      </c>
      <c r="AY205" t="s">
        <v>127</v>
      </c>
      <c r="AZ205" t="s">
        <v>101</v>
      </c>
      <c r="BA205" t="s">
        <v>128</v>
      </c>
      <c r="BB205" t="s">
        <v>103</v>
      </c>
      <c r="BC205" t="s">
        <v>104</v>
      </c>
      <c r="BD205" t="s">
        <v>105</v>
      </c>
      <c r="BE205">
        <v>9374</v>
      </c>
      <c r="BF205" t="s">
        <v>106</v>
      </c>
      <c r="BG205">
        <v>126</v>
      </c>
      <c r="BH205" t="s">
        <v>80</v>
      </c>
      <c r="BI205">
        <v>1</v>
      </c>
      <c r="BJ205">
        <v>1036</v>
      </c>
      <c r="BK205">
        <v>5</v>
      </c>
      <c r="BL205">
        <v>21</v>
      </c>
      <c r="BM205">
        <v>352</v>
      </c>
      <c r="BN205">
        <v>491</v>
      </c>
      <c r="BO205">
        <v>776</v>
      </c>
      <c r="BP205">
        <v>4</v>
      </c>
      <c r="BQ205" s="2">
        <v>404</v>
      </c>
      <c r="BR205">
        <f t="shared" si="51"/>
        <v>1037</v>
      </c>
      <c r="BS205">
        <f t="shared" si="52"/>
        <v>6</v>
      </c>
      <c r="BT205">
        <f t="shared" si="53"/>
        <v>22</v>
      </c>
      <c r="BU205">
        <f t="shared" si="54"/>
        <v>353</v>
      </c>
      <c r="BV205">
        <f t="shared" si="55"/>
        <v>492</v>
      </c>
      <c r="BW205">
        <f t="shared" si="56"/>
        <v>777</v>
      </c>
      <c r="BX205">
        <f t="shared" si="57"/>
        <v>5</v>
      </c>
      <c r="BY205" s="2">
        <f t="shared" si="58"/>
        <v>405</v>
      </c>
      <c r="BZ205">
        <f t="shared" si="59"/>
        <v>117.92810442809063</v>
      </c>
      <c r="CA205">
        <v>117.92810442809063</v>
      </c>
      <c r="CB205">
        <v>117.92810442809063</v>
      </c>
      <c r="CC205">
        <v>117.92810442809063</v>
      </c>
      <c r="CD205">
        <v>117.92810442809063</v>
      </c>
      <c r="CE205">
        <v>117.92810442809063</v>
      </c>
      <c r="CF205">
        <v>117.92810442809063</v>
      </c>
      <c r="CG205">
        <v>117.92810442809063</v>
      </c>
      <c r="CH205">
        <f t="shared" si="60"/>
        <v>0.94416143862633151</v>
      </c>
      <c r="CI205">
        <f t="shared" si="61"/>
        <v>-1.2934660673790657</v>
      </c>
      <c r="CJ205">
        <f t="shared" si="62"/>
        <v>-0.72919463694050324</v>
      </c>
      <c r="CK205">
        <f t="shared" si="63"/>
        <v>0.47615738762511317</v>
      </c>
      <c r="CL205">
        <f t="shared" si="64"/>
        <v>0.62034778500465093</v>
      </c>
      <c r="CM205">
        <f t="shared" si="65"/>
        <v>0.81880370103820488</v>
      </c>
      <c r="CN205">
        <f t="shared" si="66"/>
        <v>-1.3726473134266906</v>
      </c>
      <c r="CO205" s="2">
        <f t="shared" si="67"/>
        <v>0.53583770545195919</v>
      </c>
      <c r="CP205">
        <v>0.45731776188904</v>
      </c>
      <c r="CQ205">
        <v>0.97815419604078102</v>
      </c>
      <c r="CR205">
        <v>-0.76280747699465701</v>
      </c>
      <c r="CS205">
        <v>-0.242401398359331</v>
      </c>
      <c r="CT205">
        <v>-0.16058662575056701</v>
      </c>
      <c r="CU205">
        <v>-6.2657050156336505E-2</v>
      </c>
      <c r="CV205">
        <v>-1.0051245895015</v>
      </c>
      <c r="CW205">
        <v>-1.2611158298270199E-2</v>
      </c>
      <c r="CX205" t="s">
        <v>1826</v>
      </c>
    </row>
    <row r="206" spans="1:102" x14ac:dyDescent="0.35">
      <c r="A206" t="s">
        <v>1599</v>
      </c>
      <c r="B206" t="s">
        <v>178</v>
      </c>
      <c r="C206" t="s">
        <v>1600</v>
      </c>
      <c r="D206" t="s">
        <v>72</v>
      </c>
      <c r="E206" t="s">
        <v>72</v>
      </c>
      <c r="F206" t="s">
        <v>72</v>
      </c>
      <c r="G206" t="s">
        <v>73</v>
      </c>
      <c r="H206" t="s">
        <v>109</v>
      </c>
      <c r="I206" t="s">
        <v>110</v>
      </c>
      <c r="J206" t="s">
        <v>111</v>
      </c>
      <c r="K206" t="s">
        <v>112</v>
      </c>
      <c r="L206" t="s">
        <v>113</v>
      </c>
      <c r="M206" t="s">
        <v>114</v>
      </c>
      <c r="N206">
        <v>48</v>
      </c>
      <c r="O206" t="s">
        <v>80</v>
      </c>
      <c r="P206">
        <v>621</v>
      </c>
      <c r="Q206">
        <v>0.68400000000000005</v>
      </c>
      <c r="R206">
        <v>175</v>
      </c>
      <c r="S206">
        <v>0.81130000000000002</v>
      </c>
      <c r="T206" t="s">
        <v>115</v>
      </c>
      <c r="U206" t="s">
        <v>116</v>
      </c>
      <c r="V206" t="s">
        <v>117</v>
      </c>
      <c r="W206" t="s">
        <v>118</v>
      </c>
      <c r="X206" t="s">
        <v>119</v>
      </c>
      <c r="Y206" t="s">
        <v>120</v>
      </c>
      <c r="Z206" t="s">
        <v>121</v>
      </c>
      <c r="AA206" t="s">
        <v>88</v>
      </c>
      <c r="AB206">
        <v>502</v>
      </c>
      <c r="AC206">
        <v>13</v>
      </c>
      <c r="AE206">
        <v>1</v>
      </c>
      <c r="AF206" t="s">
        <v>89</v>
      </c>
      <c r="AG206" t="s">
        <v>1601</v>
      </c>
      <c r="AH206" t="s">
        <v>72</v>
      </c>
      <c r="AI206" t="s">
        <v>72</v>
      </c>
      <c r="AJ206" t="s">
        <v>91</v>
      </c>
      <c r="AK206" t="s">
        <v>92</v>
      </c>
      <c r="AL206" t="s">
        <v>93</v>
      </c>
      <c r="AM206" t="s">
        <v>94</v>
      </c>
      <c r="AN206" t="s">
        <v>1602</v>
      </c>
      <c r="AO206" t="s">
        <v>1603</v>
      </c>
      <c r="AP206" t="s">
        <v>97</v>
      </c>
      <c r="AQ206">
        <v>39</v>
      </c>
      <c r="AR206" t="s">
        <v>80</v>
      </c>
      <c r="AS206">
        <v>1323</v>
      </c>
      <c r="AT206">
        <v>0.95489999999999997</v>
      </c>
      <c r="AU206">
        <v>172</v>
      </c>
      <c r="AV206">
        <v>0.94740000000000002</v>
      </c>
      <c r="AW206" t="s">
        <v>98</v>
      </c>
      <c r="AX206" t="s">
        <v>146</v>
      </c>
      <c r="AY206" t="s">
        <v>1604</v>
      </c>
      <c r="AZ206" t="s">
        <v>101</v>
      </c>
      <c r="BA206" t="s">
        <v>128</v>
      </c>
      <c r="BB206" t="s">
        <v>450</v>
      </c>
      <c r="BC206" t="s">
        <v>104</v>
      </c>
      <c r="BD206" t="s">
        <v>105</v>
      </c>
      <c r="BE206">
        <v>133309</v>
      </c>
      <c r="BF206" t="s">
        <v>106</v>
      </c>
      <c r="BG206">
        <v>1447</v>
      </c>
      <c r="BH206" t="s">
        <v>80</v>
      </c>
      <c r="BI206">
        <v>1</v>
      </c>
      <c r="BJ206">
        <v>520</v>
      </c>
      <c r="BK206">
        <v>60</v>
      </c>
      <c r="BL206">
        <v>148</v>
      </c>
      <c r="BM206">
        <v>2050</v>
      </c>
      <c r="BN206">
        <v>2788</v>
      </c>
      <c r="BO206">
        <v>3927</v>
      </c>
      <c r="BP206">
        <v>129</v>
      </c>
      <c r="BQ206" s="2">
        <v>2212</v>
      </c>
      <c r="BR206">
        <f t="shared" si="51"/>
        <v>521</v>
      </c>
      <c r="BS206">
        <f t="shared" si="52"/>
        <v>61</v>
      </c>
      <c r="BT206">
        <f t="shared" si="53"/>
        <v>149</v>
      </c>
      <c r="BU206">
        <f t="shared" si="54"/>
        <v>2051</v>
      </c>
      <c r="BV206">
        <f t="shared" si="55"/>
        <v>2789</v>
      </c>
      <c r="BW206">
        <f t="shared" si="56"/>
        <v>3928</v>
      </c>
      <c r="BX206">
        <f t="shared" si="57"/>
        <v>130</v>
      </c>
      <c r="BY206" s="2">
        <f t="shared" si="58"/>
        <v>2213</v>
      </c>
      <c r="BZ206">
        <f t="shared" si="59"/>
        <v>646.74492699567088</v>
      </c>
      <c r="CA206">
        <v>646.74492699567088</v>
      </c>
      <c r="CB206">
        <v>646.74492699567088</v>
      </c>
      <c r="CC206">
        <v>646.74492699567088</v>
      </c>
      <c r="CD206">
        <v>646.74492699567088</v>
      </c>
      <c r="CE206">
        <v>646.74492699567088</v>
      </c>
      <c r="CF206">
        <v>646.74492699567088</v>
      </c>
      <c r="CG206">
        <v>646.74492699567088</v>
      </c>
      <c r="CH206">
        <f t="shared" si="60"/>
        <v>-9.3895307538724049E-2</v>
      </c>
      <c r="CI206">
        <f t="shared" si="61"/>
        <v>-1.0254031958274814</v>
      </c>
      <c r="CJ206">
        <f t="shared" si="62"/>
        <v>-0.63754676242597452</v>
      </c>
      <c r="CK206">
        <f t="shared" si="63"/>
        <v>0.50123262953011771</v>
      </c>
      <c r="CL206">
        <f t="shared" si="64"/>
        <v>0.63471548342780137</v>
      </c>
      <c r="CM206">
        <f t="shared" si="65"/>
        <v>0.78343844827666353</v>
      </c>
      <c r="CN206">
        <f t="shared" si="66"/>
        <v>-0.69678967853141172</v>
      </c>
      <c r="CO206" s="2">
        <f t="shared" si="67"/>
        <v>0.53424838308900935</v>
      </c>
      <c r="CP206">
        <v>-0.78983719144764097</v>
      </c>
      <c r="CQ206">
        <v>1.7700667348779699</v>
      </c>
      <c r="CR206">
        <v>-0.35333600242235702</v>
      </c>
      <c r="CS206">
        <v>-0.16851845425887599</v>
      </c>
      <c r="CT206">
        <v>-0.12059248312389</v>
      </c>
      <c r="CU206">
        <v>-0.16478461390898799</v>
      </c>
      <c r="CV206">
        <v>0.80750787464971596</v>
      </c>
      <c r="CW206">
        <v>-1.69764759428312E-2</v>
      </c>
      <c r="CX206" t="s">
        <v>1826</v>
      </c>
    </row>
    <row r="207" spans="1:102" x14ac:dyDescent="0.35">
      <c r="A207" t="s">
        <v>1218</v>
      </c>
      <c r="B207" t="s">
        <v>178</v>
      </c>
      <c r="C207" t="s">
        <v>431</v>
      </c>
      <c r="D207" t="s">
        <v>72</v>
      </c>
      <c r="E207" t="s">
        <v>72</v>
      </c>
      <c r="F207" t="s">
        <v>72</v>
      </c>
      <c r="G207" t="s">
        <v>73</v>
      </c>
      <c r="H207" t="s">
        <v>74</v>
      </c>
      <c r="I207" t="s">
        <v>75</v>
      </c>
      <c r="J207" t="s">
        <v>76</v>
      </c>
      <c r="K207" t="s">
        <v>77</v>
      </c>
      <c r="L207" t="s">
        <v>78</v>
      </c>
      <c r="M207" t="s">
        <v>79</v>
      </c>
      <c r="N207">
        <v>60</v>
      </c>
      <c r="O207" t="s">
        <v>80</v>
      </c>
      <c r="P207">
        <v>792</v>
      </c>
      <c r="Q207">
        <v>0.75</v>
      </c>
      <c r="R207">
        <v>177</v>
      </c>
      <c r="S207">
        <v>0.85419999999999996</v>
      </c>
      <c r="T207" t="s">
        <v>81</v>
      </c>
      <c r="U207" t="s">
        <v>82</v>
      </c>
      <c r="V207" t="s">
        <v>83</v>
      </c>
      <c r="W207" t="s">
        <v>84</v>
      </c>
      <c r="X207" t="s">
        <v>85</v>
      </c>
      <c r="Y207" t="s">
        <v>86</v>
      </c>
      <c r="Z207" t="s">
        <v>87</v>
      </c>
      <c r="AA207" t="s">
        <v>88</v>
      </c>
      <c r="AB207">
        <v>697</v>
      </c>
      <c r="AC207">
        <v>7</v>
      </c>
      <c r="AE207">
        <v>22</v>
      </c>
      <c r="AF207" t="s">
        <v>89</v>
      </c>
      <c r="AG207" t="s">
        <v>1219</v>
      </c>
      <c r="AH207" t="s">
        <v>72</v>
      </c>
      <c r="AI207" t="s">
        <v>72</v>
      </c>
      <c r="AJ207" t="s">
        <v>91</v>
      </c>
      <c r="AK207" t="s">
        <v>92</v>
      </c>
      <c r="AL207" t="s">
        <v>93</v>
      </c>
      <c r="AM207" t="s">
        <v>94</v>
      </c>
      <c r="AN207" t="s">
        <v>144</v>
      </c>
      <c r="AO207" t="s">
        <v>145</v>
      </c>
      <c r="AP207" t="s">
        <v>97</v>
      </c>
      <c r="AQ207">
        <v>39</v>
      </c>
      <c r="AR207" t="s">
        <v>80</v>
      </c>
      <c r="AS207">
        <v>1359</v>
      </c>
      <c r="AT207">
        <v>0.96879999999999999</v>
      </c>
      <c r="AU207">
        <v>172</v>
      </c>
      <c r="AV207">
        <v>0.94740000000000002</v>
      </c>
      <c r="AW207" t="s">
        <v>98</v>
      </c>
      <c r="AX207" t="s">
        <v>146</v>
      </c>
      <c r="AY207" t="s">
        <v>127</v>
      </c>
      <c r="AZ207" t="s">
        <v>101</v>
      </c>
      <c r="BA207" t="s">
        <v>128</v>
      </c>
      <c r="BB207" t="s">
        <v>103</v>
      </c>
      <c r="BC207" t="s">
        <v>104</v>
      </c>
      <c r="BD207" t="s">
        <v>105</v>
      </c>
      <c r="BE207">
        <v>12610</v>
      </c>
      <c r="BF207" t="s">
        <v>106</v>
      </c>
      <c r="BG207">
        <v>160</v>
      </c>
      <c r="BH207" t="s">
        <v>80</v>
      </c>
      <c r="BI207">
        <v>1</v>
      </c>
      <c r="BJ207">
        <v>2113</v>
      </c>
      <c r="BK207">
        <v>0</v>
      </c>
      <c r="BL207">
        <v>44</v>
      </c>
      <c r="BM207">
        <v>693</v>
      </c>
      <c r="BN207">
        <v>923</v>
      </c>
      <c r="BO207">
        <v>1265</v>
      </c>
      <c r="BP207">
        <v>26</v>
      </c>
      <c r="BQ207" s="2">
        <v>626</v>
      </c>
      <c r="BR207">
        <f t="shared" si="51"/>
        <v>2114</v>
      </c>
      <c r="BS207">
        <f t="shared" si="52"/>
        <v>1</v>
      </c>
      <c r="BT207">
        <f t="shared" si="53"/>
        <v>45</v>
      </c>
      <c r="BU207">
        <f t="shared" si="54"/>
        <v>694</v>
      </c>
      <c r="BV207">
        <f t="shared" si="55"/>
        <v>924</v>
      </c>
      <c r="BW207">
        <f t="shared" si="56"/>
        <v>1266</v>
      </c>
      <c r="BX207">
        <f t="shared" si="57"/>
        <v>27</v>
      </c>
      <c r="BY207" s="2">
        <f t="shared" si="58"/>
        <v>627</v>
      </c>
      <c r="BZ207">
        <f t="shared" si="59"/>
        <v>183.88730317335498</v>
      </c>
      <c r="CA207">
        <v>183.88730317335498</v>
      </c>
      <c r="CB207">
        <v>183.88730317335498</v>
      </c>
      <c r="CC207">
        <v>183.88730317335498</v>
      </c>
      <c r="CD207">
        <v>183.88730317335498</v>
      </c>
      <c r="CE207">
        <v>183.88730317335498</v>
      </c>
      <c r="CF207">
        <v>183.88730317335498</v>
      </c>
      <c r="CG207">
        <v>183.88730317335498</v>
      </c>
      <c r="CH207">
        <f t="shared" si="60"/>
        <v>1.0605532393348134</v>
      </c>
      <c r="CI207">
        <f t="shared" si="61"/>
        <v>-2.2645517436365941</v>
      </c>
      <c r="CJ207">
        <f t="shared" si="62"/>
        <v>-0.61133922986125044</v>
      </c>
      <c r="CK207">
        <f t="shared" si="63"/>
        <v>0.57680772681826087</v>
      </c>
      <c r="CL207">
        <f t="shared" si="64"/>
        <v>0.70112022758351267</v>
      </c>
      <c r="CM207">
        <f t="shared" si="65"/>
        <v>0.83788196204474219</v>
      </c>
      <c r="CN207">
        <f t="shared" si="66"/>
        <v>-0.83318797947760681</v>
      </c>
      <c r="CO207" s="2">
        <f t="shared" si="67"/>
        <v>0.53271579719412243</v>
      </c>
      <c r="CP207">
        <v>0.59715463623875698</v>
      </c>
      <c r="CQ207">
        <v>-2.2527165794045199</v>
      </c>
      <c r="CR207">
        <v>-0.23624395788751101</v>
      </c>
      <c r="CS207">
        <v>5.4159783880552703E-2</v>
      </c>
      <c r="CT207">
        <v>6.4252767008327299E-2</v>
      </c>
      <c r="CU207">
        <v>-7.5629630202279701E-3</v>
      </c>
      <c r="CV207">
        <v>0.44169120619046398</v>
      </c>
      <c r="CW207">
        <v>-2.1185958175459499E-2</v>
      </c>
      <c r="CX207" t="s">
        <v>1826</v>
      </c>
    </row>
    <row r="208" spans="1:102" x14ac:dyDescent="0.35">
      <c r="A208" t="s">
        <v>1544</v>
      </c>
      <c r="B208" t="s">
        <v>89</v>
      </c>
      <c r="C208" t="s">
        <v>149</v>
      </c>
      <c r="D208" t="s">
        <v>72</v>
      </c>
      <c r="E208" t="s">
        <v>72</v>
      </c>
      <c r="F208" t="s">
        <v>72</v>
      </c>
      <c r="G208" t="s">
        <v>73</v>
      </c>
      <c r="H208" t="s">
        <v>74</v>
      </c>
      <c r="I208" t="s">
        <v>75</v>
      </c>
      <c r="J208" t="s">
        <v>76</v>
      </c>
      <c r="K208" t="s">
        <v>77</v>
      </c>
      <c r="L208" t="s">
        <v>78</v>
      </c>
      <c r="M208" t="s">
        <v>79</v>
      </c>
      <c r="N208">
        <v>60</v>
      </c>
      <c r="O208" t="s">
        <v>80</v>
      </c>
      <c r="P208">
        <v>792</v>
      </c>
      <c r="Q208">
        <v>0.75</v>
      </c>
      <c r="R208">
        <v>177</v>
      </c>
      <c r="S208">
        <v>0.85419999999999996</v>
      </c>
      <c r="T208" t="s">
        <v>81</v>
      </c>
      <c r="U208" t="s">
        <v>82</v>
      </c>
      <c r="V208" t="s">
        <v>83</v>
      </c>
      <c r="W208" t="s">
        <v>84</v>
      </c>
      <c r="X208" t="s">
        <v>85</v>
      </c>
      <c r="Y208" t="s">
        <v>86</v>
      </c>
      <c r="Z208" t="s">
        <v>87</v>
      </c>
      <c r="AA208" t="s">
        <v>88</v>
      </c>
      <c r="AB208">
        <v>294</v>
      </c>
      <c r="AC208">
        <v>5</v>
      </c>
      <c r="AE208">
        <v>22</v>
      </c>
      <c r="AF208" t="s">
        <v>231</v>
      </c>
      <c r="AG208" t="s">
        <v>1545</v>
      </c>
      <c r="AH208" t="s">
        <v>72</v>
      </c>
      <c r="AI208" t="s">
        <v>72</v>
      </c>
      <c r="AJ208" t="s">
        <v>91</v>
      </c>
      <c r="AK208" t="s">
        <v>92</v>
      </c>
      <c r="AL208" t="s">
        <v>93</v>
      </c>
      <c r="AM208" t="s">
        <v>94</v>
      </c>
      <c r="AN208" t="s">
        <v>911</v>
      </c>
      <c r="AO208" t="s">
        <v>912</v>
      </c>
      <c r="AP208" t="s">
        <v>243</v>
      </c>
      <c r="AQ208">
        <v>39</v>
      </c>
      <c r="AR208" t="s">
        <v>80</v>
      </c>
      <c r="AS208">
        <v>1359</v>
      </c>
      <c r="AT208">
        <v>0.96879999999999999</v>
      </c>
      <c r="AU208">
        <v>172</v>
      </c>
      <c r="AV208">
        <v>0.94740000000000002</v>
      </c>
      <c r="AW208" t="s">
        <v>98</v>
      </c>
      <c r="AX208" t="s">
        <v>146</v>
      </c>
      <c r="AY208" t="s">
        <v>127</v>
      </c>
      <c r="AZ208" t="s">
        <v>101</v>
      </c>
      <c r="BA208" t="s">
        <v>128</v>
      </c>
      <c r="BB208" t="s">
        <v>103</v>
      </c>
      <c r="BC208" t="s">
        <v>246</v>
      </c>
      <c r="BD208" t="s">
        <v>105</v>
      </c>
      <c r="BE208">
        <v>3074</v>
      </c>
      <c r="BF208" t="s">
        <v>247</v>
      </c>
      <c r="BG208">
        <v>81</v>
      </c>
      <c r="BH208" t="s">
        <v>80</v>
      </c>
      <c r="BI208">
        <v>1</v>
      </c>
      <c r="BJ208">
        <v>1504</v>
      </c>
      <c r="BK208">
        <v>0</v>
      </c>
      <c r="BL208">
        <v>25</v>
      </c>
      <c r="BM208">
        <v>312</v>
      </c>
      <c r="BN208">
        <v>393</v>
      </c>
      <c r="BO208">
        <v>639</v>
      </c>
      <c r="BP208">
        <v>8</v>
      </c>
      <c r="BQ208" s="2">
        <v>337</v>
      </c>
      <c r="BR208">
        <f t="shared" si="51"/>
        <v>1505</v>
      </c>
      <c r="BS208">
        <f t="shared" si="52"/>
        <v>1</v>
      </c>
      <c r="BT208">
        <f t="shared" si="53"/>
        <v>26</v>
      </c>
      <c r="BU208">
        <f t="shared" si="54"/>
        <v>313</v>
      </c>
      <c r="BV208">
        <f t="shared" si="55"/>
        <v>394</v>
      </c>
      <c r="BW208">
        <f t="shared" si="56"/>
        <v>640</v>
      </c>
      <c r="BX208">
        <f t="shared" si="57"/>
        <v>9</v>
      </c>
      <c r="BY208" s="2">
        <f t="shared" si="58"/>
        <v>338</v>
      </c>
      <c r="BZ208">
        <f t="shared" si="59"/>
        <v>99.222736143729321</v>
      </c>
      <c r="CA208">
        <v>99.222736143729321</v>
      </c>
      <c r="CB208">
        <v>99.222736143729321</v>
      </c>
      <c r="CC208">
        <v>99.222736143729321</v>
      </c>
      <c r="CD208">
        <v>99.222736143729321</v>
      </c>
      <c r="CE208">
        <v>99.222736143729321</v>
      </c>
      <c r="CF208">
        <v>99.222736143729321</v>
      </c>
      <c r="CG208">
        <v>99.222736143729321</v>
      </c>
      <c r="CH208">
        <f t="shared" si="60"/>
        <v>1.180925301058166</v>
      </c>
      <c r="CI208">
        <f t="shared" si="61"/>
        <v>-1.9966111988716961</v>
      </c>
      <c r="CJ208">
        <f t="shared" si="62"/>
        <v>-0.58163785090087816</v>
      </c>
      <c r="CK208">
        <f t="shared" si="63"/>
        <v>0.49893313867475225</v>
      </c>
      <c r="CL208">
        <f t="shared" si="64"/>
        <v>0.59888502295387791</v>
      </c>
      <c r="CM208">
        <f t="shared" si="65"/>
        <v>0.80956877511219094</v>
      </c>
      <c r="CN208">
        <f t="shared" si="66"/>
        <v>-1.0423686894323714</v>
      </c>
      <c r="CO208" s="2">
        <f t="shared" si="67"/>
        <v>0.53230550140595856</v>
      </c>
      <c r="CP208">
        <v>0.74177352492305504</v>
      </c>
      <c r="CQ208">
        <v>-2.2527165794045199</v>
      </c>
      <c r="CR208">
        <v>-0.103541835725296</v>
      </c>
      <c r="CS208">
        <v>-0.17529378886861199</v>
      </c>
      <c r="CT208">
        <v>-0.22033069479630599</v>
      </c>
      <c r="CU208">
        <v>-8.9325613579856994E-2</v>
      </c>
      <c r="CV208">
        <v>-0.11932597577413</v>
      </c>
      <c r="CW208">
        <v>-2.2312898489969701E-2</v>
      </c>
      <c r="CX208" t="s">
        <v>1826</v>
      </c>
    </row>
    <row r="209" spans="1:102" x14ac:dyDescent="0.35">
      <c r="A209" t="s">
        <v>1333</v>
      </c>
      <c r="B209" t="s">
        <v>199</v>
      </c>
      <c r="C209" t="s">
        <v>1334</v>
      </c>
      <c r="D209" t="s">
        <v>72</v>
      </c>
      <c r="E209" t="s">
        <v>72</v>
      </c>
      <c r="F209" t="s">
        <v>72</v>
      </c>
      <c r="G209" t="s">
        <v>73</v>
      </c>
      <c r="H209" t="s">
        <v>74</v>
      </c>
      <c r="I209" t="s">
        <v>75</v>
      </c>
      <c r="J209" t="s">
        <v>76</v>
      </c>
      <c r="K209" t="s">
        <v>77</v>
      </c>
      <c r="L209" t="s">
        <v>78</v>
      </c>
      <c r="M209" t="s">
        <v>79</v>
      </c>
      <c r="N209">
        <v>60</v>
      </c>
      <c r="O209" t="s">
        <v>80</v>
      </c>
      <c r="P209">
        <v>792</v>
      </c>
      <c r="Q209">
        <v>0.75</v>
      </c>
      <c r="R209">
        <v>177</v>
      </c>
      <c r="S209">
        <v>0.85419999999999996</v>
      </c>
      <c r="T209" t="s">
        <v>81</v>
      </c>
      <c r="U209" t="s">
        <v>82</v>
      </c>
      <c r="V209" t="s">
        <v>83</v>
      </c>
      <c r="W209" t="s">
        <v>84</v>
      </c>
      <c r="X209" t="s">
        <v>85</v>
      </c>
      <c r="Y209" t="s">
        <v>86</v>
      </c>
      <c r="Z209" t="s">
        <v>87</v>
      </c>
      <c r="AA209" t="s">
        <v>88</v>
      </c>
      <c r="AB209">
        <v>385</v>
      </c>
      <c r="AC209">
        <v>3</v>
      </c>
      <c r="AE209">
        <v>22</v>
      </c>
      <c r="AF209" t="s">
        <v>89</v>
      </c>
      <c r="AG209" t="s">
        <v>1335</v>
      </c>
      <c r="AH209" t="s">
        <v>72</v>
      </c>
      <c r="AI209" t="s">
        <v>72</v>
      </c>
      <c r="AJ209" t="s">
        <v>91</v>
      </c>
      <c r="AK209" t="s">
        <v>92</v>
      </c>
      <c r="AL209" t="s">
        <v>93</v>
      </c>
      <c r="AM209" t="s">
        <v>94</v>
      </c>
      <c r="AN209" t="s">
        <v>144</v>
      </c>
      <c r="AO209" t="s">
        <v>145</v>
      </c>
      <c r="AP209" t="s">
        <v>97</v>
      </c>
      <c r="AQ209">
        <v>39</v>
      </c>
      <c r="AR209" t="s">
        <v>80</v>
      </c>
      <c r="AS209">
        <v>1359</v>
      </c>
      <c r="AT209">
        <v>0.96879999999999999</v>
      </c>
      <c r="AU209">
        <v>172</v>
      </c>
      <c r="AV209">
        <v>0.94740000000000002</v>
      </c>
      <c r="AW209" t="s">
        <v>98</v>
      </c>
      <c r="AX209" t="s">
        <v>146</v>
      </c>
      <c r="AY209" t="s">
        <v>127</v>
      </c>
      <c r="AZ209" t="s">
        <v>101</v>
      </c>
      <c r="BA209" t="s">
        <v>128</v>
      </c>
      <c r="BB209" t="s">
        <v>103</v>
      </c>
      <c r="BC209" t="s">
        <v>104</v>
      </c>
      <c r="BD209" t="s">
        <v>105</v>
      </c>
      <c r="BE209">
        <v>8331</v>
      </c>
      <c r="BF209" t="s">
        <v>106</v>
      </c>
      <c r="BG209">
        <v>102</v>
      </c>
      <c r="BH209" t="s">
        <v>80</v>
      </c>
      <c r="BI209">
        <v>1</v>
      </c>
      <c r="BJ209">
        <v>1021</v>
      </c>
      <c r="BK209">
        <v>0</v>
      </c>
      <c r="BL209">
        <v>33</v>
      </c>
      <c r="BM209">
        <v>357</v>
      </c>
      <c r="BN209">
        <v>423</v>
      </c>
      <c r="BO209">
        <v>742</v>
      </c>
      <c r="BP209">
        <v>10</v>
      </c>
      <c r="BQ209" s="2">
        <v>357</v>
      </c>
      <c r="BR209">
        <f t="shared" si="51"/>
        <v>1022</v>
      </c>
      <c r="BS209">
        <f t="shared" si="52"/>
        <v>1</v>
      </c>
      <c r="BT209">
        <f t="shared" si="53"/>
        <v>34</v>
      </c>
      <c r="BU209">
        <f t="shared" si="54"/>
        <v>358</v>
      </c>
      <c r="BV209">
        <f t="shared" si="55"/>
        <v>424</v>
      </c>
      <c r="BW209">
        <f t="shared" si="56"/>
        <v>743</v>
      </c>
      <c r="BX209">
        <f t="shared" si="57"/>
        <v>11</v>
      </c>
      <c r="BY209" s="2">
        <f t="shared" si="58"/>
        <v>358</v>
      </c>
      <c r="BZ209">
        <f t="shared" si="59"/>
        <v>105.57361743011946</v>
      </c>
      <c r="CA209">
        <v>105.57361743011946</v>
      </c>
      <c r="CB209">
        <v>105.57361743011946</v>
      </c>
      <c r="CC209">
        <v>105.57361743011946</v>
      </c>
      <c r="CD209">
        <v>105.57361743011946</v>
      </c>
      <c r="CE209">
        <v>105.57361743011946</v>
      </c>
      <c r="CF209">
        <v>105.57361743011946</v>
      </c>
      <c r="CG209">
        <v>105.57361743011946</v>
      </c>
      <c r="CH209">
        <f t="shared" si="60"/>
        <v>0.98589549309366509</v>
      </c>
      <c r="CI209">
        <f t="shared" si="61"/>
        <v>-2.0235554027050289</v>
      </c>
      <c r="CJ209">
        <f t="shared" si="62"/>
        <v>-0.49207648566277368</v>
      </c>
      <c r="CK209">
        <f t="shared" si="63"/>
        <v>0.53032762393884558</v>
      </c>
      <c r="CL209">
        <f t="shared" si="64"/>
        <v>0.60381045388770382</v>
      </c>
      <c r="CM209">
        <f t="shared" si="65"/>
        <v>0.84743341105554648</v>
      </c>
      <c r="CN209">
        <f t="shared" si="66"/>
        <v>-0.98216271754680384</v>
      </c>
      <c r="CO209" s="2">
        <f t="shared" si="67"/>
        <v>0.53032762393884558</v>
      </c>
      <c r="CP209">
        <v>0.50745840491654803</v>
      </c>
      <c r="CQ209">
        <v>-2.2527165794045199</v>
      </c>
      <c r="CR209">
        <v>0.29660737104044599</v>
      </c>
      <c r="CS209">
        <v>-8.2791510780253194E-2</v>
      </c>
      <c r="CT209">
        <v>-0.20662019075705901</v>
      </c>
      <c r="CU209">
        <v>2.0019653859634699E-2</v>
      </c>
      <c r="CV209">
        <v>4.2144862966138598E-2</v>
      </c>
      <c r="CW209">
        <v>-2.77454423257858E-2</v>
      </c>
      <c r="CX209" t="s">
        <v>1826</v>
      </c>
    </row>
    <row r="210" spans="1:102" x14ac:dyDescent="0.35">
      <c r="A210" t="s">
        <v>1451</v>
      </c>
      <c r="B210" t="s">
        <v>159</v>
      </c>
      <c r="C210" t="s">
        <v>301</v>
      </c>
      <c r="D210" t="s">
        <v>72</v>
      </c>
      <c r="E210" t="s">
        <v>72</v>
      </c>
      <c r="F210" t="s">
        <v>72</v>
      </c>
      <c r="G210" t="s">
        <v>73</v>
      </c>
      <c r="H210" t="s">
        <v>109</v>
      </c>
      <c r="I210" t="s">
        <v>110</v>
      </c>
      <c r="J210" t="s">
        <v>111</v>
      </c>
      <c r="K210" t="s">
        <v>112</v>
      </c>
      <c r="L210" t="s">
        <v>113</v>
      </c>
      <c r="M210" t="s">
        <v>114</v>
      </c>
      <c r="N210">
        <v>48</v>
      </c>
      <c r="O210" t="s">
        <v>80</v>
      </c>
      <c r="P210">
        <v>621</v>
      </c>
      <c r="Q210">
        <v>0.68400000000000005</v>
      </c>
      <c r="R210">
        <v>175</v>
      </c>
      <c r="S210">
        <v>0.81130000000000002</v>
      </c>
      <c r="T210" t="s">
        <v>115</v>
      </c>
      <c r="U210" t="s">
        <v>116</v>
      </c>
      <c r="V210" t="s">
        <v>117</v>
      </c>
      <c r="W210" t="s">
        <v>118</v>
      </c>
      <c r="X210" t="s">
        <v>119</v>
      </c>
      <c r="Y210" t="s">
        <v>120</v>
      </c>
      <c r="Z210" t="s">
        <v>121</v>
      </c>
      <c r="AA210" t="s">
        <v>88</v>
      </c>
      <c r="AB210">
        <v>150</v>
      </c>
      <c r="AC210">
        <v>3</v>
      </c>
      <c r="AE210">
        <v>1</v>
      </c>
      <c r="AF210" t="s">
        <v>153</v>
      </c>
      <c r="AG210" t="s">
        <v>1452</v>
      </c>
      <c r="AH210" t="s">
        <v>72</v>
      </c>
      <c r="AI210" t="s">
        <v>72</v>
      </c>
      <c r="AJ210" t="s">
        <v>91</v>
      </c>
      <c r="AK210" t="s">
        <v>92</v>
      </c>
      <c r="AL210" t="s">
        <v>93</v>
      </c>
      <c r="AM210" t="s">
        <v>94</v>
      </c>
      <c r="AN210" t="s">
        <v>144</v>
      </c>
      <c r="AO210" t="s">
        <v>145</v>
      </c>
      <c r="AP210" t="s">
        <v>97</v>
      </c>
      <c r="AQ210">
        <v>39</v>
      </c>
      <c r="AR210" t="s">
        <v>80</v>
      </c>
      <c r="AS210">
        <v>1359</v>
      </c>
      <c r="AT210">
        <v>0.96879999999999999</v>
      </c>
      <c r="AU210">
        <v>172</v>
      </c>
      <c r="AV210">
        <v>0.94740000000000002</v>
      </c>
      <c r="AW210" t="s">
        <v>98</v>
      </c>
      <c r="AX210" t="s">
        <v>146</v>
      </c>
      <c r="AY210" t="s">
        <v>127</v>
      </c>
      <c r="AZ210" t="s">
        <v>101</v>
      </c>
      <c r="BA210" t="s">
        <v>128</v>
      </c>
      <c r="BB210" t="s">
        <v>103</v>
      </c>
      <c r="BC210" t="s">
        <v>104</v>
      </c>
      <c r="BD210" t="s">
        <v>105</v>
      </c>
      <c r="BE210">
        <v>6018</v>
      </c>
      <c r="BF210" t="s">
        <v>106</v>
      </c>
      <c r="BG210">
        <v>88</v>
      </c>
      <c r="BH210" t="s">
        <v>80</v>
      </c>
      <c r="BI210">
        <v>1</v>
      </c>
      <c r="BJ210">
        <v>1405</v>
      </c>
      <c r="BK210">
        <v>0</v>
      </c>
      <c r="BL210">
        <v>26</v>
      </c>
      <c r="BM210">
        <v>358</v>
      </c>
      <c r="BN210">
        <v>481</v>
      </c>
      <c r="BO210">
        <v>753</v>
      </c>
      <c r="BP210">
        <v>6</v>
      </c>
      <c r="BQ210" s="2">
        <v>345</v>
      </c>
      <c r="BR210">
        <f t="shared" si="51"/>
        <v>1406</v>
      </c>
      <c r="BS210">
        <f t="shared" si="52"/>
        <v>1</v>
      </c>
      <c r="BT210">
        <f t="shared" si="53"/>
        <v>27</v>
      </c>
      <c r="BU210">
        <f t="shared" si="54"/>
        <v>359</v>
      </c>
      <c r="BV210">
        <f t="shared" si="55"/>
        <v>482</v>
      </c>
      <c r="BW210">
        <f t="shared" si="56"/>
        <v>754</v>
      </c>
      <c r="BX210">
        <f t="shared" si="57"/>
        <v>7</v>
      </c>
      <c r="BY210" s="2">
        <f t="shared" si="58"/>
        <v>346</v>
      </c>
      <c r="BZ210">
        <f t="shared" si="59"/>
        <v>102.30091238419077</v>
      </c>
      <c r="CA210">
        <v>102.30091238419077</v>
      </c>
      <c r="CB210">
        <v>102.30091238419077</v>
      </c>
      <c r="CC210">
        <v>102.30091238419077</v>
      </c>
      <c r="CD210">
        <v>102.30091238419077</v>
      </c>
      <c r="CE210">
        <v>102.30091238419077</v>
      </c>
      <c r="CF210">
        <v>102.30091238419077</v>
      </c>
      <c r="CG210">
        <v>102.30091238419077</v>
      </c>
      <c r="CH210">
        <f t="shared" si="60"/>
        <v>1.138105813641709</v>
      </c>
      <c r="CI210">
        <f t="shared" si="61"/>
        <v>-2.0098795070420961</v>
      </c>
      <c r="CJ210">
        <f t="shared" si="62"/>
        <v>-0.57851574288310881</v>
      </c>
      <c r="CK210">
        <f t="shared" si="63"/>
        <v>0.54521494153622307</v>
      </c>
      <c r="CL210">
        <f t="shared" si="64"/>
        <v>0.67316753119675343</v>
      </c>
      <c r="CM210">
        <f t="shared" si="65"/>
        <v>0.86749183882767789</v>
      </c>
      <c r="CN210">
        <f t="shared" si="66"/>
        <v>-1.1647814670278394</v>
      </c>
      <c r="CO210" s="2">
        <f t="shared" si="67"/>
        <v>0.52919659175068057</v>
      </c>
      <c r="CP210">
        <v>0.69032880763947702</v>
      </c>
      <c r="CQ210">
        <v>-2.2527165794045199</v>
      </c>
      <c r="CR210">
        <v>-8.9592639624656106E-2</v>
      </c>
      <c r="CS210">
        <v>-3.8926775276615103E-2</v>
      </c>
      <c r="CT210">
        <v>-1.3556781408343301E-2</v>
      </c>
      <c r="CU210">
        <v>7.7944260673247306E-2</v>
      </c>
      <c r="CV210">
        <v>-0.44763383713438298</v>
      </c>
      <c r="CW210">
        <v>-3.0851995711468801E-2</v>
      </c>
      <c r="CX210" t="s">
        <v>1826</v>
      </c>
    </row>
    <row r="211" spans="1:102" x14ac:dyDescent="0.35">
      <c r="A211" t="s">
        <v>692</v>
      </c>
      <c r="B211" t="s">
        <v>89</v>
      </c>
      <c r="C211" t="s">
        <v>548</v>
      </c>
      <c r="D211" t="s">
        <v>72</v>
      </c>
      <c r="E211" t="s">
        <v>72</v>
      </c>
      <c r="F211" t="s">
        <v>72</v>
      </c>
      <c r="G211" t="s">
        <v>73</v>
      </c>
      <c r="H211" t="s">
        <v>109</v>
      </c>
      <c r="I211" t="s">
        <v>110</v>
      </c>
      <c r="J211" t="s">
        <v>111</v>
      </c>
      <c r="K211" t="s">
        <v>112</v>
      </c>
      <c r="L211" t="s">
        <v>113</v>
      </c>
      <c r="M211" t="s">
        <v>114</v>
      </c>
      <c r="N211">
        <v>48</v>
      </c>
      <c r="O211" t="s">
        <v>80</v>
      </c>
      <c r="P211">
        <v>621</v>
      </c>
      <c r="Q211">
        <v>0.68400000000000005</v>
      </c>
      <c r="R211">
        <v>175</v>
      </c>
      <c r="S211">
        <v>0.81130000000000002</v>
      </c>
      <c r="T211" t="s">
        <v>115</v>
      </c>
      <c r="U211" t="s">
        <v>116</v>
      </c>
      <c r="V211" t="s">
        <v>117</v>
      </c>
      <c r="W211" t="s">
        <v>118</v>
      </c>
      <c r="X211" t="s">
        <v>119</v>
      </c>
      <c r="Y211" t="s">
        <v>120</v>
      </c>
      <c r="Z211" t="s">
        <v>121</v>
      </c>
      <c r="AA211" t="s">
        <v>88</v>
      </c>
      <c r="AB211">
        <v>135</v>
      </c>
      <c r="AC211">
        <v>1</v>
      </c>
      <c r="AE211">
        <v>1</v>
      </c>
      <c r="AF211" t="s">
        <v>153</v>
      </c>
      <c r="AG211" t="s">
        <v>693</v>
      </c>
      <c r="AH211" t="s">
        <v>72</v>
      </c>
      <c r="AI211" t="s">
        <v>72</v>
      </c>
      <c r="AJ211" t="s">
        <v>91</v>
      </c>
      <c r="AK211" t="s">
        <v>92</v>
      </c>
      <c r="AL211" t="s">
        <v>93</v>
      </c>
      <c r="AM211" t="s">
        <v>94</v>
      </c>
      <c r="AN211" t="s">
        <v>144</v>
      </c>
      <c r="AO211" t="s">
        <v>145</v>
      </c>
      <c r="AP211" t="s">
        <v>97</v>
      </c>
      <c r="AQ211">
        <v>39</v>
      </c>
      <c r="AR211" t="s">
        <v>80</v>
      </c>
      <c r="AS211">
        <v>1359</v>
      </c>
      <c r="AT211">
        <v>0.96879999999999999</v>
      </c>
      <c r="AU211">
        <v>172</v>
      </c>
      <c r="AV211">
        <v>0.94740000000000002</v>
      </c>
      <c r="AW211" t="s">
        <v>98</v>
      </c>
      <c r="AX211" t="s">
        <v>146</v>
      </c>
      <c r="AY211" t="s">
        <v>127</v>
      </c>
      <c r="AZ211" t="s">
        <v>101</v>
      </c>
      <c r="BA211" t="s">
        <v>128</v>
      </c>
      <c r="BB211" t="s">
        <v>103</v>
      </c>
      <c r="BC211" t="s">
        <v>104</v>
      </c>
      <c r="BD211" t="s">
        <v>105</v>
      </c>
      <c r="BE211">
        <v>4599</v>
      </c>
      <c r="BF211" t="s">
        <v>106</v>
      </c>
      <c r="BG211">
        <v>60</v>
      </c>
      <c r="BH211" t="s">
        <v>80</v>
      </c>
      <c r="BI211">
        <v>1</v>
      </c>
      <c r="BJ211">
        <v>136</v>
      </c>
      <c r="BK211">
        <v>0</v>
      </c>
      <c r="BL211">
        <v>10</v>
      </c>
      <c r="BM211">
        <v>130</v>
      </c>
      <c r="BN211">
        <v>165</v>
      </c>
      <c r="BO211">
        <v>270</v>
      </c>
      <c r="BP211">
        <v>0</v>
      </c>
      <c r="BQ211" s="2">
        <v>105</v>
      </c>
      <c r="BR211">
        <f t="shared" si="51"/>
        <v>137</v>
      </c>
      <c r="BS211">
        <f t="shared" si="52"/>
        <v>1</v>
      </c>
      <c r="BT211">
        <f t="shared" si="53"/>
        <v>11</v>
      </c>
      <c r="BU211">
        <f t="shared" si="54"/>
        <v>131</v>
      </c>
      <c r="BV211">
        <f t="shared" si="55"/>
        <v>166</v>
      </c>
      <c r="BW211">
        <f t="shared" si="56"/>
        <v>271</v>
      </c>
      <c r="BX211">
        <f t="shared" si="57"/>
        <v>1</v>
      </c>
      <c r="BY211" s="2">
        <f t="shared" si="58"/>
        <v>106</v>
      </c>
      <c r="BZ211">
        <f t="shared" si="59"/>
        <v>31.384916245394585</v>
      </c>
      <c r="CA211">
        <v>31.384916245394585</v>
      </c>
      <c r="CB211">
        <v>31.384916245394585</v>
      </c>
      <c r="CC211">
        <v>31.384916245394585</v>
      </c>
      <c r="CD211">
        <v>31.384916245394585</v>
      </c>
      <c r="CE211">
        <v>31.384916245394585</v>
      </c>
      <c r="CF211">
        <v>31.384916245394585</v>
      </c>
      <c r="CG211">
        <v>31.384916245394585</v>
      </c>
      <c r="CH211">
        <f t="shared" si="60"/>
        <v>0.63999959313770338</v>
      </c>
      <c r="CI211">
        <f t="shared" si="61"/>
        <v>-1.4967209740187033</v>
      </c>
      <c r="CJ211">
        <f t="shared" si="62"/>
        <v>-0.45532828886047838</v>
      </c>
      <c r="CK211">
        <f t="shared" si="63"/>
        <v>0.62055032163706092</v>
      </c>
      <c r="CL211">
        <f t="shared" si="64"/>
        <v>0.7233871140213517</v>
      </c>
      <c r="CM211">
        <f t="shared" si="65"/>
        <v>0.93624831685570231</v>
      </c>
      <c r="CN211">
        <f t="shared" si="66"/>
        <v>-1.4967209740187033</v>
      </c>
      <c r="CO211" s="2">
        <f t="shared" si="67"/>
        <v>0.52858489124606678</v>
      </c>
      <c r="CP211">
        <v>9.1887881857363601E-2</v>
      </c>
      <c r="CQ211">
        <v>-2.2527165794045199</v>
      </c>
      <c r="CR211">
        <v>0.46079381193955898</v>
      </c>
      <c r="CS211">
        <v>0.18304514817932199</v>
      </c>
      <c r="CT211">
        <v>0.12623520885942</v>
      </c>
      <c r="CU211">
        <v>0.276498803477221</v>
      </c>
      <c r="CV211">
        <v>-2.6172399890044602</v>
      </c>
      <c r="CW211">
        <v>-3.2532124971728603E-2</v>
      </c>
      <c r="CX211" t="s">
        <v>1826</v>
      </c>
    </row>
    <row r="212" spans="1:102" x14ac:dyDescent="0.35">
      <c r="A212" t="s">
        <v>1311</v>
      </c>
      <c r="B212" t="s">
        <v>159</v>
      </c>
      <c r="C212" t="s">
        <v>1312</v>
      </c>
      <c r="D212" t="s">
        <v>72</v>
      </c>
      <c r="E212" t="s">
        <v>72</v>
      </c>
      <c r="F212" t="s">
        <v>72</v>
      </c>
      <c r="G212" t="s">
        <v>73</v>
      </c>
      <c r="H212" t="s">
        <v>109</v>
      </c>
      <c r="I212" t="s">
        <v>110</v>
      </c>
      <c r="J212" t="s">
        <v>111</v>
      </c>
      <c r="K212" t="s">
        <v>112</v>
      </c>
      <c r="L212" t="s">
        <v>113</v>
      </c>
      <c r="M212" t="s">
        <v>114</v>
      </c>
      <c r="N212">
        <v>48</v>
      </c>
      <c r="O212" t="s">
        <v>80</v>
      </c>
      <c r="P212">
        <v>621</v>
      </c>
      <c r="Q212">
        <v>0.68400000000000005</v>
      </c>
      <c r="R212">
        <v>175</v>
      </c>
      <c r="S212">
        <v>0.81130000000000002</v>
      </c>
      <c r="T212" t="s">
        <v>115</v>
      </c>
      <c r="U212" t="s">
        <v>116</v>
      </c>
      <c r="V212" t="s">
        <v>117</v>
      </c>
      <c r="W212" t="s">
        <v>118</v>
      </c>
      <c r="X212" t="s">
        <v>119</v>
      </c>
      <c r="Y212" t="s">
        <v>120</v>
      </c>
      <c r="Z212" t="s">
        <v>121</v>
      </c>
      <c r="AA212" t="s">
        <v>88</v>
      </c>
      <c r="AB212">
        <v>351</v>
      </c>
      <c r="AC212">
        <v>1</v>
      </c>
      <c r="AE212">
        <v>1</v>
      </c>
      <c r="AF212" t="s">
        <v>142</v>
      </c>
      <c r="AG212" t="s">
        <v>1313</v>
      </c>
      <c r="AH212" t="s">
        <v>72</v>
      </c>
      <c r="AI212" t="s">
        <v>72</v>
      </c>
      <c r="AJ212" t="s">
        <v>91</v>
      </c>
      <c r="AK212" t="s">
        <v>92</v>
      </c>
      <c r="AL212" t="s">
        <v>93</v>
      </c>
      <c r="AM212" t="s">
        <v>94</v>
      </c>
      <c r="AN212" t="s">
        <v>1314</v>
      </c>
      <c r="AO212" t="s">
        <v>1315</v>
      </c>
      <c r="AP212" t="s">
        <v>380</v>
      </c>
      <c r="AQ212">
        <v>39</v>
      </c>
      <c r="AR212" t="s">
        <v>80</v>
      </c>
      <c r="AS212">
        <v>1359</v>
      </c>
      <c r="AT212">
        <v>0.96879999999999999</v>
      </c>
      <c r="AU212">
        <v>163</v>
      </c>
      <c r="AV212">
        <v>0.92110000000000003</v>
      </c>
      <c r="AW212" t="s">
        <v>98</v>
      </c>
      <c r="AX212" t="s">
        <v>146</v>
      </c>
      <c r="AY212" t="s">
        <v>127</v>
      </c>
      <c r="AZ212" t="s">
        <v>101</v>
      </c>
      <c r="BA212" t="s">
        <v>128</v>
      </c>
      <c r="BB212" t="s">
        <v>103</v>
      </c>
      <c r="BC212" t="s">
        <v>382</v>
      </c>
      <c r="BD212" t="s">
        <v>105</v>
      </c>
      <c r="BE212">
        <v>4007</v>
      </c>
      <c r="BF212" t="s">
        <v>106</v>
      </c>
      <c r="BG212">
        <v>54</v>
      </c>
      <c r="BH212" t="s">
        <v>80</v>
      </c>
      <c r="BI212">
        <v>1</v>
      </c>
      <c r="BJ212">
        <v>723</v>
      </c>
      <c r="BK212">
        <v>0</v>
      </c>
      <c r="BL212">
        <v>16</v>
      </c>
      <c r="BM212">
        <v>214</v>
      </c>
      <c r="BN212">
        <v>315</v>
      </c>
      <c r="BO212">
        <v>527</v>
      </c>
      <c r="BP212">
        <v>6</v>
      </c>
      <c r="BQ212" s="2">
        <v>243</v>
      </c>
      <c r="BR212">
        <f t="shared" si="51"/>
        <v>724</v>
      </c>
      <c r="BS212">
        <f t="shared" si="52"/>
        <v>1</v>
      </c>
      <c r="BT212">
        <f t="shared" si="53"/>
        <v>17</v>
      </c>
      <c r="BU212">
        <f t="shared" si="54"/>
        <v>215</v>
      </c>
      <c r="BV212">
        <f t="shared" si="55"/>
        <v>316</v>
      </c>
      <c r="BW212">
        <f t="shared" si="56"/>
        <v>528</v>
      </c>
      <c r="BX212">
        <f t="shared" si="57"/>
        <v>7</v>
      </c>
      <c r="BY212" s="2">
        <f t="shared" si="58"/>
        <v>244</v>
      </c>
      <c r="BZ212">
        <f t="shared" si="59"/>
        <v>72.39012930467976</v>
      </c>
      <c r="CA212">
        <v>72.39012930467976</v>
      </c>
      <c r="CB212">
        <v>72.39012930467976</v>
      </c>
      <c r="CC212">
        <v>72.39012930467976</v>
      </c>
      <c r="CD212">
        <v>72.39012930467976</v>
      </c>
      <c r="CE212">
        <v>72.39012930467976</v>
      </c>
      <c r="CF212">
        <v>72.39012930467976</v>
      </c>
      <c r="CG212">
        <v>72.39012930467976</v>
      </c>
      <c r="CH212">
        <f t="shared" si="60"/>
        <v>1.0000592138226183</v>
      </c>
      <c r="CI212">
        <f t="shared" si="61"/>
        <v>-1.8596793523745285</v>
      </c>
      <c r="CJ212">
        <f t="shared" si="62"/>
        <v>-0.62923043099625453</v>
      </c>
      <c r="CK212">
        <f t="shared" si="63"/>
        <v>0.47275910754107675</v>
      </c>
      <c r="CL212">
        <f t="shared" si="64"/>
        <v>0.64000773024387525</v>
      </c>
      <c r="CM212">
        <f t="shared" si="65"/>
        <v>0.86295457015928378</v>
      </c>
      <c r="CN212">
        <f t="shared" si="66"/>
        <v>-1.0145813123602716</v>
      </c>
      <c r="CO212" s="2">
        <f t="shared" si="67"/>
        <v>0.5277104739642009</v>
      </c>
      <c r="CP212">
        <v>0.52447515716063298</v>
      </c>
      <c r="CQ212">
        <v>-2.2527165794045199</v>
      </c>
      <c r="CR212">
        <v>-0.316179652516833</v>
      </c>
      <c r="CS212">
        <v>-0.25241426038625497</v>
      </c>
      <c r="CT212">
        <v>-0.105860904847122</v>
      </c>
      <c r="CU212">
        <v>6.4841563562080401E-2</v>
      </c>
      <c r="CV212">
        <v>-4.4800958708512001E-2</v>
      </c>
      <c r="CW212">
        <v>-3.49338461569473E-2</v>
      </c>
      <c r="CX212" t="s">
        <v>1826</v>
      </c>
    </row>
    <row r="213" spans="1:102" x14ac:dyDescent="0.35">
      <c r="A213" t="s">
        <v>772</v>
      </c>
      <c r="B213" t="s">
        <v>130</v>
      </c>
      <c r="C213" t="s">
        <v>149</v>
      </c>
      <c r="D213" t="s">
        <v>72</v>
      </c>
      <c r="E213" t="s">
        <v>72</v>
      </c>
      <c r="F213" t="s">
        <v>72</v>
      </c>
      <c r="G213" t="s">
        <v>73</v>
      </c>
      <c r="H213" t="s">
        <v>74</v>
      </c>
      <c r="I213" t="s">
        <v>75</v>
      </c>
      <c r="J213" t="s">
        <v>76</v>
      </c>
      <c r="K213" t="s">
        <v>77</v>
      </c>
      <c r="L213" t="s">
        <v>78</v>
      </c>
      <c r="M213" t="s">
        <v>79</v>
      </c>
      <c r="N213">
        <v>60</v>
      </c>
      <c r="O213" t="s">
        <v>80</v>
      </c>
      <c r="P213">
        <v>792</v>
      </c>
      <c r="Q213">
        <v>0.75</v>
      </c>
      <c r="R213">
        <v>177</v>
      </c>
      <c r="S213">
        <v>0.85419999999999996</v>
      </c>
      <c r="T213" t="s">
        <v>81</v>
      </c>
      <c r="U213" t="s">
        <v>82</v>
      </c>
      <c r="V213" t="s">
        <v>83</v>
      </c>
      <c r="W213" t="s">
        <v>84</v>
      </c>
      <c r="X213" t="s">
        <v>85</v>
      </c>
      <c r="Y213" t="s">
        <v>86</v>
      </c>
      <c r="Z213" t="s">
        <v>87</v>
      </c>
      <c r="AA213" t="s">
        <v>88</v>
      </c>
      <c r="AB213">
        <v>471</v>
      </c>
      <c r="AC213">
        <v>5</v>
      </c>
      <c r="AE213">
        <v>22</v>
      </c>
      <c r="AF213" t="s">
        <v>89</v>
      </c>
      <c r="AG213" t="s">
        <v>773</v>
      </c>
      <c r="AH213" t="s">
        <v>72</v>
      </c>
      <c r="AI213" t="s">
        <v>72</v>
      </c>
      <c r="AJ213" t="s">
        <v>91</v>
      </c>
      <c r="AK213" t="s">
        <v>92</v>
      </c>
      <c r="AL213" t="s">
        <v>93</v>
      </c>
      <c r="AM213" t="s">
        <v>94</v>
      </c>
      <c r="AN213" t="s">
        <v>774</v>
      </c>
      <c r="AO213" t="s">
        <v>775</v>
      </c>
      <c r="AP213" t="s">
        <v>776</v>
      </c>
      <c r="AQ213">
        <v>39</v>
      </c>
      <c r="AR213" t="s">
        <v>80</v>
      </c>
      <c r="AS213">
        <v>1359</v>
      </c>
      <c r="AT213">
        <v>0.96879999999999999</v>
      </c>
      <c r="AU213">
        <v>154</v>
      </c>
      <c r="AV213">
        <v>0.89470000000000005</v>
      </c>
      <c r="AW213" t="s">
        <v>98</v>
      </c>
      <c r="AX213" t="s">
        <v>146</v>
      </c>
      <c r="AY213" t="s">
        <v>127</v>
      </c>
      <c r="AZ213" t="s">
        <v>760</v>
      </c>
      <c r="BA213" t="s">
        <v>128</v>
      </c>
      <c r="BB213" t="s">
        <v>103</v>
      </c>
      <c r="BC213" t="s">
        <v>104</v>
      </c>
      <c r="BD213" t="s">
        <v>105</v>
      </c>
      <c r="BE213">
        <v>3948</v>
      </c>
      <c r="BF213" t="s">
        <v>777</v>
      </c>
      <c r="BG213">
        <v>46</v>
      </c>
      <c r="BH213" t="s">
        <v>80</v>
      </c>
      <c r="BI213">
        <v>1</v>
      </c>
      <c r="BJ213">
        <v>850</v>
      </c>
      <c r="BK213">
        <v>0</v>
      </c>
      <c r="BL213">
        <v>21</v>
      </c>
      <c r="BM213">
        <v>225</v>
      </c>
      <c r="BN213">
        <v>297</v>
      </c>
      <c r="BO213">
        <v>492</v>
      </c>
      <c r="BP213">
        <v>6</v>
      </c>
      <c r="BQ213" s="2">
        <v>254</v>
      </c>
      <c r="BR213">
        <f t="shared" si="51"/>
        <v>851</v>
      </c>
      <c r="BS213">
        <f t="shared" si="52"/>
        <v>1</v>
      </c>
      <c r="BT213">
        <f t="shared" si="53"/>
        <v>22</v>
      </c>
      <c r="BU213">
        <f t="shared" si="54"/>
        <v>226</v>
      </c>
      <c r="BV213">
        <f t="shared" si="55"/>
        <v>298</v>
      </c>
      <c r="BW213">
        <f t="shared" si="56"/>
        <v>493</v>
      </c>
      <c r="BX213">
        <f t="shared" si="57"/>
        <v>7</v>
      </c>
      <c r="BY213" s="2">
        <f t="shared" si="58"/>
        <v>255</v>
      </c>
      <c r="BZ213">
        <f t="shared" si="59"/>
        <v>75.970548238009044</v>
      </c>
      <c r="CA213">
        <v>75.970548238009044</v>
      </c>
      <c r="CB213">
        <v>75.970548238009044</v>
      </c>
      <c r="CC213">
        <v>75.970548238009044</v>
      </c>
      <c r="CD213">
        <v>75.970548238009044</v>
      </c>
      <c r="CE213">
        <v>75.970548238009044</v>
      </c>
      <c r="CF213">
        <v>75.970548238009044</v>
      </c>
      <c r="CG213">
        <v>75.970548238009044</v>
      </c>
      <c r="CH213">
        <f t="shared" si="60"/>
        <v>1.0492842996026013</v>
      </c>
      <c r="CI213">
        <f t="shared" si="61"/>
        <v>-1.8806452604819865</v>
      </c>
      <c r="CJ213">
        <f t="shared" si="62"/>
        <v>-0.53822257965978026</v>
      </c>
      <c r="CK213">
        <f t="shared" si="63"/>
        <v>0.47346317866541443</v>
      </c>
      <c r="CL213">
        <f t="shared" si="64"/>
        <v>0.59357100359426873</v>
      </c>
      <c r="CM213">
        <f t="shared" si="65"/>
        <v>0.81220165879524353</v>
      </c>
      <c r="CN213">
        <f t="shared" si="66"/>
        <v>-1.0355472204677296</v>
      </c>
      <c r="CO213" s="2">
        <f t="shared" si="67"/>
        <v>0.52589491995196869</v>
      </c>
      <c r="CP213">
        <v>0.58361576752295596</v>
      </c>
      <c r="CQ213">
        <v>-2.2527165794045199</v>
      </c>
      <c r="CR213">
        <v>9.0432276911986506E-2</v>
      </c>
      <c r="CS213">
        <v>-0.25033975008963499</v>
      </c>
      <c r="CT213">
        <v>-0.23512287945454499</v>
      </c>
      <c r="CU213">
        <v>-8.1722387950244696E-2</v>
      </c>
      <c r="CV213">
        <v>-0.101030974785608</v>
      </c>
      <c r="CW213">
        <v>-3.9920543726307198E-2</v>
      </c>
      <c r="CX213" t="s">
        <v>1826</v>
      </c>
    </row>
    <row r="214" spans="1:102" x14ac:dyDescent="0.35">
      <c r="A214" t="s">
        <v>321</v>
      </c>
      <c r="B214" t="s">
        <v>142</v>
      </c>
      <c r="C214" t="s">
        <v>108</v>
      </c>
      <c r="D214" t="s">
        <v>72</v>
      </c>
      <c r="E214" t="s">
        <v>72</v>
      </c>
      <c r="F214" t="s">
        <v>72</v>
      </c>
      <c r="G214" t="s">
        <v>73</v>
      </c>
      <c r="H214" t="s">
        <v>109</v>
      </c>
      <c r="I214" t="s">
        <v>110</v>
      </c>
      <c r="J214" t="s">
        <v>111</v>
      </c>
      <c r="K214" t="s">
        <v>112</v>
      </c>
      <c r="L214" t="s">
        <v>113</v>
      </c>
      <c r="M214" t="s">
        <v>114</v>
      </c>
      <c r="N214">
        <v>48</v>
      </c>
      <c r="O214" t="s">
        <v>80</v>
      </c>
      <c r="P214">
        <v>621</v>
      </c>
      <c r="Q214">
        <v>0.68400000000000005</v>
      </c>
      <c r="R214">
        <v>175</v>
      </c>
      <c r="S214">
        <v>0.81130000000000002</v>
      </c>
      <c r="T214" t="s">
        <v>115</v>
      </c>
      <c r="U214" t="s">
        <v>116</v>
      </c>
      <c r="V214" t="s">
        <v>117</v>
      </c>
      <c r="W214" t="s">
        <v>118</v>
      </c>
      <c r="X214" t="s">
        <v>119</v>
      </c>
      <c r="Y214" t="s">
        <v>120</v>
      </c>
      <c r="Z214" t="s">
        <v>121</v>
      </c>
      <c r="AA214" t="s">
        <v>88</v>
      </c>
      <c r="AB214">
        <v>533</v>
      </c>
      <c r="AC214">
        <v>6</v>
      </c>
      <c r="AE214">
        <v>1</v>
      </c>
      <c r="AF214" t="s">
        <v>159</v>
      </c>
      <c r="AG214" t="s">
        <v>322</v>
      </c>
      <c r="AH214" t="s">
        <v>72</v>
      </c>
      <c r="AI214" t="s">
        <v>72</v>
      </c>
      <c r="AJ214" t="s">
        <v>91</v>
      </c>
      <c r="AK214" t="s">
        <v>92</v>
      </c>
      <c r="AL214" t="s">
        <v>93</v>
      </c>
      <c r="AM214" t="s">
        <v>94</v>
      </c>
      <c r="AN214" t="s">
        <v>144</v>
      </c>
      <c r="AO214" t="s">
        <v>145</v>
      </c>
      <c r="AP214" t="s">
        <v>97</v>
      </c>
      <c r="AQ214">
        <v>39</v>
      </c>
      <c r="AR214" t="s">
        <v>80</v>
      </c>
      <c r="AS214">
        <v>1359</v>
      </c>
      <c r="AT214">
        <v>0.96879999999999999</v>
      </c>
      <c r="AU214">
        <v>172</v>
      </c>
      <c r="AV214">
        <v>0.94740000000000002</v>
      </c>
      <c r="AW214" t="s">
        <v>98</v>
      </c>
      <c r="AX214" t="s">
        <v>146</v>
      </c>
      <c r="AY214" t="s">
        <v>127</v>
      </c>
      <c r="AZ214" t="s">
        <v>101</v>
      </c>
      <c r="BA214" t="s">
        <v>128</v>
      </c>
      <c r="BB214" t="s">
        <v>103</v>
      </c>
      <c r="BC214" t="s">
        <v>104</v>
      </c>
      <c r="BD214" t="s">
        <v>105</v>
      </c>
      <c r="BE214">
        <v>2366</v>
      </c>
      <c r="BF214" t="s">
        <v>106</v>
      </c>
      <c r="BG214">
        <v>40</v>
      </c>
      <c r="BH214" t="s">
        <v>80</v>
      </c>
      <c r="BI214">
        <v>1</v>
      </c>
      <c r="BJ214">
        <v>2574</v>
      </c>
      <c r="BK214">
        <v>4</v>
      </c>
      <c r="BL214">
        <v>64</v>
      </c>
      <c r="BM214">
        <v>848</v>
      </c>
      <c r="BN214">
        <v>1100</v>
      </c>
      <c r="BO214">
        <v>1667</v>
      </c>
      <c r="BP214">
        <v>23</v>
      </c>
      <c r="BQ214" s="2">
        <v>899</v>
      </c>
      <c r="BR214">
        <f t="shared" si="51"/>
        <v>2575</v>
      </c>
      <c r="BS214">
        <f t="shared" si="52"/>
        <v>5</v>
      </c>
      <c r="BT214">
        <f t="shared" si="53"/>
        <v>65</v>
      </c>
      <c r="BU214">
        <f t="shared" si="54"/>
        <v>849</v>
      </c>
      <c r="BV214">
        <f t="shared" si="55"/>
        <v>1101</v>
      </c>
      <c r="BW214">
        <f t="shared" si="56"/>
        <v>1668</v>
      </c>
      <c r="BX214">
        <f t="shared" si="57"/>
        <v>24</v>
      </c>
      <c r="BY214" s="2">
        <f t="shared" si="58"/>
        <v>900</v>
      </c>
      <c r="BZ214">
        <f t="shared" si="59"/>
        <v>269.92970193156674</v>
      </c>
      <c r="CA214">
        <v>269.92970193156674</v>
      </c>
      <c r="CB214">
        <v>269.92970193156674</v>
      </c>
      <c r="CC214">
        <v>269.92970193156674</v>
      </c>
      <c r="CD214">
        <v>269.92970193156674</v>
      </c>
      <c r="CE214">
        <v>269.92970193156674</v>
      </c>
      <c r="CF214">
        <v>269.92970193156674</v>
      </c>
      <c r="CG214">
        <v>269.92970193156674</v>
      </c>
      <c r="CH214">
        <f t="shared" si="60"/>
        <v>0.97952655824915491</v>
      </c>
      <c r="CI214">
        <f t="shared" si="61"/>
        <v>-1.732280670792036</v>
      </c>
      <c r="CJ214">
        <f t="shared" si="62"/>
        <v>-0.61833731848519935</v>
      </c>
      <c r="CK214">
        <f t="shared" si="63"/>
        <v>0.49765701511589777</v>
      </c>
      <c r="CL214">
        <f t="shared" si="64"/>
        <v>0.61053664384369688</v>
      </c>
      <c r="CM214">
        <f t="shared" si="65"/>
        <v>0.79094537117366503</v>
      </c>
      <c r="CN214">
        <f t="shared" si="66"/>
        <v>-1.0510394334164488</v>
      </c>
      <c r="CO214" s="2">
        <f t="shared" si="67"/>
        <v>0.52299183431126994</v>
      </c>
      <c r="CP214">
        <v>0.49980656057551898</v>
      </c>
      <c r="CQ214">
        <v>-0.31819387579851</v>
      </c>
      <c r="CR214">
        <v>-0.26751056044883598</v>
      </c>
      <c r="CS214">
        <v>-0.17905382300592099</v>
      </c>
      <c r="CT214">
        <v>-0.187897066669164</v>
      </c>
      <c r="CU214">
        <v>-0.14310616721671701</v>
      </c>
      <c r="CV214">
        <v>-0.14258068389963299</v>
      </c>
      <c r="CW214">
        <v>-4.7894313721899999E-2</v>
      </c>
      <c r="CX214" t="s">
        <v>1826</v>
      </c>
    </row>
    <row r="215" spans="1:102" x14ac:dyDescent="0.35">
      <c r="A215" t="s">
        <v>609</v>
      </c>
      <c r="B215" t="s">
        <v>70</v>
      </c>
      <c r="C215" t="s">
        <v>131</v>
      </c>
      <c r="D215" t="s">
        <v>72</v>
      </c>
      <c r="E215" t="s">
        <v>72</v>
      </c>
      <c r="F215" t="s">
        <v>72</v>
      </c>
      <c r="G215" t="s">
        <v>73</v>
      </c>
      <c r="H215" t="s">
        <v>109</v>
      </c>
      <c r="I215" t="s">
        <v>110</v>
      </c>
      <c r="J215" t="s">
        <v>111</v>
      </c>
      <c r="K215" t="s">
        <v>112</v>
      </c>
      <c r="L215" t="s">
        <v>113</v>
      </c>
      <c r="M215" t="s">
        <v>114</v>
      </c>
      <c r="N215">
        <v>48</v>
      </c>
      <c r="O215" t="s">
        <v>80</v>
      </c>
      <c r="P215">
        <v>621</v>
      </c>
      <c r="Q215">
        <v>0.68400000000000005</v>
      </c>
      <c r="R215">
        <v>175</v>
      </c>
      <c r="S215">
        <v>0.81130000000000002</v>
      </c>
      <c r="T215" t="s">
        <v>115</v>
      </c>
      <c r="U215" t="s">
        <v>116</v>
      </c>
      <c r="V215" t="s">
        <v>117</v>
      </c>
      <c r="W215" t="s">
        <v>118</v>
      </c>
      <c r="X215" t="s">
        <v>119</v>
      </c>
      <c r="Y215" t="s">
        <v>120</v>
      </c>
      <c r="Z215" t="s">
        <v>121</v>
      </c>
      <c r="AA215" t="s">
        <v>88</v>
      </c>
      <c r="AB215">
        <v>945</v>
      </c>
      <c r="AC215">
        <v>7</v>
      </c>
      <c r="AE215">
        <v>1</v>
      </c>
      <c r="AF215" t="s">
        <v>153</v>
      </c>
      <c r="AG215" t="s">
        <v>610</v>
      </c>
      <c r="AH215" t="s">
        <v>72</v>
      </c>
      <c r="AI215" t="s">
        <v>72</v>
      </c>
      <c r="AJ215" t="s">
        <v>91</v>
      </c>
      <c r="AK215" t="s">
        <v>92</v>
      </c>
      <c r="AL215" t="s">
        <v>93</v>
      </c>
      <c r="AM215" t="s">
        <v>94</v>
      </c>
      <c r="AN215" t="s">
        <v>611</v>
      </c>
      <c r="AO215" t="s">
        <v>612</v>
      </c>
      <c r="AP215" t="s">
        <v>97</v>
      </c>
      <c r="AQ215">
        <v>39</v>
      </c>
      <c r="AR215" t="s">
        <v>80</v>
      </c>
      <c r="AS215">
        <v>1341</v>
      </c>
      <c r="AT215">
        <v>0.96179999999999999</v>
      </c>
      <c r="AU215">
        <v>172</v>
      </c>
      <c r="AV215">
        <v>0.94740000000000002</v>
      </c>
      <c r="AW215" t="s">
        <v>98</v>
      </c>
      <c r="AX215" t="s">
        <v>613</v>
      </c>
      <c r="AY215" t="s">
        <v>614</v>
      </c>
      <c r="AZ215" t="s">
        <v>101</v>
      </c>
      <c r="BA215" t="s">
        <v>185</v>
      </c>
      <c r="BB215" t="s">
        <v>186</v>
      </c>
      <c r="BC215" t="s">
        <v>104</v>
      </c>
      <c r="BD215" t="s">
        <v>105</v>
      </c>
      <c r="BE215">
        <v>474</v>
      </c>
      <c r="BF215" t="s">
        <v>106</v>
      </c>
      <c r="BG215">
        <v>4</v>
      </c>
      <c r="BH215" t="s">
        <v>80</v>
      </c>
      <c r="BI215">
        <v>1</v>
      </c>
      <c r="BJ215">
        <v>33</v>
      </c>
      <c r="BK215">
        <v>0</v>
      </c>
      <c r="BL215">
        <v>4</v>
      </c>
      <c r="BM215">
        <v>82</v>
      </c>
      <c r="BN215">
        <v>89</v>
      </c>
      <c r="BO215">
        <v>170</v>
      </c>
      <c r="BP215">
        <v>0</v>
      </c>
      <c r="BQ215" s="2">
        <v>60</v>
      </c>
      <c r="BR215">
        <f t="shared" si="51"/>
        <v>34</v>
      </c>
      <c r="BS215">
        <f t="shared" si="52"/>
        <v>1</v>
      </c>
      <c r="BT215">
        <f t="shared" si="53"/>
        <v>5</v>
      </c>
      <c r="BU215">
        <f t="shared" si="54"/>
        <v>83</v>
      </c>
      <c r="BV215">
        <f t="shared" si="55"/>
        <v>90</v>
      </c>
      <c r="BW215">
        <f t="shared" si="56"/>
        <v>171</v>
      </c>
      <c r="BX215">
        <f t="shared" si="57"/>
        <v>1</v>
      </c>
      <c r="BY215" s="2">
        <f t="shared" si="58"/>
        <v>61</v>
      </c>
      <c r="BZ215">
        <f t="shared" si="59"/>
        <v>18.418825507410933</v>
      </c>
      <c r="CA215">
        <v>18.418825507410933</v>
      </c>
      <c r="CB215">
        <v>18.418825507410933</v>
      </c>
      <c r="CC215">
        <v>18.418825507410933</v>
      </c>
      <c r="CD215">
        <v>18.418825507410933</v>
      </c>
      <c r="CE215">
        <v>18.418825507410933</v>
      </c>
      <c r="CF215">
        <v>18.418825507410933</v>
      </c>
      <c r="CG215">
        <v>18.418825507410933</v>
      </c>
      <c r="CH215">
        <f t="shared" si="60"/>
        <v>0.26621698346768091</v>
      </c>
      <c r="CI215">
        <f t="shared" si="61"/>
        <v>-1.2652619335745743</v>
      </c>
      <c r="CJ215">
        <f t="shared" si="62"/>
        <v>-0.56629192923855542</v>
      </c>
      <c r="CK215">
        <f t="shared" si="63"/>
        <v>0.65381615880149968</v>
      </c>
      <c r="CL215">
        <f t="shared" si="64"/>
        <v>0.68898057586475059</v>
      </c>
      <c r="CM215">
        <f t="shared" si="65"/>
        <v>0.96773417681757956</v>
      </c>
      <c r="CN215">
        <f t="shared" si="66"/>
        <v>-1.2652619335745743</v>
      </c>
      <c r="CO215" s="2">
        <f t="shared" si="67"/>
        <v>0.52006790143619275</v>
      </c>
      <c r="CP215">
        <v>-0.35718663631638298</v>
      </c>
      <c r="CQ215">
        <v>-2.2527165794045199</v>
      </c>
      <c r="CR215">
        <v>-3.4978137930579203E-2</v>
      </c>
      <c r="CS215">
        <v>0.28106127089455601</v>
      </c>
      <c r="CT215">
        <v>3.0460648884797499E-2</v>
      </c>
      <c r="CU215">
        <v>0.36742348008692699</v>
      </c>
      <c r="CV215">
        <v>-2.6172399890044602</v>
      </c>
      <c r="CW215">
        <v>-5.5925343844320699E-2</v>
      </c>
      <c r="CX215" t="s">
        <v>1826</v>
      </c>
    </row>
    <row r="216" spans="1:102" x14ac:dyDescent="0.35">
      <c r="A216" t="s">
        <v>1425</v>
      </c>
      <c r="B216" t="s">
        <v>89</v>
      </c>
      <c r="C216" t="s">
        <v>1426</v>
      </c>
      <c r="D216" t="s">
        <v>72</v>
      </c>
      <c r="E216" t="s">
        <v>72</v>
      </c>
      <c r="F216" t="s">
        <v>72</v>
      </c>
      <c r="G216" t="s">
        <v>73</v>
      </c>
      <c r="H216" t="s">
        <v>109</v>
      </c>
      <c r="I216" t="s">
        <v>110</v>
      </c>
      <c r="J216" t="s">
        <v>111</v>
      </c>
      <c r="K216" t="s">
        <v>112</v>
      </c>
      <c r="L216" t="s">
        <v>113</v>
      </c>
      <c r="M216" t="s">
        <v>114</v>
      </c>
      <c r="N216">
        <v>48</v>
      </c>
      <c r="O216" t="s">
        <v>80</v>
      </c>
      <c r="P216">
        <v>621</v>
      </c>
      <c r="Q216">
        <v>0.68400000000000005</v>
      </c>
      <c r="R216">
        <v>175</v>
      </c>
      <c r="S216">
        <v>0.81130000000000002</v>
      </c>
      <c r="T216" t="s">
        <v>115</v>
      </c>
      <c r="U216" t="s">
        <v>116</v>
      </c>
      <c r="V216" t="s">
        <v>117</v>
      </c>
      <c r="W216" t="s">
        <v>118</v>
      </c>
      <c r="X216" t="s">
        <v>119</v>
      </c>
      <c r="Y216" t="s">
        <v>120</v>
      </c>
      <c r="Z216" t="s">
        <v>121</v>
      </c>
      <c r="AA216" t="s">
        <v>88</v>
      </c>
      <c r="AB216">
        <v>679</v>
      </c>
      <c r="AC216">
        <v>3</v>
      </c>
      <c r="AE216">
        <v>1</v>
      </c>
      <c r="AF216" t="s">
        <v>142</v>
      </c>
      <c r="AG216" t="s">
        <v>1427</v>
      </c>
      <c r="AH216" t="s">
        <v>72</v>
      </c>
      <c r="AI216" t="s">
        <v>72</v>
      </c>
      <c r="AJ216" t="s">
        <v>91</v>
      </c>
      <c r="AK216" t="s">
        <v>92</v>
      </c>
      <c r="AL216" t="s">
        <v>93</v>
      </c>
      <c r="AM216" t="s">
        <v>94</v>
      </c>
      <c r="AN216" t="s">
        <v>144</v>
      </c>
      <c r="AO216" t="s">
        <v>145</v>
      </c>
      <c r="AP216" t="s">
        <v>97</v>
      </c>
      <c r="AQ216">
        <v>39</v>
      </c>
      <c r="AR216" t="s">
        <v>80</v>
      </c>
      <c r="AS216">
        <v>1359</v>
      </c>
      <c r="AT216">
        <v>0.96879999999999999</v>
      </c>
      <c r="AU216">
        <v>172</v>
      </c>
      <c r="AV216">
        <v>0.94740000000000002</v>
      </c>
      <c r="AW216" t="s">
        <v>98</v>
      </c>
      <c r="AX216" t="s">
        <v>146</v>
      </c>
      <c r="AY216" t="s">
        <v>127</v>
      </c>
      <c r="AZ216" t="s">
        <v>101</v>
      </c>
      <c r="BA216" t="s">
        <v>128</v>
      </c>
      <c r="BB216" t="s">
        <v>103</v>
      </c>
      <c r="BC216" t="s">
        <v>104</v>
      </c>
      <c r="BD216" t="s">
        <v>105</v>
      </c>
      <c r="BE216">
        <v>6525</v>
      </c>
      <c r="BF216" t="s">
        <v>106</v>
      </c>
      <c r="BG216">
        <v>78</v>
      </c>
      <c r="BH216" t="s">
        <v>80</v>
      </c>
      <c r="BI216">
        <v>1</v>
      </c>
      <c r="BJ216">
        <v>1473</v>
      </c>
      <c r="BK216">
        <v>0</v>
      </c>
      <c r="BL216">
        <v>22</v>
      </c>
      <c r="BM216">
        <v>332</v>
      </c>
      <c r="BN216">
        <v>388</v>
      </c>
      <c r="BO216">
        <v>607</v>
      </c>
      <c r="BP216">
        <v>6</v>
      </c>
      <c r="BQ216" s="2">
        <v>308</v>
      </c>
      <c r="BR216">
        <f t="shared" si="51"/>
        <v>1474</v>
      </c>
      <c r="BS216">
        <f t="shared" si="52"/>
        <v>1</v>
      </c>
      <c r="BT216">
        <f t="shared" si="53"/>
        <v>23</v>
      </c>
      <c r="BU216">
        <f t="shared" si="54"/>
        <v>333</v>
      </c>
      <c r="BV216">
        <f t="shared" si="55"/>
        <v>389</v>
      </c>
      <c r="BW216">
        <f t="shared" si="56"/>
        <v>608</v>
      </c>
      <c r="BX216">
        <f t="shared" si="57"/>
        <v>7</v>
      </c>
      <c r="BY216" s="2">
        <f t="shared" si="58"/>
        <v>309</v>
      </c>
      <c r="BZ216">
        <f t="shared" si="59"/>
        <v>93.367860383620908</v>
      </c>
      <c r="CA216">
        <v>93.367860383620908</v>
      </c>
      <c r="CB216">
        <v>93.367860383620908</v>
      </c>
      <c r="CC216">
        <v>93.367860383620908</v>
      </c>
      <c r="CD216">
        <v>93.367860383620908</v>
      </c>
      <c r="CE216">
        <v>93.367860383620908</v>
      </c>
      <c r="CF216">
        <v>93.367860383620908</v>
      </c>
      <c r="CG216">
        <v>93.367860383620908</v>
      </c>
      <c r="CH216">
        <f t="shared" si="60"/>
        <v>1.1983000768874728</v>
      </c>
      <c r="CI216">
        <f t="shared" si="61"/>
        <v>-1.9701974066355599</v>
      </c>
      <c r="CJ216">
        <f t="shared" si="62"/>
        <v>-0.60846957061796714</v>
      </c>
      <c r="CK216">
        <f t="shared" si="63"/>
        <v>0.55224682687075999</v>
      </c>
      <c r="CL216">
        <f t="shared" si="64"/>
        <v>0.61975219469014786</v>
      </c>
      <c r="CM216">
        <f t="shared" si="65"/>
        <v>0.81370617263717493</v>
      </c>
      <c r="CN216">
        <f t="shared" si="66"/>
        <v>-1.1250993666213032</v>
      </c>
      <c r="CO216" s="2">
        <f t="shared" si="67"/>
        <v>0.51976107278927475</v>
      </c>
      <c r="CP216">
        <v>0.76264814263416503</v>
      </c>
      <c r="CQ216">
        <v>-2.2527165794045199</v>
      </c>
      <c r="CR216">
        <v>-0.22342267198108301</v>
      </c>
      <c r="CS216">
        <v>-1.8207677408661499E-2</v>
      </c>
      <c r="CT216">
        <v>-0.16224451995768199</v>
      </c>
      <c r="CU216">
        <v>-7.7377661946315304E-2</v>
      </c>
      <c r="CV216">
        <v>-0.34120748381850902</v>
      </c>
      <c r="CW216">
        <v>-5.6768095785319099E-2</v>
      </c>
      <c r="CX216" t="s">
        <v>1826</v>
      </c>
    </row>
    <row r="217" spans="1:102" x14ac:dyDescent="0.35">
      <c r="A217" t="s">
        <v>1540</v>
      </c>
      <c r="B217" t="s">
        <v>89</v>
      </c>
      <c r="C217" t="s">
        <v>1541</v>
      </c>
      <c r="D217" t="s">
        <v>72</v>
      </c>
      <c r="E217" t="s">
        <v>72</v>
      </c>
      <c r="F217" t="s">
        <v>72</v>
      </c>
      <c r="G217" t="s">
        <v>73</v>
      </c>
      <c r="H217" t="s">
        <v>74</v>
      </c>
      <c r="I217" t="s">
        <v>75</v>
      </c>
      <c r="J217" t="s">
        <v>76</v>
      </c>
      <c r="K217" t="s">
        <v>77</v>
      </c>
      <c r="L217" t="s">
        <v>78</v>
      </c>
      <c r="M217" t="s">
        <v>79</v>
      </c>
      <c r="N217">
        <v>60</v>
      </c>
      <c r="O217" t="s">
        <v>80</v>
      </c>
      <c r="P217">
        <v>792</v>
      </c>
      <c r="Q217">
        <v>0.75</v>
      </c>
      <c r="R217">
        <v>177</v>
      </c>
      <c r="S217">
        <v>0.85419999999999996</v>
      </c>
      <c r="T217" t="s">
        <v>81</v>
      </c>
      <c r="U217" t="s">
        <v>82</v>
      </c>
      <c r="V217" t="s">
        <v>83</v>
      </c>
      <c r="W217" t="s">
        <v>84</v>
      </c>
      <c r="X217" t="s">
        <v>85</v>
      </c>
      <c r="Y217" t="s">
        <v>86</v>
      </c>
      <c r="Z217" t="s">
        <v>87</v>
      </c>
      <c r="AA217" t="s">
        <v>88</v>
      </c>
      <c r="AB217">
        <v>430</v>
      </c>
      <c r="AC217">
        <v>7</v>
      </c>
      <c r="AE217">
        <v>22</v>
      </c>
      <c r="AF217" t="s">
        <v>231</v>
      </c>
      <c r="AG217" t="s">
        <v>161</v>
      </c>
      <c r="AH217" t="s">
        <v>72</v>
      </c>
      <c r="AI217" t="s">
        <v>72</v>
      </c>
      <c r="AJ217" t="s">
        <v>91</v>
      </c>
      <c r="AK217" t="s">
        <v>92</v>
      </c>
      <c r="AL217" t="s">
        <v>93</v>
      </c>
      <c r="AM217" t="s">
        <v>94</v>
      </c>
      <c r="AN217" t="s">
        <v>144</v>
      </c>
      <c r="AO217" t="s">
        <v>145</v>
      </c>
      <c r="AP217" t="s">
        <v>97</v>
      </c>
      <c r="AQ217">
        <v>39</v>
      </c>
      <c r="AR217" t="s">
        <v>80</v>
      </c>
      <c r="AS217">
        <v>1359</v>
      </c>
      <c r="AT217">
        <v>0.96879999999999999</v>
      </c>
      <c r="AU217">
        <v>172</v>
      </c>
      <c r="AV217">
        <v>0.94740000000000002</v>
      </c>
      <c r="AW217" t="s">
        <v>98</v>
      </c>
      <c r="AX217" t="s">
        <v>146</v>
      </c>
      <c r="AY217" t="s">
        <v>127</v>
      </c>
      <c r="AZ217" t="s">
        <v>101</v>
      </c>
      <c r="BA217" t="s">
        <v>128</v>
      </c>
      <c r="BB217" t="s">
        <v>103</v>
      </c>
      <c r="BC217" t="s">
        <v>104</v>
      </c>
      <c r="BD217" t="s">
        <v>105</v>
      </c>
      <c r="BE217">
        <v>5214</v>
      </c>
      <c r="BF217" t="s">
        <v>106</v>
      </c>
      <c r="BG217">
        <v>69</v>
      </c>
      <c r="BH217" t="s">
        <v>80</v>
      </c>
      <c r="BI217">
        <v>1</v>
      </c>
      <c r="BJ217">
        <v>1226</v>
      </c>
      <c r="BK217">
        <v>0</v>
      </c>
      <c r="BL217">
        <v>32</v>
      </c>
      <c r="BM217">
        <v>292</v>
      </c>
      <c r="BN217">
        <v>422</v>
      </c>
      <c r="BO217">
        <v>659</v>
      </c>
      <c r="BP217">
        <v>14</v>
      </c>
      <c r="BQ217" s="2">
        <v>353</v>
      </c>
      <c r="BR217">
        <f t="shared" si="51"/>
        <v>1227</v>
      </c>
      <c r="BS217">
        <f t="shared" si="52"/>
        <v>1</v>
      </c>
      <c r="BT217">
        <f t="shared" si="53"/>
        <v>33</v>
      </c>
      <c r="BU217">
        <f t="shared" si="54"/>
        <v>293</v>
      </c>
      <c r="BV217">
        <f t="shared" si="55"/>
        <v>423</v>
      </c>
      <c r="BW217">
        <f t="shared" si="56"/>
        <v>660</v>
      </c>
      <c r="BX217">
        <f t="shared" si="57"/>
        <v>15</v>
      </c>
      <c r="BY217" s="2">
        <f t="shared" si="58"/>
        <v>354</v>
      </c>
      <c r="BZ217">
        <f t="shared" si="59"/>
        <v>107.3125755780156</v>
      </c>
      <c r="CA217">
        <v>107.3125755780156</v>
      </c>
      <c r="CB217">
        <v>107.3125755780156</v>
      </c>
      <c r="CC217">
        <v>107.3125755780156</v>
      </c>
      <c r="CD217">
        <v>107.3125755780156</v>
      </c>
      <c r="CE217">
        <v>107.3125755780156</v>
      </c>
      <c r="CF217">
        <v>107.3125755780156</v>
      </c>
      <c r="CG217">
        <v>107.3125755780156</v>
      </c>
      <c r="CH217">
        <f t="shared" si="60"/>
        <v>1.0581939443573316</v>
      </c>
      <c r="CI217">
        <f t="shared" si="61"/>
        <v>-2.0306506183696724</v>
      </c>
      <c r="CJ217">
        <f t="shared" si="62"/>
        <v>-0.51213667849178512</v>
      </c>
      <c r="CK217">
        <f t="shared" si="63"/>
        <v>0.4362170019844368</v>
      </c>
      <c r="CL217">
        <f t="shared" si="64"/>
        <v>0.59568974900536975</v>
      </c>
      <c r="CM217">
        <f t="shared" si="65"/>
        <v>0.78889331717219602</v>
      </c>
      <c r="CN217">
        <f t="shared" si="66"/>
        <v>-0.85455935931399141</v>
      </c>
      <c r="CO217" s="2">
        <f t="shared" si="67"/>
        <v>0.51835264365611522</v>
      </c>
      <c r="CP217">
        <v>0.59432010293562199</v>
      </c>
      <c r="CQ217">
        <v>-2.2527165794045199</v>
      </c>
      <c r="CR217">
        <v>0.206980887268606</v>
      </c>
      <c r="CS217">
        <v>-0.36008374379073499</v>
      </c>
      <c r="CT217">
        <v>-0.229225107684457</v>
      </c>
      <c r="CU217">
        <v>-0.149032076392935</v>
      </c>
      <c r="CV217">
        <v>0.38437372556284699</v>
      </c>
      <c r="CW217">
        <v>-6.0636562428350499E-2</v>
      </c>
      <c r="CX217" t="s">
        <v>1826</v>
      </c>
    </row>
    <row r="218" spans="1:102" x14ac:dyDescent="0.35">
      <c r="A218" t="s">
        <v>1805</v>
      </c>
      <c r="B218" t="s">
        <v>70</v>
      </c>
      <c r="C218" t="s">
        <v>149</v>
      </c>
      <c r="D218" t="s">
        <v>72</v>
      </c>
      <c r="E218" t="s">
        <v>72</v>
      </c>
      <c r="F218" t="s">
        <v>72</v>
      </c>
      <c r="G218" t="s">
        <v>73</v>
      </c>
      <c r="H218" t="s">
        <v>74</v>
      </c>
      <c r="I218" t="s">
        <v>75</v>
      </c>
      <c r="J218" t="s">
        <v>76</v>
      </c>
      <c r="K218" t="s">
        <v>77</v>
      </c>
      <c r="L218" t="s">
        <v>78</v>
      </c>
      <c r="M218" t="s">
        <v>79</v>
      </c>
      <c r="N218">
        <v>60</v>
      </c>
      <c r="O218" t="s">
        <v>80</v>
      </c>
      <c r="P218">
        <v>792</v>
      </c>
      <c r="Q218">
        <v>0.75</v>
      </c>
      <c r="R218">
        <v>177</v>
      </c>
      <c r="S218">
        <v>0.85419999999999996</v>
      </c>
      <c r="T218" t="s">
        <v>81</v>
      </c>
      <c r="U218" t="s">
        <v>82</v>
      </c>
      <c r="V218" t="s">
        <v>83</v>
      </c>
      <c r="W218" t="s">
        <v>84</v>
      </c>
      <c r="X218" t="s">
        <v>85</v>
      </c>
      <c r="Y218" t="s">
        <v>86</v>
      </c>
      <c r="Z218" t="s">
        <v>87</v>
      </c>
      <c r="AA218" t="s">
        <v>88</v>
      </c>
      <c r="AB218">
        <v>237</v>
      </c>
      <c r="AC218">
        <v>2</v>
      </c>
      <c r="AE218">
        <v>22</v>
      </c>
      <c r="AF218" t="s">
        <v>89</v>
      </c>
      <c r="AG218" t="s">
        <v>161</v>
      </c>
      <c r="AH218" t="s">
        <v>72</v>
      </c>
      <c r="AI218" t="s">
        <v>72</v>
      </c>
      <c r="AJ218" t="s">
        <v>91</v>
      </c>
      <c r="AK218" t="s">
        <v>92</v>
      </c>
      <c r="AL218" t="s">
        <v>93</v>
      </c>
      <c r="AM218" t="s">
        <v>94</v>
      </c>
      <c r="AN218" t="s">
        <v>144</v>
      </c>
      <c r="AO218" t="s">
        <v>145</v>
      </c>
      <c r="AP218" t="s">
        <v>97</v>
      </c>
      <c r="AQ218">
        <v>39</v>
      </c>
      <c r="AR218" t="s">
        <v>80</v>
      </c>
      <c r="AS218">
        <v>1359</v>
      </c>
      <c r="AT218">
        <v>0.96879999999999999</v>
      </c>
      <c r="AU218">
        <v>172</v>
      </c>
      <c r="AV218">
        <v>0.94740000000000002</v>
      </c>
      <c r="AW218" t="s">
        <v>98</v>
      </c>
      <c r="AX218" t="s">
        <v>146</v>
      </c>
      <c r="AY218" t="s">
        <v>127</v>
      </c>
      <c r="AZ218" t="s">
        <v>101</v>
      </c>
      <c r="BA218" t="s">
        <v>128</v>
      </c>
      <c r="BB218" t="s">
        <v>103</v>
      </c>
      <c r="BC218" t="s">
        <v>104</v>
      </c>
      <c r="BD218" t="s">
        <v>105</v>
      </c>
      <c r="BE218">
        <v>4274</v>
      </c>
      <c r="BF218" t="s">
        <v>106</v>
      </c>
      <c r="BG218">
        <v>68</v>
      </c>
      <c r="BH218" t="s">
        <v>80</v>
      </c>
      <c r="BI218">
        <v>1</v>
      </c>
      <c r="BJ218">
        <v>868</v>
      </c>
      <c r="BK218">
        <v>0</v>
      </c>
      <c r="BL218">
        <v>23</v>
      </c>
      <c r="BM218">
        <v>298</v>
      </c>
      <c r="BN218">
        <v>350</v>
      </c>
      <c r="BO218">
        <v>554</v>
      </c>
      <c r="BP218">
        <v>12</v>
      </c>
      <c r="BQ218" s="2">
        <v>299</v>
      </c>
      <c r="BR218">
        <f t="shared" si="51"/>
        <v>869</v>
      </c>
      <c r="BS218">
        <f t="shared" si="52"/>
        <v>1</v>
      </c>
      <c r="BT218">
        <f t="shared" si="53"/>
        <v>24</v>
      </c>
      <c r="BU218">
        <f t="shared" si="54"/>
        <v>299</v>
      </c>
      <c r="BV218">
        <f t="shared" si="55"/>
        <v>351</v>
      </c>
      <c r="BW218">
        <f t="shared" si="56"/>
        <v>555</v>
      </c>
      <c r="BX218">
        <f t="shared" si="57"/>
        <v>13</v>
      </c>
      <c r="BY218" s="2">
        <f t="shared" si="58"/>
        <v>300</v>
      </c>
      <c r="BZ218">
        <f t="shared" si="59"/>
        <v>91.08479057842537</v>
      </c>
      <c r="CA218">
        <v>91.08479057842537</v>
      </c>
      <c r="CB218">
        <v>91.08479057842537</v>
      </c>
      <c r="CC218">
        <v>91.08479057842537</v>
      </c>
      <c r="CD218">
        <v>91.08479057842537</v>
      </c>
      <c r="CE218">
        <v>91.08479057842537</v>
      </c>
      <c r="CF218">
        <v>91.08479057842537</v>
      </c>
      <c r="CG218">
        <v>91.08479057842537</v>
      </c>
      <c r="CH218">
        <f t="shared" si="60"/>
        <v>0.97957391231120383</v>
      </c>
      <c r="CI218">
        <f t="shared" si="61"/>
        <v>-1.9594458641374628</v>
      </c>
      <c r="CJ218">
        <f t="shared" si="62"/>
        <v>-0.57923462242585666</v>
      </c>
      <c r="CK218">
        <f t="shared" si="63"/>
        <v>0.51622532418696698</v>
      </c>
      <c r="CL218">
        <f t="shared" si="64"/>
        <v>0.58586125232836139</v>
      </c>
      <c r="CM218">
        <f t="shared" si="65"/>
        <v>0.78484711898521353</v>
      </c>
      <c r="CN218">
        <f t="shared" si="66"/>
        <v>-0.84550251183062586</v>
      </c>
      <c r="CO218" s="2">
        <f t="shared" si="67"/>
        <v>0.51767539058219969</v>
      </c>
      <c r="CP218">
        <v>0.49986345327744802</v>
      </c>
      <c r="CQ218">
        <v>-2.2527165794045199</v>
      </c>
      <c r="CR218">
        <v>-9.2804505344053198E-2</v>
      </c>
      <c r="CS218">
        <v>-0.124343230528487</v>
      </c>
      <c r="CT218">
        <v>-0.25658385968002501</v>
      </c>
      <c r="CU218">
        <v>-0.16071666312792099</v>
      </c>
      <c r="CV218">
        <v>0.40866395315457699</v>
      </c>
      <c r="CW218">
        <v>-6.2496741874834401E-2</v>
      </c>
      <c r="CX218" t="s">
        <v>1826</v>
      </c>
    </row>
    <row r="219" spans="1:102" x14ac:dyDescent="0.35">
      <c r="A219" t="s">
        <v>1336</v>
      </c>
      <c r="B219" t="s">
        <v>159</v>
      </c>
      <c r="C219" t="s">
        <v>108</v>
      </c>
      <c r="D219" t="s">
        <v>72</v>
      </c>
      <c r="E219" t="s">
        <v>72</v>
      </c>
      <c r="F219" t="s">
        <v>72</v>
      </c>
      <c r="G219" t="s">
        <v>73</v>
      </c>
      <c r="H219" t="s">
        <v>109</v>
      </c>
      <c r="I219" t="s">
        <v>110</v>
      </c>
      <c r="J219" t="s">
        <v>111</v>
      </c>
      <c r="K219" t="s">
        <v>112</v>
      </c>
      <c r="L219" t="s">
        <v>113</v>
      </c>
      <c r="M219" t="s">
        <v>114</v>
      </c>
      <c r="N219">
        <v>48</v>
      </c>
      <c r="O219" t="s">
        <v>80</v>
      </c>
      <c r="P219">
        <v>621</v>
      </c>
      <c r="Q219">
        <v>0.68400000000000005</v>
      </c>
      <c r="R219">
        <v>175</v>
      </c>
      <c r="S219">
        <v>0.81130000000000002</v>
      </c>
      <c r="T219" t="s">
        <v>115</v>
      </c>
      <c r="U219" t="s">
        <v>116</v>
      </c>
      <c r="V219" t="s">
        <v>117</v>
      </c>
      <c r="W219" t="s">
        <v>118</v>
      </c>
      <c r="X219" t="s">
        <v>119</v>
      </c>
      <c r="Y219" t="s">
        <v>120</v>
      </c>
      <c r="Z219" t="s">
        <v>121</v>
      </c>
      <c r="AA219" t="s">
        <v>88</v>
      </c>
      <c r="AB219">
        <v>446</v>
      </c>
      <c r="AC219">
        <v>6</v>
      </c>
      <c r="AE219">
        <v>1</v>
      </c>
      <c r="AF219" t="s">
        <v>142</v>
      </c>
      <c r="AG219" t="s">
        <v>1337</v>
      </c>
      <c r="AH219" t="s">
        <v>72</v>
      </c>
      <c r="AI219" t="s">
        <v>72</v>
      </c>
      <c r="AJ219" t="s">
        <v>91</v>
      </c>
      <c r="AK219" t="s">
        <v>92</v>
      </c>
      <c r="AL219" t="s">
        <v>93</v>
      </c>
      <c r="AM219" t="s">
        <v>94</v>
      </c>
      <c r="AN219" t="s">
        <v>144</v>
      </c>
      <c r="AO219" t="s">
        <v>145</v>
      </c>
      <c r="AP219" t="s">
        <v>97</v>
      </c>
      <c r="AQ219">
        <v>39</v>
      </c>
      <c r="AR219" t="s">
        <v>80</v>
      </c>
      <c r="AS219">
        <v>1359</v>
      </c>
      <c r="AT219">
        <v>0.96879999999999999</v>
      </c>
      <c r="AU219">
        <v>172</v>
      </c>
      <c r="AV219">
        <v>0.94740000000000002</v>
      </c>
      <c r="AW219" t="s">
        <v>98</v>
      </c>
      <c r="AX219" t="s">
        <v>146</v>
      </c>
      <c r="AY219" t="s">
        <v>127</v>
      </c>
      <c r="AZ219" t="s">
        <v>101</v>
      </c>
      <c r="BA219" t="s">
        <v>128</v>
      </c>
      <c r="BB219" t="s">
        <v>103</v>
      </c>
      <c r="BC219" t="s">
        <v>104</v>
      </c>
      <c r="BD219" t="s">
        <v>105</v>
      </c>
      <c r="BE219">
        <v>9043</v>
      </c>
      <c r="BF219" t="s">
        <v>106</v>
      </c>
      <c r="BG219">
        <v>116</v>
      </c>
      <c r="BH219" t="s">
        <v>80</v>
      </c>
      <c r="BI219">
        <v>1</v>
      </c>
      <c r="BJ219">
        <v>1265</v>
      </c>
      <c r="BK219">
        <v>0</v>
      </c>
      <c r="BL219">
        <v>30</v>
      </c>
      <c r="BM219">
        <v>342</v>
      </c>
      <c r="BN219">
        <v>535</v>
      </c>
      <c r="BO219">
        <v>768</v>
      </c>
      <c r="BP219">
        <v>19</v>
      </c>
      <c r="BQ219" s="2">
        <v>391</v>
      </c>
      <c r="BR219">
        <f t="shared" si="51"/>
        <v>1266</v>
      </c>
      <c r="BS219">
        <f t="shared" si="52"/>
        <v>1</v>
      </c>
      <c r="BT219">
        <f t="shared" si="53"/>
        <v>31</v>
      </c>
      <c r="BU219">
        <f t="shared" si="54"/>
        <v>343</v>
      </c>
      <c r="BV219">
        <f t="shared" si="55"/>
        <v>536</v>
      </c>
      <c r="BW219">
        <f t="shared" si="56"/>
        <v>769</v>
      </c>
      <c r="BX219">
        <f t="shared" si="57"/>
        <v>20</v>
      </c>
      <c r="BY219" s="2">
        <f t="shared" si="58"/>
        <v>392</v>
      </c>
      <c r="BZ219">
        <f t="shared" si="59"/>
        <v>120.17443499910515</v>
      </c>
      <c r="CA219">
        <v>120.17443499910515</v>
      </c>
      <c r="CB219">
        <v>120.17443499910515</v>
      </c>
      <c r="CC219">
        <v>120.17443499910515</v>
      </c>
      <c r="CD219">
        <v>120.17443499910515</v>
      </c>
      <c r="CE219">
        <v>120.17443499910515</v>
      </c>
      <c r="CF219">
        <v>120.17443499910515</v>
      </c>
      <c r="CG219">
        <v>120.17443499910515</v>
      </c>
      <c r="CH219">
        <f t="shared" si="60"/>
        <v>1.0226216167142088</v>
      </c>
      <c r="CI219">
        <f t="shared" si="61"/>
        <v>-2.0798120889671274</v>
      </c>
      <c r="CJ219">
        <f t="shared" si="62"/>
        <v>-0.58845039513285469</v>
      </c>
      <c r="CK219">
        <f t="shared" si="63"/>
        <v>0.45548203107564311</v>
      </c>
      <c r="CL219">
        <f t="shared" si="64"/>
        <v>0.64935270072564266</v>
      </c>
      <c r="CM219">
        <f t="shared" si="65"/>
        <v>0.80611425083430366</v>
      </c>
      <c r="CN219">
        <f t="shared" si="66"/>
        <v>-0.77878209330314618</v>
      </c>
      <c r="CO219" s="2">
        <f t="shared" si="67"/>
        <v>0.51347397805332984</v>
      </c>
      <c r="CP219">
        <v>0.55158235783090404</v>
      </c>
      <c r="CQ219">
        <v>-2.2527165794045199</v>
      </c>
      <c r="CR219">
        <v>-0.13397944867631201</v>
      </c>
      <c r="CS219">
        <v>-0.30332030067694399</v>
      </c>
      <c r="CT219">
        <v>-7.9848103681440505E-2</v>
      </c>
      <c r="CU219">
        <v>-9.9301567966606899E-2</v>
      </c>
      <c r="CV219">
        <v>0.58760636706014002</v>
      </c>
      <c r="CW219">
        <v>-7.4036565809806998E-2</v>
      </c>
      <c r="CX219" t="s">
        <v>1826</v>
      </c>
    </row>
    <row r="220" spans="1:102" x14ac:dyDescent="0.35">
      <c r="A220" t="s">
        <v>527</v>
      </c>
      <c r="B220" t="s">
        <v>89</v>
      </c>
      <c r="C220" t="s">
        <v>152</v>
      </c>
      <c r="D220" t="s">
        <v>72</v>
      </c>
      <c r="E220" t="s">
        <v>72</v>
      </c>
      <c r="F220" t="s">
        <v>72</v>
      </c>
      <c r="G220" t="s">
        <v>73</v>
      </c>
      <c r="H220" t="s">
        <v>109</v>
      </c>
      <c r="I220" t="s">
        <v>110</v>
      </c>
      <c r="J220" t="s">
        <v>111</v>
      </c>
      <c r="K220" t="s">
        <v>112</v>
      </c>
      <c r="L220" t="s">
        <v>113</v>
      </c>
      <c r="M220" t="s">
        <v>114</v>
      </c>
      <c r="N220">
        <v>48</v>
      </c>
      <c r="O220" t="s">
        <v>80</v>
      </c>
      <c r="P220">
        <v>621</v>
      </c>
      <c r="Q220">
        <v>0.68400000000000005</v>
      </c>
      <c r="R220">
        <v>175</v>
      </c>
      <c r="S220">
        <v>0.81130000000000002</v>
      </c>
      <c r="T220" t="s">
        <v>115</v>
      </c>
      <c r="U220" t="s">
        <v>116</v>
      </c>
      <c r="V220" t="s">
        <v>117</v>
      </c>
      <c r="W220" t="s">
        <v>118</v>
      </c>
      <c r="X220" t="s">
        <v>119</v>
      </c>
      <c r="Y220" t="s">
        <v>120</v>
      </c>
      <c r="Z220" t="s">
        <v>121</v>
      </c>
      <c r="AA220" t="s">
        <v>88</v>
      </c>
      <c r="AB220">
        <v>277</v>
      </c>
      <c r="AC220">
        <v>2</v>
      </c>
      <c r="AE220">
        <v>1</v>
      </c>
      <c r="AF220" t="s">
        <v>142</v>
      </c>
      <c r="AG220" t="s">
        <v>528</v>
      </c>
      <c r="AH220" t="s">
        <v>72</v>
      </c>
      <c r="AI220" t="s">
        <v>72</v>
      </c>
      <c r="AJ220" t="s">
        <v>91</v>
      </c>
      <c r="AK220" t="s">
        <v>92</v>
      </c>
      <c r="AL220" t="s">
        <v>93</v>
      </c>
      <c r="AM220" t="s">
        <v>94</v>
      </c>
      <c r="AN220" t="s">
        <v>144</v>
      </c>
      <c r="AO220" t="s">
        <v>145</v>
      </c>
      <c r="AP220" t="s">
        <v>97</v>
      </c>
      <c r="AQ220">
        <v>39</v>
      </c>
      <c r="AR220" t="s">
        <v>80</v>
      </c>
      <c r="AS220">
        <v>1359</v>
      </c>
      <c r="AT220">
        <v>0.96879999999999999</v>
      </c>
      <c r="AU220">
        <v>172</v>
      </c>
      <c r="AV220">
        <v>0.94740000000000002</v>
      </c>
      <c r="AW220" t="s">
        <v>98</v>
      </c>
      <c r="AX220" t="s">
        <v>146</v>
      </c>
      <c r="AY220" t="s">
        <v>127</v>
      </c>
      <c r="AZ220" t="s">
        <v>101</v>
      </c>
      <c r="BA220" t="s">
        <v>128</v>
      </c>
      <c r="BB220" t="s">
        <v>103</v>
      </c>
      <c r="BC220" t="s">
        <v>104</v>
      </c>
      <c r="BD220" t="s">
        <v>105</v>
      </c>
      <c r="BE220">
        <v>4213</v>
      </c>
      <c r="BF220" t="s">
        <v>106</v>
      </c>
      <c r="BG220">
        <v>50</v>
      </c>
      <c r="BH220" t="s">
        <v>80</v>
      </c>
      <c r="BI220">
        <v>1</v>
      </c>
      <c r="BJ220">
        <v>984</v>
      </c>
      <c r="BK220">
        <v>0</v>
      </c>
      <c r="BL220">
        <v>14</v>
      </c>
      <c r="BM220">
        <v>203</v>
      </c>
      <c r="BN220">
        <v>304</v>
      </c>
      <c r="BO220">
        <v>526</v>
      </c>
      <c r="BP220">
        <v>11</v>
      </c>
      <c r="BQ220" s="2">
        <v>256</v>
      </c>
      <c r="BR220">
        <f t="shared" si="51"/>
        <v>985</v>
      </c>
      <c r="BS220">
        <f t="shared" si="52"/>
        <v>1</v>
      </c>
      <c r="BT220">
        <f t="shared" si="53"/>
        <v>15</v>
      </c>
      <c r="BU220">
        <f t="shared" si="54"/>
        <v>204</v>
      </c>
      <c r="BV220">
        <f t="shared" si="55"/>
        <v>305</v>
      </c>
      <c r="BW220">
        <f t="shared" si="56"/>
        <v>527</v>
      </c>
      <c r="BX220">
        <f t="shared" si="57"/>
        <v>12</v>
      </c>
      <c r="BY220" s="2">
        <f t="shared" si="58"/>
        <v>257</v>
      </c>
      <c r="BZ220">
        <f t="shared" si="59"/>
        <v>78.849294184067858</v>
      </c>
      <c r="CA220">
        <v>78.849294184067858</v>
      </c>
      <c r="CB220">
        <v>78.849294184067858</v>
      </c>
      <c r="CC220">
        <v>78.849294184067858</v>
      </c>
      <c r="CD220">
        <v>78.849294184067858</v>
      </c>
      <c r="CE220">
        <v>78.849294184067858</v>
      </c>
      <c r="CF220">
        <v>78.849294184067858</v>
      </c>
      <c r="CG220">
        <v>78.849294184067858</v>
      </c>
      <c r="CH220">
        <f t="shared" si="60"/>
        <v>1.0966384203829311</v>
      </c>
      <c r="CI220">
        <f t="shared" si="61"/>
        <v>-1.8967978101146805</v>
      </c>
      <c r="CJ220">
        <f t="shared" si="62"/>
        <v>-0.72070655105899928</v>
      </c>
      <c r="CK220">
        <f t="shared" si="63"/>
        <v>0.41283235731121826</v>
      </c>
      <c r="CL220">
        <f t="shared" si="64"/>
        <v>0.58750202923210537</v>
      </c>
      <c r="CM220">
        <f t="shared" si="65"/>
        <v>0.82501280509786612</v>
      </c>
      <c r="CN220">
        <f t="shared" si="66"/>
        <v>-0.81761656406705563</v>
      </c>
      <c r="CO220" s="2">
        <f t="shared" si="67"/>
        <v>0.5131353132166141</v>
      </c>
      <c r="CP220">
        <v>0.64050854001374002</v>
      </c>
      <c r="CQ220">
        <v>-2.2527165794045199</v>
      </c>
      <c r="CR220">
        <v>-0.72488374924203103</v>
      </c>
      <c r="CS220">
        <v>-0.42898542784011601</v>
      </c>
      <c r="CT220">
        <v>-0.25201656827577701</v>
      </c>
      <c r="CU220">
        <v>-4.47264368796376E-2</v>
      </c>
      <c r="CV220">
        <v>0.48345333423141301</v>
      </c>
      <c r="CW220">
        <v>-7.4966760729209006E-2</v>
      </c>
      <c r="CX220" t="s">
        <v>1826</v>
      </c>
    </row>
    <row r="221" spans="1:102" x14ac:dyDescent="0.35">
      <c r="A221" t="s">
        <v>778</v>
      </c>
      <c r="B221" t="s">
        <v>89</v>
      </c>
      <c r="C221" t="s">
        <v>779</v>
      </c>
      <c r="D221" t="s">
        <v>72</v>
      </c>
      <c r="E221" t="s">
        <v>72</v>
      </c>
      <c r="F221" t="s">
        <v>72</v>
      </c>
      <c r="G221" t="s">
        <v>73</v>
      </c>
      <c r="H221" t="s">
        <v>109</v>
      </c>
      <c r="I221" t="s">
        <v>110</v>
      </c>
      <c r="J221" t="s">
        <v>111</v>
      </c>
      <c r="K221" t="s">
        <v>112</v>
      </c>
      <c r="L221" t="s">
        <v>113</v>
      </c>
      <c r="M221" t="s">
        <v>114</v>
      </c>
      <c r="N221">
        <v>48</v>
      </c>
      <c r="O221" t="s">
        <v>80</v>
      </c>
      <c r="P221">
        <v>621</v>
      </c>
      <c r="Q221">
        <v>0.68400000000000005</v>
      </c>
      <c r="R221">
        <v>175</v>
      </c>
      <c r="S221">
        <v>0.81130000000000002</v>
      </c>
      <c r="T221" t="s">
        <v>115</v>
      </c>
      <c r="U221" t="s">
        <v>116</v>
      </c>
      <c r="V221" t="s">
        <v>117</v>
      </c>
      <c r="W221" t="s">
        <v>118</v>
      </c>
      <c r="X221" t="s">
        <v>119</v>
      </c>
      <c r="Y221" t="s">
        <v>120</v>
      </c>
      <c r="Z221" t="s">
        <v>121</v>
      </c>
      <c r="AA221" t="s">
        <v>88</v>
      </c>
      <c r="AB221">
        <v>240</v>
      </c>
      <c r="AC221">
        <v>2</v>
      </c>
      <c r="AE221">
        <v>1</v>
      </c>
      <c r="AF221" t="s">
        <v>159</v>
      </c>
      <c r="AG221" t="s">
        <v>384</v>
      </c>
      <c r="AH221" t="s">
        <v>72</v>
      </c>
      <c r="AI221" t="s">
        <v>72</v>
      </c>
      <c r="AJ221" t="s">
        <v>91</v>
      </c>
      <c r="AK221" t="s">
        <v>92</v>
      </c>
      <c r="AL221" t="s">
        <v>93</v>
      </c>
      <c r="AM221" t="s">
        <v>94</v>
      </c>
      <c r="AN221" t="s">
        <v>144</v>
      </c>
      <c r="AO221" t="s">
        <v>145</v>
      </c>
      <c r="AP221" t="s">
        <v>97</v>
      </c>
      <c r="AQ221">
        <v>39</v>
      </c>
      <c r="AR221" t="s">
        <v>80</v>
      </c>
      <c r="AS221">
        <v>1359</v>
      </c>
      <c r="AT221">
        <v>0.96879999999999999</v>
      </c>
      <c r="AU221">
        <v>172</v>
      </c>
      <c r="AV221">
        <v>0.94740000000000002</v>
      </c>
      <c r="AW221" t="s">
        <v>98</v>
      </c>
      <c r="AX221" t="s">
        <v>146</v>
      </c>
      <c r="AY221" t="s">
        <v>127</v>
      </c>
      <c r="AZ221" t="s">
        <v>101</v>
      </c>
      <c r="BA221" t="s">
        <v>128</v>
      </c>
      <c r="BB221" t="s">
        <v>103</v>
      </c>
      <c r="BC221" t="s">
        <v>104</v>
      </c>
      <c r="BD221" t="s">
        <v>105</v>
      </c>
      <c r="BE221">
        <v>3570</v>
      </c>
      <c r="BF221" t="s">
        <v>106</v>
      </c>
      <c r="BG221">
        <v>56</v>
      </c>
      <c r="BH221" t="s">
        <v>80</v>
      </c>
      <c r="BI221">
        <v>1</v>
      </c>
      <c r="BJ221">
        <v>532</v>
      </c>
      <c r="BK221">
        <v>5</v>
      </c>
      <c r="BL221">
        <v>12</v>
      </c>
      <c r="BM221">
        <v>332</v>
      </c>
      <c r="BN221">
        <v>426</v>
      </c>
      <c r="BO221">
        <v>726</v>
      </c>
      <c r="BP221">
        <v>8</v>
      </c>
      <c r="BQ221" s="2">
        <v>334</v>
      </c>
      <c r="BR221">
        <f t="shared" si="51"/>
        <v>533</v>
      </c>
      <c r="BS221">
        <f t="shared" si="52"/>
        <v>6</v>
      </c>
      <c r="BT221">
        <f t="shared" si="53"/>
        <v>13</v>
      </c>
      <c r="BU221">
        <f t="shared" si="54"/>
        <v>333</v>
      </c>
      <c r="BV221">
        <f t="shared" si="55"/>
        <v>427</v>
      </c>
      <c r="BW221">
        <f t="shared" si="56"/>
        <v>727</v>
      </c>
      <c r="BX221">
        <f t="shared" si="57"/>
        <v>9</v>
      </c>
      <c r="BY221" s="2">
        <f t="shared" si="58"/>
        <v>335</v>
      </c>
      <c r="BZ221">
        <f t="shared" si="59"/>
        <v>103.29146947352619</v>
      </c>
      <c r="CA221">
        <v>103.29146947352619</v>
      </c>
      <c r="CB221">
        <v>103.29146947352619</v>
      </c>
      <c r="CC221">
        <v>103.29146947352619</v>
      </c>
      <c r="CD221">
        <v>103.29146947352619</v>
      </c>
      <c r="CE221">
        <v>103.29146947352619</v>
      </c>
      <c r="CF221">
        <v>103.29146947352619</v>
      </c>
      <c r="CG221">
        <v>103.29146947352619</v>
      </c>
      <c r="CH221">
        <f t="shared" si="60"/>
        <v>0.7126627530786217</v>
      </c>
      <c r="CI221">
        <f t="shared" si="61"/>
        <v>-1.2359132055643069</v>
      </c>
      <c r="CJ221">
        <f t="shared" si="62"/>
        <v>-0.90012110364111375</v>
      </c>
      <c r="CK221">
        <f t="shared" si="63"/>
        <v>0.50837977755836927</v>
      </c>
      <c r="CL221">
        <f t="shared" si="64"/>
        <v>0.61636341907707337</v>
      </c>
      <c r="CM221">
        <f t="shared" si="65"/>
        <v>0.84746995491108723</v>
      </c>
      <c r="CN221">
        <f t="shared" si="66"/>
        <v>-1.0598219465086256</v>
      </c>
      <c r="CO221" s="2">
        <f t="shared" si="67"/>
        <v>0.51098035108889461</v>
      </c>
      <c r="CP221">
        <v>0.179187752678686</v>
      </c>
      <c r="CQ221">
        <v>1.1481771188471599</v>
      </c>
      <c r="CR221">
        <v>-1.52648598818846</v>
      </c>
      <c r="CS221">
        <v>-0.14745974063810699</v>
      </c>
      <c r="CT221">
        <v>-0.17167756700582401</v>
      </c>
      <c r="CU221">
        <v>2.0125184985389101E-2</v>
      </c>
      <c r="CV221">
        <v>-0.16613515384385399</v>
      </c>
      <c r="CW221">
        <v>-8.0885694747122705E-2</v>
      </c>
      <c r="CX221" t="s">
        <v>1826</v>
      </c>
    </row>
    <row r="222" spans="1:102" x14ac:dyDescent="0.35">
      <c r="A222" t="s">
        <v>1304</v>
      </c>
      <c r="B222" t="s">
        <v>70</v>
      </c>
      <c r="C222" t="s">
        <v>431</v>
      </c>
      <c r="D222" t="s">
        <v>72</v>
      </c>
      <c r="E222" t="s">
        <v>72</v>
      </c>
      <c r="F222" t="s">
        <v>72</v>
      </c>
      <c r="G222" t="s">
        <v>73</v>
      </c>
      <c r="H222" t="s">
        <v>74</v>
      </c>
      <c r="I222" t="s">
        <v>75</v>
      </c>
      <c r="J222" t="s">
        <v>76</v>
      </c>
      <c r="K222" t="s">
        <v>77</v>
      </c>
      <c r="L222" t="s">
        <v>78</v>
      </c>
      <c r="M222" t="s">
        <v>79</v>
      </c>
      <c r="N222">
        <v>60</v>
      </c>
      <c r="O222" t="s">
        <v>80</v>
      </c>
      <c r="P222">
        <v>792</v>
      </c>
      <c r="Q222">
        <v>0.75</v>
      </c>
      <c r="R222">
        <v>177</v>
      </c>
      <c r="S222">
        <v>0.85419999999999996</v>
      </c>
      <c r="T222" t="s">
        <v>81</v>
      </c>
      <c r="U222" t="s">
        <v>82</v>
      </c>
      <c r="V222" t="s">
        <v>83</v>
      </c>
      <c r="W222" t="s">
        <v>84</v>
      </c>
      <c r="X222" t="s">
        <v>85</v>
      </c>
      <c r="Y222" t="s">
        <v>86</v>
      </c>
      <c r="Z222" t="s">
        <v>87</v>
      </c>
      <c r="AA222" t="s">
        <v>88</v>
      </c>
      <c r="AB222">
        <v>525</v>
      </c>
      <c r="AC222">
        <v>5</v>
      </c>
      <c r="AE222">
        <v>22</v>
      </c>
      <c r="AF222" t="s">
        <v>89</v>
      </c>
      <c r="AG222" t="s">
        <v>1305</v>
      </c>
      <c r="AH222" t="s">
        <v>72</v>
      </c>
      <c r="AI222" t="s">
        <v>72</v>
      </c>
      <c r="AJ222" t="s">
        <v>91</v>
      </c>
      <c r="AK222" t="s">
        <v>92</v>
      </c>
      <c r="AL222" t="s">
        <v>93</v>
      </c>
      <c r="AM222" t="s">
        <v>94</v>
      </c>
      <c r="AN222" t="s">
        <v>144</v>
      </c>
      <c r="AO222" t="s">
        <v>145</v>
      </c>
      <c r="AP222" t="s">
        <v>97</v>
      </c>
      <c r="AQ222">
        <v>39</v>
      </c>
      <c r="AR222" t="s">
        <v>80</v>
      </c>
      <c r="AS222">
        <v>1359</v>
      </c>
      <c r="AT222">
        <v>0.96879999999999999</v>
      </c>
      <c r="AU222">
        <v>172</v>
      </c>
      <c r="AV222">
        <v>0.94740000000000002</v>
      </c>
      <c r="AW222" t="s">
        <v>98</v>
      </c>
      <c r="AX222" t="s">
        <v>146</v>
      </c>
      <c r="AY222" t="s">
        <v>127</v>
      </c>
      <c r="AZ222" t="s">
        <v>101</v>
      </c>
      <c r="BA222" t="s">
        <v>128</v>
      </c>
      <c r="BB222" t="s">
        <v>103</v>
      </c>
      <c r="BC222" t="s">
        <v>104</v>
      </c>
      <c r="BD222" t="s">
        <v>105</v>
      </c>
      <c r="BE222">
        <v>9817</v>
      </c>
      <c r="BF222" t="s">
        <v>106</v>
      </c>
      <c r="BG222">
        <v>119</v>
      </c>
      <c r="BH222" t="s">
        <v>80</v>
      </c>
      <c r="BI222">
        <v>1</v>
      </c>
      <c r="BJ222">
        <v>2096</v>
      </c>
      <c r="BK222">
        <v>6</v>
      </c>
      <c r="BL222">
        <v>40</v>
      </c>
      <c r="BM222">
        <v>545</v>
      </c>
      <c r="BN222">
        <v>758</v>
      </c>
      <c r="BO222">
        <v>1114</v>
      </c>
      <c r="BP222">
        <v>12</v>
      </c>
      <c r="BQ222" s="2">
        <v>637</v>
      </c>
      <c r="BR222">
        <f t="shared" si="51"/>
        <v>2097</v>
      </c>
      <c r="BS222">
        <f t="shared" si="52"/>
        <v>7</v>
      </c>
      <c r="BT222">
        <f t="shared" si="53"/>
        <v>41</v>
      </c>
      <c r="BU222">
        <f t="shared" si="54"/>
        <v>546</v>
      </c>
      <c r="BV222">
        <f t="shared" si="55"/>
        <v>759</v>
      </c>
      <c r="BW222">
        <f t="shared" si="56"/>
        <v>1115</v>
      </c>
      <c r="BX222">
        <f t="shared" si="57"/>
        <v>13</v>
      </c>
      <c r="BY222" s="2">
        <f t="shared" si="58"/>
        <v>638</v>
      </c>
      <c r="BZ222">
        <f t="shared" si="59"/>
        <v>197.41002591702315</v>
      </c>
      <c r="CA222">
        <v>197.41002591702315</v>
      </c>
      <c r="CB222">
        <v>197.41002591702315</v>
      </c>
      <c r="CC222">
        <v>197.41002591702315</v>
      </c>
      <c r="CD222">
        <v>197.41002591702315</v>
      </c>
      <c r="CE222">
        <v>197.41002591702315</v>
      </c>
      <c r="CF222">
        <v>197.41002591702315</v>
      </c>
      <c r="CG222">
        <v>197.41002591702315</v>
      </c>
      <c r="CH222">
        <f t="shared" si="60"/>
        <v>1.0262292249388774</v>
      </c>
      <c r="CI222">
        <f t="shared" si="61"/>
        <v>-1.4502711655122096</v>
      </c>
      <c r="CJ222">
        <f t="shared" si="62"/>
        <v>-0.68258534880673105</v>
      </c>
      <c r="CK222">
        <f t="shared" si="63"/>
        <v>0.44182343717827066</v>
      </c>
      <c r="CL222">
        <f t="shared" si="64"/>
        <v>0.58487257036901386</v>
      </c>
      <c r="CM222">
        <f t="shared" si="65"/>
        <v>0.7519056618577129</v>
      </c>
      <c r="CN222">
        <f t="shared" si="66"/>
        <v>-1.1814258532196298</v>
      </c>
      <c r="CO222" s="2">
        <f t="shared" si="67"/>
        <v>0.50945147319469575</v>
      </c>
      <c r="CP222">
        <v>0.55591665504896504</v>
      </c>
      <c r="CQ222">
        <v>0.51491987102409498</v>
      </c>
      <c r="CR222">
        <v>-0.55456288821398203</v>
      </c>
      <c r="CS222">
        <v>-0.34356466335282299</v>
      </c>
      <c r="CT222">
        <v>-0.25933596973481698</v>
      </c>
      <c r="CU222">
        <v>-0.25584480445857</v>
      </c>
      <c r="CV222">
        <v>-0.492273644690576</v>
      </c>
      <c r="CW222">
        <v>-8.5084992387117198E-2</v>
      </c>
      <c r="CX222" t="s">
        <v>1826</v>
      </c>
    </row>
    <row r="223" spans="1:102" x14ac:dyDescent="0.35">
      <c r="A223" t="s">
        <v>165</v>
      </c>
      <c r="B223" t="s">
        <v>148</v>
      </c>
      <c r="C223" t="s">
        <v>166</v>
      </c>
      <c r="D223" t="s">
        <v>72</v>
      </c>
      <c r="E223" t="s">
        <v>72</v>
      </c>
      <c r="F223" t="s">
        <v>72</v>
      </c>
      <c r="G223" t="s">
        <v>73</v>
      </c>
      <c r="H223" t="s">
        <v>74</v>
      </c>
      <c r="I223" t="s">
        <v>75</v>
      </c>
      <c r="J223" t="s">
        <v>76</v>
      </c>
      <c r="K223" t="s">
        <v>167</v>
      </c>
      <c r="L223" t="s">
        <v>168</v>
      </c>
      <c r="M223" t="s">
        <v>79</v>
      </c>
      <c r="N223">
        <v>60</v>
      </c>
      <c r="O223" t="s">
        <v>80</v>
      </c>
      <c r="P223">
        <v>783</v>
      </c>
      <c r="Q223">
        <v>0.74650000000000005</v>
      </c>
      <c r="R223">
        <v>177</v>
      </c>
      <c r="S223">
        <v>0.85419999999999996</v>
      </c>
      <c r="T223" t="s">
        <v>81</v>
      </c>
      <c r="U223" t="s">
        <v>82</v>
      </c>
      <c r="V223" t="s">
        <v>169</v>
      </c>
      <c r="W223" t="s">
        <v>84</v>
      </c>
      <c r="X223" t="s">
        <v>85</v>
      </c>
      <c r="Y223" t="s">
        <v>86</v>
      </c>
      <c r="Z223" t="s">
        <v>87</v>
      </c>
      <c r="AA223" t="s">
        <v>88</v>
      </c>
      <c r="AB223">
        <v>279</v>
      </c>
      <c r="AC223">
        <v>2</v>
      </c>
      <c r="AE223">
        <v>22</v>
      </c>
      <c r="AF223" t="s">
        <v>89</v>
      </c>
      <c r="AG223" t="s">
        <v>170</v>
      </c>
      <c r="AH223" t="s">
        <v>72</v>
      </c>
      <c r="AI223" t="s">
        <v>72</v>
      </c>
      <c r="AJ223" t="s">
        <v>91</v>
      </c>
      <c r="AK223" t="s">
        <v>92</v>
      </c>
      <c r="AL223" t="s">
        <v>93</v>
      </c>
      <c r="AM223" t="s">
        <v>94</v>
      </c>
      <c r="AN223" t="s">
        <v>144</v>
      </c>
      <c r="AO223" t="s">
        <v>145</v>
      </c>
      <c r="AP223" t="s">
        <v>97</v>
      </c>
      <c r="AQ223">
        <v>39</v>
      </c>
      <c r="AR223" t="s">
        <v>80</v>
      </c>
      <c r="AS223">
        <v>1359</v>
      </c>
      <c r="AT223">
        <v>0.96879999999999999</v>
      </c>
      <c r="AU223">
        <v>172</v>
      </c>
      <c r="AV223">
        <v>0.94740000000000002</v>
      </c>
      <c r="AW223" t="s">
        <v>98</v>
      </c>
      <c r="AX223" t="s">
        <v>146</v>
      </c>
      <c r="AY223" t="s">
        <v>127</v>
      </c>
      <c r="AZ223" t="s">
        <v>101</v>
      </c>
      <c r="BA223" t="s">
        <v>128</v>
      </c>
      <c r="BB223" t="s">
        <v>103</v>
      </c>
      <c r="BC223" t="s">
        <v>104</v>
      </c>
      <c r="BD223" t="s">
        <v>105</v>
      </c>
      <c r="BE223">
        <v>3614</v>
      </c>
      <c r="BF223" t="s">
        <v>106</v>
      </c>
      <c r="BG223">
        <v>44</v>
      </c>
      <c r="BH223" t="s">
        <v>80</v>
      </c>
      <c r="BI223">
        <v>1</v>
      </c>
      <c r="BJ223">
        <v>393</v>
      </c>
      <c r="BK223">
        <v>0</v>
      </c>
      <c r="BL223">
        <v>10</v>
      </c>
      <c r="BM223">
        <v>117</v>
      </c>
      <c r="BN223">
        <v>170</v>
      </c>
      <c r="BO223">
        <v>242</v>
      </c>
      <c r="BP223">
        <v>5</v>
      </c>
      <c r="BQ223" s="2">
        <v>146</v>
      </c>
      <c r="BR223">
        <f t="shared" si="51"/>
        <v>394</v>
      </c>
      <c r="BS223">
        <f t="shared" si="52"/>
        <v>1</v>
      </c>
      <c r="BT223">
        <f t="shared" si="53"/>
        <v>11</v>
      </c>
      <c r="BU223">
        <f t="shared" si="54"/>
        <v>118</v>
      </c>
      <c r="BV223">
        <f t="shared" si="55"/>
        <v>171</v>
      </c>
      <c r="BW223">
        <f t="shared" si="56"/>
        <v>243</v>
      </c>
      <c r="BX223">
        <f t="shared" si="57"/>
        <v>6</v>
      </c>
      <c r="BY223" s="2">
        <f t="shared" si="58"/>
        <v>147</v>
      </c>
      <c r="BZ223">
        <f t="shared" si="59"/>
        <v>45.614743325302278</v>
      </c>
      <c r="CA223">
        <v>45.614743325302278</v>
      </c>
      <c r="CB223">
        <v>45.614743325302278</v>
      </c>
      <c r="CC223">
        <v>45.614743325302278</v>
      </c>
      <c r="CD223">
        <v>45.614743325302278</v>
      </c>
      <c r="CE223">
        <v>45.614743325302278</v>
      </c>
      <c r="CF223">
        <v>45.614743325302278</v>
      </c>
      <c r="CG223">
        <v>45.614743325302278</v>
      </c>
      <c r="CH223">
        <f t="shared" si="60"/>
        <v>0.93639098639904783</v>
      </c>
      <c r="CI223">
        <f t="shared" si="61"/>
        <v>-1.6591052354265263</v>
      </c>
      <c r="CJ223">
        <f t="shared" si="62"/>
        <v>-0.61771255026830119</v>
      </c>
      <c r="CK223">
        <f t="shared" si="63"/>
        <v>0.41277677187959916</v>
      </c>
      <c r="CL223">
        <f t="shared" si="64"/>
        <v>0.57389087496562752</v>
      </c>
      <c r="CM223">
        <f t="shared" si="65"/>
        <v>0.72650103817178591</v>
      </c>
      <c r="CN223">
        <f t="shared" si="66"/>
        <v>-0.88095398504288269</v>
      </c>
      <c r="CO223" s="2">
        <f t="shared" si="67"/>
        <v>0.5082120993216499</v>
      </c>
      <c r="CP223">
        <v>0.44798208922882699</v>
      </c>
      <c r="CQ223">
        <v>-2.2527165794045199</v>
      </c>
      <c r="CR223">
        <v>-0.26471917260275402</v>
      </c>
      <c r="CS223">
        <v>-0.42914920752976599</v>
      </c>
      <c r="CT223">
        <v>-0.28990478314602303</v>
      </c>
      <c r="CU223">
        <v>-0.32920812360662599</v>
      </c>
      <c r="CV223">
        <v>0.31358403109897898</v>
      </c>
      <c r="CW223">
        <v>-8.8489122828076902E-2</v>
      </c>
      <c r="CX223" t="s">
        <v>1826</v>
      </c>
    </row>
    <row r="224" spans="1:102" x14ac:dyDescent="0.35">
      <c r="A224" t="s">
        <v>545</v>
      </c>
      <c r="B224" t="s">
        <v>148</v>
      </c>
      <c r="C224" t="s">
        <v>444</v>
      </c>
      <c r="D224" t="s">
        <v>72</v>
      </c>
      <c r="E224" t="s">
        <v>72</v>
      </c>
      <c r="F224" t="s">
        <v>72</v>
      </c>
      <c r="G224" t="s">
        <v>73</v>
      </c>
      <c r="H224" t="s">
        <v>74</v>
      </c>
      <c r="I224" t="s">
        <v>75</v>
      </c>
      <c r="J224" t="s">
        <v>76</v>
      </c>
      <c r="K224" t="s">
        <v>77</v>
      </c>
      <c r="L224" t="s">
        <v>78</v>
      </c>
      <c r="M224" t="s">
        <v>79</v>
      </c>
      <c r="N224">
        <v>60</v>
      </c>
      <c r="O224" t="s">
        <v>80</v>
      </c>
      <c r="P224">
        <v>792</v>
      </c>
      <c r="Q224">
        <v>0.75</v>
      </c>
      <c r="R224">
        <v>177</v>
      </c>
      <c r="S224">
        <v>0.85419999999999996</v>
      </c>
      <c r="T224" t="s">
        <v>81</v>
      </c>
      <c r="U224" t="s">
        <v>82</v>
      </c>
      <c r="V224" t="s">
        <v>83</v>
      </c>
      <c r="W224" t="s">
        <v>84</v>
      </c>
      <c r="X224" t="s">
        <v>85</v>
      </c>
      <c r="Y224" t="s">
        <v>86</v>
      </c>
      <c r="Z224" t="s">
        <v>87</v>
      </c>
      <c r="AA224" t="s">
        <v>88</v>
      </c>
      <c r="AB224">
        <v>167</v>
      </c>
      <c r="AC224">
        <v>3</v>
      </c>
      <c r="AE224">
        <v>22</v>
      </c>
      <c r="AF224" t="s">
        <v>89</v>
      </c>
      <c r="AG224" t="s">
        <v>546</v>
      </c>
      <c r="AH224" t="s">
        <v>72</v>
      </c>
      <c r="AI224" t="s">
        <v>72</v>
      </c>
      <c r="AJ224" t="s">
        <v>91</v>
      </c>
      <c r="AK224" t="s">
        <v>92</v>
      </c>
      <c r="AL224" t="s">
        <v>93</v>
      </c>
      <c r="AM224" t="s">
        <v>94</v>
      </c>
      <c r="AN224" t="s">
        <v>144</v>
      </c>
      <c r="AO224" t="s">
        <v>145</v>
      </c>
      <c r="AP224" t="s">
        <v>97</v>
      </c>
      <c r="AQ224">
        <v>39</v>
      </c>
      <c r="AR224" t="s">
        <v>80</v>
      </c>
      <c r="AS224">
        <v>1359</v>
      </c>
      <c r="AT224">
        <v>0.96879999999999999</v>
      </c>
      <c r="AU224">
        <v>172</v>
      </c>
      <c r="AV224">
        <v>0.94740000000000002</v>
      </c>
      <c r="AW224" t="s">
        <v>98</v>
      </c>
      <c r="AX224" t="s">
        <v>146</v>
      </c>
      <c r="AY224" t="s">
        <v>127</v>
      </c>
      <c r="AZ224" t="s">
        <v>101</v>
      </c>
      <c r="BA224" t="s">
        <v>128</v>
      </c>
      <c r="BB224" t="s">
        <v>103</v>
      </c>
      <c r="BC224" t="s">
        <v>104</v>
      </c>
      <c r="BD224" t="s">
        <v>105</v>
      </c>
      <c r="BE224">
        <v>6959</v>
      </c>
      <c r="BF224" t="s">
        <v>106</v>
      </c>
      <c r="BG224">
        <v>82</v>
      </c>
      <c r="BH224" t="s">
        <v>80</v>
      </c>
      <c r="BI224">
        <v>1</v>
      </c>
      <c r="BJ224">
        <v>1251</v>
      </c>
      <c r="BK224">
        <v>0</v>
      </c>
      <c r="BL224">
        <v>24</v>
      </c>
      <c r="BM224">
        <v>366</v>
      </c>
      <c r="BN224">
        <v>488</v>
      </c>
      <c r="BO224">
        <v>727</v>
      </c>
      <c r="BP224">
        <v>11</v>
      </c>
      <c r="BQ224" s="2">
        <v>340</v>
      </c>
      <c r="BR224">
        <f t="shared" si="51"/>
        <v>1252</v>
      </c>
      <c r="BS224">
        <f t="shared" si="52"/>
        <v>1</v>
      </c>
      <c r="BT224">
        <f t="shared" si="53"/>
        <v>25</v>
      </c>
      <c r="BU224">
        <f t="shared" si="54"/>
        <v>367</v>
      </c>
      <c r="BV224">
        <f t="shared" si="55"/>
        <v>489</v>
      </c>
      <c r="BW224">
        <f t="shared" si="56"/>
        <v>728</v>
      </c>
      <c r="BX224">
        <f t="shared" si="57"/>
        <v>12</v>
      </c>
      <c r="BY224" s="2">
        <f t="shared" si="58"/>
        <v>341</v>
      </c>
      <c r="BZ224">
        <f t="shared" si="59"/>
        <v>106.64691159385778</v>
      </c>
      <c r="CA224">
        <v>106.64691159385778</v>
      </c>
      <c r="CB224">
        <v>106.64691159385778</v>
      </c>
      <c r="CC224">
        <v>106.64691159385778</v>
      </c>
      <c r="CD224">
        <v>106.64691159385778</v>
      </c>
      <c r="CE224">
        <v>106.64691159385778</v>
      </c>
      <c r="CF224">
        <v>106.64691159385778</v>
      </c>
      <c r="CG224">
        <v>106.64691159385778</v>
      </c>
      <c r="CH224">
        <f t="shared" si="60"/>
        <v>1.0696560457149962</v>
      </c>
      <c r="CI224">
        <f t="shared" si="61"/>
        <v>-2.0279482831594149</v>
      </c>
      <c r="CJ224">
        <f t="shared" si="62"/>
        <v>-0.63000827448737706</v>
      </c>
      <c r="CK224">
        <f t="shared" si="63"/>
        <v>0.53671778109267465</v>
      </c>
      <c r="CL224">
        <f t="shared" si="64"/>
        <v>0.6613605759642055</v>
      </c>
      <c r="CM224">
        <f t="shared" si="65"/>
        <v>0.83418309615362252</v>
      </c>
      <c r="CN224">
        <f t="shared" si="66"/>
        <v>-0.94876703711178989</v>
      </c>
      <c r="CO224" s="2">
        <f t="shared" si="67"/>
        <v>0.504806095833083</v>
      </c>
      <c r="CP224">
        <v>0.60809104227652999</v>
      </c>
      <c r="CQ224">
        <v>-2.2527165794045199</v>
      </c>
      <c r="CR224">
        <v>-0.31965496193326498</v>
      </c>
      <c r="CS224">
        <v>-6.3963232848655405E-2</v>
      </c>
      <c r="CT224">
        <v>-4.6422800561170902E-2</v>
      </c>
      <c r="CU224">
        <v>-1.8244525644845799E-2</v>
      </c>
      <c r="CV224">
        <v>0.131711202670661</v>
      </c>
      <c r="CW224">
        <v>-9.7844233831789099E-2</v>
      </c>
      <c r="CX224" t="s">
        <v>1826</v>
      </c>
    </row>
    <row r="225" spans="1:102" x14ac:dyDescent="0.35">
      <c r="A225" t="s">
        <v>1424</v>
      </c>
      <c r="B225" t="s">
        <v>89</v>
      </c>
      <c r="C225" t="s">
        <v>779</v>
      </c>
      <c r="D225" t="s">
        <v>72</v>
      </c>
      <c r="E225" t="s">
        <v>72</v>
      </c>
      <c r="F225" t="s">
        <v>72</v>
      </c>
      <c r="G225" t="s">
        <v>73</v>
      </c>
      <c r="H225" t="s">
        <v>109</v>
      </c>
      <c r="I225" t="s">
        <v>110</v>
      </c>
      <c r="J225" t="s">
        <v>111</v>
      </c>
      <c r="K225" t="s">
        <v>112</v>
      </c>
      <c r="L225" t="s">
        <v>113</v>
      </c>
      <c r="M225" t="s">
        <v>114</v>
      </c>
      <c r="N225">
        <v>48</v>
      </c>
      <c r="O225" t="s">
        <v>80</v>
      </c>
      <c r="P225">
        <v>621</v>
      </c>
      <c r="Q225">
        <v>0.68400000000000005</v>
      </c>
      <c r="R225">
        <v>175</v>
      </c>
      <c r="S225">
        <v>0.81130000000000002</v>
      </c>
      <c r="T225" t="s">
        <v>115</v>
      </c>
      <c r="U225" t="s">
        <v>116</v>
      </c>
      <c r="V225" t="s">
        <v>117</v>
      </c>
      <c r="W225" t="s">
        <v>118</v>
      </c>
      <c r="X225" t="s">
        <v>119</v>
      </c>
      <c r="Y225" t="s">
        <v>120</v>
      </c>
      <c r="Z225" t="s">
        <v>121</v>
      </c>
      <c r="AA225" t="s">
        <v>88</v>
      </c>
      <c r="AB225">
        <v>353</v>
      </c>
      <c r="AC225">
        <v>3</v>
      </c>
      <c r="AE225">
        <v>1</v>
      </c>
      <c r="AF225" t="s">
        <v>231</v>
      </c>
      <c r="AG225" t="s">
        <v>161</v>
      </c>
      <c r="AH225" t="s">
        <v>72</v>
      </c>
      <c r="AI225" t="s">
        <v>72</v>
      </c>
      <c r="AJ225" t="s">
        <v>91</v>
      </c>
      <c r="AK225" t="s">
        <v>92</v>
      </c>
      <c r="AL225" t="s">
        <v>93</v>
      </c>
      <c r="AM225" t="s">
        <v>94</v>
      </c>
      <c r="AN225" t="s">
        <v>144</v>
      </c>
      <c r="AO225" t="s">
        <v>145</v>
      </c>
      <c r="AP225" t="s">
        <v>97</v>
      </c>
      <c r="AQ225">
        <v>39</v>
      </c>
      <c r="AR225" t="s">
        <v>80</v>
      </c>
      <c r="AS225">
        <v>1359</v>
      </c>
      <c r="AT225">
        <v>0.96879999999999999</v>
      </c>
      <c r="AU225">
        <v>172</v>
      </c>
      <c r="AV225">
        <v>0.94740000000000002</v>
      </c>
      <c r="AW225" t="s">
        <v>98</v>
      </c>
      <c r="AX225" t="s">
        <v>146</v>
      </c>
      <c r="AY225" t="s">
        <v>127</v>
      </c>
      <c r="AZ225" t="s">
        <v>101</v>
      </c>
      <c r="BA225" t="s">
        <v>128</v>
      </c>
      <c r="BB225" t="s">
        <v>103</v>
      </c>
      <c r="BC225" t="s">
        <v>104</v>
      </c>
      <c r="BD225" t="s">
        <v>105</v>
      </c>
      <c r="BE225">
        <v>4019</v>
      </c>
      <c r="BF225" t="s">
        <v>106</v>
      </c>
      <c r="BG225">
        <v>59</v>
      </c>
      <c r="BH225" t="s">
        <v>80</v>
      </c>
      <c r="BI225">
        <v>1</v>
      </c>
      <c r="BJ225">
        <v>662</v>
      </c>
      <c r="BK225">
        <v>0</v>
      </c>
      <c r="BL225">
        <v>17</v>
      </c>
      <c r="BM225">
        <v>221</v>
      </c>
      <c r="BN225">
        <v>234</v>
      </c>
      <c r="BO225">
        <v>432</v>
      </c>
      <c r="BP225">
        <v>6</v>
      </c>
      <c r="BQ225" s="2">
        <v>211</v>
      </c>
      <c r="BR225">
        <f t="shared" si="51"/>
        <v>663</v>
      </c>
      <c r="BS225">
        <f t="shared" si="52"/>
        <v>1</v>
      </c>
      <c r="BT225">
        <f t="shared" si="53"/>
        <v>18</v>
      </c>
      <c r="BU225">
        <f t="shared" si="54"/>
        <v>222</v>
      </c>
      <c r="BV225">
        <f t="shared" si="55"/>
        <v>235</v>
      </c>
      <c r="BW225">
        <f t="shared" si="56"/>
        <v>433</v>
      </c>
      <c r="BX225">
        <f t="shared" si="57"/>
        <v>7</v>
      </c>
      <c r="BY225" s="2">
        <f t="shared" si="58"/>
        <v>212</v>
      </c>
      <c r="BZ225">
        <f t="shared" si="59"/>
        <v>66.87535238284903</v>
      </c>
      <c r="CA225">
        <v>66.87535238284903</v>
      </c>
      <c r="CB225">
        <v>66.87535238284903</v>
      </c>
      <c r="CC225">
        <v>66.87535238284903</v>
      </c>
      <c r="CD225">
        <v>66.87535238284903</v>
      </c>
      <c r="CE225">
        <v>66.87535238284903</v>
      </c>
      <c r="CF225">
        <v>66.87535238284903</v>
      </c>
      <c r="CG225">
        <v>66.87535238284903</v>
      </c>
      <c r="CH225">
        <f t="shared" si="60"/>
        <v>0.9962474449639197</v>
      </c>
      <c r="CI225">
        <f t="shared" si="61"/>
        <v>-1.8252660834408534</v>
      </c>
      <c r="CJ225">
        <f t="shared" si="62"/>
        <v>-0.56999357833754738</v>
      </c>
      <c r="CK225">
        <f t="shared" si="63"/>
        <v>0.52108689100978511</v>
      </c>
      <c r="CL225">
        <f t="shared" si="64"/>
        <v>0.54580177883088277</v>
      </c>
      <c r="CM225">
        <f t="shared" si="65"/>
        <v>0.81122181291251194</v>
      </c>
      <c r="CN225">
        <f t="shared" si="66"/>
        <v>-0.98016804342659669</v>
      </c>
      <c r="CO225" s="2">
        <f t="shared" si="67"/>
        <v>0.50106977748789794</v>
      </c>
      <c r="CP225">
        <v>0.51989557475277004</v>
      </c>
      <c r="CQ225">
        <v>-2.2527165794045199</v>
      </c>
      <c r="CR225">
        <v>-5.1516652576362697E-2</v>
      </c>
      <c r="CS225">
        <v>-0.110018867430749</v>
      </c>
      <c r="CT225">
        <v>-0.36809401596408597</v>
      </c>
      <c r="CU225">
        <v>-8.45519809841523E-2</v>
      </c>
      <c r="CV225">
        <v>4.7494526680820402E-2</v>
      </c>
      <c r="CW225">
        <v>-0.108106605253822</v>
      </c>
      <c r="CX225" t="s">
        <v>1826</v>
      </c>
    </row>
    <row r="226" spans="1:102" x14ac:dyDescent="0.35">
      <c r="A226" t="s">
        <v>277</v>
      </c>
      <c r="B226" t="s">
        <v>178</v>
      </c>
      <c r="C226" t="s">
        <v>278</v>
      </c>
      <c r="D226" t="s">
        <v>72</v>
      </c>
      <c r="E226" t="s">
        <v>72</v>
      </c>
      <c r="F226" t="s">
        <v>72</v>
      </c>
      <c r="G226" t="s">
        <v>73</v>
      </c>
      <c r="H226" t="s">
        <v>109</v>
      </c>
      <c r="I226" t="s">
        <v>110</v>
      </c>
      <c r="J226" t="s">
        <v>111</v>
      </c>
      <c r="K226" t="s">
        <v>112</v>
      </c>
      <c r="L226" t="s">
        <v>113</v>
      </c>
      <c r="M226" t="s">
        <v>114</v>
      </c>
      <c r="N226">
        <v>48</v>
      </c>
      <c r="O226" t="s">
        <v>80</v>
      </c>
      <c r="P226">
        <v>621</v>
      </c>
      <c r="Q226">
        <v>0.68400000000000005</v>
      </c>
      <c r="R226">
        <v>175</v>
      </c>
      <c r="S226">
        <v>0.81130000000000002</v>
      </c>
      <c r="T226" t="s">
        <v>115</v>
      </c>
      <c r="U226" t="s">
        <v>116</v>
      </c>
      <c r="V226" t="s">
        <v>117</v>
      </c>
      <c r="W226" t="s">
        <v>118</v>
      </c>
      <c r="X226" t="s">
        <v>119</v>
      </c>
      <c r="Y226" t="s">
        <v>120</v>
      </c>
      <c r="Z226" t="s">
        <v>121</v>
      </c>
      <c r="AA226" t="s">
        <v>88</v>
      </c>
      <c r="AB226">
        <v>2103</v>
      </c>
      <c r="AC226">
        <v>16</v>
      </c>
      <c r="AE226">
        <v>1</v>
      </c>
      <c r="AF226" t="s">
        <v>89</v>
      </c>
      <c r="AG226" t="s">
        <v>279</v>
      </c>
      <c r="AH226" t="s">
        <v>72</v>
      </c>
      <c r="AI226" t="s">
        <v>72</v>
      </c>
      <c r="AJ226" t="s">
        <v>91</v>
      </c>
      <c r="AK226" t="s">
        <v>92</v>
      </c>
      <c r="AL226" t="s">
        <v>93</v>
      </c>
      <c r="AM226" t="s">
        <v>94</v>
      </c>
      <c r="AN226" t="s">
        <v>144</v>
      </c>
      <c r="AO226" t="s">
        <v>145</v>
      </c>
      <c r="AP226" t="s">
        <v>97</v>
      </c>
      <c r="AQ226">
        <v>39</v>
      </c>
      <c r="AR226" t="s">
        <v>80</v>
      </c>
      <c r="AS226">
        <v>1359</v>
      </c>
      <c r="AT226">
        <v>0.96879999999999999</v>
      </c>
      <c r="AU226">
        <v>172</v>
      </c>
      <c r="AV226">
        <v>0.94740000000000002</v>
      </c>
      <c r="AW226" t="s">
        <v>98</v>
      </c>
      <c r="AX226" t="s">
        <v>146</v>
      </c>
      <c r="AY226" t="s">
        <v>127</v>
      </c>
      <c r="AZ226" t="s">
        <v>101</v>
      </c>
      <c r="BA226" t="s">
        <v>128</v>
      </c>
      <c r="BB226" t="s">
        <v>103</v>
      </c>
      <c r="BC226" t="s">
        <v>104</v>
      </c>
      <c r="BD226" t="s">
        <v>105</v>
      </c>
      <c r="BE226">
        <v>27374</v>
      </c>
      <c r="BF226" t="s">
        <v>106</v>
      </c>
      <c r="BG226">
        <v>335</v>
      </c>
      <c r="BH226" t="s">
        <v>80</v>
      </c>
      <c r="BI226">
        <v>1</v>
      </c>
      <c r="BJ226">
        <v>19536</v>
      </c>
      <c r="BK226">
        <v>53</v>
      </c>
      <c r="BL226">
        <v>543</v>
      </c>
      <c r="BM226">
        <v>6957</v>
      </c>
      <c r="BN226">
        <v>9119</v>
      </c>
      <c r="BO226">
        <v>12474</v>
      </c>
      <c r="BP226">
        <v>189</v>
      </c>
      <c r="BQ226" s="2">
        <v>7011</v>
      </c>
      <c r="BR226">
        <f t="shared" si="51"/>
        <v>19537</v>
      </c>
      <c r="BS226">
        <f t="shared" si="52"/>
        <v>54</v>
      </c>
      <c r="BT226">
        <f t="shared" si="53"/>
        <v>544</v>
      </c>
      <c r="BU226">
        <f t="shared" si="54"/>
        <v>6958</v>
      </c>
      <c r="BV226">
        <f t="shared" si="55"/>
        <v>9120</v>
      </c>
      <c r="BW226">
        <f t="shared" si="56"/>
        <v>12475</v>
      </c>
      <c r="BX226">
        <f t="shared" si="57"/>
        <v>190</v>
      </c>
      <c r="BY226" s="2">
        <f t="shared" si="58"/>
        <v>7012</v>
      </c>
      <c r="BZ226">
        <f t="shared" si="59"/>
        <v>2227.1308444236302</v>
      </c>
      <c r="CA226">
        <v>2227.1308444236302</v>
      </c>
      <c r="CB226">
        <v>2227.1308444236302</v>
      </c>
      <c r="CC226">
        <v>2227.1308444236302</v>
      </c>
      <c r="CD226">
        <v>2227.1308444236302</v>
      </c>
      <c r="CE226">
        <v>2227.1308444236302</v>
      </c>
      <c r="CF226">
        <v>2227.1308444236302</v>
      </c>
      <c r="CG226">
        <v>2227.1308444236302</v>
      </c>
      <c r="CH226">
        <f t="shared" si="60"/>
        <v>0.94311214382363329</v>
      </c>
      <c r="CI226">
        <f t="shared" si="61"/>
        <v>-1.615351972856286</v>
      </c>
      <c r="CJ226">
        <f t="shared" si="62"/>
        <v>-0.61214683298107464</v>
      </c>
      <c r="CK226">
        <f t="shared" si="63"/>
        <v>0.49473869173231561</v>
      </c>
      <c r="CL226">
        <f t="shared" si="64"/>
        <v>0.61224910564916168</v>
      </c>
      <c r="CM226">
        <f t="shared" si="65"/>
        <v>0.748294821616173</v>
      </c>
      <c r="CN226">
        <f t="shared" si="66"/>
        <v>-1.0689921317264255</v>
      </c>
      <c r="CO226" s="2">
        <f t="shared" si="67"/>
        <v>0.49809617474250278</v>
      </c>
      <c r="CP226">
        <v>0.45605710517106202</v>
      </c>
      <c r="CQ226">
        <v>2.7237408695537799E-2</v>
      </c>
      <c r="CR226">
        <v>-0.23985222967881301</v>
      </c>
      <c r="CS226">
        <v>-0.18765251665893201</v>
      </c>
      <c r="CT226">
        <v>-0.18313023208832799</v>
      </c>
      <c r="CU226">
        <v>-0.26627216714292601</v>
      </c>
      <c r="CV226">
        <v>-0.19072935026902099</v>
      </c>
      <c r="CW226">
        <v>-0.116274061293574</v>
      </c>
      <c r="CX226" t="s">
        <v>1826</v>
      </c>
    </row>
    <row r="227" spans="1:102" x14ac:dyDescent="0.35">
      <c r="A227" t="s">
        <v>645</v>
      </c>
      <c r="B227" t="s">
        <v>159</v>
      </c>
      <c r="C227" t="s">
        <v>646</v>
      </c>
      <c r="D227" t="s">
        <v>72</v>
      </c>
      <c r="E227" t="s">
        <v>72</v>
      </c>
      <c r="F227" t="s">
        <v>72</v>
      </c>
      <c r="G227" t="s">
        <v>73</v>
      </c>
      <c r="H227" t="s">
        <v>74</v>
      </c>
      <c r="I227" t="s">
        <v>75</v>
      </c>
      <c r="J227" t="s">
        <v>76</v>
      </c>
      <c r="K227" t="s">
        <v>139</v>
      </c>
      <c r="L227" t="s">
        <v>140</v>
      </c>
      <c r="M227" t="s">
        <v>79</v>
      </c>
      <c r="N227">
        <v>60</v>
      </c>
      <c r="O227" t="s">
        <v>80</v>
      </c>
      <c r="P227">
        <v>783</v>
      </c>
      <c r="Q227">
        <v>0.74650000000000005</v>
      </c>
      <c r="R227">
        <v>177</v>
      </c>
      <c r="S227">
        <v>0.85419999999999996</v>
      </c>
      <c r="T227" t="s">
        <v>81</v>
      </c>
      <c r="U227" t="s">
        <v>82</v>
      </c>
      <c r="V227" t="s">
        <v>141</v>
      </c>
      <c r="W227" t="s">
        <v>84</v>
      </c>
      <c r="X227" t="s">
        <v>85</v>
      </c>
      <c r="Y227" t="s">
        <v>86</v>
      </c>
      <c r="Z227" t="s">
        <v>87</v>
      </c>
      <c r="AA227" t="s">
        <v>88</v>
      </c>
      <c r="AB227">
        <v>541</v>
      </c>
      <c r="AC227">
        <v>4</v>
      </c>
      <c r="AE227">
        <v>22</v>
      </c>
      <c r="AF227" t="s">
        <v>211</v>
      </c>
      <c r="AG227" t="s">
        <v>647</v>
      </c>
      <c r="AH227" t="s">
        <v>72</v>
      </c>
      <c r="AI227" t="s">
        <v>72</v>
      </c>
      <c r="AJ227" t="s">
        <v>91</v>
      </c>
      <c r="AK227" t="s">
        <v>92</v>
      </c>
      <c r="AL227" t="s">
        <v>93</v>
      </c>
      <c r="AM227" t="s">
        <v>94</v>
      </c>
      <c r="AN227" t="s">
        <v>144</v>
      </c>
      <c r="AO227" t="s">
        <v>145</v>
      </c>
      <c r="AP227" t="s">
        <v>97</v>
      </c>
      <c r="AQ227">
        <v>39</v>
      </c>
      <c r="AR227" t="s">
        <v>80</v>
      </c>
      <c r="AS227">
        <v>1359</v>
      </c>
      <c r="AT227">
        <v>0.96879999999999999</v>
      </c>
      <c r="AU227">
        <v>172</v>
      </c>
      <c r="AV227">
        <v>0.94740000000000002</v>
      </c>
      <c r="AW227" t="s">
        <v>98</v>
      </c>
      <c r="AX227" t="s">
        <v>146</v>
      </c>
      <c r="AY227" t="s">
        <v>127</v>
      </c>
      <c r="AZ227" t="s">
        <v>101</v>
      </c>
      <c r="BA227" t="s">
        <v>128</v>
      </c>
      <c r="BB227" t="s">
        <v>103</v>
      </c>
      <c r="BC227" t="s">
        <v>104</v>
      </c>
      <c r="BD227" t="s">
        <v>105</v>
      </c>
      <c r="BE227">
        <v>231</v>
      </c>
      <c r="BF227" t="s">
        <v>106</v>
      </c>
      <c r="BG227">
        <v>3</v>
      </c>
      <c r="BH227" t="s">
        <v>80</v>
      </c>
      <c r="BI227">
        <v>1</v>
      </c>
      <c r="BJ227">
        <v>824</v>
      </c>
      <c r="BK227">
        <v>0</v>
      </c>
      <c r="BL227">
        <v>14</v>
      </c>
      <c r="BM227">
        <v>240</v>
      </c>
      <c r="BN227">
        <v>325</v>
      </c>
      <c r="BO227">
        <v>484</v>
      </c>
      <c r="BP227">
        <v>10</v>
      </c>
      <c r="BQ227" s="2">
        <v>242</v>
      </c>
      <c r="BR227">
        <f t="shared" si="51"/>
        <v>825</v>
      </c>
      <c r="BS227">
        <f t="shared" si="52"/>
        <v>1</v>
      </c>
      <c r="BT227">
        <f t="shared" si="53"/>
        <v>15</v>
      </c>
      <c r="BU227">
        <f t="shared" si="54"/>
        <v>241</v>
      </c>
      <c r="BV227">
        <f t="shared" si="55"/>
        <v>326</v>
      </c>
      <c r="BW227">
        <f t="shared" si="56"/>
        <v>485</v>
      </c>
      <c r="BX227">
        <f t="shared" si="57"/>
        <v>11</v>
      </c>
      <c r="BY227" s="2">
        <f t="shared" si="58"/>
        <v>243</v>
      </c>
      <c r="BZ227">
        <f t="shared" si="59"/>
        <v>77.19071584096092</v>
      </c>
      <c r="CA227">
        <v>77.19071584096092</v>
      </c>
      <c r="CB227">
        <v>77.19071584096092</v>
      </c>
      <c r="CC227">
        <v>77.19071584096092</v>
      </c>
      <c r="CD227">
        <v>77.19071584096092</v>
      </c>
      <c r="CE227">
        <v>77.19071584096092</v>
      </c>
      <c r="CF227">
        <v>77.19071584096092</v>
      </c>
      <c r="CG227">
        <v>77.19071584096092</v>
      </c>
      <c r="CH227">
        <f t="shared" si="60"/>
        <v>1.0288888800990232</v>
      </c>
      <c r="CI227">
        <f t="shared" si="61"/>
        <v>-1.8875650684509018</v>
      </c>
      <c r="CJ227">
        <f t="shared" si="62"/>
        <v>-0.71147380939522065</v>
      </c>
      <c r="CK227">
        <f t="shared" si="63"/>
        <v>0.49445197412396652</v>
      </c>
      <c r="CL227">
        <f t="shared" si="64"/>
        <v>0.62565253161703716</v>
      </c>
      <c r="CM227">
        <f t="shared" si="65"/>
        <v>0.79817667015136184</v>
      </c>
      <c r="CN227">
        <f t="shared" si="66"/>
        <v>-0.84617238329267674</v>
      </c>
      <c r="CO227" s="2">
        <f t="shared" si="67"/>
        <v>0.49804120514741035</v>
      </c>
      <c r="CP227">
        <v>0.559112050791441</v>
      </c>
      <c r="CQ227">
        <v>-2.2527165794045199</v>
      </c>
      <c r="CR227">
        <v>-0.683632990689925</v>
      </c>
      <c r="CS227">
        <v>-0.18849731572848899</v>
      </c>
      <c r="CT227">
        <v>-0.145820252851738</v>
      </c>
      <c r="CU227">
        <v>-0.122223665617228</v>
      </c>
      <c r="CV227">
        <v>0.406867375449111</v>
      </c>
      <c r="CW227">
        <v>-0.11642504371788701</v>
      </c>
      <c r="CX227" t="s">
        <v>1826</v>
      </c>
    </row>
    <row r="228" spans="1:102" x14ac:dyDescent="0.35">
      <c r="A228" t="s">
        <v>1815</v>
      </c>
      <c r="B228" t="s">
        <v>159</v>
      </c>
      <c r="C228" t="s">
        <v>548</v>
      </c>
      <c r="D228" t="s">
        <v>72</v>
      </c>
      <c r="E228" t="s">
        <v>72</v>
      </c>
      <c r="F228" t="s">
        <v>72</v>
      </c>
      <c r="G228" t="s">
        <v>73</v>
      </c>
      <c r="H228" t="s">
        <v>109</v>
      </c>
      <c r="I228" t="s">
        <v>110</v>
      </c>
      <c r="J228" t="s">
        <v>111</v>
      </c>
      <c r="K228" t="s">
        <v>112</v>
      </c>
      <c r="L228" t="s">
        <v>113</v>
      </c>
      <c r="M228" t="s">
        <v>114</v>
      </c>
      <c r="N228">
        <v>48</v>
      </c>
      <c r="O228" t="s">
        <v>80</v>
      </c>
      <c r="P228">
        <v>621</v>
      </c>
      <c r="Q228">
        <v>0.68400000000000005</v>
      </c>
      <c r="R228">
        <v>175</v>
      </c>
      <c r="S228">
        <v>0.81130000000000002</v>
      </c>
      <c r="T228" t="s">
        <v>115</v>
      </c>
      <c r="U228" t="s">
        <v>116</v>
      </c>
      <c r="V228" t="s">
        <v>117</v>
      </c>
      <c r="W228" t="s">
        <v>118</v>
      </c>
      <c r="X228" t="s">
        <v>119</v>
      </c>
      <c r="Y228" t="s">
        <v>120</v>
      </c>
      <c r="Z228" t="s">
        <v>121</v>
      </c>
      <c r="AA228" t="s">
        <v>88</v>
      </c>
      <c r="AB228">
        <v>239</v>
      </c>
      <c r="AC228">
        <v>4</v>
      </c>
      <c r="AE228">
        <v>1</v>
      </c>
      <c r="AF228" t="s">
        <v>142</v>
      </c>
      <c r="AG228" t="s">
        <v>1816</v>
      </c>
      <c r="AH228" t="s">
        <v>72</v>
      </c>
      <c r="AI228" t="s">
        <v>72</v>
      </c>
      <c r="AJ228" t="s">
        <v>91</v>
      </c>
      <c r="AK228" t="s">
        <v>92</v>
      </c>
      <c r="AL228" t="s">
        <v>93</v>
      </c>
      <c r="AM228" t="s">
        <v>94</v>
      </c>
      <c r="AN228" t="s">
        <v>144</v>
      </c>
      <c r="AO228" t="s">
        <v>145</v>
      </c>
      <c r="AP228" t="s">
        <v>97</v>
      </c>
      <c r="AQ228">
        <v>39</v>
      </c>
      <c r="AR228" t="s">
        <v>80</v>
      </c>
      <c r="AS228">
        <v>1359</v>
      </c>
      <c r="AT228">
        <v>0.96879999999999999</v>
      </c>
      <c r="AU228">
        <v>172</v>
      </c>
      <c r="AV228">
        <v>0.94740000000000002</v>
      </c>
      <c r="AW228" t="s">
        <v>98</v>
      </c>
      <c r="AX228" t="s">
        <v>146</v>
      </c>
      <c r="AY228" t="s">
        <v>127</v>
      </c>
      <c r="AZ228" t="s">
        <v>101</v>
      </c>
      <c r="BA228" t="s">
        <v>128</v>
      </c>
      <c r="BB228" t="s">
        <v>103</v>
      </c>
      <c r="BC228" t="s">
        <v>104</v>
      </c>
      <c r="BD228" t="s">
        <v>105</v>
      </c>
      <c r="BE228">
        <v>9287</v>
      </c>
      <c r="BF228" t="s">
        <v>106</v>
      </c>
      <c r="BG228">
        <v>92</v>
      </c>
      <c r="BH228" t="s">
        <v>80</v>
      </c>
      <c r="BI228">
        <v>1</v>
      </c>
      <c r="BJ228">
        <v>1078</v>
      </c>
      <c r="BK228">
        <v>5</v>
      </c>
      <c r="BL228">
        <v>45</v>
      </c>
      <c r="BM228">
        <v>416</v>
      </c>
      <c r="BN228">
        <v>683</v>
      </c>
      <c r="BO228">
        <v>936</v>
      </c>
      <c r="BP228">
        <v>14</v>
      </c>
      <c r="BQ228" s="2">
        <v>519</v>
      </c>
      <c r="BR228">
        <f t="shared" si="51"/>
        <v>1079</v>
      </c>
      <c r="BS228">
        <f t="shared" si="52"/>
        <v>6</v>
      </c>
      <c r="BT228">
        <f t="shared" si="53"/>
        <v>46</v>
      </c>
      <c r="BU228">
        <f t="shared" si="54"/>
        <v>417</v>
      </c>
      <c r="BV228">
        <f t="shared" si="55"/>
        <v>684</v>
      </c>
      <c r="BW228">
        <f t="shared" si="56"/>
        <v>937</v>
      </c>
      <c r="BX228">
        <f t="shared" si="57"/>
        <v>15</v>
      </c>
      <c r="BY228" s="2">
        <f t="shared" si="58"/>
        <v>520</v>
      </c>
      <c r="BZ228">
        <f t="shared" si="59"/>
        <v>167.54042378265041</v>
      </c>
      <c r="CA228">
        <v>167.54042378265041</v>
      </c>
      <c r="CB228">
        <v>167.54042378265041</v>
      </c>
      <c r="CC228">
        <v>167.54042378265041</v>
      </c>
      <c r="CD228">
        <v>167.54042378265041</v>
      </c>
      <c r="CE228">
        <v>167.54042378265041</v>
      </c>
      <c r="CF228">
        <v>167.54042378265041</v>
      </c>
      <c r="CG228">
        <v>167.54042378265041</v>
      </c>
      <c r="CH228">
        <f t="shared" si="60"/>
        <v>0.80890183505537805</v>
      </c>
      <c r="CI228">
        <f t="shared" si="61"/>
        <v>-1.445968359243889</v>
      </c>
      <c r="CJ228">
        <f t="shared" si="62"/>
        <v>-0.56136177794595854</v>
      </c>
      <c r="CK228">
        <f t="shared" si="63"/>
        <v>0.39601644534622493</v>
      </c>
      <c r="CL228">
        <f t="shared" si="64"/>
        <v>0.61093649209258361</v>
      </c>
      <c r="CM228">
        <f t="shared" si="65"/>
        <v>0.74761998126024565</v>
      </c>
      <c r="CN228">
        <f t="shared" si="66"/>
        <v>-1.0480283505718513</v>
      </c>
      <c r="CO228" s="2">
        <f t="shared" si="67"/>
        <v>0.49188373400726654</v>
      </c>
      <c r="CP228">
        <v>0.29481249885494398</v>
      </c>
      <c r="CQ228">
        <v>0.52763124062312805</v>
      </c>
      <c r="CR228">
        <v>-1.29508260006755E-2</v>
      </c>
      <c r="CS228">
        <v>-0.47853267003281502</v>
      </c>
      <c r="CT228">
        <v>-0.18678404303628701</v>
      </c>
      <c r="CU228">
        <v>-0.26822096705501902</v>
      </c>
      <c r="CV228">
        <v>-0.13450503862381699</v>
      </c>
      <c r="CW228">
        <v>-0.13333748265447701</v>
      </c>
      <c r="CX228" t="s">
        <v>1826</v>
      </c>
    </row>
    <row r="229" spans="1:102" x14ac:dyDescent="0.35">
      <c r="A229" t="s">
        <v>1074</v>
      </c>
      <c r="B229" t="s">
        <v>89</v>
      </c>
      <c r="C229" t="s">
        <v>444</v>
      </c>
      <c r="D229" t="s">
        <v>72</v>
      </c>
      <c r="E229" t="s">
        <v>72</v>
      </c>
      <c r="F229" t="s">
        <v>72</v>
      </c>
      <c r="G229" t="s">
        <v>73</v>
      </c>
      <c r="H229" t="s">
        <v>74</v>
      </c>
      <c r="I229" t="s">
        <v>75</v>
      </c>
      <c r="J229" t="s">
        <v>76</v>
      </c>
      <c r="K229" t="s">
        <v>77</v>
      </c>
      <c r="L229" t="s">
        <v>78</v>
      </c>
      <c r="M229" t="s">
        <v>79</v>
      </c>
      <c r="N229">
        <v>60</v>
      </c>
      <c r="O229" t="s">
        <v>80</v>
      </c>
      <c r="P229">
        <v>792</v>
      </c>
      <c r="Q229">
        <v>0.75</v>
      </c>
      <c r="R229">
        <v>177</v>
      </c>
      <c r="S229">
        <v>0.85419999999999996</v>
      </c>
      <c r="T229" t="s">
        <v>81</v>
      </c>
      <c r="U229" t="s">
        <v>82</v>
      </c>
      <c r="V229" t="s">
        <v>83</v>
      </c>
      <c r="W229" t="s">
        <v>84</v>
      </c>
      <c r="X229" t="s">
        <v>85</v>
      </c>
      <c r="Y229" t="s">
        <v>86</v>
      </c>
      <c r="Z229" t="s">
        <v>87</v>
      </c>
      <c r="AA229" t="s">
        <v>88</v>
      </c>
      <c r="AB229">
        <v>1180</v>
      </c>
      <c r="AC229">
        <v>10</v>
      </c>
      <c r="AE229">
        <v>22</v>
      </c>
      <c r="AF229" t="s">
        <v>211</v>
      </c>
      <c r="AG229" t="s">
        <v>384</v>
      </c>
      <c r="AH229" t="s">
        <v>72</v>
      </c>
      <c r="AI229" t="s">
        <v>72</v>
      </c>
      <c r="AJ229" t="s">
        <v>91</v>
      </c>
      <c r="AK229" t="s">
        <v>92</v>
      </c>
      <c r="AL229" t="s">
        <v>93</v>
      </c>
      <c r="AM229" t="s">
        <v>94</v>
      </c>
      <c r="AN229" t="s">
        <v>144</v>
      </c>
      <c r="AO229" t="s">
        <v>145</v>
      </c>
      <c r="AP229" t="s">
        <v>97</v>
      </c>
      <c r="AQ229">
        <v>39</v>
      </c>
      <c r="AR229" t="s">
        <v>80</v>
      </c>
      <c r="AS229">
        <v>1359</v>
      </c>
      <c r="AT229">
        <v>0.96879999999999999</v>
      </c>
      <c r="AU229">
        <v>172</v>
      </c>
      <c r="AV229">
        <v>0.94740000000000002</v>
      </c>
      <c r="AW229" t="s">
        <v>98</v>
      </c>
      <c r="AX229" t="s">
        <v>146</v>
      </c>
      <c r="AY229" t="s">
        <v>127</v>
      </c>
      <c r="AZ229" t="s">
        <v>101</v>
      </c>
      <c r="BA229" t="s">
        <v>128</v>
      </c>
      <c r="BB229" t="s">
        <v>103</v>
      </c>
      <c r="BC229" t="s">
        <v>104</v>
      </c>
      <c r="BD229" t="s">
        <v>105</v>
      </c>
      <c r="BE229">
        <v>16894</v>
      </c>
      <c r="BF229" t="s">
        <v>106</v>
      </c>
      <c r="BG229">
        <v>206</v>
      </c>
      <c r="BH229" t="s">
        <v>80</v>
      </c>
      <c r="BI229">
        <v>1</v>
      </c>
      <c r="BJ229">
        <v>4154</v>
      </c>
      <c r="BK229">
        <v>11</v>
      </c>
      <c r="BL229">
        <v>80</v>
      </c>
      <c r="BM229">
        <v>1275</v>
      </c>
      <c r="BN229">
        <v>1686</v>
      </c>
      <c r="BO229">
        <v>2310</v>
      </c>
      <c r="BP229">
        <v>32</v>
      </c>
      <c r="BQ229" s="2">
        <v>1276</v>
      </c>
      <c r="BR229">
        <f t="shared" si="51"/>
        <v>4155</v>
      </c>
      <c r="BS229">
        <f t="shared" si="52"/>
        <v>12</v>
      </c>
      <c r="BT229">
        <f t="shared" si="53"/>
        <v>81</v>
      </c>
      <c r="BU229">
        <f t="shared" si="54"/>
        <v>1276</v>
      </c>
      <c r="BV229">
        <f t="shared" si="55"/>
        <v>1687</v>
      </c>
      <c r="BW229">
        <f t="shared" si="56"/>
        <v>2311</v>
      </c>
      <c r="BX229">
        <f t="shared" si="57"/>
        <v>33</v>
      </c>
      <c r="BY229" s="2">
        <f t="shared" si="58"/>
        <v>1277</v>
      </c>
      <c r="BZ229">
        <f t="shared" si="59"/>
        <v>413.01276924290329</v>
      </c>
      <c r="CA229">
        <v>413.01276924290329</v>
      </c>
      <c r="CB229">
        <v>413.01276924290329</v>
      </c>
      <c r="CC229">
        <v>413.01276924290329</v>
      </c>
      <c r="CD229">
        <v>413.01276924290329</v>
      </c>
      <c r="CE229">
        <v>413.01276924290329</v>
      </c>
      <c r="CF229">
        <v>413.01276924290329</v>
      </c>
      <c r="CG229">
        <v>413.01276924290329</v>
      </c>
      <c r="CH229">
        <f t="shared" si="60"/>
        <v>1.0026075490399942</v>
      </c>
      <c r="CI229">
        <f t="shared" si="61"/>
        <v>-1.5367822330325109</v>
      </c>
      <c r="CJ229">
        <f t="shared" si="62"/>
        <v>-0.70747846020148586</v>
      </c>
      <c r="CK229">
        <f t="shared" si="63"/>
        <v>0.48988719530500791</v>
      </c>
      <c r="CL229">
        <f t="shared" si="64"/>
        <v>0.61115160350898956</v>
      </c>
      <c r="CM229">
        <f t="shared" si="65"/>
        <v>0.74783646639897361</v>
      </c>
      <c r="CN229">
        <f t="shared" si="66"/>
        <v>-1.0974495392022483</v>
      </c>
      <c r="CO229" s="2">
        <f t="shared" si="67"/>
        <v>0.49022741818327958</v>
      </c>
      <c r="CP229">
        <v>0.52753680952294701</v>
      </c>
      <c r="CQ229">
        <v>0.25934848688955697</v>
      </c>
      <c r="CR229">
        <v>-0.66578226000516205</v>
      </c>
      <c r="CS229">
        <v>-0.20194720784078601</v>
      </c>
      <c r="CT229">
        <v>-0.18618525564425101</v>
      </c>
      <c r="CU229">
        <v>-0.26759580257631399</v>
      </c>
      <c r="CV229">
        <v>-0.267051371317504</v>
      </c>
      <c r="CW229">
        <v>-0.13788680811542101</v>
      </c>
      <c r="CX229" t="s">
        <v>1826</v>
      </c>
    </row>
    <row r="230" spans="1:102" x14ac:dyDescent="0.35">
      <c r="A230" t="s">
        <v>1009</v>
      </c>
      <c r="B230" t="s">
        <v>89</v>
      </c>
      <c r="C230" t="s">
        <v>301</v>
      </c>
      <c r="D230" t="s">
        <v>72</v>
      </c>
      <c r="E230" t="s">
        <v>72</v>
      </c>
      <c r="F230" t="s">
        <v>72</v>
      </c>
      <c r="G230" t="s">
        <v>73</v>
      </c>
      <c r="H230" t="s">
        <v>109</v>
      </c>
      <c r="I230" t="s">
        <v>110</v>
      </c>
      <c r="J230" t="s">
        <v>111</v>
      </c>
      <c r="K230" t="s">
        <v>112</v>
      </c>
      <c r="L230" t="s">
        <v>113</v>
      </c>
      <c r="M230" t="s">
        <v>114</v>
      </c>
      <c r="N230">
        <v>48</v>
      </c>
      <c r="O230" t="s">
        <v>80</v>
      </c>
      <c r="P230">
        <v>621</v>
      </c>
      <c r="Q230">
        <v>0.68400000000000005</v>
      </c>
      <c r="R230">
        <v>175</v>
      </c>
      <c r="S230">
        <v>0.81130000000000002</v>
      </c>
      <c r="T230" t="s">
        <v>115</v>
      </c>
      <c r="U230" t="s">
        <v>116</v>
      </c>
      <c r="V230" t="s">
        <v>117</v>
      </c>
      <c r="W230" t="s">
        <v>118</v>
      </c>
      <c r="X230" t="s">
        <v>119</v>
      </c>
      <c r="Y230" t="s">
        <v>120</v>
      </c>
      <c r="Z230" t="s">
        <v>121</v>
      </c>
      <c r="AA230" t="s">
        <v>88</v>
      </c>
      <c r="AB230">
        <v>213</v>
      </c>
      <c r="AC230">
        <v>3</v>
      </c>
      <c r="AE230">
        <v>1</v>
      </c>
      <c r="AF230" t="s">
        <v>159</v>
      </c>
      <c r="AG230" t="s">
        <v>1010</v>
      </c>
      <c r="AH230" t="s">
        <v>72</v>
      </c>
      <c r="AI230" t="s">
        <v>72</v>
      </c>
      <c r="AJ230" t="s">
        <v>91</v>
      </c>
      <c r="AK230" t="s">
        <v>92</v>
      </c>
      <c r="AL230" t="s">
        <v>93</v>
      </c>
      <c r="AM230" t="s">
        <v>94</v>
      </c>
      <c r="AN230" t="s">
        <v>144</v>
      </c>
      <c r="AO230" t="s">
        <v>145</v>
      </c>
      <c r="AP230" t="s">
        <v>97</v>
      </c>
      <c r="AQ230">
        <v>39</v>
      </c>
      <c r="AR230" t="s">
        <v>80</v>
      </c>
      <c r="AS230">
        <v>1359</v>
      </c>
      <c r="AT230">
        <v>0.96879999999999999</v>
      </c>
      <c r="AU230">
        <v>172</v>
      </c>
      <c r="AV230">
        <v>0.94740000000000002</v>
      </c>
      <c r="AW230" t="s">
        <v>98</v>
      </c>
      <c r="AX230" t="s">
        <v>146</v>
      </c>
      <c r="AY230" t="s">
        <v>127</v>
      </c>
      <c r="AZ230" t="s">
        <v>101</v>
      </c>
      <c r="BA230" t="s">
        <v>128</v>
      </c>
      <c r="BB230" t="s">
        <v>103</v>
      </c>
      <c r="BC230" t="s">
        <v>104</v>
      </c>
      <c r="BD230" t="s">
        <v>105</v>
      </c>
      <c r="BE230">
        <v>5686</v>
      </c>
      <c r="BF230" t="s">
        <v>106</v>
      </c>
      <c r="BG230">
        <v>62</v>
      </c>
      <c r="BH230" t="s">
        <v>80</v>
      </c>
      <c r="BI230">
        <v>1</v>
      </c>
      <c r="BJ230">
        <v>1253</v>
      </c>
      <c r="BK230">
        <v>0</v>
      </c>
      <c r="BL230">
        <v>20</v>
      </c>
      <c r="BM230">
        <v>329</v>
      </c>
      <c r="BN230">
        <v>460</v>
      </c>
      <c r="BO230">
        <v>613</v>
      </c>
      <c r="BP230">
        <v>11</v>
      </c>
      <c r="BQ230" s="2">
        <v>304</v>
      </c>
      <c r="BR230">
        <f t="shared" si="51"/>
        <v>1254</v>
      </c>
      <c r="BS230">
        <f t="shared" si="52"/>
        <v>1</v>
      </c>
      <c r="BT230">
        <f t="shared" si="53"/>
        <v>21</v>
      </c>
      <c r="BU230">
        <f t="shared" si="54"/>
        <v>330</v>
      </c>
      <c r="BV230">
        <f t="shared" si="55"/>
        <v>461</v>
      </c>
      <c r="BW230">
        <f t="shared" si="56"/>
        <v>614</v>
      </c>
      <c r="BX230">
        <f t="shared" si="57"/>
        <v>12</v>
      </c>
      <c r="BY230" s="2">
        <f t="shared" si="58"/>
        <v>305</v>
      </c>
      <c r="BZ230">
        <f t="shared" si="59"/>
        <v>98.69556648818164</v>
      </c>
      <c r="CA230">
        <v>98.69556648818164</v>
      </c>
      <c r="CB230">
        <v>98.69556648818164</v>
      </c>
      <c r="CC230">
        <v>98.69556648818164</v>
      </c>
      <c r="CD230">
        <v>98.69556648818164</v>
      </c>
      <c r="CE230">
        <v>98.69556648818164</v>
      </c>
      <c r="CF230">
        <v>98.69556648818164</v>
      </c>
      <c r="CG230">
        <v>98.69556648818164</v>
      </c>
      <c r="CH230">
        <f t="shared" si="60"/>
        <v>1.1039998923657313</v>
      </c>
      <c r="CI230">
        <f t="shared" si="61"/>
        <v>-1.9942976441289664</v>
      </c>
      <c r="CJ230">
        <f t="shared" si="62"/>
        <v>-0.67207834939504718</v>
      </c>
      <c r="CK230">
        <f t="shared" si="63"/>
        <v>0.52421629574892115</v>
      </c>
      <c r="CL230">
        <f t="shared" si="64"/>
        <v>0.66940328126068183</v>
      </c>
      <c r="CM230">
        <f t="shared" si="65"/>
        <v>0.79387072701220129</v>
      </c>
      <c r="CN230">
        <f t="shared" si="66"/>
        <v>-0.9151163980813416</v>
      </c>
      <c r="CO230" s="2">
        <f t="shared" si="67"/>
        <v>0.49000219521781946</v>
      </c>
      <c r="CP230">
        <v>0.64935285057876002</v>
      </c>
      <c r="CQ230">
        <v>-2.2527165794045199</v>
      </c>
      <c r="CR230">
        <v>-0.507618902167143</v>
      </c>
      <c r="CS230">
        <v>-0.10079823313795901</v>
      </c>
      <c r="CT230">
        <v>-2.4035004460626602E-2</v>
      </c>
      <c r="CU230">
        <v>-0.13465834225944101</v>
      </c>
      <c r="CV230">
        <v>0.22196133464627399</v>
      </c>
      <c r="CW230">
        <v>-0.138505417535387</v>
      </c>
      <c r="CX230" t="s">
        <v>1826</v>
      </c>
    </row>
    <row r="231" spans="1:102" x14ac:dyDescent="0.35">
      <c r="A231" t="s">
        <v>1762</v>
      </c>
      <c r="B231" t="s">
        <v>148</v>
      </c>
      <c r="C231" t="s">
        <v>1763</v>
      </c>
      <c r="D231" t="s">
        <v>72</v>
      </c>
      <c r="E231" t="s">
        <v>72</v>
      </c>
      <c r="F231" t="s">
        <v>72</v>
      </c>
      <c r="G231" t="s">
        <v>73</v>
      </c>
      <c r="H231" t="s">
        <v>74</v>
      </c>
      <c r="I231" t="s">
        <v>75</v>
      </c>
      <c r="J231" t="s">
        <v>76</v>
      </c>
      <c r="K231" t="s">
        <v>77</v>
      </c>
      <c r="L231" t="s">
        <v>78</v>
      </c>
      <c r="M231" t="s">
        <v>79</v>
      </c>
      <c r="N231">
        <v>60</v>
      </c>
      <c r="O231" t="s">
        <v>80</v>
      </c>
      <c r="P231">
        <v>792</v>
      </c>
      <c r="Q231">
        <v>0.75</v>
      </c>
      <c r="R231">
        <v>177</v>
      </c>
      <c r="S231">
        <v>0.85419999999999996</v>
      </c>
      <c r="T231" t="s">
        <v>81</v>
      </c>
      <c r="U231" t="s">
        <v>82</v>
      </c>
      <c r="V231" t="s">
        <v>83</v>
      </c>
      <c r="W231" t="s">
        <v>84</v>
      </c>
      <c r="X231" t="s">
        <v>85</v>
      </c>
      <c r="Y231" t="s">
        <v>86</v>
      </c>
      <c r="Z231" t="s">
        <v>87</v>
      </c>
      <c r="AA231" t="s">
        <v>88</v>
      </c>
      <c r="AB231">
        <v>1210</v>
      </c>
      <c r="AC231">
        <v>21</v>
      </c>
      <c r="AE231">
        <v>22</v>
      </c>
      <c r="AF231" t="s">
        <v>89</v>
      </c>
      <c r="AG231" t="s">
        <v>1764</v>
      </c>
      <c r="AH231" t="s">
        <v>72</v>
      </c>
      <c r="AI231" t="s">
        <v>72</v>
      </c>
      <c r="AJ231" t="s">
        <v>91</v>
      </c>
      <c r="AK231" t="s">
        <v>92</v>
      </c>
      <c r="AL231" t="s">
        <v>93</v>
      </c>
      <c r="AM231" t="s">
        <v>94</v>
      </c>
      <c r="AN231" t="s">
        <v>1765</v>
      </c>
      <c r="AO231" t="s">
        <v>1766</v>
      </c>
      <c r="AP231" t="s">
        <v>513</v>
      </c>
      <c r="AQ231">
        <v>39</v>
      </c>
      <c r="AR231" t="s">
        <v>80</v>
      </c>
      <c r="AS231">
        <v>1368</v>
      </c>
      <c r="AT231">
        <v>0.97219999999999995</v>
      </c>
      <c r="AU231">
        <v>172</v>
      </c>
      <c r="AV231">
        <v>0.94740000000000002</v>
      </c>
      <c r="AW231" t="s">
        <v>98</v>
      </c>
      <c r="AX231" t="s">
        <v>367</v>
      </c>
      <c r="AY231" t="s">
        <v>100</v>
      </c>
      <c r="AZ231" t="s">
        <v>101</v>
      </c>
      <c r="BA231" t="s">
        <v>953</v>
      </c>
      <c r="BB231" t="s">
        <v>103</v>
      </c>
      <c r="BC231" t="s">
        <v>515</v>
      </c>
      <c r="BD231" t="s">
        <v>105</v>
      </c>
      <c r="BE231">
        <v>125029</v>
      </c>
      <c r="BF231" t="s">
        <v>516</v>
      </c>
      <c r="BG231">
        <v>1569</v>
      </c>
      <c r="BH231" t="s">
        <v>80</v>
      </c>
      <c r="BI231">
        <v>1</v>
      </c>
      <c r="BJ231">
        <v>11981</v>
      </c>
      <c r="BK231">
        <v>0</v>
      </c>
      <c r="BL231">
        <v>95</v>
      </c>
      <c r="BM231">
        <v>15</v>
      </c>
      <c r="BN231">
        <v>19</v>
      </c>
      <c r="BO231">
        <v>12</v>
      </c>
      <c r="BP231">
        <v>78</v>
      </c>
      <c r="BQ231" s="2">
        <v>10</v>
      </c>
      <c r="BR231">
        <f t="shared" si="51"/>
        <v>11982</v>
      </c>
      <c r="BS231">
        <f t="shared" si="52"/>
        <v>1</v>
      </c>
      <c r="BT231">
        <f t="shared" si="53"/>
        <v>96</v>
      </c>
      <c r="BU231">
        <f t="shared" si="54"/>
        <v>16</v>
      </c>
      <c r="BV231">
        <f t="shared" si="55"/>
        <v>20</v>
      </c>
      <c r="BW231">
        <f t="shared" si="56"/>
        <v>13</v>
      </c>
      <c r="BX231">
        <f t="shared" si="57"/>
        <v>79</v>
      </c>
      <c r="BY231" s="2">
        <f t="shared" si="58"/>
        <v>11</v>
      </c>
      <c r="BZ231">
        <f t="shared" si="59"/>
        <v>37.788896235129734</v>
      </c>
      <c r="CA231">
        <v>37.788896235129734</v>
      </c>
      <c r="CB231">
        <v>37.788896235129734</v>
      </c>
      <c r="CC231">
        <v>37.788896235129734</v>
      </c>
      <c r="CD231">
        <v>37.788896235129734</v>
      </c>
      <c r="CE231">
        <v>37.788896235129734</v>
      </c>
      <c r="CF231">
        <v>37.788896235129734</v>
      </c>
      <c r="CG231">
        <v>37.788896235129734</v>
      </c>
      <c r="CH231">
        <f t="shared" si="60"/>
        <v>2.5011651083331805</v>
      </c>
      <c r="CI231">
        <f t="shared" si="61"/>
        <v>-1.5773642069211655</v>
      </c>
      <c r="CJ231">
        <f t="shared" si="62"/>
        <v>0.4049070261184029</v>
      </c>
      <c r="CK231">
        <f t="shared" si="63"/>
        <v>-0.37324422426524068</v>
      </c>
      <c r="CL231">
        <f t="shared" si="64"/>
        <v>-0.27633421125718427</v>
      </c>
      <c r="CM231">
        <f t="shared" si="65"/>
        <v>-0.46342085461432869</v>
      </c>
      <c r="CN231">
        <f t="shared" si="66"/>
        <v>0.32026288436927602</v>
      </c>
      <c r="CO231" s="2">
        <f t="shared" si="67"/>
        <v>-0.53597152176294038</v>
      </c>
      <c r="CP231">
        <v>2.32795233578114</v>
      </c>
      <c r="CQ231">
        <v>-2.2527165794045199</v>
      </c>
      <c r="CR231">
        <v>4.3042198026615797</v>
      </c>
      <c r="CS231">
        <v>-2.7451206960585899</v>
      </c>
      <c r="CT231">
        <v>-2.6566041918963998</v>
      </c>
      <c r="CU231">
        <v>-3.7654573930687301</v>
      </c>
      <c r="CV231">
        <v>3.5352161937953999</v>
      </c>
      <c r="CW231">
        <v>-2.9564995979479001</v>
      </c>
      <c r="CX231" t="s">
        <v>1827</v>
      </c>
    </row>
    <row r="232" spans="1:102" x14ac:dyDescent="0.35">
      <c r="A232" t="s">
        <v>1624</v>
      </c>
      <c r="B232" t="s">
        <v>142</v>
      </c>
      <c r="C232" t="s">
        <v>149</v>
      </c>
      <c r="D232" t="s">
        <v>72</v>
      </c>
      <c r="E232" t="s">
        <v>72</v>
      </c>
      <c r="F232" t="s">
        <v>72</v>
      </c>
      <c r="G232" t="s">
        <v>73</v>
      </c>
      <c r="H232" t="s">
        <v>74</v>
      </c>
      <c r="I232" t="s">
        <v>75</v>
      </c>
      <c r="J232" t="s">
        <v>76</v>
      </c>
      <c r="K232" t="s">
        <v>77</v>
      </c>
      <c r="L232" t="s">
        <v>78</v>
      </c>
      <c r="M232" t="s">
        <v>79</v>
      </c>
      <c r="N232">
        <v>60</v>
      </c>
      <c r="O232" t="s">
        <v>80</v>
      </c>
      <c r="P232">
        <v>792</v>
      </c>
      <c r="Q232">
        <v>0.75</v>
      </c>
      <c r="R232">
        <v>177</v>
      </c>
      <c r="S232">
        <v>0.85419999999999996</v>
      </c>
      <c r="T232" t="s">
        <v>81</v>
      </c>
      <c r="U232" t="s">
        <v>82</v>
      </c>
      <c r="V232" t="s">
        <v>83</v>
      </c>
      <c r="W232" t="s">
        <v>84</v>
      </c>
      <c r="X232" t="s">
        <v>85</v>
      </c>
      <c r="Y232" t="s">
        <v>86</v>
      </c>
      <c r="Z232" t="s">
        <v>87</v>
      </c>
      <c r="AA232" t="s">
        <v>88</v>
      </c>
      <c r="AB232">
        <v>547</v>
      </c>
      <c r="AC232">
        <v>13</v>
      </c>
      <c r="AE232">
        <v>22</v>
      </c>
      <c r="AF232" t="s">
        <v>89</v>
      </c>
      <c r="AG232" t="s">
        <v>1625</v>
      </c>
      <c r="AH232" t="s">
        <v>72</v>
      </c>
      <c r="AI232" t="s">
        <v>72</v>
      </c>
      <c r="AJ232" t="s">
        <v>91</v>
      </c>
      <c r="AK232" t="s">
        <v>92</v>
      </c>
      <c r="AL232" t="s">
        <v>93</v>
      </c>
      <c r="AM232" t="s">
        <v>94</v>
      </c>
      <c r="AN232" t="s">
        <v>1626</v>
      </c>
      <c r="AO232" t="s">
        <v>1627</v>
      </c>
      <c r="AP232" t="s">
        <v>513</v>
      </c>
      <c r="AQ232">
        <v>39</v>
      </c>
      <c r="AR232" t="s">
        <v>80</v>
      </c>
      <c r="AS232">
        <v>1368</v>
      </c>
      <c r="AT232">
        <v>0.97219999999999995</v>
      </c>
      <c r="AU232">
        <v>172</v>
      </c>
      <c r="AV232">
        <v>0.94740000000000002</v>
      </c>
      <c r="AW232" t="s">
        <v>98</v>
      </c>
      <c r="AX232" t="s">
        <v>146</v>
      </c>
      <c r="AY232" t="s">
        <v>1628</v>
      </c>
      <c r="AZ232" t="s">
        <v>101</v>
      </c>
      <c r="BA232" t="s">
        <v>102</v>
      </c>
      <c r="BB232" t="s">
        <v>103</v>
      </c>
      <c r="BC232" t="s">
        <v>515</v>
      </c>
      <c r="BD232" t="s">
        <v>105</v>
      </c>
      <c r="BE232">
        <v>4945</v>
      </c>
      <c r="BF232" t="s">
        <v>516</v>
      </c>
      <c r="BG232">
        <v>59</v>
      </c>
      <c r="BH232" t="s">
        <v>80</v>
      </c>
      <c r="BI232">
        <v>1</v>
      </c>
      <c r="BJ232">
        <v>11927</v>
      </c>
      <c r="BK232">
        <v>0</v>
      </c>
      <c r="BL232">
        <v>81</v>
      </c>
      <c r="BM232">
        <v>16</v>
      </c>
      <c r="BN232">
        <v>22</v>
      </c>
      <c r="BO232">
        <v>25</v>
      </c>
      <c r="BP232">
        <v>67</v>
      </c>
      <c r="BQ232" s="2">
        <v>15</v>
      </c>
      <c r="BR232">
        <f t="shared" si="51"/>
        <v>11928</v>
      </c>
      <c r="BS232">
        <f t="shared" si="52"/>
        <v>1</v>
      </c>
      <c r="BT232">
        <f t="shared" si="53"/>
        <v>82</v>
      </c>
      <c r="BU232">
        <f t="shared" si="54"/>
        <v>17</v>
      </c>
      <c r="BV232">
        <f t="shared" si="55"/>
        <v>23</v>
      </c>
      <c r="BW232">
        <f t="shared" si="56"/>
        <v>26</v>
      </c>
      <c r="BX232">
        <f t="shared" si="57"/>
        <v>68</v>
      </c>
      <c r="BY232" s="2">
        <f t="shared" si="58"/>
        <v>16</v>
      </c>
      <c r="BZ232">
        <f t="shared" si="59"/>
        <v>42.586314834233846</v>
      </c>
      <c r="CA232">
        <v>42.586314834233846</v>
      </c>
      <c r="CB232">
        <v>42.586314834233846</v>
      </c>
      <c r="CC232">
        <v>42.586314834233846</v>
      </c>
      <c r="CD232">
        <v>42.586314834233846</v>
      </c>
      <c r="CE232">
        <v>42.586314834233846</v>
      </c>
      <c r="CF232">
        <v>42.586314834233846</v>
      </c>
      <c r="CG232">
        <v>42.586314834233846</v>
      </c>
      <c r="CH232">
        <f t="shared" si="60"/>
        <v>2.4472975700002504</v>
      </c>
      <c r="CI232">
        <f t="shared" si="61"/>
        <v>-1.6292700604446877</v>
      </c>
      <c r="CJ232">
        <f t="shared" si="62"/>
        <v>0.28454379193902907</v>
      </c>
      <c r="CK232">
        <f t="shared" si="63"/>
        <v>-0.3988211390664137</v>
      </c>
      <c r="CL232">
        <f t="shared" si="64"/>
        <v>-0.26754222442709469</v>
      </c>
      <c r="CM232">
        <f t="shared" si="65"/>
        <v>-0.21429671247386958</v>
      </c>
      <c r="CN232">
        <f t="shared" si="66"/>
        <v>0.20323885226154872</v>
      </c>
      <c r="CO232" s="2">
        <f t="shared" si="67"/>
        <v>-0.42515007778876279</v>
      </c>
      <c r="CP232">
        <v>2.2632341327501799</v>
      </c>
      <c r="CQ232">
        <v>-2.2527165794045199</v>
      </c>
      <c r="CR232">
        <v>3.7664516193317299</v>
      </c>
      <c r="CS232">
        <v>-2.8204817942157301</v>
      </c>
      <c r="CT232">
        <v>-2.63213068438681</v>
      </c>
      <c r="CU232">
        <v>-3.0460381970481101</v>
      </c>
      <c r="CV232">
        <v>3.2213608066069299</v>
      </c>
      <c r="CW232">
        <v>-2.6521115039690799</v>
      </c>
      <c r="CX232" t="s">
        <v>1827</v>
      </c>
    </row>
    <row r="233" spans="1:102" x14ac:dyDescent="0.35">
      <c r="A233" t="s">
        <v>947</v>
      </c>
      <c r="B233" t="s">
        <v>130</v>
      </c>
      <c r="C233" t="s">
        <v>149</v>
      </c>
      <c r="D233" t="s">
        <v>72</v>
      </c>
      <c r="E233" t="s">
        <v>72</v>
      </c>
      <c r="F233" t="s">
        <v>72</v>
      </c>
      <c r="G233" t="s">
        <v>73</v>
      </c>
      <c r="H233" t="s">
        <v>74</v>
      </c>
      <c r="I233" t="s">
        <v>75</v>
      </c>
      <c r="J233" t="s">
        <v>76</v>
      </c>
      <c r="K233" t="s">
        <v>77</v>
      </c>
      <c r="L233" t="s">
        <v>78</v>
      </c>
      <c r="M233" t="s">
        <v>79</v>
      </c>
      <c r="N233">
        <v>60</v>
      </c>
      <c r="O233" t="s">
        <v>80</v>
      </c>
      <c r="P233">
        <v>792</v>
      </c>
      <c r="Q233">
        <v>0.75</v>
      </c>
      <c r="R233">
        <v>177</v>
      </c>
      <c r="S233">
        <v>0.85419999999999996</v>
      </c>
      <c r="T233" t="s">
        <v>81</v>
      </c>
      <c r="U233" t="s">
        <v>82</v>
      </c>
      <c r="V233" t="s">
        <v>83</v>
      </c>
      <c r="W233" t="s">
        <v>84</v>
      </c>
      <c r="X233" t="s">
        <v>85</v>
      </c>
      <c r="Y233" t="s">
        <v>86</v>
      </c>
      <c r="Z233" t="s">
        <v>87</v>
      </c>
      <c r="AA233" t="s">
        <v>88</v>
      </c>
      <c r="AB233">
        <v>841</v>
      </c>
      <c r="AC233">
        <v>20</v>
      </c>
      <c r="AE233">
        <v>22</v>
      </c>
      <c r="AF233" t="s">
        <v>89</v>
      </c>
      <c r="AG233" t="s">
        <v>948</v>
      </c>
      <c r="AH233" t="s">
        <v>72</v>
      </c>
      <c r="AI233" t="s">
        <v>72</v>
      </c>
      <c r="AJ233" t="s">
        <v>91</v>
      </c>
      <c r="AK233" t="s">
        <v>92</v>
      </c>
      <c r="AL233" t="s">
        <v>93</v>
      </c>
      <c r="AM233" t="s">
        <v>94</v>
      </c>
      <c r="AN233" t="s">
        <v>949</v>
      </c>
      <c r="AO233" t="s">
        <v>950</v>
      </c>
      <c r="AP233" t="s">
        <v>513</v>
      </c>
      <c r="AQ233">
        <v>39</v>
      </c>
      <c r="AR233" t="s">
        <v>80</v>
      </c>
      <c r="AS233">
        <v>1359</v>
      </c>
      <c r="AT233">
        <v>0.96879999999999999</v>
      </c>
      <c r="AU233">
        <v>163</v>
      </c>
      <c r="AV233">
        <v>0.92110000000000003</v>
      </c>
      <c r="AW233" t="s">
        <v>98</v>
      </c>
      <c r="AX233" t="s">
        <v>146</v>
      </c>
      <c r="AY233" t="s">
        <v>951</v>
      </c>
      <c r="AZ233" t="s">
        <v>952</v>
      </c>
      <c r="BA233" t="s">
        <v>953</v>
      </c>
      <c r="BB233" t="s">
        <v>103</v>
      </c>
      <c r="BC233" t="s">
        <v>515</v>
      </c>
      <c r="BD233" t="s">
        <v>105</v>
      </c>
      <c r="BE233">
        <v>104395</v>
      </c>
      <c r="BF233" t="s">
        <v>516</v>
      </c>
      <c r="BG233">
        <v>1268</v>
      </c>
      <c r="BH233" t="s">
        <v>80</v>
      </c>
      <c r="BI233">
        <v>1</v>
      </c>
      <c r="BJ233">
        <v>6199</v>
      </c>
      <c r="BK233">
        <v>0</v>
      </c>
      <c r="BL233">
        <v>38</v>
      </c>
      <c r="BM233">
        <v>9</v>
      </c>
      <c r="BN233">
        <v>11</v>
      </c>
      <c r="BO233">
        <v>8</v>
      </c>
      <c r="BP233">
        <v>26</v>
      </c>
      <c r="BQ233" s="2">
        <v>8</v>
      </c>
      <c r="BR233">
        <f t="shared" si="51"/>
        <v>6200</v>
      </c>
      <c r="BS233">
        <f t="shared" si="52"/>
        <v>1</v>
      </c>
      <c r="BT233">
        <f t="shared" si="53"/>
        <v>39</v>
      </c>
      <c r="BU233">
        <f t="shared" si="54"/>
        <v>10</v>
      </c>
      <c r="BV233">
        <f t="shared" si="55"/>
        <v>12</v>
      </c>
      <c r="BW233">
        <f t="shared" si="56"/>
        <v>9</v>
      </c>
      <c r="BX233">
        <f t="shared" si="57"/>
        <v>27</v>
      </c>
      <c r="BY233" s="2">
        <f t="shared" si="58"/>
        <v>9</v>
      </c>
      <c r="BZ233">
        <f t="shared" si="59"/>
        <v>22.403237901249739</v>
      </c>
      <c r="CA233">
        <v>22.403237901249739</v>
      </c>
      <c r="CB233">
        <v>22.403237901249739</v>
      </c>
      <c r="CC233">
        <v>22.403237901249739</v>
      </c>
      <c r="CD233">
        <v>22.403237901249739</v>
      </c>
      <c r="CE233">
        <v>22.403237901249739</v>
      </c>
      <c r="CF233">
        <v>22.403237901249739</v>
      </c>
      <c r="CG233">
        <v>22.403237901249739</v>
      </c>
      <c r="CH233">
        <f t="shared" si="60"/>
        <v>2.442080898797002</v>
      </c>
      <c r="CI233">
        <f t="shared" si="61"/>
        <v>-1.3503107907012519</v>
      </c>
      <c r="CJ233">
        <f t="shared" si="62"/>
        <v>0.24075381632524737</v>
      </c>
      <c r="CK233">
        <f t="shared" si="63"/>
        <v>-0.35031079070125182</v>
      </c>
      <c r="CL233">
        <f t="shared" si="64"/>
        <v>-0.27112954465362699</v>
      </c>
      <c r="CM233">
        <f t="shared" si="65"/>
        <v>-0.39606828126192695</v>
      </c>
      <c r="CN233">
        <f t="shared" si="66"/>
        <v>8.1052973457735503E-2</v>
      </c>
      <c r="CO233" s="2">
        <f t="shared" si="67"/>
        <v>-0.39606828126192695</v>
      </c>
      <c r="CP233">
        <v>2.2569666552205598</v>
      </c>
      <c r="CQ233">
        <v>-2.2527165794045199</v>
      </c>
      <c r="CR233">
        <v>3.57080337346633</v>
      </c>
      <c r="CS233">
        <v>-2.67754848293862</v>
      </c>
      <c r="CT233">
        <v>-2.6421164032237501</v>
      </c>
      <c r="CU233">
        <v>-3.5709570377246602</v>
      </c>
      <c r="CV233">
        <v>2.89366148185941</v>
      </c>
      <c r="CW233">
        <v>-2.57223388916064</v>
      </c>
      <c r="CX233" t="s">
        <v>1827</v>
      </c>
    </row>
    <row r="234" spans="1:102" x14ac:dyDescent="0.35">
      <c r="A234" t="s">
        <v>824</v>
      </c>
      <c r="B234" t="s">
        <v>178</v>
      </c>
      <c r="C234" t="s">
        <v>825</v>
      </c>
      <c r="D234" t="s">
        <v>72</v>
      </c>
      <c r="E234" t="s">
        <v>72</v>
      </c>
      <c r="F234" t="s">
        <v>72</v>
      </c>
      <c r="G234" t="s">
        <v>73</v>
      </c>
      <c r="H234" t="s">
        <v>74</v>
      </c>
      <c r="I234" t="s">
        <v>75</v>
      </c>
      <c r="J234" t="s">
        <v>76</v>
      </c>
      <c r="K234" t="s">
        <v>77</v>
      </c>
      <c r="L234" t="s">
        <v>78</v>
      </c>
      <c r="M234" t="s">
        <v>79</v>
      </c>
      <c r="N234">
        <v>60</v>
      </c>
      <c r="O234" t="s">
        <v>80</v>
      </c>
      <c r="P234">
        <v>792</v>
      </c>
      <c r="Q234">
        <v>0.75</v>
      </c>
      <c r="R234">
        <v>177</v>
      </c>
      <c r="S234">
        <v>0.85419999999999996</v>
      </c>
      <c r="T234" t="s">
        <v>81</v>
      </c>
      <c r="U234" t="s">
        <v>82</v>
      </c>
      <c r="V234" t="s">
        <v>83</v>
      </c>
      <c r="W234" t="s">
        <v>84</v>
      </c>
      <c r="X234" t="s">
        <v>85</v>
      </c>
      <c r="Y234" t="s">
        <v>86</v>
      </c>
      <c r="Z234" t="s">
        <v>87</v>
      </c>
      <c r="AA234" t="s">
        <v>88</v>
      </c>
      <c r="AB234">
        <v>554</v>
      </c>
      <c r="AC234">
        <v>13</v>
      </c>
      <c r="AE234">
        <v>22</v>
      </c>
      <c r="AF234" t="s">
        <v>89</v>
      </c>
      <c r="AG234" t="s">
        <v>826</v>
      </c>
      <c r="AH234" t="s">
        <v>72</v>
      </c>
      <c r="AI234" t="s">
        <v>72</v>
      </c>
      <c r="AJ234" t="s">
        <v>91</v>
      </c>
      <c r="AK234" t="s">
        <v>92</v>
      </c>
      <c r="AL234" t="s">
        <v>93</v>
      </c>
      <c r="AM234" t="s">
        <v>94</v>
      </c>
      <c r="AN234" t="s">
        <v>827</v>
      </c>
      <c r="AO234" t="s">
        <v>828</v>
      </c>
      <c r="AP234" t="s">
        <v>513</v>
      </c>
      <c r="AQ234">
        <v>39</v>
      </c>
      <c r="AR234" t="s">
        <v>80</v>
      </c>
      <c r="AS234">
        <v>1359</v>
      </c>
      <c r="AT234">
        <v>0.96879999999999999</v>
      </c>
      <c r="AU234">
        <v>172</v>
      </c>
      <c r="AV234">
        <v>0.94740000000000002</v>
      </c>
      <c r="AW234" t="s">
        <v>98</v>
      </c>
      <c r="AX234" t="s">
        <v>829</v>
      </c>
      <c r="AY234" t="s">
        <v>100</v>
      </c>
      <c r="AZ234" t="s">
        <v>101</v>
      </c>
      <c r="BA234" t="s">
        <v>102</v>
      </c>
      <c r="BB234" t="s">
        <v>450</v>
      </c>
      <c r="BC234" t="s">
        <v>515</v>
      </c>
      <c r="BD234" t="s">
        <v>105</v>
      </c>
      <c r="BE234">
        <v>54480</v>
      </c>
      <c r="BF234" t="s">
        <v>516</v>
      </c>
      <c r="BG234">
        <v>913</v>
      </c>
      <c r="BH234" t="s">
        <v>80</v>
      </c>
      <c r="BI234">
        <v>1</v>
      </c>
      <c r="BJ234">
        <v>6789</v>
      </c>
      <c r="BK234">
        <v>0</v>
      </c>
      <c r="BL234">
        <v>46</v>
      </c>
      <c r="BM234">
        <v>11</v>
      </c>
      <c r="BN234">
        <v>12</v>
      </c>
      <c r="BO234">
        <v>17</v>
      </c>
      <c r="BP234">
        <v>40</v>
      </c>
      <c r="BQ234" s="2">
        <v>8</v>
      </c>
      <c r="BR234">
        <f t="shared" si="51"/>
        <v>6790</v>
      </c>
      <c r="BS234">
        <f t="shared" si="52"/>
        <v>1</v>
      </c>
      <c r="BT234">
        <f t="shared" si="53"/>
        <v>47</v>
      </c>
      <c r="BU234">
        <f t="shared" si="54"/>
        <v>12</v>
      </c>
      <c r="BV234">
        <f t="shared" si="55"/>
        <v>13</v>
      </c>
      <c r="BW234">
        <f t="shared" si="56"/>
        <v>18</v>
      </c>
      <c r="BX234">
        <f t="shared" si="57"/>
        <v>41</v>
      </c>
      <c r="BY234" s="2">
        <f t="shared" si="58"/>
        <v>9</v>
      </c>
      <c r="BZ234">
        <f t="shared" si="59"/>
        <v>27.537460533356729</v>
      </c>
      <c r="CA234">
        <v>27.537460533356729</v>
      </c>
      <c r="CB234">
        <v>27.537460533356729</v>
      </c>
      <c r="CC234">
        <v>27.537460533356729</v>
      </c>
      <c r="CD234">
        <v>27.537460533356729</v>
      </c>
      <c r="CE234">
        <v>27.537460533356729</v>
      </c>
      <c r="CF234">
        <v>27.537460533356729</v>
      </c>
      <c r="CG234">
        <v>27.537460533356729</v>
      </c>
      <c r="CH234">
        <f t="shared" si="60"/>
        <v>2.3919458865513707</v>
      </c>
      <c r="CI234">
        <f t="shared" si="61"/>
        <v>-1.4399238877291309</v>
      </c>
      <c r="CJ234">
        <f t="shared" si="62"/>
        <v>0.23217397020658656</v>
      </c>
      <c r="CK234">
        <f t="shared" si="63"/>
        <v>-0.36074264168150605</v>
      </c>
      <c r="CL234">
        <f t="shared" si="64"/>
        <v>-0.3259805354222941</v>
      </c>
      <c r="CM234">
        <f t="shared" si="65"/>
        <v>-0.18465138262582484</v>
      </c>
      <c r="CN234">
        <f t="shared" si="66"/>
        <v>0.1728599689906046</v>
      </c>
      <c r="CO234" s="2">
        <f t="shared" si="67"/>
        <v>-0.48568137828980601</v>
      </c>
      <c r="CP234">
        <v>2.1967328297686</v>
      </c>
      <c r="CQ234">
        <v>-2.2527165794045199</v>
      </c>
      <c r="CR234">
        <v>3.5324696722166098</v>
      </c>
      <c r="CS234">
        <v>-2.70828540925655</v>
      </c>
      <c r="CT234">
        <v>-2.79480045068969</v>
      </c>
      <c r="CU234">
        <v>-2.96042859220691</v>
      </c>
      <c r="CV234">
        <v>3.1398854378332901</v>
      </c>
      <c r="CW234">
        <v>-2.8183700052557499</v>
      </c>
      <c r="CX234" t="s">
        <v>1827</v>
      </c>
    </row>
    <row r="235" spans="1:102" x14ac:dyDescent="0.35">
      <c r="A235" t="s">
        <v>1473</v>
      </c>
      <c r="B235" t="s">
        <v>148</v>
      </c>
      <c r="C235" t="s">
        <v>618</v>
      </c>
      <c r="D235" t="s">
        <v>72</v>
      </c>
      <c r="E235" t="s">
        <v>72</v>
      </c>
      <c r="F235" t="s">
        <v>72</v>
      </c>
      <c r="G235" t="s">
        <v>73</v>
      </c>
      <c r="H235" t="s">
        <v>74</v>
      </c>
      <c r="I235" t="s">
        <v>75</v>
      </c>
      <c r="J235" t="s">
        <v>76</v>
      </c>
      <c r="K235" t="s">
        <v>77</v>
      </c>
      <c r="L235" t="s">
        <v>78</v>
      </c>
      <c r="M235" t="s">
        <v>79</v>
      </c>
      <c r="N235">
        <v>60</v>
      </c>
      <c r="O235" t="s">
        <v>80</v>
      </c>
      <c r="P235">
        <v>792</v>
      </c>
      <c r="Q235">
        <v>0.75</v>
      </c>
      <c r="R235">
        <v>177</v>
      </c>
      <c r="S235">
        <v>0.85419999999999996</v>
      </c>
      <c r="T235" t="s">
        <v>81</v>
      </c>
      <c r="U235" t="s">
        <v>82</v>
      </c>
      <c r="V235" t="s">
        <v>83</v>
      </c>
      <c r="W235" t="s">
        <v>84</v>
      </c>
      <c r="X235" t="s">
        <v>85</v>
      </c>
      <c r="Y235" t="s">
        <v>86</v>
      </c>
      <c r="Z235" t="s">
        <v>87</v>
      </c>
      <c r="AA235" t="s">
        <v>88</v>
      </c>
      <c r="AB235">
        <v>369</v>
      </c>
      <c r="AC235">
        <v>10</v>
      </c>
      <c r="AE235">
        <v>22</v>
      </c>
      <c r="AF235" t="s">
        <v>89</v>
      </c>
      <c r="AG235" t="s">
        <v>1474</v>
      </c>
      <c r="AH235" t="s">
        <v>72</v>
      </c>
      <c r="AI235" t="s">
        <v>72</v>
      </c>
      <c r="AJ235" t="s">
        <v>91</v>
      </c>
      <c r="AK235" t="s">
        <v>92</v>
      </c>
      <c r="AL235" t="s">
        <v>93</v>
      </c>
      <c r="AM235" t="s">
        <v>94</v>
      </c>
      <c r="AN235" t="s">
        <v>1475</v>
      </c>
      <c r="AO235" t="s">
        <v>1476</v>
      </c>
      <c r="AP235" t="s">
        <v>513</v>
      </c>
      <c r="AQ235">
        <v>39</v>
      </c>
      <c r="AR235" t="s">
        <v>80</v>
      </c>
      <c r="AS235">
        <v>1395</v>
      </c>
      <c r="AT235">
        <v>0.98260000000000003</v>
      </c>
      <c r="AU235">
        <v>172</v>
      </c>
      <c r="AV235">
        <v>0.94740000000000002</v>
      </c>
      <c r="AW235" t="s">
        <v>98</v>
      </c>
      <c r="AX235" t="s">
        <v>1477</v>
      </c>
      <c r="AY235" t="s">
        <v>100</v>
      </c>
      <c r="AZ235" t="s">
        <v>101</v>
      </c>
      <c r="BA235" t="s">
        <v>102</v>
      </c>
      <c r="BB235" t="s">
        <v>103</v>
      </c>
      <c r="BC235" t="s">
        <v>515</v>
      </c>
      <c r="BD235" t="s">
        <v>105</v>
      </c>
      <c r="BE235">
        <v>73221</v>
      </c>
      <c r="BF235" t="s">
        <v>516</v>
      </c>
      <c r="BG235">
        <v>877</v>
      </c>
      <c r="BH235" t="s">
        <v>80</v>
      </c>
      <c r="BI235">
        <v>1</v>
      </c>
      <c r="BJ235">
        <v>12048</v>
      </c>
      <c r="BK235">
        <v>5</v>
      </c>
      <c r="BL235">
        <v>78</v>
      </c>
      <c r="BM235">
        <v>23</v>
      </c>
      <c r="BN235">
        <v>23</v>
      </c>
      <c r="BO235">
        <v>31</v>
      </c>
      <c r="BP235">
        <v>59</v>
      </c>
      <c r="BQ235" s="2">
        <v>16</v>
      </c>
      <c r="BR235">
        <f t="shared" si="51"/>
        <v>12049</v>
      </c>
      <c r="BS235">
        <f t="shared" si="52"/>
        <v>6</v>
      </c>
      <c r="BT235">
        <f t="shared" si="53"/>
        <v>79</v>
      </c>
      <c r="BU235">
        <f t="shared" si="54"/>
        <v>24</v>
      </c>
      <c r="BV235">
        <f t="shared" si="55"/>
        <v>24</v>
      </c>
      <c r="BW235">
        <f t="shared" si="56"/>
        <v>32</v>
      </c>
      <c r="BX235">
        <f t="shared" si="57"/>
        <v>60</v>
      </c>
      <c r="BY235" s="2">
        <f t="shared" si="58"/>
        <v>17</v>
      </c>
      <c r="BZ235">
        <f t="shared" si="59"/>
        <v>56.736526939876072</v>
      </c>
      <c r="CA235">
        <v>56.736526939876072</v>
      </c>
      <c r="CB235">
        <v>56.736526939876072</v>
      </c>
      <c r="CC235">
        <v>56.736526939876072</v>
      </c>
      <c r="CD235">
        <v>56.736526939876072</v>
      </c>
      <c r="CE235">
        <v>56.736526939876072</v>
      </c>
      <c r="CF235">
        <v>56.736526939876072</v>
      </c>
      <c r="CG235">
        <v>56.736526939876072</v>
      </c>
      <c r="CH235">
        <f t="shared" si="60"/>
        <v>2.3270882569346578</v>
      </c>
      <c r="CI235">
        <f t="shared" si="61"/>
        <v>-0.97571149706118188</v>
      </c>
      <c r="CJ235">
        <f t="shared" si="62"/>
        <v>0.1437643438456159</v>
      </c>
      <c r="CK235">
        <f t="shared" si="63"/>
        <v>-0.37365150573321954</v>
      </c>
      <c r="CL235">
        <f t="shared" si="64"/>
        <v>-0.37365150573321954</v>
      </c>
      <c r="CM235">
        <f t="shared" si="65"/>
        <v>-0.24871276912491949</v>
      </c>
      <c r="CN235">
        <f t="shared" si="66"/>
        <v>2.428850293881811E-2</v>
      </c>
      <c r="CO235" s="2">
        <f t="shared" si="67"/>
        <v>-0.52341382606655162</v>
      </c>
      <c r="CP235">
        <v>2.11881077556782</v>
      </c>
      <c r="CQ235">
        <v>1.91686617450712</v>
      </c>
      <c r="CR235">
        <v>3.1374662936420901</v>
      </c>
      <c r="CS235">
        <v>-2.7463207305007602</v>
      </c>
      <c r="CT235">
        <v>-2.9274980846193701</v>
      </c>
      <c r="CU235">
        <v>-3.14542467799438</v>
      </c>
      <c r="CV235">
        <v>2.7414206595908501</v>
      </c>
      <c r="CW235">
        <v>-2.9220079605831999</v>
      </c>
      <c r="CX235" t="s">
        <v>1827</v>
      </c>
    </row>
    <row r="236" spans="1:102" x14ac:dyDescent="0.35">
      <c r="A236" t="s">
        <v>1746</v>
      </c>
      <c r="B236" t="s">
        <v>148</v>
      </c>
      <c r="C236" t="s">
        <v>1747</v>
      </c>
      <c r="D236" t="s">
        <v>72</v>
      </c>
      <c r="E236" t="s">
        <v>72</v>
      </c>
      <c r="F236" t="s">
        <v>72</v>
      </c>
      <c r="G236" t="s">
        <v>73</v>
      </c>
      <c r="H236" t="s">
        <v>74</v>
      </c>
      <c r="I236" t="s">
        <v>75</v>
      </c>
      <c r="J236" t="s">
        <v>76</v>
      </c>
      <c r="K236" t="s">
        <v>77</v>
      </c>
      <c r="L236" t="s">
        <v>78</v>
      </c>
      <c r="M236" t="s">
        <v>79</v>
      </c>
      <c r="N236">
        <v>60</v>
      </c>
      <c r="O236" t="s">
        <v>80</v>
      </c>
      <c r="P236">
        <v>792</v>
      </c>
      <c r="Q236">
        <v>0.75</v>
      </c>
      <c r="R236">
        <v>177</v>
      </c>
      <c r="S236">
        <v>0.85419999999999996</v>
      </c>
      <c r="T236" t="s">
        <v>81</v>
      </c>
      <c r="U236" t="s">
        <v>82</v>
      </c>
      <c r="V236" t="s">
        <v>83</v>
      </c>
      <c r="W236" t="s">
        <v>84</v>
      </c>
      <c r="X236" t="s">
        <v>85</v>
      </c>
      <c r="Y236" t="s">
        <v>86</v>
      </c>
      <c r="Z236" t="s">
        <v>87</v>
      </c>
      <c r="AA236" t="s">
        <v>88</v>
      </c>
      <c r="AB236">
        <v>444</v>
      </c>
      <c r="AC236">
        <v>7</v>
      </c>
      <c r="AE236">
        <v>22</v>
      </c>
      <c r="AF236" t="s">
        <v>89</v>
      </c>
      <c r="AG236" t="s">
        <v>1748</v>
      </c>
      <c r="AH236" t="s">
        <v>72</v>
      </c>
      <c r="AI236" t="s">
        <v>72</v>
      </c>
      <c r="AJ236" t="s">
        <v>91</v>
      </c>
      <c r="AK236" t="s">
        <v>92</v>
      </c>
      <c r="AL236" t="s">
        <v>93</v>
      </c>
      <c r="AM236" t="s">
        <v>94</v>
      </c>
      <c r="AN236" t="s">
        <v>1749</v>
      </c>
      <c r="AO236" t="s">
        <v>1750</v>
      </c>
      <c r="AP236" t="s">
        <v>623</v>
      </c>
      <c r="AQ236">
        <v>39</v>
      </c>
      <c r="AR236" t="s">
        <v>80</v>
      </c>
      <c r="AS236">
        <v>1386</v>
      </c>
      <c r="AT236">
        <v>0.97919999999999996</v>
      </c>
      <c r="AU236">
        <v>154</v>
      </c>
      <c r="AV236">
        <v>0.89470000000000005</v>
      </c>
      <c r="AW236" t="s">
        <v>98</v>
      </c>
      <c r="AX236" t="s">
        <v>146</v>
      </c>
      <c r="AY236" t="s">
        <v>100</v>
      </c>
      <c r="AZ236" t="s">
        <v>1751</v>
      </c>
      <c r="BA236" t="s">
        <v>102</v>
      </c>
      <c r="BB236" t="s">
        <v>103</v>
      </c>
      <c r="BC236" t="s">
        <v>626</v>
      </c>
      <c r="BD236" t="s">
        <v>105</v>
      </c>
      <c r="BE236">
        <v>80162</v>
      </c>
      <c r="BF236" t="s">
        <v>627</v>
      </c>
      <c r="BG236">
        <v>964</v>
      </c>
      <c r="BH236" t="s">
        <v>80</v>
      </c>
      <c r="BI236">
        <v>1</v>
      </c>
      <c r="BJ236">
        <v>7620</v>
      </c>
      <c r="BK236">
        <v>7</v>
      </c>
      <c r="BL236">
        <v>50</v>
      </c>
      <c r="BM236">
        <v>16</v>
      </c>
      <c r="BN236">
        <v>16</v>
      </c>
      <c r="BO236">
        <v>22</v>
      </c>
      <c r="BP236">
        <v>27</v>
      </c>
      <c r="BQ236" s="2">
        <v>8</v>
      </c>
      <c r="BR236">
        <f t="shared" si="51"/>
        <v>7621</v>
      </c>
      <c r="BS236">
        <f t="shared" si="52"/>
        <v>8</v>
      </c>
      <c r="BT236">
        <f t="shared" si="53"/>
        <v>51</v>
      </c>
      <c r="BU236">
        <f t="shared" si="54"/>
        <v>17</v>
      </c>
      <c r="BV236">
        <f t="shared" si="55"/>
        <v>17</v>
      </c>
      <c r="BW236">
        <f t="shared" si="56"/>
        <v>23</v>
      </c>
      <c r="BX236">
        <f t="shared" si="57"/>
        <v>28</v>
      </c>
      <c r="BY236" s="2">
        <f t="shared" si="58"/>
        <v>9</v>
      </c>
      <c r="BZ236">
        <f t="shared" si="59"/>
        <v>38.867561376151151</v>
      </c>
      <c r="CA236">
        <v>38.867561376151151</v>
      </c>
      <c r="CB236">
        <v>38.867561376151151</v>
      </c>
      <c r="CC236">
        <v>38.867561376151151</v>
      </c>
      <c r="CD236">
        <v>38.867561376151151</v>
      </c>
      <c r="CE236">
        <v>38.867561376151151</v>
      </c>
      <c r="CF236">
        <v>38.867561376151151</v>
      </c>
      <c r="CG236">
        <v>38.867561376151151</v>
      </c>
      <c r="CH236">
        <f t="shared" si="60"/>
        <v>2.2924246685926306</v>
      </c>
      <c r="CI236">
        <f t="shared" si="61"/>
        <v>-0.68649730604208437</v>
      </c>
      <c r="CJ236">
        <f t="shared" si="62"/>
        <v>0.11798288306390847</v>
      </c>
      <c r="CK236">
        <f t="shared" si="63"/>
        <v>-0.35913837165575402</v>
      </c>
      <c r="CL236">
        <f t="shared" si="64"/>
        <v>-0.35913837165575402</v>
      </c>
      <c r="CM236">
        <f t="shared" si="65"/>
        <v>-0.22785945701643506</v>
      </c>
      <c r="CN236">
        <f t="shared" si="66"/>
        <v>-0.1424292616918087</v>
      </c>
      <c r="CO236" s="2">
        <f t="shared" si="67"/>
        <v>-0.63534478359470303</v>
      </c>
      <c r="CP236">
        <v>2.0771648192548402</v>
      </c>
      <c r="CQ236">
        <v>2.77126403629233</v>
      </c>
      <c r="CR236">
        <v>3.0222778856311598</v>
      </c>
      <c r="CS236">
        <v>-2.7035585079933999</v>
      </c>
      <c r="CT236">
        <v>-2.8870991051057802</v>
      </c>
      <c r="CU236">
        <v>-3.08520460898559</v>
      </c>
      <c r="CV236">
        <v>2.2942879841317398</v>
      </c>
      <c r="CW236">
        <v>-3.22944350371831</v>
      </c>
      <c r="CX236" t="s">
        <v>1827</v>
      </c>
    </row>
    <row r="237" spans="1:102" x14ac:dyDescent="0.35">
      <c r="A237" t="s">
        <v>1137</v>
      </c>
      <c r="B237" t="s">
        <v>70</v>
      </c>
      <c r="C237" t="s">
        <v>696</v>
      </c>
      <c r="D237" t="s">
        <v>72</v>
      </c>
      <c r="E237" t="s">
        <v>72</v>
      </c>
      <c r="F237" t="s">
        <v>72</v>
      </c>
      <c r="G237" t="s">
        <v>73</v>
      </c>
      <c r="H237" t="s">
        <v>74</v>
      </c>
      <c r="I237" t="s">
        <v>75</v>
      </c>
      <c r="J237" t="s">
        <v>76</v>
      </c>
      <c r="K237" t="s">
        <v>77</v>
      </c>
      <c r="L237" t="s">
        <v>78</v>
      </c>
      <c r="M237" t="s">
        <v>79</v>
      </c>
      <c r="N237">
        <v>60</v>
      </c>
      <c r="O237" t="s">
        <v>80</v>
      </c>
      <c r="P237">
        <v>792</v>
      </c>
      <c r="Q237">
        <v>0.75</v>
      </c>
      <c r="R237">
        <v>177</v>
      </c>
      <c r="S237">
        <v>0.85419999999999996</v>
      </c>
      <c r="T237" t="s">
        <v>81</v>
      </c>
      <c r="U237" t="s">
        <v>82</v>
      </c>
      <c r="V237" t="s">
        <v>83</v>
      </c>
      <c r="W237" t="s">
        <v>84</v>
      </c>
      <c r="X237" t="s">
        <v>85</v>
      </c>
      <c r="Y237" t="s">
        <v>86</v>
      </c>
      <c r="Z237" t="s">
        <v>87</v>
      </c>
      <c r="AA237" t="s">
        <v>88</v>
      </c>
      <c r="AB237">
        <v>253</v>
      </c>
      <c r="AC237">
        <v>11</v>
      </c>
      <c r="AE237">
        <v>22</v>
      </c>
      <c r="AF237" t="s">
        <v>89</v>
      </c>
      <c r="AG237" t="s">
        <v>1138</v>
      </c>
      <c r="AH237" t="s">
        <v>72</v>
      </c>
      <c r="AI237" t="s">
        <v>72</v>
      </c>
      <c r="AJ237" t="s">
        <v>91</v>
      </c>
      <c r="AK237" t="s">
        <v>92</v>
      </c>
      <c r="AL237" t="s">
        <v>93</v>
      </c>
      <c r="AM237" t="s">
        <v>94</v>
      </c>
      <c r="AN237" t="s">
        <v>1139</v>
      </c>
      <c r="AO237" t="s">
        <v>1140</v>
      </c>
      <c r="AP237" t="s">
        <v>1141</v>
      </c>
      <c r="AQ237">
        <v>39</v>
      </c>
      <c r="AR237" t="s">
        <v>80</v>
      </c>
      <c r="AS237">
        <v>1368</v>
      </c>
      <c r="AT237">
        <v>0.97219999999999995</v>
      </c>
      <c r="AU237">
        <v>172</v>
      </c>
      <c r="AV237">
        <v>0.94740000000000002</v>
      </c>
      <c r="AW237" t="s">
        <v>1142</v>
      </c>
      <c r="AX237" t="s">
        <v>1143</v>
      </c>
      <c r="AY237" t="s">
        <v>100</v>
      </c>
      <c r="AZ237" t="s">
        <v>101</v>
      </c>
      <c r="BA237" t="s">
        <v>102</v>
      </c>
      <c r="BB237" t="s">
        <v>103</v>
      </c>
      <c r="BC237" t="s">
        <v>1144</v>
      </c>
      <c r="BD237" t="s">
        <v>105</v>
      </c>
      <c r="BE237">
        <v>58001</v>
      </c>
      <c r="BF237" t="s">
        <v>1145</v>
      </c>
      <c r="BG237">
        <v>693</v>
      </c>
      <c r="BH237" t="s">
        <v>80</v>
      </c>
      <c r="BI237">
        <v>1</v>
      </c>
      <c r="BJ237">
        <v>5783</v>
      </c>
      <c r="BK237">
        <v>0</v>
      </c>
      <c r="BL237">
        <v>27</v>
      </c>
      <c r="BM237">
        <v>21</v>
      </c>
      <c r="BN237">
        <v>13</v>
      </c>
      <c r="BO237">
        <v>45</v>
      </c>
      <c r="BP237">
        <v>25</v>
      </c>
      <c r="BQ237" s="2">
        <v>10</v>
      </c>
      <c r="BR237">
        <f t="shared" si="51"/>
        <v>5784</v>
      </c>
      <c r="BS237">
        <f t="shared" si="52"/>
        <v>1</v>
      </c>
      <c r="BT237">
        <f t="shared" si="53"/>
        <v>28</v>
      </c>
      <c r="BU237">
        <f t="shared" si="54"/>
        <v>22</v>
      </c>
      <c r="BV237">
        <f t="shared" si="55"/>
        <v>14</v>
      </c>
      <c r="BW237">
        <f t="shared" si="56"/>
        <v>46</v>
      </c>
      <c r="BX237">
        <f t="shared" si="57"/>
        <v>26</v>
      </c>
      <c r="BY237" s="2">
        <f t="shared" si="58"/>
        <v>11</v>
      </c>
      <c r="BZ237">
        <f t="shared" si="59"/>
        <v>30.00078455150507</v>
      </c>
      <c r="CA237">
        <v>30.00078455150507</v>
      </c>
      <c r="CB237">
        <v>30.00078455150507</v>
      </c>
      <c r="CC237">
        <v>30.00078455150507</v>
      </c>
      <c r="CD237">
        <v>30.00078455150507</v>
      </c>
      <c r="CE237">
        <v>30.00078455150507</v>
      </c>
      <c r="CF237">
        <v>30.00078455150507</v>
      </c>
      <c r="CG237">
        <v>30.00078455150507</v>
      </c>
      <c r="CH237">
        <f t="shared" si="60"/>
        <v>2.285095672169005</v>
      </c>
      <c r="CI237">
        <f t="shared" si="61"/>
        <v>-1.4771326121174693</v>
      </c>
      <c r="CJ237">
        <f t="shared" si="62"/>
        <v>-2.997458077525016E-2</v>
      </c>
      <c r="CK237">
        <f t="shared" si="63"/>
        <v>-0.13470993129526318</v>
      </c>
      <c r="CL237">
        <f t="shared" si="64"/>
        <v>-0.33100457643923137</v>
      </c>
      <c r="CM237">
        <f t="shared" si="65"/>
        <v>0.18562521956410469</v>
      </c>
      <c r="CN237">
        <f t="shared" si="66"/>
        <v>-6.2159264146651426E-2</v>
      </c>
      <c r="CO237" s="2">
        <f t="shared" si="67"/>
        <v>-0.43573992695924435</v>
      </c>
      <c r="CP237">
        <v>2.0683595258771099</v>
      </c>
      <c r="CQ237">
        <v>-2.2527165794045199</v>
      </c>
      <c r="CR237">
        <v>2.3612220650447999</v>
      </c>
      <c r="CS237">
        <v>-2.0422913514680898</v>
      </c>
      <c r="CT237">
        <v>-2.8087854472476601</v>
      </c>
      <c r="CU237">
        <v>-1.8911460523295101</v>
      </c>
      <c r="CV237">
        <v>2.5095700138601398</v>
      </c>
      <c r="CW237">
        <v>-2.6811981490165602</v>
      </c>
      <c r="CX237" t="s">
        <v>1827</v>
      </c>
    </row>
    <row r="238" spans="1:102" x14ac:dyDescent="0.35">
      <c r="A238" t="s">
        <v>1508</v>
      </c>
      <c r="B238" t="s">
        <v>231</v>
      </c>
      <c r="C238" t="s">
        <v>1509</v>
      </c>
      <c r="D238" t="s">
        <v>72</v>
      </c>
      <c r="E238" t="s">
        <v>72</v>
      </c>
      <c r="F238" t="s">
        <v>72</v>
      </c>
      <c r="G238" t="s">
        <v>73</v>
      </c>
      <c r="H238" t="s">
        <v>74</v>
      </c>
      <c r="I238" t="s">
        <v>75</v>
      </c>
      <c r="J238" t="s">
        <v>76</v>
      </c>
      <c r="K238" t="s">
        <v>77</v>
      </c>
      <c r="L238" t="s">
        <v>78</v>
      </c>
      <c r="M238" t="s">
        <v>79</v>
      </c>
      <c r="N238">
        <v>60</v>
      </c>
      <c r="O238" t="s">
        <v>80</v>
      </c>
      <c r="P238">
        <v>792</v>
      </c>
      <c r="Q238">
        <v>0.75</v>
      </c>
      <c r="R238">
        <v>177</v>
      </c>
      <c r="S238">
        <v>0.85419999999999996</v>
      </c>
      <c r="T238" t="s">
        <v>81</v>
      </c>
      <c r="U238" t="s">
        <v>82</v>
      </c>
      <c r="V238" t="s">
        <v>83</v>
      </c>
      <c r="W238" t="s">
        <v>84</v>
      </c>
      <c r="X238" t="s">
        <v>85</v>
      </c>
      <c r="Y238" t="s">
        <v>86</v>
      </c>
      <c r="Z238" t="s">
        <v>87</v>
      </c>
      <c r="AA238" t="s">
        <v>88</v>
      </c>
      <c r="AB238">
        <v>1285</v>
      </c>
      <c r="AC238">
        <v>10</v>
      </c>
      <c r="AE238">
        <v>22</v>
      </c>
      <c r="AF238" t="s">
        <v>89</v>
      </c>
      <c r="AG238" t="s">
        <v>1510</v>
      </c>
      <c r="AH238" t="s">
        <v>72</v>
      </c>
      <c r="AI238" t="s">
        <v>72</v>
      </c>
      <c r="AJ238" t="s">
        <v>91</v>
      </c>
      <c r="AK238" t="s">
        <v>92</v>
      </c>
      <c r="AL238" t="s">
        <v>93</v>
      </c>
      <c r="AM238" t="s">
        <v>94</v>
      </c>
      <c r="AN238" t="s">
        <v>1511</v>
      </c>
      <c r="AO238" t="s">
        <v>1512</v>
      </c>
      <c r="AP238" t="s">
        <v>97</v>
      </c>
      <c r="AQ238">
        <v>39</v>
      </c>
      <c r="AR238" t="s">
        <v>80</v>
      </c>
      <c r="AS238">
        <v>1314</v>
      </c>
      <c r="AT238">
        <v>0.95140000000000002</v>
      </c>
      <c r="AU238">
        <v>172</v>
      </c>
      <c r="AV238">
        <v>0.94740000000000002</v>
      </c>
      <c r="AW238" t="s">
        <v>1513</v>
      </c>
      <c r="AX238" t="s">
        <v>1514</v>
      </c>
      <c r="AY238" t="s">
        <v>1515</v>
      </c>
      <c r="AZ238" t="s">
        <v>101</v>
      </c>
      <c r="BA238" t="s">
        <v>1516</v>
      </c>
      <c r="BB238" t="s">
        <v>103</v>
      </c>
      <c r="BC238" t="s">
        <v>104</v>
      </c>
      <c r="BD238" t="s">
        <v>105</v>
      </c>
      <c r="BE238">
        <v>42904</v>
      </c>
      <c r="BF238" t="s">
        <v>106</v>
      </c>
      <c r="BG238">
        <v>506</v>
      </c>
      <c r="BH238" t="s">
        <v>80</v>
      </c>
      <c r="BI238">
        <v>1</v>
      </c>
      <c r="BJ238">
        <v>5318</v>
      </c>
      <c r="BK238">
        <v>0</v>
      </c>
      <c r="BL238">
        <v>30</v>
      </c>
      <c r="BM238">
        <v>18</v>
      </c>
      <c r="BN238">
        <v>25</v>
      </c>
      <c r="BO238">
        <v>28</v>
      </c>
      <c r="BP238">
        <v>23</v>
      </c>
      <c r="BQ238" s="2">
        <v>7</v>
      </c>
      <c r="BR238">
        <f t="shared" si="51"/>
        <v>5319</v>
      </c>
      <c r="BS238">
        <f t="shared" si="52"/>
        <v>1</v>
      </c>
      <c r="BT238">
        <f t="shared" si="53"/>
        <v>31</v>
      </c>
      <c r="BU238">
        <f t="shared" si="54"/>
        <v>19</v>
      </c>
      <c r="BV238">
        <f t="shared" si="55"/>
        <v>26</v>
      </c>
      <c r="BW238">
        <f t="shared" si="56"/>
        <v>29</v>
      </c>
      <c r="BX238">
        <f t="shared" si="57"/>
        <v>24</v>
      </c>
      <c r="BY238" s="2">
        <f t="shared" si="58"/>
        <v>8</v>
      </c>
      <c r="BZ238">
        <f t="shared" si="59"/>
        <v>28.646873643160902</v>
      </c>
      <c r="CA238">
        <v>28.646873643160902</v>
      </c>
      <c r="CB238">
        <v>28.646873643160902</v>
      </c>
      <c r="CC238">
        <v>28.646873643160902</v>
      </c>
      <c r="CD238">
        <v>28.646873643160902</v>
      </c>
      <c r="CE238">
        <v>28.646873643160902</v>
      </c>
      <c r="CF238">
        <v>28.646873643160902</v>
      </c>
      <c r="CG238">
        <v>28.646873643160902</v>
      </c>
      <c r="CH238">
        <f t="shared" si="60"/>
        <v>2.2687527578604545</v>
      </c>
      <c r="CI238">
        <f t="shared" si="61"/>
        <v>-1.4570772324601258</v>
      </c>
      <c r="CJ238">
        <f t="shared" si="62"/>
        <v>3.4284461374146979E-2</v>
      </c>
      <c r="CK238">
        <f t="shared" si="63"/>
        <v>-0.17832363150729666</v>
      </c>
      <c r="CL238">
        <f t="shared" si="64"/>
        <v>-4.2103884489307686E-2</v>
      </c>
      <c r="CM238">
        <f t="shared" si="65"/>
        <v>5.3207654388303851E-3</v>
      </c>
      <c r="CN238">
        <f t="shared" si="66"/>
        <v>-7.6865990748519616E-2</v>
      </c>
      <c r="CO238" s="2">
        <f t="shared" si="67"/>
        <v>-0.55398724546818212</v>
      </c>
      <c r="CP238">
        <v>2.0487246199751401</v>
      </c>
      <c r="CQ238">
        <v>-2.2527165794045199</v>
      </c>
      <c r="CR238">
        <v>2.64832359230767</v>
      </c>
      <c r="CS238">
        <v>-2.1707969342651401</v>
      </c>
      <c r="CT238">
        <v>-2.00459711182341</v>
      </c>
      <c r="CU238">
        <v>-2.4118281681262599</v>
      </c>
      <c r="CV238">
        <v>2.47012695854262</v>
      </c>
      <c r="CW238">
        <v>-3.0059825464065502</v>
      </c>
      <c r="CX238" t="s">
        <v>1827</v>
      </c>
    </row>
    <row r="239" spans="1:102" x14ac:dyDescent="0.35">
      <c r="A239" t="s">
        <v>619</v>
      </c>
      <c r="B239" t="s">
        <v>142</v>
      </c>
      <c r="C239" t="s">
        <v>149</v>
      </c>
      <c r="D239" t="s">
        <v>72</v>
      </c>
      <c r="E239" t="s">
        <v>72</v>
      </c>
      <c r="F239" t="s">
        <v>72</v>
      </c>
      <c r="G239" t="s">
        <v>73</v>
      </c>
      <c r="H239" t="s">
        <v>74</v>
      </c>
      <c r="I239" t="s">
        <v>75</v>
      </c>
      <c r="J239" t="s">
        <v>76</v>
      </c>
      <c r="K239" t="s">
        <v>77</v>
      </c>
      <c r="L239" t="s">
        <v>78</v>
      </c>
      <c r="M239" t="s">
        <v>79</v>
      </c>
      <c r="N239">
        <v>60</v>
      </c>
      <c r="O239" t="s">
        <v>80</v>
      </c>
      <c r="P239">
        <v>792</v>
      </c>
      <c r="Q239">
        <v>0.75</v>
      </c>
      <c r="R239">
        <v>177</v>
      </c>
      <c r="S239">
        <v>0.85419999999999996</v>
      </c>
      <c r="T239" t="s">
        <v>81</v>
      </c>
      <c r="U239" t="s">
        <v>82</v>
      </c>
      <c r="V239" t="s">
        <v>83</v>
      </c>
      <c r="W239" t="s">
        <v>84</v>
      </c>
      <c r="X239" t="s">
        <v>85</v>
      </c>
      <c r="Y239" t="s">
        <v>86</v>
      </c>
      <c r="Z239" t="s">
        <v>87</v>
      </c>
      <c r="AA239" t="s">
        <v>88</v>
      </c>
      <c r="AB239">
        <v>555</v>
      </c>
      <c r="AC239">
        <v>11</v>
      </c>
      <c r="AE239">
        <v>22</v>
      </c>
      <c r="AF239" t="s">
        <v>153</v>
      </c>
      <c r="AG239" t="s">
        <v>620</v>
      </c>
      <c r="AH239" t="s">
        <v>72</v>
      </c>
      <c r="AI239" t="s">
        <v>72</v>
      </c>
      <c r="AJ239" t="s">
        <v>91</v>
      </c>
      <c r="AK239" t="s">
        <v>92</v>
      </c>
      <c r="AL239" t="s">
        <v>93</v>
      </c>
      <c r="AM239" t="s">
        <v>94</v>
      </c>
      <c r="AN239" t="s">
        <v>621</v>
      </c>
      <c r="AO239" t="s">
        <v>622</v>
      </c>
      <c r="AP239" t="s">
        <v>623</v>
      </c>
      <c r="AQ239">
        <v>39</v>
      </c>
      <c r="AR239" t="s">
        <v>80</v>
      </c>
      <c r="AS239">
        <v>1359</v>
      </c>
      <c r="AT239">
        <v>0.96879999999999999</v>
      </c>
      <c r="AU239">
        <v>163</v>
      </c>
      <c r="AV239">
        <v>0.92110000000000003</v>
      </c>
      <c r="AW239" t="s">
        <v>624</v>
      </c>
      <c r="AX239" t="s">
        <v>625</v>
      </c>
      <c r="AY239" t="s">
        <v>100</v>
      </c>
      <c r="AZ239" t="s">
        <v>101</v>
      </c>
      <c r="BA239" t="s">
        <v>102</v>
      </c>
      <c r="BB239" t="s">
        <v>103</v>
      </c>
      <c r="BC239" t="s">
        <v>626</v>
      </c>
      <c r="BD239" t="s">
        <v>105</v>
      </c>
      <c r="BE239">
        <v>1255</v>
      </c>
      <c r="BF239" t="s">
        <v>627</v>
      </c>
      <c r="BG239">
        <v>21</v>
      </c>
      <c r="BH239" t="s">
        <v>80</v>
      </c>
      <c r="BI239">
        <v>1</v>
      </c>
      <c r="BJ239">
        <v>6739</v>
      </c>
      <c r="BK239">
        <v>0</v>
      </c>
      <c r="BL239">
        <v>35</v>
      </c>
      <c r="BM239">
        <v>19</v>
      </c>
      <c r="BN239">
        <v>28</v>
      </c>
      <c r="BO239">
        <v>29</v>
      </c>
      <c r="BP239">
        <v>28</v>
      </c>
      <c r="BQ239" s="2">
        <v>24</v>
      </c>
      <c r="BR239">
        <f t="shared" si="51"/>
        <v>6740</v>
      </c>
      <c r="BS239">
        <f t="shared" si="52"/>
        <v>1</v>
      </c>
      <c r="BT239">
        <f t="shared" si="53"/>
        <v>36</v>
      </c>
      <c r="BU239">
        <f t="shared" si="54"/>
        <v>20</v>
      </c>
      <c r="BV239">
        <f t="shared" si="55"/>
        <v>29</v>
      </c>
      <c r="BW239">
        <f t="shared" si="56"/>
        <v>30</v>
      </c>
      <c r="BX239">
        <f t="shared" si="57"/>
        <v>29</v>
      </c>
      <c r="BY239" s="2">
        <f t="shared" si="58"/>
        <v>25</v>
      </c>
      <c r="BZ239">
        <f t="shared" si="59"/>
        <v>36.368987157014161</v>
      </c>
      <c r="CA239">
        <v>36.368987157014161</v>
      </c>
      <c r="CB239">
        <v>36.368987157014161</v>
      </c>
      <c r="CC239">
        <v>36.368987157014161</v>
      </c>
      <c r="CD239">
        <v>36.368987157014161</v>
      </c>
      <c r="CE239">
        <v>36.368987157014161</v>
      </c>
      <c r="CF239">
        <v>36.368987157014161</v>
      </c>
      <c r="CG239">
        <v>36.368987157014161</v>
      </c>
      <c r="CH239">
        <f t="shared" si="60"/>
        <v>2.2679286900157947</v>
      </c>
      <c r="CI239">
        <f t="shared" si="61"/>
        <v>-1.5607312065195251</v>
      </c>
      <c r="CJ239">
        <f t="shared" si="62"/>
        <v>-4.4287057522378187E-3</v>
      </c>
      <c r="CK239">
        <f t="shared" si="63"/>
        <v>-0.25970121085554387</v>
      </c>
      <c r="CL239">
        <f t="shared" si="64"/>
        <v>-9.8333208620568963E-2</v>
      </c>
      <c r="CM239">
        <f t="shared" si="65"/>
        <v>-8.3609951799862622E-2</v>
      </c>
      <c r="CN239">
        <f t="shared" si="66"/>
        <v>-9.8333208620568963E-2</v>
      </c>
      <c r="CO239" s="2">
        <f t="shared" si="67"/>
        <v>-0.16279119784748747</v>
      </c>
      <c r="CP239">
        <v>2.0477345582100601</v>
      </c>
      <c r="CQ239">
        <v>-2.2527165794045199</v>
      </c>
      <c r="CR239">
        <v>2.4753579047500001</v>
      </c>
      <c r="CS239">
        <v>-2.4105718951127599</v>
      </c>
      <c r="CT239">
        <v>-2.1611179088832801</v>
      </c>
      <c r="CU239">
        <v>-2.6686417573179702</v>
      </c>
      <c r="CV239">
        <v>2.41255244281504</v>
      </c>
      <c r="CW239">
        <v>-1.93150259886988</v>
      </c>
      <c r="CX239" t="s">
        <v>1827</v>
      </c>
    </row>
    <row r="240" spans="1:102" x14ac:dyDescent="0.35">
      <c r="A240" t="s">
        <v>1032</v>
      </c>
      <c r="B240" t="s">
        <v>142</v>
      </c>
      <c r="C240" t="s">
        <v>518</v>
      </c>
      <c r="D240" t="s">
        <v>72</v>
      </c>
      <c r="E240" t="s">
        <v>72</v>
      </c>
      <c r="F240" t="s">
        <v>72</v>
      </c>
      <c r="G240" t="s">
        <v>73</v>
      </c>
      <c r="H240" t="s">
        <v>74</v>
      </c>
      <c r="I240" t="s">
        <v>75</v>
      </c>
      <c r="J240" t="s">
        <v>76</v>
      </c>
      <c r="K240" t="s">
        <v>77</v>
      </c>
      <c r="L240" t="s">
        <v>78</v>
      </c>
      <c r="M240" t="s">
        <v>79</v>
      </c>
      <c r="N240">
        <v>60</v>
      </c>
      <c r="O240" t="s">
        <v>80</v>
      </c>
      <c r="P240">
        <v>792</v>
      </c>
      <c r="Q240">
        <v>0.75</v>
      </c>
      <c r="R240">
        <v>177</v>
      </c>
      <c r="S240">
        <v>0.85419999999999996</v>
      </c>
      <c r="T240" t="s">
        <v>81</v>
      </c>
      <c r="U240" t="s">
        <v>82</v>
      </c>
      <c r="V240" t="s">
        <v>83</v>
      </c>
      <c r="W240" t="s">
        <v>84</v>
      </c>
      <c r="X240" t="s">
        <v>85</v>
      </c>
      <c r="Y240" t="s">
        <v>86</v>
      </c>
      <c r="Z240" t="s">
        <v>87</v>
      </c>
      <c r="AA240" t="s">
        <v>88</v>
      </c>
      <c r="AB240">
        <v>675</v>
      </c>
      <c r="AC240">
        <v>12</v>
      </c>
      <c r="AE240">
        <v>22</v>
      </c>
      <c r="AF240" t="s">
        <v>89</v>
      </c>
      <c r="AG240" t="s">
        <v>1033</v>
      </c>
      <c r="AH240" t="s">
        <v>72</v>
      </c>
      <c r="AI240" t="s">
        <v>72</v>
      </c>
      <c r="AJ240" t="s">
        <v>91</v>
      </c>
      <c r="AK240" t="s">
        <v>92</v>
      </c>
      <c r="AL240" t="s">
        <v>93</v>
      </c>
      <c r="AM240" t="s">
        <v>94</v>
      </c>
      <c r="AN240" t="s">
        <v>1034</v>
      </c>
      <c r="AO240" t="s">
        <v>1035</v>
      </c>
      <c r="AP240" t="s">
        <v>623</v>
      </c>
      <c r="AQ240">
        <v>39</v>
      </c>
      <c r="AR240" t="s">
        <v>80</v>
      </c>
      <c r="AS240">
        <v>1368</v>
      </c>
      <c r="AT240">
        <v>0.97219999999999995</v>
      </c>
      <c r="AU240">
        <v>154</v>
      </c>
      <c r="AV240">
        <v>0.89470000000000005</v>
      </c>
      <c r="AW240" t="s">
        <v>98</v>
      </c>
      <c r="AX240" t="s">
        <v>146</v>
      </c>
      <c r="AY240" t="s">
        <v>100</v>
      </c>
      <c r="AZ240" t="s">
        <v>307</v>
      </c>
      <c r="BA240" t="s">
        <v>1036</v>
      </c>
      <c r="BB240" t="s">
        <v>103</v>
      </c>
      <c r="BC240" t="s">
        <v>626</v>
      </c>
      <c r="BD240" t="s">
        <v>105</v>
      </c>
      <c r="BE240">
        <v>19557</v>
      </c>
      <c r="BF240" t="s">
        <v>627</v>
      </c>
      <c r="BG240">
        <v>217</v>
      </c>
      <c r="BH240" t="s">
        <v>80</v>
      </c>
      <c r="BI240">
        <v>1</v>
      </c>
      <c r="BJ240">
        <v>4859</v>
      </c>
      <c r="BK240">
        <v>0</v>
      </c>
      <c r="BL240">
        <v>39</v>
      </c>
      <c r="BM240">
        <v>19</v>
      </c>
      <c r="BN240">
        <v>17</v>
      </c>
      <c r="BO240">
        <v>27</v>
      </c>
      <c r="BP240">
        <v>23</v>
      </c>
      <c r="BQ240" s="2">
        <v>4</v>
      </c>
      <c r="BR240">
        <f t="shared" si="51"/>
        <v>4860</v>
      </c>
      <c r="BS240">
        <f t="shared" si="52"/>
        <v>1</v>
      </c>
      <c r="BT240">
        <f t="shared" si="53"/>
        <v>40</v>
      </c>
      <c r="BU240">
        <f t="shared" si="54"/>
        <v>20</v>
      </c>
      <c r="BV240">
        <f t="shared" si="55"/>
        <v>18</v>
      </c>
      <c r="BW240">
        <f t="shared" si="56"/>
        <v>28</v>
      </c>
      <c r="BX240">
        <f t="shared" si="57"/>
        <v>24</v>
      </c>
      <c r="BY240" s="2">
        <f t="shared" si="58"/>
        <v>5</v>
      </c>
      <c r="BZ240">
        <f t="shared" si="59"/>
        <v>26.388654973233496</v>
      </c>
      <c r="CA240">
        <v>26.388654973233496</v>
      </c>
      <c r="CB240">
        <v>26.388654973233496</v>
      </c>
      <c r="CC240">
        <v>26.388654973233496</v>
      </c>
      <c r="CD240">
        <v>26.388654973233496</v>
      </c>
      <c r="CE240">
        <v>26.388654973233496</v>
      </c>
      <c r="CF240">
        <v>26.388654973233496</v>
      </c>
      <c r="CG240">
        <v>26.388654973233496</v>
      </c>
      <c r="CH240">
        <f t="shared" si="60"/>
        <v>2.2652190144188697</v>
      </c>
      <c r="CI240">
        <f t="shared" si="61"/>
        <v>-1.4214172548434234</v>
      </c>
      <c r="CJ240">
        <f t="shared" si="62"/>
        <v>0.18064273648453899</v>
      </c>
      <c r="CK240">
        <f t="shared" si="63"/>
        <v>-0.12038725917944219</v>
      </c>
      <c r="CL240">
        <f t="shared" si="64"/>
        <v>-0.16614474974011731</v>
      </c>
      <c r="CM240">
        <f t="shared" si="65"/>
        <v>2.5740776498795855E-2</v>
      </c>
      <c r="CN240">
        <f t="shared" si="66"/>
        <v>-4.1206013131817383E-2</v>
      </c>
      <c r="CO240" s="2">
        <f t="shared" si="67"/>
        <v>-0.72244725050740455</v>
      </c>
      <c r="CP240">
        <v>2.0444790662968102</v>
      </c>
      <c r="CQ240">
        <v>-2.2527165794045199</v>
      </c>
      <c r="CR240">
        <v>3.30223443358758</v>
      </c>
      <c r="CS240">
        <v>-2.0000903155893002</v>
      </c>
      <c r="CT240">
        <v>-2.3498791403203301</v>
      </c>
      <c r="CU240">
        <v>-2.35285938327356</v>
      </c>
      <c r="CV240">
        <v>2.5657660839465302</v>
      </c>
      <c r="CW240">
        <v>-3.4686837891145998</v>
      </c>
      <c r="CX240" t="s">
        <v>1827</v>
      </c>
    </row>
    <row r="241" spans="1:102" x14ac:dyDescent="0.35">
      <c r="A241" t="s">
        <v>988</v>
      </c>
      <c r="B241" t="s">
        <v>211</v>
      </c>
      <c r="C241" t="s">
        <v>149</v>
      </c>
      <c r="D241" t="s">
        <v>72</v>
      </c>
      <c r="E241" t="s">
        <v>72</v>
      </c>
      <c r="F241" t="s">
        <v>72</v>
      </c>
      <c r="G241" t="s">
        <v>73</v>
      </c>
      <c r="H241" t="s">
        <v>74</v>
      </c>
      <c r="I241" t="s">
        <v>75</v>
      </c>
      <c r="J241" t="s">
        <v>76</v>
      </c>
      <c r="K241" t="s">
        <v>77</v>
      </c>
      <c r="L241" t="s">
        <v>78</v>
      </c>
      <c r="M241" t="s">
        <v>79</v>
      </c>
      <c r="N241">
        <v>60</v>
      </c>
      <c r="O241" t="s">
        <v>80</v>
      </c>
      <c r="P241">
        <v>792</v>
      </c>
      <c r="Q241">
        <v>0.75</v>
      </c>
      <c r="R241">
        <v>177</v>
      </c>
      <c r="S241">
        <v>0.85419999999999996</v>
      </c>
      <c r="T241" t="s">
        <v>81</v>
      </c>
      <c r="U241" t="s">
        <v>82</v>
      </c>
      <c r="V241" t="s">
        <v>83</v>
      </c>
      <c r="W241" t="s">
        <v>84</v>
      </c>
      <c r="X241" t="s">
        <v>85</v>
      </c>
      <c r="Y241" t="s">
        <v>86</v>
      </c>
      <c r="Z241" t="s">
        <v>87</v>
      </c>
      <c r="AA241" t="s">
        <v>88</v>
      </c>
      <c r="AB241">
        <v>649</v>
      </c>
      <c r="AC241">
        <v>7</v>
      </c>
      <c r="AE241">
        <v>22</v>
      </c>
      <c r="AF241" t="s">
        <v>89</v>
      </c>
      <c r="AG241" t="s">
        <v>989</v>
      </c>
      <c r="AH241" t="s">
        <v>72</v>
      </c>
      <c r="AI241" t="s">
        <v>72</v>
      </c>
      <c r="AJ241" t="s">
        <v>91</v>
      </c>
      <c r="AK241" t="s">
        <v>92</v>
      </c>
      <c r="AL241" t="s">
        <v>93</v>
      </c>
      <c r="AM241" t="s">
        <v>94</v>
      </c>
      <c r="AN241" t="s">
        <v>990</v>
      </c>
      <c r="AO241" t="s">
        <v>991</v>
      </c>
      <c r="AP241" t="s">
        <v>513</v>
      </c>
      <c r="AQ241">
        <v>39</v>
      </c>
      <c r="AR241" t="s">
        <v>80</v>
      </c>
      <c r="AS241">
        <v>1368</v>
      </c>
      <c r="AT241">
        <v>0.97219999999999995</v>
      </c>
      <c r="AU241">
        <v>172</v>
      </c>
      <c r="AV241">
        <v>0.94740000000000002</v>
      </c>
      <c r="AW241" t="s">
        <v>644</v>
      </c>
      <c r="AX241" t="s">
        <v>146</v>
      </c>
      <c r="AY241" t="s">
        <v>100</v>
      </c>
      <c r="AZ241" t="s">
        <v>101</v>
      </c>
      <c r="BA241" t="s">
        <v>953</v>
      </c>
      <c r="BB241" t="s">
        <v>103</v>
      </c>
      <c r="BC241" t="s">
        <v>515</v>
      </c>
      <c r="BD241" t="s">
        <v>105</v>
      </c>
      <c r="BE241">
        <v>6209</v>
      </c>
      <c r="BF241" t="s">
        <v>516</v>
      </c>
      <c r="BG241">
        <v>87</v>
      </c>
      <c r="BH241" t="s">
        <v>80</v>
      </c>
      <c r="BI241">
        <v>1</v>
      </c>
      <c r="BJ241">
        <v>5977</v>
      </c>
      <c r="BK241">
        <v>0</v>
      </c>
      <c r="BL241">
        <v>41</v>
      </c>
      <c r="BM241">
        <v>15</v>
      </c>
      <c r="BN241">
        <v>25</v>
      </c>
      <c r="BO241">
        <v>37</v>
      </c>
      <c r="BP241">
        <v>35</v>
      </c>
      <c r="BQ241" s="2">
        <v>17</v>
      </c>
      <c r="BR241">
        <f t="shared" si="51"/>
        <v>5978</v>
      </c>
      <c r="BS241">
        <f t="shared" si="52"/>
        <v>1</v>
      </c>
      <c r="BT241">
        <f t="shared" si="53"/>
        <v>42</v>
      </c>
      <c r="BU241">
        <f t="shared" si="54"/>
        <v>16</v>
      </c>
      <c r="BV241">
        <f t="shared" si="55"/>
        <v>26</v>
      </c>
      <c r="BW241">
        <f t="shared" si="56"/>
        <v>38</v>
      </c>
      <c r="BX241">
        <f t="shared" si="57"/>
        <v>36</v>
      </c>
      <c r="BY241" s="2">
        <f t="shared" si="58"/>
        <v>18</v>
      </c>
      <c r="BZ241">
        <f t="shared" si="59"/>
        <v>35.586243145689856</v>
      </c>
      <c r="CA241">
        <v>35.586243145689856</v>
      </c>
      <c r="CB241">
        <v>35.586243145689856</v>
      </c>
      <c r="CC241">
        <v>35.586243145689856</v>
      </c>
      <c r="CD241">
        <v>35.586243145689856</v>
      </c>
      <c r="CE241">
        <v>35.586243145689856</v>
      </c>
      <c r="CF241">
        <v>35.586243145689856</v>
      </c>
      <c r="CG241">
        <v>35.586243145689856</v>
      </c>
      <c r="CH241">
        <f t="shared" si="60"/>
        <v>2.2252737689263484</v>
      </c>
      <c r="CI241">
        <f t="shared" si="61"/>
        <v>-1.5512821417769136</v>
      </c>
      <c r="CJ241">
        <f t="shared" si="62"/>
        <v>7.1967148620986909E-2</v>
      </c>
      <c r="CK241">
        <f t="shared" si="63"/>
        <v>-0.34716215912098874</v>
      </c>
      <c r="CL241">
        <f t="shared" si="64"/>
        <v>-0.13630879380609556</v>
      </c>
      <c r="CM241">
        <f t="shared" si="65"/>
        <v>2.8501454839896599E-2</v>
      </c>
      <c r="CN241">
        <f t="shared" si="66"/>
        <v>5.020358990373704E-3</v>
      </c>
      <c r="CO241" s="2">
        <f t="shared" si="67"/>
        <v>-0.29600963667360747</v>
      </c>
      <c r="CP241">
        <v>1.9964875562350599</v>
      </c>
      <c r="CQ241">
        <v>-2.2527165794045199</v>
      </c>
      <c r="CR241">
        <v>2.81668522201862</v>
      </c>
      <c r="CS241">
        <v>-2.6682711977216398</v>
      </c>
      <c r="CT241">
        <v>-2.2668273221456201</v>
      </c>
      <c r="CU241">
        <v>-2.34488711300075</v>
      </c>
      <c r="CV241">
        <v>2.6897440024938302</v>
      </c>
      <c r="CW241">
        <v>-2.2974074745234199</v>
      </c>
      <c r="CX241" t="s">
        <v>1827</v>
      </c>
    </row>
    <row r="242" spans="1:102" x14ac:dyDescent="0.35">
      <c r="A242" t="s">
        <v>508</v>
      </c>
      <c r="B242" t="s">
        <v>199</v>
      </c>
      <c r="C242" t="s">
        <v>509</v>
      </c>
      <c r="D242" t="s">
        <v>72</v>
      </c>
      <c r="E242" t="s">
        <v>72</v>
      </c>
      <c r="F242" t="s">
        <v>72</v>
      </c>
      <c r="G242" t="s">
        <v>73</v>
      </c>
      <c r="H242" t="s">
        <v>74</v>
      </c>
      <c r="I242" t="s">
        <v>75</v>
      </c>
      <c r="J242" t="s">
        <v>76</v>
      </c>
      <c r="K242" t="s">
        <v>77</v>
      </c>
      <c r="L242" t="s">
        <v>78</v>
      </c>
      <c r="M242" t="s">
        <v>79</v>
      </c>
      <c r="N242">
        <v>60</v>
      </c>
      <c r="O242" t="s">
        <v>80</v>
      </c>
      <c r="P242">
        <v>792</v>
      </c>
      <c r="Q242">
        <v>0.75</v>
      </c>
      <c r="R242">
        <v>177</v>
      </c>
      <c r="S242">
        <v>0.85419999999999996</v>
      </c>
      <c r="T242" t="s">
        <v>81</v>
      </c>
      <c r="U242" t="s">
        <v>82</v>
      </c>
      <c r="V242" t="s">
        <v>83</v>
      </c>
      <c r="W242" t="s">
        <v>84</v>
      </c>
      <c r="X242" t="s">
        <v>85</v>
      </c>
      <c r="Y242" t="s">
        <v>86</v>
      </c>
      <c r="Z242" t="s">
        <v>87</v>
      </c>
      <c r="AA242" t="s">
        <v>88</v>
      </c>
      <c r="AB242">
        <v>789</v>
      </c>
      <c r="AC242">
        <v>15</v>
      </c>
      <c r="AE242">
        <v>22</v>
      </c>
      <c r="AF242" t="s">
        <v>89</v>
      </c>
      <c r="AG242" t="s">
        <v>510</v>
      </c>
      <c r="AH242" t="s">
        <v>72</v>
      </c>
      <c r="AI242" t="s">
        <v>72</v>
      </c>
      <c r="AJ242" t="s">
        <v>91</v>
      </c>
      <c r="AK242" t="s">
        <v>92</v>
      </c>
      <c r="AL242" t="s">
        <v>93</v>
      </c>
      <c r="AM242" t="s">
        <v>94</v>
      </c>
      <c r="AN242" t="s">
        <v>511</v>
      </c>
      <c r="AO242" t="s">
        <v>512</v>
      </c>
      <c r="AP242" t="s">
        <v>513</v>
      </c>
      <c r="AQ242">
        <v>39</v>
      </c>
      <c r="AR242" t="s">
        <v>80</v>
      </c>
      <c r="AS242">
        <v>1368</v>
      </c>
      <c r="AT242">
        <v>0.97219999999999995</v>
      </c>
      <c r="AU242">
        <v>172</v>
      </c>
      <c r="AV242">
        <v>0.94740000000000002</v>
      </c>
      <c r="AW242" t="s">
        <v>98</v>
      </c>
      <c r="AX242" t="s">
        <v>146</v>
      </c>
      <c r="AY242" t="s">
        <v>100</v>
      </c>
      <c r="AZ242" t="s">
        <v>101</v>
      </c>
      <c r="BA242" t="s">
        <v>514</v>
      </c>
      <c r="BB242" t="s">
        <v>103</v>
      </c>
      <c r="BC242" t="s">
        <v>515</v>
      </c>
      <c r="BD242" t="s">
        <v>105</v>
      </c>
      <c r="BE242">
        <v>85427</v>
      </c>
      <c r="BF242" t="s">
        <v>516</v>
      </c>
      <c r="BG242">
        <v>1124</v>
      </c>
      <c r="BH242" t="s">
        <v>80</v>
      </c>
      <c r="BI242">
        <v>1</v>
      </c>
      <c r="BJ242">
        <v>15684</v>
      </c>
      <c r="BK242">
        <v>18</v>
      </c>
      <c r="BL242">
        <v>120</v>
      </c>
      <c r="BM242">
        <v>43</v>
      </c>
      <c r="BN242">
        <v>27</v>
      </c>
      <c r="BO242">
        <v>72</v>
      </c>
      <c r="BP242">
        <v>90</v>
      </c>
      <c r="BQ242" s="2">
        <v>19</v>
      </c>
      <c r="BR242">
        <f t="shared" si="51"/>
        <v>15685</v>
      </c>
      <c r="BS242">
        <f t="shared" si="52"/>
        <v>19</v>
      </c>
      <c r="BT242">
        <f t="shared" si="53"/>
        <v>121</v>
      </c>
      <c r="BU242">
        <f t="shared" si="54"/>
        <v>44</v>
      </c>
      <c r="BV242">
        <f t="shared" si="55"/>
        <v>28</v>
      </c>
      <c r="BW242">
        <f t="shared" si="56"/>
        <v>73</v>
      </c>
      <c r="BX242">
        <f t="shared" si="57"/>
        <v>91</v>
      </c>
      <c r="BY242" s="2">
        <f t="shared" si="58"/>
        <v>20</v>
      </c>
      <c r="BZ242">
        <f t="shared" si="59"/>
        <v>93.622138348815213</v>
      </c>
      <c r="CA242">
        <v>93.622138348815213</v>
      </c>
      <c r="CB242">
        <v>93.622138348815213</v>
      </c>
      <c r="CC242">
        <v>93.622138348815213</v>
      </c>
      <c r="CD242">
        <v>93.622138348815213</v>
      </c>
      <c r="CE242">
        <v>93.622138348815213</v>
      </c>
      <c r="CF242">
        <v>93.622138348815213</v>
      </c>
      <c r="CG242">
        <v>93.622138348815213</v>
      </c>
      <c r="CH242">
        <f t="shared" si="60"/>
        <v>2.2241059667541414</v>
      </c>
      <c r="CI242">
        <f t="shared" si="61"/>
        <v>-0.69262495532679358</v>
      </c>
      <c r="CJ242">
        <f t="shared" si="62"/>
        <v>0.11140681403682759</v>
      </c>
      <c r="CK242">
        <f t="shared" si="63"/>
        <v>-0.32792587979343513</v>
      </c>
      <c r="CL242">
        <f t="shared" si="64"/>
        <v>-0.52422052493740323</v>
      </c>
      <c r="CM242">
        <f t="shared" si="65"/>
        <v>-0.1080556961591666</v>
      </c>
      <c r="CN242">
        <f t="shared" si="66"/>
        <v>-1.2337163958528928E-2</v>
      </c>
      <c r="CO242" s="2">
        <f t="shared" si="67"/>
        <v>-0.6703485606156413</v>
      </c>
      <c r="CP242">
        <v>1.9950845209299399</v>
      </c>
      <c r="CQ242">
        <v>2.7531617072600798</v>
      </c>
      <c r="CR242">
        <v>2.9928968149225201</v>
      </c>
      <c r="CS242">
        <v>-2.6115924643462001</v>
      </c>
      <c r="CT242">
        <v>-3.3466242836707099</v>
      </c>
      <c r="CU242">
        <v>-2.7392360305264698</v>
      </c>
      <c r="CV242">
        <v>2.64319158084469</v>
      </c>
      <c r="CW242">
        <v>-3.3255867462837698</v>
      </c>
      <c r="CX242" t="s">
        <v>1827</v>
      </c>
    </row>
    <row r="243" spans="1:102" x14ac:dyDescent="0.35">
      <c r="A243" t="s">
        <v>1468</v>
      </c>
      <c r="B243" t="s">
        <v>211</v>
      </c>
      <c r="C243" t="s">
        <v>149</v>
      </c>
      <c r="D243" t="s">
        <v>72</v>
      </c>
      <c r="E243" t="s">
        <v>72</v>
      </c>
      <c r="F243" t="s">
        <v>72</v>
      </c>
      <c r="G243" t="s">
        <v>73</v>
      </c>
      <c r="H243" t="s">
        <v>74</v>
      </c>
      <c r="I243" t="s">
        <v>75</v>
      </c>
      <c r="J243" t="s">
        <v>76</v>
      </c>
      <c r="K243" t="s">
        <v>77</v>
      </c>
      <c r="L243" t="s">
        <v>78</v>
      </c>
      <c r="M243" t="s">
        <v>79</v>
      </c>
      <c r="N243">
        <v>60</v>
      </c>
      <c r="O243" t="s">
        <v>80</v>
      </c>
      <c r="P243">
        <v>792</v>
      </c>
      <c r="Q243">
        <v>0.75</v>
      </c>
      <c r="R243">
        <v>177</v>
      </c>
      <c r="S243">
        <v>0.85419999999999996</v>
      </c>
      <c r="T243" t="s">
        <v>81</v>
      </c>
      <c r="U243" t="s">
        <v>82</v>
      </c>
      <c r="V243" t="s">
        <v>83</v>
      </c>
      <c r="W243" t="s">
        <v>84</v>
      </c>
      <c r="X243" t="s">
        <v>85</v>
      </c>
      <c r="Y243" t="s">
        <v>86</v>
      </c>
      <c r="Z243" t="s">
        <v>87</v>
      </c>
      <c r="AA243" t="s">
        <v>88</v>
      </c>
      <c r="AB243">
        <v>1034</v>
      </c>
      <c r="AC243">
        <v>10</v>
      </c>
      <c r="AE243">
        <v>22</v>
      </c>
      <c r="AF243" t="s">
        <v>159</v>
      </c>
      <c r="AG243" t="s">
        <v>1469</v>
      </c>
      <c r="AH243" t="s">
        <v>72</v>
      </c>
      <c r="AI243" t="s">
        <v>72</v>
      </c>
      <c r="AJ243" t="s">
        <v>91</v>
      </c>
      <c r="AK243" t="s">
        <v>92</v>
      </c>
      <c r="AL243" t="s">
        <v>93</v>
      </c>
      <c r="AM243" t="s">
        <v>94</v>
      </c>
      <c r="AN243" t="s">
        <v>1470</v>
      </c>
      <c r="AO243" t="s">
        <v>1471</v>
      </c>
      <c r="AP243" t="s">
        <v>97</v>
      </c>
      <c r="AQ243">
        <v>39</v>
      </c>
      <c r="AR243" t="s">
        <v>80</v>
      </c>
      <c r="AS243">
        <v>1350</v>
      </c>
      <c r="AT243">
        <v>0.96530000000000005</v>
      </c>
      <c r="AU243">
        <v>172</v>
      </c>
      <c r="AV243">
        <v>0.94740000000000002</v>
      </c>
      <c r="AW243" t="s">
        <v>98</v>
      </c>
      <c r="AX243" t="s">
        <v>1472</v>
      </c>
      <c r="AY243" t="s">
        <v>1226</v>
      </c>
      <c r="AZ243" t="s">
        <v>101</v>
      </c>
      <c r="BA243" t="s">
        <v>185</v>
      </c>
      <c r="BB243" t="s">
        <v>186</v>
      </c>
      <c r="BC243" t="s">
        <v>104</v>
      </c>
      <c r="BD243" t="s">
        <v>105</v>
      </c>
      <c r="BE243">
        <v>466</v>
      </c>
      <c r="BF243" t="s">
        <v>106</v>
      </c>
      <c r="BG243">
        <v>7</v>
      </c>
      <c r="BH243" t="s">
        <v>80</v>
      </c>
      <c r="BI243">
        <v>1</v>
      </c>
      <c r="BJ243">
        <v>5752</v>
      </c>
      <c r="BK243">
        <v>0</v>
      </c>
      <c r="BL243">
        <v>36</v>
      </c>
      <c r="BM243">
        <v>30</v>
      </c>
      <c r="BN243">
        <v>33</v>
      </c>
      <c r="BO243">
        <v>25</v>
      </c>
      <c r="BP243">
        <v>29</v>
      </c>
      <c r="BQ243" s="2">
        <v>11</v>
      </c>
      <c r="BR243">
        <f t="shared" si="51"/>
        <v>5753</v>
      </c>
      <c r="BS243">
        <f t="shared" si="52"/>
        <v>1</v>
      </c>
      <c r="BT243">
        <f t="shared" si="53"/>
        <v>37</v>
      </c>
      <c r="BU243">
        <f t="shared" si="54"/>
        <v>31</v>
      </c>
      <c r="BV243">
        <f t="shared" si="55"/>
        <v>34</v>
      </c>
      <c r="BW243">
        <f t="shared" si="56"/>
        <v>26</v>
      </c>
      <c r="BX243">
        <f t="shared" si="57"/>
        <v>30</v>
      </c>
      <c r="BY243" s="2">
        <f t="shared" si="58"/>
        <v>12</v>
      </c>
      <c r="BZ243">
        <f t="shared" si="59"/>
        <v>34.695773157495296</v>
      </c>
      <c r="CA243">
        <v>34.695773157495296</v>
      </c>
      <c r="CB243">
        <v>34.695773157495296</v>
      </c>
      <c r="CC243">
        <v>34.695773157495296</v>
      </c>
      <c r="CD243">
        <v>34.695773157495296</v>
      </c>
      <c r="CE243">
        <v>34.695773157495296</v>
      </c>
      <c r="CF243">
        <v>34.695773157495296</v>
      </c>
      <c r="CG243">
        <v>34.695773157495296</v>
      </c>
      <c r="CH243">
        <f t="shared" si="60"/>
        <v>2.2196178043121084</v>
      </c>
      <c r="CI243">
        <f t="shared" si="61"/>
        <v>-1.5402765697133909</v>
      </c>
      <c r="CJ243">
        <f t="shared" si="62"/>
        <v>2.7925154353604098E-2</v>
      </c>
      <c r="CK243">
        <f t="shared" si="63"/>
        <v>-4.8914875879118282E-2</v>
      </c>
      <c r="CL243">
        <f t="shared" si="64"/>
        <v>-8.7976526711358288E-3</v>
      </c>
      <c r="CM243">
        <f t="shared" si="65"/>
        <v>-0.125303221742573</v>
      </c>
      <c r="CN243">
        <f t="shared" si="66"/>
        <v>-6.3155314993728492E-2</v>
      </c>
      <c r="CO243" s="2">
        <f t="shared" si="67"/>
        <v>-0.46109532366576611</v>
      </c>
      <c r="CP243">
        <v>1.9896922973914499</v>
      </c>
      <c r="CQ243">
        <v>-2.2527165794045199</v>
      </c>
      <c r="CR243">
        <v>2.6199109876864202</v>
      </c>
      <c r="CS243">
        <v>-1.78950051868488</v>
      </c>
      <c r="CT243">
        <v>-1.91188538121339</v>
      </c>
      <c r="CU243">
        <v>-2.78904333094283</v>
      </c>
      <c r="CV243">
        <v>2.5068986315924202</v>
      </c>
      <c r="CW243">
        <v>-2.7508406351528398</v>
      </c>
      <c r="CX243" t="s">
        <v>1827</v>
      </c>
    </row>
    <row r="244" spans="1:102" x14ac:dyDescent="0.35">
      <c r="A244" t="s">
        <v>210</v>
      </c>
      <c r="B244" t="s">
        <v>211</v>
      </c>
      <c r="C244" t="s">
        <v>212</v>
      </c>
      <c r="D244" t="s">
        <v>72</v>
      </c>
      <c r="E244" t="s">
        <v>72</v>
      </c>
      <c r="F244" t="s">
        <v>72</v>
      </c>
      <c r="G244" t="s">
        <v>73</v>
      </c>
      <c r="H244" t="s">
        <v>74</v>
      </c>
      <c r="I244" t="s">
        <v>75</v>
      </c>
      <c r="J244" t="s">
        <v>76</v>
      </c>
      <c r="K244" t="s">
        <v>77</v>
      </c>
      <c r="L244" t="s">
        <v>78</v>
      </c>
      <c r="M244" t="s">
        <v>79</v>
      </c>
      <c r="N244">
        <v>60</v>
      </c>
      <c r="O244" t="s">
        <v>80</v>
      </c>
      <c r="P244">
        <v>792</v>
      </c>
      <c r="Q244">
        <v>0.75</v>
      </c>
      <c r="R244">
        <v>177</v>
      </c>
      <c r="S244">
        <v>0.85419999999999996</v>
      </c>
      <c r="T244" t="s">
        <v>81</v>
      </c>
      <c r="U244" t="s">
        <v>82</v>
      </c>
      <c r="V244" t="s">
        <v>83</v>
      </c>
      <c r="W244" t="s">
        <v>84</v>
      </c>
      <c r="X244" t="s">
        <v>85</v>
      </c>
      <c r="Y244" t="s">
        <v>86</v>
      </c>
      <c r="Z244" t="s">
        <v>87</v>
      </c>
      <c r="AA244" t="s">
        <v>88</v>
      </c>
      <c r="AB244">
        <v>2310</v>
      </c>
      <c r="AC244">
        <v>40</v>
      </c>
      <c r="AE244">
        <v>22</v>
      </c>
      <c r="AF244" t="s">
        <v>89</v>
      </c>
      <c r="AG244" t="s">
        <v>213</v>
      </c>
      <c r="AH244" t="s">
        <v>72</v>
      </c>
      <c r="AI244" t="s">
        <v>72</v>
      </c>
      <c r="AJ244" t="s">
        <v>91</v>
      </c>
      <c r="AK244" t="s">
        <v>92</v>
      </c>
      <c r="AL244" t="s">
        <v>93</v>
      </c>
      <c r="AM244" t="s">
        <v>94</v>
      </c>
      <c r="AN244" t="s">
        <v>214</v>
      </c>
      <c r="AO244" t="s">
        <v>215</v>
      </c>
      <c r="AP244" t="s">
        <v>97</v>
      </c>
      <c r="AQ244">
        <v>39</v>
      </c>
      <c r="AR244" t="s">
        <v>80</v>
      </c>
      <c r="AS244">
        <v>1350</v>
      </c>
      <c r="AT244">
        <v>0.96530000000000005</v>
      </c>
      <c r="AU244">
        <v>163</v>
      </c>
      <c r="AV244">
        <v>0.92110000000000003</v>
      </c>
      <c r="AW244" t="s">
        <v>216</v>
      </c>
      <c r="AX244" t="s">
        <v>217</v>
      </c>
      <c r="AY244" t="s">
        <v>218</v>
      </c>
      <c r="AZ244" t="s">
        <v>219</v>
      </c>
      <c r="BA244" t="s">
        <v>102</v>
      </c>
      <c r="BB244" t="s">
        <v>103</v>
      </c>
      <c r="BC244" t="s">
        <v>104</v>
      </c>
      <c r="BD244" t="s">
        <v>105</v>
      </c>
      <c r="BE244">
        <v>82302</v>
      </c>
      <c r="BF244" t="s">
        <v>106</v>
      </c>
      <c r="BG244">
        <v>887</v>
      </c>
      <c r="BH244" t="s">
        <v>80</v>
      </c>
      <c r="BI244">
        <v>1</v>
      </c>
      <c r="BJ244">
        <v>6642</v>
      </c>
      <c r="BK244">
        <v>0</v>
      </c>
      <c r="BL244">
        <v>52</v>
      </c>
      <c r="BM244">
        <v>29</v>
      </c>
      <c r="BN244">
        <v>28</v>
      </c>
      <c r="BO244">
        <v>71</v>
      </c>
      <c r="BP244">
        <v>23</v>
      </c>
      <c r="BQ244" s="2">
        <v>13</v>
      </c>
      <c r="BR244">
        <f t="shared" si="51"/>
        <v>6643</v>
      </c>
      <c r="BS244">
        <f t="shared" si="52"/>
        <v>1</v>
      </c>
      <c r="BT244">
        <f t="shared" si="53"/>
        <v>53</v>
      </c>
      <c r="BU244">
        <f t="shared" si="54"/>
        <v>30</v>
      </c>
      <c r="BV244">
        <f t="shared" si="55"/>
        <v>29</v>
      </c>
      <c r="BW244">
        <f t="shared" si="56"/>
        <v>72</v>
      </c>
      <c r="BX244">
        <f t="shared" si="57"/>
        <v>24</v>
      </c>
      <c r="BY244" s="2">
        <f t="shared" si="58"/>
        <v>14</v>
      </c>
      <c r="BZ244">
        <f t="shared" si="59"/>
        <v>40.61896878618019</v>
      </c>
      <c r="CA244">
        <v>40.61896878618019</v>
      </c>
      <c r="CB244">
        <v>40.61896878618019</v>
      </c>
      <c r="CC244">
        <v>40.61896878618019</v>
      </c>
      <c r="CD244">
        <v>40.61896878618019</v>
      </c>
      <c r="CE244">
        <v>40.61896878618019</v>
      </c>
      <c r="CF244">
        <v>40.61896878618019</v>
      </c>
      <c r="CG244">
        <v>40.61896878618019</v>
      </c>
      <c r="CH244">
        <f t="shared" si="60"/>
        <v>2.2136353588812909</v>
      </c>
      <c r="CI244">
        <f t="shared" si="61"/>
        <v>-1.6087288935602586</v>
      </c>
      <c r="CJ244">
        <f t="shared" si="62"/>
        <v>0.11554697604053037</v>
      </c>
      <c r="CK244">
        <f t="shared" si="63"/>
        <v>-0.13160763884059626</v>
      </c>
      <c r="CL244">
        <f t="shared" si="64"/>
        <v>-0.14633089566130258</v>
      </c>
      <c r="CM244">
        <f t="shared" si="65"/>
        <v>0.24860360287100974</v>
      </c>
      <c r="CN244">
        <f t="shared" si="66"/>
        <v>-0.22851765184865264</v>
      </c>
      <c r="CO244" s="2">
        <f t="shared" si="67"/>
        <v>-0.46260085788202066</v>
      </c>
      <c r="CP244">
        <v>1.9825047939339799</v>
      </c>
      <c r="CQ244">
        <v>-2.2527165794045199</v>
      </c>
      <c r="CR244">
        <v>3.0113945514996598</v>
      </c>
      <c r="CS244">
        <v>-2.0331506021632699</v>
      </c>
      <c r="CT244">
        <v>-2.2947249964432901</v>
      </c>
      <c r="CU244">
        <v>-1.7092774566324</v>
      </c>
      <c r="CV244">
        <v>2.06340117790517</v>
      </c>
      <c r="CW244">
        <v>-2.7549758158008499</v>
      </c>
      <c r="CX244" t="s">
        <v>1827</v>
      </c>
    </row>
    <row r="245" spans="1:102" x14ac:dyDescent="0.35">
      <c r="A245" t="s">
        <v>753</v>
      </c>
      <c r="B245" t="s">
        <v>70</v>
      </c>
      <c r="C245" t="s">
        <v>696</v>
      </c>
      <c r="D245" t="s">
        <v>72</v>
      </c>
      <c r="E245" t="s">
        <v>72</v>
      </c>
      <c r="F245" t="s">
        <v>72</v>
      </c>
      <c r="G245" t="s">
        <v>73</v>
      </c>
      <c r="H245" t="s">
        <v>74</v>
      </c>
      <c r="I245" t="s">
        <v>75</v>
      </c>
      <c r="J245" t="s">
        <v>76</v>
      </c>
      <c r="K245" t="s">
        <v>77</v>
      </c>
      <c r="L245" t="s">
        <v>78</v>
      </c>
      <c r="M245" t="s">
        <v>79</v>
      </c>
      <c r="N245">
        <v>60</v>
      </c>
      <c r="O245" t="s">
        <v>80</v>
      </c>
      <c r="P245">
        <v>792</v>
      </c>
      <c r="Q245">
        <v>0.75</v>
      </c>
      <c r="R245">
        <v>177</v>
      </c>
      <c r="S245">
        <v>0.85419999999999996</v>
      </c>
      <c r="T245" t="s">
        <v>81</v>
      </c>
      <c r="U245" t="s">
        <v>82</v>
      </c>
      <c r="V245" t="s">
        <v>83</v>
      </c>
      <c r="W245" t="s">
        <v>84</v>
      </c>
      <c r="X245" t="s">
        <v>85</v>
      </c>
      <c r="Y245" t="s">
        <v>86</v>
      </c>
      <c r="Z245" t="s">
        <v>87</v>
      </c>
      <c r="AA245" t="s">
        <v>88</v>
      </c>
      <c r="AB245">
        <v>264</v>
      </c>
      <c r="AC245">
        <v>4</v>
      </c>
      <c r="AE245">
        <v>22</v>
      </c>
      <c r="AF245" t="s">
        <v>89</v>
      </c>
      <c r="AG245" t="s">
        <v>754</v>
      </c>
      <c r="AH245" t="s">
        <v>72</v>
      </c>
      <c r="AI245" t="s">
        <v>72</v>
      </c>
      <c r="AJ245" t="s">
        <v>72</v>
      </c>
      <c r="AK245" t="s">
        <v>92</v>
      </c>
      <c r="AL245" t="s">
        <v>93</v>
      </c>
      <c r="AM245" t="s">
        <v>94</v>
      </c>
      <c r="AN245" t="s">
        <v>755</v>
      </c>
      <c r="AO245" t="s">
        <v>756</v>
      </c>
      <c r="AP245" t="s">
        <v>757</v>
      </c>
      <c r="AQ245">
        <v>39</v>
      </c>
      <c r="AR245" t="s">
        <v>80</v>
      </c>
      <c r="AS245">
        <v>1350</v>
      </c>
      <c r="AT245">
        <v>0.96530000000000005</v>
      </c>
      <c r="AU245">
        <v>154</v>
      </c>
      <c r="AV245">
        <v>0.89470000000000005</v>
      </c>
      <c r="AW245" t="s">
        <v>373</v>
      </c>
      <c r="AX245" t="s">
        <v>758</v>
      </c>
      <c r="AY245" t="s">
        <v>759</v>
      </c>
      <c r="AZ245" t="s">
        <v>760</v>
      </c>
      <c r="BA245" t="s">
        <v>102</v>
      </c>
      <c r="BB245" t="s">
        <v>103</v>
      </c>
      <c r="BC245" t="s">
        <v>761</v>
      </c>
      <c r="BD245" t="s">
        <v>105</v>
      </c>
      <c r="BE245">
        <v>26708</v>
      </c>
      <c r="BF245" t="s">
        <v>762</v>
      </c>
      <c r="BG245">
        <v>419</v>
      </c>
      <c r="BH245" t="s">
        <v>80</v>
      </c>
      <c r="BI245">
        <v>1</v>
      </c>
      <c r="BJ245">
        <v>3443</v>
      </c>
      <c r="BK245">
        <v>0</v>
      </c>
      <c r="BL245">
        <v>37</v>
      </c>
      <c r="BM245">
        <v>13</v>
      </c>
      <c r="BN245">
        <v>10</v>
      </c>
      <c r="BO245">
        <v>30</v>
      </c>
      <c r="BP245">
        <v>10</v>
      </c>
      <c r="BQ245" s="2">
        <v>6</v>
      </c>
      <c r="BR245">
        <f t="shared" si="51"/>
        <v>3444</v>
      </c>
      <c r="BS245">
        <f t="shared" si="52"/>
        <v>1</v>
      </c>
      <c r="BT245">
        <f t="shared" si="53"/>
        <v>38</v>
      </c>
      <c r="BU245">
        <f t="shared" si="54"/>
        <v>14</v>
      </c>
      <c r="BV245">
        <f t="shared" si="55"/>
        <v>11</v>
      </c>
      <c r="BW245">
        <f t="shared" si="56"/>
        <v>31</v>
      </c>
      <c r="BX245">
        <f t="shared" si="57"/>
        <v>11</v>
      </c>
      <c r="BY245" s="2">
        <f t="shared" si="58"/>
        <v>7</v>
      </c>
      <c r="BZ245">
        <f t="shared" si="59"/>
        <v>21.641007966525834</v>
      </c>
      <c r="CA245">
        <v>21.641007966525834</v>
      </c>
      <c r="CB245">
        <v>21.641007966525834</v>
      </c>
      <c r="CC245">
        <v>21.641007966525834</v>
      </c>
      <c r="CD245">
        <v>21.641007966525834</v>
      </c>
      <c r="CE245">
        <v>21.641007966525834</v>
      </c>
      <c r="CF245">
        <v>21.641007966525834</v>
      </c>
      <c r="CG245">
        <v>21.641007966525834</v>
      </c>
      <c r="CH245">
        <f t="shared" si="60"/>
        <v>2.2017856578764117</v>
      </c>
      <c r="CI245">
        <f t="shared" si="61"/>
        <v>-1.3352774849052056</v>
      </c>
      <c r="CJ245">
        <f t="shared" si="62"/>
        <v>0.24450611171160452</v>
      </c>
      <c r="CK245">
        <f t="shared" si="63"/>
        <v>-0.18914944922696761</v>
      </c>
      <c r="CL245">
        <f t="shared" si="64"/>
        <v>-0.29388479974698062</v>
      </c>
      <c r="CM245">
        <f t="shared" si="65"/>
        <v>0.15608420892906702</v>
      </c>
      <c r="CN245">
        <f t="shared" si="66"/>
        <v>-0.29388479974698062</v>
      </c>
      <c r="CO245" s="2">
        <f t="shared" si="67"/>
        <v>-0.49017944489094878</v>
      </c>
      <c r="CP245">
        <v>1.96826817983905</v>
      </c>
      <c r="CQ245">
        <v>-2.2527165794045199</v>
      </c>
      <c r="CR245">
        <v>3.5875681695188399</v>
      </c>
      <c r="CS245">
        <v>-2.2026946638445501</v>
      </c>
      <c r="CT245">
        <v>-2.70545827545038</v>
      </c>
      <c r="CU245">
        <v>-1.9764544047762</v>
      </c>
      <c r="CV245">
        <v>1.88808820036096</v>
      </c>
      <c r="CW245">
        <v>-2.83072463510186</v>
      </c>
      <c r="CX245" t="s">
        <v>1827</v>
      </c>
    </row>
    <row r="246" spans="1:102" x14ac:dyDescent="0.35">
      <c r="A246" t="s">
        <v>1257</v>
      </c>
      <c r="B246" t="s">
        <v>153</v>
      </c>
      <c r="C246" t="s">
        <v>393</v>
      </c>
      <c r="D246" t="s">
        <v>72</v>
      </c>
      <c r="E246" t="s">
        <v>72</v>
      </c>
      <c r="F246" t="s">
        <v>72</v>
      </c>
      <c r="G246" t="s">
        <v>73</v>
      </c>
      <c r="H246" t="s">
        <v>74</v>
      </c>
      <c r="I246" t="s">
        <v>75</v>
      </c>
      <c r="J246" t="s">
        <v>76</v>
      </c>
      <c r="K246" t="s">
        <v>77</v>
      </c>
      <c r="L246" t="s">
        <v>78</v>
      </c>
      <c r="M246" t="s">
        <v>79</v>
      </c>
      <c r="N246">
        <v>60</v>
      </c>
      <c r="O246" t="s">
        <v>80</v>
      </c>
      <c r="P246">
        <v>792</v>
      </c>
      <c r="Q246">
        <v>0.75</v>
      </c>
      <c r="R246">
        <v>177</v>
      </c>
      <c r="S246">
        <v>0.85419999999999996</v>
      </c>
      <c r="T246" t="s">
        <v>81</v>
      </c>
      <c r="U246" t="s">
        <v>82</v>
      </c>
      <c r="V246" t="s">
        <v>83</v>
      </c>
      <c r="W246" t="s">
        <v>84</v>
      </c>
      <c r="X246" t="s">
        <v>85</v>
      </c>
      <c r="Y246" t="s">
        <v>86</v>
      </c>
      <c r="Z246" t="s">
        <v>87</v>
      </c>
      <c r="AA246" t="s">
        <v>88</v>
      </c>
      <c r="AB246">
        <v>2536</v>
      </c>
      <c r="AC246">
        <v>24</v>
      </c>
      <c r="AE246">
        <v>22</v>
      </c>
      <c r="AF246" t="s">
        <v>89</v>
      </c>
      <c r="AG246" t="s">
        <v>1258</v>
      </c>
      <c r="AH246" t="s">
        <v>72</v>
      </c>
      <c r="AI246" t="s">
        <v>72</v>
      </c>
      <c r="AJ246" t="s">
        <v>91</v>
      </c>
      <c r="AK246" t="s">
        <v>92</v>
      </c>
      <c r="AL246" t="s">
        <v>93</v>
      </c>
      <c r="AM246" t="s">
        <v>94</v>
      </c>
      <c r="AN246" t="s">
        <v>1259</v>
      </c>
      <c r="AO246" t="s">
        <v>1260</v>
      </c>
      <c r="AP246" t="s">
        <v>513</v>
      </c>
      <c r="AQ246">
        <v>39</v>
      </c>
      <c r="AR246" t="s">
        <v>80</v>
      </c>
      <c r="AS246">
        <v>1368</v>
      </c>
      <c r="AT246">
        <v>0.97219999999999995</v>
      </c>
      <c r="AU246">
        <v>172</v>
      </c>
      <c r="AV246">
        <v>0.94740000000000002</v>
      </c>
      <c r="AW246" t="s">
        <v>98</v>
      </c>
      <c r="AX246" t="s">
        <v>135</v>
      </c>
      <c r="AY246" t="s">
        <v>1261</v>
      </c>
      <c r="AZ246" t="s">
        <v>101</v>
      </c>
      <c r="BA246" t="s">
        <v>102</v>
      </c>
      <c r="BB246" t="s">
        <v>103</v>
      </c>
      <c r="BC246" t="s">
        <v>515</v>
      </c>
      <c r="BD246" t="s">
        <v>105</v>
      </c>
      <c r="BE246">
        <v>69448</v>
      </c>
      <c r="BF246" t="s">
        <v>516</v>
      </c>
      <c r="BG246">
        <v>840</v>
      </c>
      <c r="BH246" t="s">
        <v>80</v>
      </c>
      <c r="BI246">
        <v>1</v>
      </c>
      <c r="BJ246">
        <v>4576</v>
      </c>
      <c r="BK246">
        <v>0</v>
      </c>
      <c r="BL246">
        <v>38</v>
      </c>
      <c r="BM246">
        <v>10</v>
      </c>
      <c r="BN246">
        <v>15</v>
      </c>
      <c r="BO246">
        <v>30</v>
      </c>
      <c r="BP246">
        <v>35</v>
      </c>
      <c r="BQ246" s="2">
        <v>13</v>
      </c>
      <c r="BR246">
        <f t="shared" si="51"/>
        <v>4577</v>
      </c>
      <c r="BS246">
        <f t="shared" si="52"/>
        <v>1</v>
      </c>
      <c r="BT246">
        <f t="shared" si="53"/>
        <v>39</v>
      </c>
      <c r="BU246">
        <f t="shared" si="54"/>
        <v>11</v>
      </c>
      <c r="BV246">
        <f t="shared" si="55"/>
        <v>16</v>
      </c>
      <c r="BW246">
        <f t="shared" si="56"/>
        <v>31</v>
      </c>
      <c r="BX246">
        <f t="shared" si="57"/>
        <v>36</v>
      </c>
      <c r="BY246" s="2">
        <f t="shared" si="58"/>
        <v>14</v>
      </c>
      <c r="BZ246">
        <f t="shared" si="59"/>
        <v>28.931356857763451</v>
      </c>
      <c r="CA246">
        <v>28.931356857763451</v>
      </c>
      <c r="CB246">
        <v>28.931356857763451</v>
      </c>
      <c r="CC246">
        <v>28.931356857763451</v>
      </c>
      <c r="CD246">
        <v>28.931356857763451</v>
      </c>
      <c r="CE246">
        <v>28.931356857763451</v>
      </c>
      <c r="CF246">
        <v>28.931356857763451</v>
      </c>
      <c r="CG246">
        <v>28.931356857763451</v>
      </c>
      <c r="CH246">
        <f t="shared" si="60"/>
        <v>2.1992121102338311</v>
      </c>
      <c r="CI246">
        <f t="shared" si="61"/>
        <v>-1.4613688021934683</v>
      </c>
      <c r="CJ246">
        <f t="shared" si="62"/>
        <v>0.12969580483303092</v>
      </c>
      <c r="CK246">
        <f t="shared" si="63"/>
        <v>-0.41997611703524329</v>
      </c>
      <c r="CL246">
        <f t="shared" si="64"/>
        <v>-0.25724881953754353</v>
      </c>
      <c r="CM246">
        <f t="shared" si="65"/>
        <v>2.9992891640804369E-2</v>
      </c>
      <c r="CN246">
        <f t="shared" si="66"/>
        <v>9.4933698573818975E-2</v>
      </c>
      <c r="CO246" s="2">
        <f t="shared" si="67"/>
        <v>-0.31524076651523031</v>
      </c>
      <c r="CP246">
        <v>1.9651762364535299</v>
      </c>
      <c r="CQ246">
        <v>-2.2527165794045199</v>
      </c>
      <c r="CR246">
        <v>3.07460978502063</v>
      </c>
      <c r="CS246">
        <v>-2.88281387701831</v>
      </c>
      <c r="CT246">
        <v>-2.6034778068595701</v>
      </c>
      <c r="CU246">
        <v>-2.3405801507970598</v>
      </c>
      <c r="CV246">
        <v>2.9308892228396202</v>
      </c>
      <c r="CW246">
        <v>-2.35022872235804</v>
      </c>
      <c r="CX246" t="s">
        <v>1827</v>
      </c>
    </row>
    <row r="247" spans="1:102" x14ac:dyDescent="0.35">
      <c r="A247" t="s">
        <v>663</v>
      </c>
      <c r="B247" t="s">
        <v>211</v>
      </c>
      <c r="C247" t="s">
        <v>664</v>
      </c>
      <c r="D247" t="s">
        <v>72</v>
      </c>
      <c r="E247" t="s">
        <v>72</v>
      </c>
      <c r="F247" t="s">
        <v>72</v>
      </c>
      <c r="G247" t="s">
        <v>73</v>
      </c>
      <c r="H247" t="s">
        <v>74</v>
      </c>
      <c r="I247" t="s">
        <v>75</v>
      </c>
      <c r="J247" t="s">
        <v>76</v>
      </c>
      <c r="K247" t="s">
        <v>77</v>
      </c>
      <c r="L247" t="s">
        <v>78</v>
      </c>
      <c r="M247" t="s">
        <v>79</v>
      </c>
      <c r="N247">
        <v>60</v>
      </c>
      <c r="O247" t="s">
        <v>80</v>
      </c>
      <c r="P247">
        <v>792</v>
      </c>
      <c r="Q247">
        <v>0.75</v>
      </c>
      <c r="R247">
        <v>177</v>
      </c>
      <c r="S247">
        <v>0.85419999999999996</v>
      </c>
      <c r="T247" t="s">
        <v>81</v>
      </c>
      <c r="U247" t="s">
        <v>82</v>
      </c>
      <c r="V247" t="s">
        <v>83</v>
      </c>
      <c r="W247" t="s">
        <v>84</v>
      </c>
      <c r="X247" t="s">
        <v>85</v>
      </c>
      <c r="Y247" t="s">
        <v>86</v>
      </c>
      <c r="Z247" t="s">
        <v>87</v>
      </c>
      <c r="AA247" t="s">
        <v>88</v>
      </c>
      <c r="AB247">
        <v>440</v>
      </c>
      <c r="AC247">
        <v>15</v>
      </c>
      <c r="AE247">
        <v>22</v>
      </c>
      <c r="AF247" t="s">
        <v>153</v>
      </c>
      <c r="AG247" t="s">
        <v>665</v>
      </c>
      <c r="AH247" t="s">
        <v>72</v>
      </c>
      <c r="AI247" t="s">
        <v>72</v>
      </c>
      <c r="AJ247" t="s">
        <v>91</v>
      </c>
      <c r="AK247" t="s">
        <v>92</v>
      </c>
      <c r="AL247" t="s">
        <v>93</v>
      </c>
      <c r="AM247" t="s">
        <v>94</v>
      </c>
      <c r="AN247" t="s">
        <v>250</v>
      </c>
      <c r="AO247" t="s">
        <v>251</v>
      </c>
      <c r="AP247" t="s">
        <v>97</v>
      </c>
      <c r="AQ247">
        <v>39</v>
      </c>
      <c r="AR247" t="s">
        <v>80</v>
      </c>
      <c r="AS247">
        <v>1341</v>
      </c>
      <c r="AT247">
        <v>0.96179999999999999</v>
      </c>
      <c r="AU247">
        <v>172</v>
      </c>
      <c r="AV247">
        <v>0.94740000000000002</v>
      </c>
      <c r="AW247" t="s">
        <v>98</v>
      </c>
      <c r="AX247" t="s">
        <v>252</v>
      </c>
      <c r="AY247" t="s">
        <v>184</v>
      </c>
      <c r="AZ247" t="s">
        <v>101</v>
      </c>
      <c r="BA247" t="s">
        <v>253</v>
      </c>
      <c r="BB247" t="s">
        <v>186</v>
      </c>
      <c r="BC247" t="s">
        <v>104</v>
      </c>
      <c r="BD247" t="s">
        <v>105</v>
      </c>
      <c r="BE247">
        <v>163</v>
      </c>
      <c r="BF247" t="s">
        <v>106</v>
      </c>
      <c r="BG247">
        <v>1</v>
      </c>
      <c r="BH247" t="s">
        <v>80</v>
      </c>
      <c r="BI247">
        <v>1</v>
      </c>
      <c r="BJ247">
        <v>6890</v>
      </c>
      <c r="BK247">
        <v>10</v>
      </c>
      <c r="BL247">
        <v>45</v>
      </c>
      <c r="BM247">
        <v>18</v>
      </c>
      <c r="BN247">
        <v>15</v>
      </c>
      <c r="BO247">
        <v>36</v>
      </c>
      <c r="BP247">
        <v>32</v>
      </c>
      <c r="BQ247" s="2">
        <v>16</v>
      </c>
      <c r="BR247">
        <f t="shared" si="51"/>
        <v>6891</v>
      </c>
      <c r="BS247">
        <f t="shared" si="52"/>
        <v>11</v>
      </c>
      <c r="BT247">
        <f t="shared" si="53"/>
        <v>46</v>
      </c>
      <c r="BU247">
        <f t="shared" si="54"/>
        <v>19</v>
      </c>
      <c r="BV247">
        <f t="shared" si="55"/>
        <v>16</v>
      </c>
      <c r="BW247">
        <f t="shared" si="56"/>
        <v>37</v>
      </c>
      <c r="BX247">
        <f t="shared" si="57"/>
        <v>33</v>
      </c>
      <c r="BY247" s="2">
        <f t="shared" si="58"/>
        <v>17</v>
      </c>
      <c r="BZ247">
        <f t="shared" si="59"/>
        <v>46.538123412539335</v>
      </c>
      <c r="CA247">
        <v>46.538123412539335</v>
      </c>
      <c r="CB247">
        <v>46.538123412539335</v>
      </c>
      <c r="CC247">
        <v>46.538123412539335</v>
      </c>
      <c r="CD247">
        <v>46.538123412539335</v>
      </c>
      <c r="CE247">
        <v>46.538123412539335</v>
      </c>
      <c r="CF247">
        <v>46.538123412539335</v>
      </c>
      <c r="CG247">
        <v>46.538123412539335</v>
      </c>
      <c r="CH247">
        <f t="shared" si="60"/>
        <v>2.1704733829538889</v>
      </c>
      <c r="CI247">
        <f t="shared" si="61"/>
        <v>-0.62641618180257463</v>
      </c>
      <c r="CJ247">
        <f t="shared" si="62"/>
        <v>-5.0510352792256536E-3</v>
      </c>
      <c r="CK247">
        <f t="shared" si="63"/>
        <v>-0.38905526600797075</v>
      </c>
      <c r="CL247">
        <f t="shared" si="64"/>
        <v>-0.46368888430487493</v>
      </c>
      <c r="CM247">
        <f t="shared" si="65"/>
        <v>-9.960714289380472E-2</v>
      </c>
      <c r="CN247">
        <f t="shared" si="66"/>
        <v>-0.14929492708291223</v>
      </c>
      <c r="CO247" s="2">
        <f t="shared" si="67"/>
        <v>-0.43735994558252578</v>
      </c>
      <c r="CP247">
        <v>1.93064859987472</v>
      </c>
      <c r="CQ247">
        <v>2.9487559633067302</v>
      </c>
      <c r="CR247">
        <v>2.47257741267165</v>
      </c>
      <c r="CS247">
        <v>-2.7917071384815002</v>
      </c>
      <c r="CT247">
        <v>-3.1781274933299999</v>
      </c>
      <c r="CU247">
        <v>-2.7148383493323398</v>
      </c>
      <c r="CV247">
        <v>2.2758744494857299</v>
      </c>
      <c r="CW247">
        <v>-2.6856477786483999</v>
      </c>
      <c r="CX247" t="s">
        <v>1827</v>
      </c>
    </row>
    <row r="248" spans="1:102" x14ac:dyDescent="0.35">
      <c r="A248" t="s">
        <v>1789</v>
      </c>
      <c r="B248" t="s">
        <v>148</v>
      </c>
      <c r="C248" t="s">
        <v>1790</v>
      </c>
      <c r="D248" t="s">
        <v>72</v>
      </c>
      <c r="E248" t="s">
        <v>72</v>
      </c>
      <c r="F248" t="s">
        <v>72</v>
      </c>
      <c r="G248" t="s">
        <v>73</v>
      </c>
      <c r="H248" t="s">
        <v>74</v>
      </c>
      <c r="I248" t="s">
        <v>75</v>
      </c>
      <c r="J248" t="s">
        <v>76</v>
      </c>
      <c r="K248" t="s">
        <v>77</v>
      </c>
      <c r="L248" t="s">
        <v>78</v>
      </c>
      <c r="M248" t="s">
        <v>79</v>
      </c>
      <c r="N248">
        <v>60</v>
      </c>
      <c r="O248" t="s">
        <v>80</v>
      </c>
      <c r="P248">
        <v>792</v>
      </c>
      <c r="Q248">
        <v>0.75</v>
      </c>
      <c r="R248">
        <v>177</v>
      </c>
      <c r="S248">
        <v>0.85419999999999996</v>
      </c>
      <c r="T248" t="s">
        <v>81</v>
      </c>
      <c r="U248" t="s">
        <v>82</v>
      </c>
      <c r="V248" t="s">
        <v>83</v>
      </c>
      <c r="W248" t="s">
        <v>84</v>
      </c>
      <c r="X248" t="s">
        <v>85</v>
      </c>
      <c r="Y248" t="s">
        <v>86</v>
      </c>
      <c r="Z248" t="s">
        <v>87</v>
      </c>
      <c r="AA248" t="s">
        <v>88</v>
      </c>
      <c r="AB248">
        <v>3007</v>
      </c>
      <c r="AC248">
        <v>31</v>
      </c>
      <c r="AE248">
        <v>22</v>
      </c>
      <c r="AF248" t="s">
        <v>153</v>
      </c>
      <c r="AG248" t="s">
        <v>1791</v>
      </c>
      <c r="AH248" t="s">
        <v>72</v>
      </c>
      <c r="AI248" t="s">
        <v>72</v>
      </c>
      <c r="AJ248" t="s">
        <v>72</v>
      </c>
      <c r="AK248" t="s">
        <v>92</v>
      </c>
      <c r="AL248" t="s">
        <v>93</v>
      </c>
      <c r="AM248" t="s">
        <v>94</v>
      </c>
      <c r="AN248" t="s">
        <v>1376</v>
      </c>
      <c r="AO248" t="s">
        <v>1377</v>
      </c>
      <c r="AP248" t="s">
        <v>97</v>
      </c>
      <c r="AQ248">
        <v>39</v>
      </c>
      <c r="AR248" t="s">
        <v>80</v>
      </c>
      <c r="AS248">
        <v>1329</v>
      </c>
      <c r="AT248">
        <v>0.96809999999999996</v>
      </c>
      <c r="AU248">
        <v>172</v>
      </c>
      <c r="AV248">
        <v>0.94740000000000002</v>
      </c>
      <c r="AW248" t="s">
        <v>98</v>
      </c>
      <c r="AX248" t="s">
        <v>183</v>
      </c>
      <c r="AY248" t="s">
        <v>1239</v>
      </c>
      <c r="AZ248" t="s">
        <v>101</v>
      </c>
      <c r="BA248" t="s">
        <v>1378</v>
      </c>
      <c r="BB248" t="s">
        <v>186</v>
      </c>
      <c r="BC248" t="s">
        <v>104</v>
      </c>
      <c r="BD248" t="s">
        <v>105</v>
      </c>
      <c r="BE248">
        <v>1053</v>
      </c>
      <c r="BF248" t="s">
        <v>106</v>
      </c>
      <c r="BG248">
        <v>11</v>
      </c>
      <c r="BH248" t="s">
        <v>80</v>
      </c>
      <c r="BI248">
        <v>1</v>
      </c>
      <c r="BJ248">
        <v>8278</v>
      </c>
      <c r="BK248">
        <v>8</v>
      </c>
      <c r="BL248">
        <v>66</v>
      </c>
      <c r="BM248">
        <v>24</v>
      </c>
      <c r="BN248">
        <v>28</v>
      </c>
      <c r="BO248">
        <v>49</v>
      </c>
      <c r="BP248">
        <v>45</v>
      </c>
      <c r="BQ248" s="2">
        <v>16</v>
      </c>
      <c r="BR248">
        <f t="shared" si="51"/>
        <v>8279</v>
      </c>
      <c r="BS248">
        <f t="shared" si="52"/>
        <v>9</v>
      </c>
      <c r="BT248">
        <f t="shared" si="53"/>
        <v>67</v>
      </c>
      <c r="BU248">
        <f t="shared" si="54"/>
        <v>25</v>
      </c>
      <c r="BV248">
        <f t="shared" si="55"/>
        <v>29</v>
      </c>
      <c r="BW248">
        <f t="shared" si="56"/>
        <v>50</v>
      </c>
      <c r="BX248">
        <f t="shared" si="57"/>
        <v>46</v>
      </c>
      <c r="BY248" s="2">
        <f t="shared" si="58"/>
        <v>17</v>
      </c>
      <c r="BZ248">
        <f t="shared" si="59"/>
        <v>58.72881593011509</v>
      </c>
      <c r="CA248">
        <v>58.72881593011509</v>
      </c>
      <c r="CB248">
        <v>58.72881593011509</v>
      </c>
      <c r="CC248">
        <v>58.72881593011509</v>
      </c>
      <c r="CD248">
        <v>58.72881593011509</v>
      </c>
      <c r="CE248">
        <v>58.72881593011509</v>
      </c>
      <c r="CF248">
        <v>58.72881593011509</v>
      </c>
      <c r="CG248">
        <v>58.72881593011509</v>
      </c>
      <c r="CH248">
        <f t="shared" si="60"/>
        <v>2.1491266377554181</v>
      </c>
      <c r="CI248">
        <f t="shared" si="61"/>
        <v>-0.81460873539816514</v>
      </c>
      <c r="CJ248">
        <f t="shared" si="62"/>
        <v>5.7223557863336438E-2</v>
      </c>
      <c r="CK248">
        <f t="shared" si="63"/>
        <v>-0.37091123616545235</v>
      </c>
      <c r="CL248">
        <f t="shared" si="64"/>
        <v>-0.30645324693853393</v>
      </c>
      <c r="CM248">
        <f t="shared" si="65"/>
        <v>-6.9881240501471167E-2</v>
      </c>
      <c r="CN248">
        <f t="shared" si="66"/>
        <v>-0.10609341315591593</v>
      </c>
      <c r="CO248" s="2">
        <f t="shared" si="67"/>
        <v>-0.53840232345921601</v>
      </c>
      <c r="CP248">
        <v>1.9050019296803999</v>
      </c>
      <c r="CQ248">
        <v>2.39279667642182</v>
      </c>
      <c r="CR248">
        <v>2.7508126649079898</v>
      </c>
      <c r="CS248">
        <v>-2.7382466634962399</v>
      </c>
      <c r="CT248">
        <v>-2.7404439951370501</v>
      </c>
      <c r="CU248">
        <v>-2.6289960675834099</v>
      </c>
      <c r="CV248">
        <v>2.3917397776279299</v>
      </c>
      <c r="CW248">
        <v>-2.9631761676499</v>
      </c>
      <c r="CX248" t="s">
        <v>1827</v>
      </c>
    </row>
    <row r="249" spans="1:102" x14ac:dyDescent="0.35">
      <c r="A249" t="s">
        <v>1220</v>
      </c>
      <c r="B249" t="s">
        <v>211</v>
      </c>
      <c r="C249" t="s">
        <v>444</v>
      </c>
      <c r="D249" t="s">
        <v>72</v>
      </c>
      <c r="E249" t="s">
        <v>72</v>
      </c>
      <c r="F249" t="s">
        <v>72</v>
      </c>
      <c r="G249" t="s">
        <v>73</v>
      </c>
      <c r="H249" t="s">
        <v>74</v>
      </c>
      <c r="I249" t="s">
        <v>75</v>
      </c>
      <c r="J249" t="s">
        <v>76</v>
      </c>
      <c r="K249" t="s">
        <v>77</v>
      </c>
      <c r="L249" t="s">
        <v>78</v>
      </c>
      <c r="M249" t="s">
        <v>79</v>
      </c>
      <c r="N249">
        <v>60</v>
      </c>
      <c r="O249" t="s">
        <v>80</v>
      </c>
      <c r="P249">
        <v>792</v>
      </c>
      <c r="Q249">
        <v>0.75</v>
      </c>
      <c r="R249">
        <v>177</v>
      </c>
      <c r="S249">
        <v>0.85419999999999996</v>
      </c>
      <c r="T249" t="s">
        <v>81</v>
      </c>
      <c r="U249" t="s">
        <v>82</v>
      </c>
      <c r="V249" t="s">
        <v>83</v>
      </c>
      <c r="W249" t="s">
        <v>84</v>
      </c>
      <c r="X249" t="s">
        <v>85</v>
      </c>
      <c r="Y249" t="s">
        <v>86</v>
      </c>
      <c r="Z249" t="s">
        <v>87</v>
      </c>
      <c r="AA249" t="s">
        <v>88</v>
      </c>
      <c r="AB249">
        <v>962</v>
      </c>
      <c r="AC249">
        <v>15</v>
      </c>
      <c r="AE249">
        <v>22</v>
      </c>
      <c r="AF249" t="s">
        <v>159</v>
      </c>
      <c r="AG249" t="s">
        <v>1221</v>
      </c>
      <c r="AH249" t="s">
        <v>72</v>
      </c>
      <c r="AI249" t="s">
        <v>72</v>
      </c>
      <c r="AJ249" t="s">
        <v>91</v>
      </c>
      <c r="AK249" t="s">
        <v>92</v>
      </c>
      <c r="AL249" t="s">
        <v>93</v>
      </c>
      <c r="AM249" t="s">
        <v>94</v>
      </c>
      <c r="AN249" t="s">
        <v>1222</v>
      </c>
      <c r="AO249" t="s">
        <v>1223</v>
      </c>
      <c r="AP249" t="s">
        <v>1224</v>
      </c>
      <c r="AQ249">
        <v>39</v>
      </c>
      <c r="AR249" t="s">
        <v>80</v>
      </c>
      <c r="AS249">
        <v>1350</v>
      </c>
      <c r="AT249">
        <v>0.96530000000000005</v>
      </c>
      <c r="AU249">
        <v>154</v>
      </c>
      <c r="AV249">
        <v>0.89470000000000005</v>
      </c>
      <c r="AW249" t="s">
        <v>1225</v>
      </c>
      <c r="AX249" t="s">
        <v>183</v>
      </c>
      <c r="AY249" t="s">
        <v>1226</v>
      </c>
      <c r="AZ249" t="s">
        <v>101</v>
      </c>
      <c r="BA249" t="s">
        <v>253</v>
      </c>
      <c r="BB249" t="s">
        <v>186</v>
      </c>
      <c r="BC249" t="s">
        <v>1227</v>
      </c>
      <c r="BD249" t="s">
        <v>105</v>
      </c>
      <c r="BE249">
        <v>1270</v>
      </c>
      <c r="BF249" t="s">
        <v>1228</v>
      </c>
      <c r="BG249">
        <v>15</v>
      </c>
      <c r="BH249" t="s">
        <v>80</v>
      </c>
      <c r="BI249">
        <v>1</v>
      </c>
      <c r="BJ249">
        <v>3475</v>
      </c>
      <c r="BK249">
        <v>0</v>
      </c>
      <c r="BL249">
        <v>27</v>
      </c>
      <c r="BM249">
        <v>17</v>
      </c>
      <c r="BN249">
        <v>19</v>
      </c>
      <c r="BO249">
        <v>20</v>
      </c>
      <c r="BP249">
        <v>12</v>
      </c>
      <c r="BQ249" s="2">
        <v>18</v>
      </c>
      <c r="BR249">
        <f t="shared" si="51"/>
        <v>3476</v>
      </c>
      <c r="BS249">
        <f t="shared" si="52"/>
        <v>1</v>
      </c>
      <c r="BT249">
        <f t="shared" si="53"/>
        <v>28</v>
      </c>
      <c r="BU249">
        <f t="shared" si="54"/>
        <v>18</v>
      </c>
      <c r="BV249">
        <f t="shared" si="55"/>
        <v>20</v>
      </c>
      <c r="BW249">
        <f t="shared" si="56"/>
        <v>21</v>
      </c>
      <c r="BX249">
        <f t="shared" si="57"/>
        <v>13</v>
      </c>
      <c r="BY249" s="2">
        <f t="shared" si="58"/>
        <v>19</v>
      </c>
      <c r="BZ249">
        <f t="shared" si="59"/>
        <v>25.552421836917048</v>
      </c>
      <c r="CA249">
        <v>25.552421836917048</v>
      </c>
      <c r="CB249">
        <v>25.552421836917048</v>
      </c>
      <c r="CC249">
        <v>25.552421836917048</v>
      </c>
      <c r="CD249">
        <v>25.552421836917048</v>
      </c>
      <c r="CE249">
        <v>25.552421836917048</v>
      </c>
      <c r="CF249">
        <v>25.552421836917048</v>
      </c>
      <c r="CG249">
        <v>25.552421836917048</v>
      </c>
      <c r="CH249">
        <f t="shared" si="60"/>
        <v>2.133647699291664</v>
      </c>
      <c r="CI249">
        <f t="shared" si="61"/>
        <v>-1.407432068484965</v>
      </c>
      <c r="CJ249">
        <f t="shared" si="62"/>
        <v>3.9725962857254209E-2</v>
      </c>
      <c r="CK249">
        <f t="shared" si="63"/>
        <v>-0.15215956338165895</v>
      </c>
      <c r="CL249">
        <f t="shared" si="64"/>
        <v>-0.10640207282098386</v>
      </c>
      <c r="CM249">
        <f t="shared" si="65"/>
        <v>-8.5212773751045773E-2</v>
      </c>
      <c r="CN249">
        <f t="shared" si="66"/>
        <v>-0.29348871617812827</v>
      </c>
      <c r="CO249" s="2">
        <f t="shared" si="67"/>
        <v>-0.1286784675321361</v>
      </c>
      <c r="CP249">
        <v>1.8864050323057799</v>
      </c>
      <c r="CQ249">
        <v>-2.2527165794045199</v>
      </c>
      <c r="CR249">
        <v>2.67263555423781</v>
      </c>
      <c r="CS249">
        <v>-2.09370581825157</v>
      </c>
      <c r="CT249">
        <v>-2.1835785213044501</v>
      </c>
      <c r="CU249">
        <v>-2.6732703768872201</v>
      </c>
      <c r="CV249">
        <v>1.8891504861121999</v>
      </c>
      <c r="CW249">
        <v>-1.8378067527525599</v>
      </c>
      <c r="CX249" t="s">
        <v>1827</v>
      </c>
    </row>
    <row r="250" spans="1:102" x14ac:dyDescent="0.35">
      <c r="A250" t="s">
        <v>1085</v>
      </c>
      <c r="B250" t="s">
        <v>178</v>
      </c>
      <c r="C250" t="s">
        <v>1086</v>
      </c>
      <c r="D250" t="s">
        <v>72</v>
      </c>
      <c r="E250" t="s">
        <v>72</v>
      </c>
      <c r="F250" t="s">
        <v>72</v>
      </c>
      <c r="G250" t="s">
        <v>73</v>
      </c>
      <c r="H250" t="s">
        <v>74</v>
      </c>
      <c r="I250" t="s">
        <v>75</v>
      </c>
      <c r="J250" t="s">
        <v>76</v>
      </c>
      <c r="K250" t="s">
        <v>77</v>
      </c>
      <c r="L250" t="s">
        <v>78</v>
      </c>
      <c r="M250" t="s">
        <v>79</v>
      </c>
      <c r="N250">
        <v>60</v>
      </c>
      <c r="O250" t="s">
        <v>80</v>
      </c>
      <c r="P250">
        <v>792</v>
      </c>
      <c r="Q250">
        <v>0.75</v>
      </c>
      <c r="R250">
        <v>177</v>
      </c>
      <c r="S250">
        <v>0.85419999999999996</v>
      </c>
      <c r="T250" t="s">
        <v>81</v>
      </c>
      <c r="U250" t="s">
        <v>82</v>
      </c>
      <c r="V250" t="s">
        <v>83</v>
      </c>
      <c r="W250" t="s">
        <v>84</v>
      </c>
      <c r="X250" t="s">
        <v>85</v>
      </c>
      <c r="Y250" t="s">
        <v>86</v>
      </c>
      <c r="Z250" t="s">
        <v>87</v>
      </c>
      <c r="AA250" t="s">
        <v>88</v>
      </c>
      <c r="AB250">
        <v>465</v>
      </c>
      <c r="AC250">
        <v>17</v>
      </c>
      <c r="AE250">
        <v>22</v>
      </c>
      <c r="AF250" t="s">
        <v>89</v>
      </c>
      <c r="AG250" t="s">
        <v>1087</v>
      </c>
      <c r="AH250" t="s">
        <v>72</v>
      </c>
      <c r="AI250" t="s">
        <v>72</v>
      </c>
      <c r="AJ250" t="s">
        <v>91</v>
      </c>
      <c r="AK250" t="s">
        <v>92</v>
      </c>
      <c r="AL250" t="s">
        <v>93</v>
      </c>
      <c r="AM250" t="s">
        <v>94</v>
      </c>
      <c r="AN250" t="s">
        <v>1088</v>
      </c>
      <c r="AO250" t="s">
        <v>1089</v>
      </c>
      <c r="AP250" t="s">
        <v>1090</v>
      </c>
      <c r="AQ250">
        <v>39</v>
      </c>
      <c r="AR250" t="s">
        <v>80</v>
      </c>
      <c r="AS250">
        <v>1359</v>
      </c>
      <c r="AT250">
        <v>0.96879999999999999</v>
      </c>
      <c r="AU250">
        <v>172</v>
      </c>
      <c r="AV250">
        <v>0.94740000000000002</v>
      </c>
      <c r="AW250" t="s">
        <v>98</v>
      </c>
      <c r="AX250" t="s">
        <v>1091</v>
      </c>
      <c r="AY250" t="s">
        <v>1092</v>
      </c>
      <c r="AZ250" t="s">
        <v>101</v>
      </c>
      <c r="BA250" t="s">
        <v>102</v>
      </c>
      <c r="BB250" t="s">
        <v>103</v>
      </c>
      <c r="BC250" t="s">
        <v>1093</v>
      </c>
      <c r="BD250" t="s">
        <v>105</v>
      </c>
      <c r="BE250">
        <v>80849</v>
      </c>
      <c r="BF250" t="s">
        <v>516</v>
      </c>
      <c r="BG250">
        <v>1018</v>
      </c>
      <c r="BH250" t="s">
        <v>80</v>
      </c>
      <c r="BI250">
        <v>1</v>
      </c>
      <c r="BJ250">
        <v>7594</v>
      </c>
      <c r="BK250">
        <v>6</v>
      </c>
      <c r="BL250">
        <v>41</v>
      </c>
      <c r="BM250">
        <v>32</v>
      </c>
      <c r="BN250">
        <v>24</v>
      </c>
      <c r="BO250">
        <v>61</v>
      </c>
      <c r="BP250">
        <v>27</v>
      </c>
      <c r="BQ250" s="2">
        <v>29</v>
      </c>
      <c r="BR250">
        <f t="shared" si="51"/>
        <v>7595</v>
      </c>
      <c r="BS250">
        <f t="shared" si="52"/>
        <v>7</v>
      </c>
      <c r="BT250">
        <f t="shared" si="53"/>
        <v>42</v>
      </c>
      <c r="BU250">
        <f t="shared" si="54"/>
        <v>33</v>
      </c>
      <c r="BV250">
        <f t="shared" si="55"/>
        <v>25</v>
      </c>
      <c r="BW250">
        <f t="shared" si="56"/>
        <v>62</v>
      </c>
      <c r="BX250">
        <f t="shared" si="57"/>
        <v>28</v>
      </c>
      <c r="BY250" s="2">
        <f t="shared" si="58"/>
        <v>30</v>
      </c>
      <c r="BZ250">
        <f t="shared" si="59"/>
        <v>55.943547711183832</v>
      </c>
      <c r="CA250">
        <v>55.943547711183832</v>
      </c>
      <c r="CB250">
        <v>55.943547711183832</v>
      </c>
      <c r="CC250">
        <v>55.943547711183832</v>
      </c>
      <c r="CD250">
        <v>55.943547711183832</v>
      </c>
      <c r="CE250">
        <v>55.943547711183832</v>
      </c>
      <c r="CF250">
        <v>55.943547711183832</v>
      </c>
      <c r="CG250">
        <v>55.943547711183832</v>
      </c>
      <c r="CH250">
        <f t="shared" si="60"/>
        <v>2.1327777741086771</v>
      </c>
      <c r="CI250">
        <f t="shared" si="61"/>
        <v>-0.90265196407587112</v>
      </c>
      <c r="CJ250">
        <f t="shared" si="62"/>
        <v>-0.12450071369222747</v>
      </c>
      <c r="CK250">
        <f t="shared" si="63"/>
        <v>-0.22923606421224046</v>
      </c>
      <c r="CL250">
        <f t="shared" si="64"/>
        <v>-0.34980999541809032</v>
      </c>
      <c r="CM250">
        <f t="shared" si="65"/>
        <v>4.4641685408125971E-2</v>
      </c>
      <c r="CN250">
        <f t="shared" si="66"/>
        <v>-0.30059197274790872</v>
      </c>
      <c r="CO250" s="2">
        <f t="shared" si="67"/>
        <v>-0.27062874937046544</v>
      </c>
      <c r="CP250">
        <v>1.8853598760510699</v>
      </c>
      <c r="CQ250">
        <v>2.1326989749161198</v>
      </c>
      <c r="CR250">
        <v>1.9388908845764901</v>
      </c>
      <c r="CS250">
        <v>-2.32080786671429</v>
      </c>
      <c r="CT250">
        <v>-2.8611324959289601</v>
      </c>
      <c r="CU250">
        <v>-2.29827745245474</v>
      </c>
      <c r="CV250">
        <v>1.8700997381516899</v>
      </c>
      <c r="CW250">
        <v>-2.2276949745536898</v>
      </c>
      <c r="CX250" t="s">
        <v>1827</v>
      </c>
    </row>
    <row r="251" spans="1:102" x14ac:dyDescent="0.35">
      <c r="A251" t="s">
        <v>934</v>
      </c>
      <c r="B251" t="s">
        <v>70</v>
      </c>
      <c r="C251" t="s">
        <v>935</v>
      </c>
      <c r="D251" t="s">
        <v>72</v>
      </c>
      <c r="E251" t="s">
        <v>72</v>
      </c>
      <c r="F251" t="s">
        <v>72</v>
      </c>
      <c r="G251" t="s">
        <v>73</v>
      </c>
      <c r="H251" t="s">
        <v>74</v>
      </c>
      <c r="I251" t="s">
        <v>75</v>
      </c>
      <c r="J251" t="s">
        <v>76</v>
      </c>
      <c r="K251" t="s">
        <v>77</v>
      </c>
      <c r="L251" t="s">
        <v>78</v>
      </c>
      <c r="M251" t="s">
        <v>79</v>
      </c>
      <c r="N251">
        <v>60</v>
      </c>
      <c r="O251" t="s">
        <v>80</v>
      </c>
      <c r="P251">
        <v>792</v>
      </c>
      <c r="Q251">
        <v>0.75</v>
      </c>
      <c r="R251">
        <v>177</v>
      </c>
      <c r="S251">
        <v>0.85419999999999996</v>
      </c>
      <c r="T251" t="s">
        <v>81</v>
      </c>
      <c r="U251" t="s">
        <v>82</v>
      </c>
      <c r="V251" t="s">
        <v>83</v>
      </c>
      <c r="W251" t="s">
        <v>84</v>
      </c>
      <c r="X251" t="s">
        <v>85</v>
      </c>
      <c r="Y251" t="s">
        <v>86</v>
      </c>
      <c r="Z251" t="s">
        <v>87</v>
      </c>
      <c r="AA251" t="s">
        <v>88</v>
      </c>
      <c r="AB251">
        <v>2335</v>
      </c>
      <c r="AC251">
        <v>25</v>
      </c>
      <c r="AE251">
        <v>22</v>
      </c>
      <c r="AF251" t="s">
        <v>89</v>
      </c>
      <c r="AG251" t="s">
        <v>936</v>
      </c>
      <c r="AH251" t="s">
        <v>72</v>
      </c>
      <c r="AI251" t="s">
        <v>72</v>
      </c>
      <c r="AJ251" t="s">
        <v>91</v>
      </c>
      <c r="AK251" t="s">
        <v>92</v>
      </c>
      <c r="AL251" t="s">
        <v>93</v>
      </c>
      <c r="AM251" t="s">
        <v>94</v>
      </c>
      <c r="AN251" t="s">
        <v>937</v>
      </c>
      <c r="AO251" t="s">
        <v>938</v>
      </c>
      <c r="AP251" t="s">
        <v>97</v>
      </c>
      <c r="AQ251">
        <v>39</v>
      </c>
      <c r="AR251" t="s">
        <v>80</v>
      </c>
      <c r="AS251">
        <v>1350</v>
      </c>
      <c r="AT251">
        <v>0.96530000000000005</v>
      </c>
      <c r="AU251">
        <v>172</v>
      </c>
      <c r="AV251">
        <v>0.94740000000000002</v>
      </c>
      <c r="AW251" t="s">
        <v>939</v>
      </c>
      <c r="AX251" t="s">
        <v>146</v>
      </c>
      <c r="AY251" t="s">
        <v>940</v>
      </c>
      <c r="AZ251" t="s">
        <v>101</v>
      </c>
      <c r="BA251" t="s">
        <v>102</v>
      </c>
      <c r="BB251" t="s">
        <v>103</v>
      </c>
      <c r="BC251" t="s">
        <v>104</v>
      </c>
      <c r="BD251" t="s">
        <v>105</v>
      </c>
      <c r="BE251">
        <v>43141</v>
      </c>
      <c r="BF251" t="s">
        <v>106</v>
      </c>
      <c r="BG251">
        <v>500</v>
      </c>
      <c r="BH251" t="s">
        <v>80</v>
      </c>
      <c r="BI251">
        <v>1</v>
      </c>
      <c r="BJ251">
        <v>4853</v>
      </c>
      <c r="BK251">
        <v>0</v>
      </c>
      <c r="BL251">
        <v>29</v>
      </c>
      <c r="BM251">
        <v>19</v>
      </c>
      <c r="BN251">
        <v>39</v>
      </c>
      <c r="BO251">
        <v>43</v>
      </c>
      <c r="BP251">
        <v>34</v>
      </c>
      <c r="BQ251" s="2">
        <v>14</v>
      </c>
      <c r="BR251">
        <f t="shared" si="51"/>
        <v>4854</v>
      </c>
      <c r="BS251">
        <f t="shared" si="52"/>
        <v>1</v>
      </c>
      <c r="BT251">
        <f t="shared" si="53"/>
        <v>30</v>
      </c>
      <c r="BU251">
        <f t="shared" si="54"/>
        <v>20</v>
      </c>
      <c r="BV251">
        <f t="shared" si="55"/>
        <v>40</v>
      </c>
      <c r="BW251">
        <f t="shared" si="56"/>
        <v>44</v>
      </c>
      <c r="BX251">
        <f t="shared" si="57"/>
        <v>35</v>
      </c>
      <c r="BY251" s="2">
        <f t="shared" si="58"/>
        <v>15</v>
      </c>
      <c r="BZ251">
        <f t="shared" si="59"/>
        <v>35.788242726865796</v>
      </c>
      <c r="CA251">
        <v>35.788242726865796</v>
      </c>
      <c r="CB251">
        <v>35.788242726865796</v>
      </c>
      <c r="CC251">
        <v>35.788242726865796</v>
      </c>
      <c r="CD251">
        <v>35.788242726865796</v>
      </c>
      <c r="CE251">
        <v>35.788242726865796</v>
      </c>
      <c r="CF251">
        <v>35.788242726865796</v>
      </c>
      <c r="CG251">
        <v>35.788242726865796</v>
      </c>
      <c r="CH251">
        <f t="shared" si="60"/>
        <v>2.1323593977959576</v>
      </c>
      <c r="CI251">
        <f t="shared" si="61"/>
        <v>-1.5537403741999583</v>
      </c>
      <c r="CJ251">
        <f t="shared" si="62"/>
        <v>-7.6619119480295844E-2</v>
      </c>
      <c r="CK251">
        <f t="shared" si="63"/>
        <v>-0.25271037853597705</v>
      </c>
      <c r="CL251">
        <f t="shared" si="64"/>
        <v>4.8319617128004165E-2</v>
      </c>
      <c r="CM251">
        <f t="shared" si="65"/>
        <v>8.9712302286229145E-2</v>
      </c>
      <c r="CN251">
        <f t="shared" si="66"/>
        <v>-9.6723298496826354E-3</v>
      </c>
      <c r="CO251" s="2">
        <f t="shared" si="67"/>
        <v>-0.37764911514427701</v>
      </c>
      <c r="CP251">
        <v>1.88485722521556</v>
      </c>
      <c r="CQ251">
        <v>-2.2527165794045199</v>
      </c>
      <c r="CR251">
        <v>2.1528199810305999</v>
      </c>
      <c r="CS251">
        <v>-2.3899737578968199</v>
      </c>
      <c r="CT251">
        <v>-1.75289288516319</v>
      </c>
      <c r="CU251">
        <v>-2.1681227967075798</v>
      </c>
      <c r="CV251">
        <v>2.6503385960855899</v>
      </c>
      <c r="CW251">
        <v>-2.52164282423518</v>
      </c>
      <c r="CX251" t="s">
        <v>1827</v>
      </c>
    </row>
    <row r="252" spans="1:102" x14ac:dyDescent="0.35">
      <c r="A252" t="s">
        <v>1306</v>
      </c>
      <c r="B252" t="s">
        <v>70</v>
      </c>
      <c r="C252" t="s">
        <v>1307</v>
      </c>
      <c r="D252" t="s">
        <v>72</v>
      </c>
      <c r="E252" t="s">
        <v>72</v>
      </c>
      <c r="F252" t="s">
        <v>72</v>
      </c>
      <c r="G252" t="s">
        <v>73</v>
      </c>
      <c r="H252" t="s">
        <v>74</v>
      </c>
      <c r="I252" t="s">
        <v>75</v>
      </c>
      <c r="J252" t="s">
        <v>76</v>
      </c>
      <c r="K252" t="s">
        <v>77</v>
      </c>
      <c r="L252" t="s">
        <v>78</v>
      </c>
      <c r="M252" t="s">
        <v>79</v>
      </c>
      <c r="N252">
        <v>60</v>
      </c>
      <c r="O252" t="s">
        <v>80</v>
      </c>
      <c r="P252">
        <v>792</v>
      </c>
      <c r="Q252">
        <v>0.75</v>
      </c>
      <c r="R252">
        <v>177</v>
      </c>
      <c r="S252">
        <v>0.85419999999999996</v>
      </c>
      <c r="T252" t="s">
        <v>81</v>
      </c>
      <c r="U252" t="s">
        <v>82</v>
      </c>
      <c r="V252" t="s">
        <v>83</v>
      </c>
      <c r="W252" t="s">
        <v>84</v>
      </c>
      <c r="X252" t="s">
        <v>85</v>
      </c>
      <c r="Y252" t="s">
        <v>86</v>
      </c>
      <c r="Z252" t="s">
        <v>87</v>
      </c>
      <c r="AA252" t="s">
        <v>88</v>
      </c>
      <c r="AB252">
        <v>558</v>
      </c>
      <c r="AC252">
        <v>11</v>
      </c>
      <c r="AE252">
        <v>22</v>
      </c>
      <c r="AF252" t="s">
        <v>89</v>
      </c>
      <c r="AG252" t="s">
        <v>1308</v>
      </c>
      <c r="AH252" t="s">
        <v>72</v>
      </c>
      <c r="AI252" t="s">
        <v>72</v>
      </c>
      <c r="AJ252" t="s">
        <v>91</v>
      </c>
      <c r="AK252" t="s">
        <v>92</v>
      </c>
      <c r="AL252" t="s">
        <v>93</v>
      </c>
      <c r="AM252" t="s">
        <v>94</v>
      </c>
      <c r="AN252" t="s">
        <v>1309</v>
      </c>
      <c r="AO252" t="s">
        <v>1310</v>
      </c>
      <c r="AP252" t="s">
        <v>513</v>
      </c>
      <c r="AQ252">
        <v>39</v>
      </c>
      <c r="AR252" t="s">
        <v>80</v>
      </c>
      <c r="AS252">
        <v>1368</v>
      </c>
      <c r="AT252">
        <v>0.97219999999999995</v>
      </c>
      <c r="AU252">
        <v>172</v>
      </c>
      <c r="AV252">
        <v>0.94740000000000002</v>
      </c>
      <c r="AW252" t="s">
        <v>98</v>
      </c>
      <c r="AX252" t="s">
        <v>338</v>
      </c>
      <c r="AY252" t="s">
        <v>100</v>
      </c>
      <c r="AZ252" t="s">
        <v>101</v>
      </c>
      <c r="BA252" t="s">
        <v>953</v>
      </c>
      <c r="BB252" t="s">
        <v>103</v>
      </c>
      <c r="BC252" t="s">
        <v>515</v>
      </c>
      <c r="BD252" t="s">
        <v>105</v>
      </c>
      <c r="BE252">
        <v>110152</v>
      </c>
      <c r="BF252" t="s">
        <v>516</v>
      </c>
      <c r="BG252">
        <v>1392</v>
      </c>
      <c r="BH252" t="s">
        <v>80</v>
      </c>
      <c r="BI252">
        <v>1</v>
      </c>
      <c r="BJ252">
        <v>6776</v>
      </c>
      <c r="BK252">
        <v>4</v>
      </c>
      <c r="BL252">
        <v>44</v>
      </c>
      <c r="BM252">
        <v>29</v>
      </c>
      <c r="BN252">
        <v>25</v>
      </c>
      <c r="BO252">
        <v>51</v>
      </c>
      <c r="BP252">
        <v>21</v>
      </c>
      <c r="BQ252" s="2">
        <v>29</v>
      </c>
      <c r="BR252">
        <f t="shared" si="51"/>
        <v>6777</v>
      </c>
      <c r="BS252">
        <f t="shared" si="52"/>
        <v>5</v>
      </c>
      <c r="BT252">
        <f t="shared" si="53"/>
        <v>45</v>
      </c>
      <c r="BU252">
        <f t="shared" si="54"/>
        <v>30</v>
      </c>
      <c r="BV252">
        <f t="shared" si="55"/>
        <v>26</v>
      </c>
      <c r="BW252">
        <f t="shared" si="56"/>
        <v>52</v>
      </c>
      <c r="BX252">
        <f t="shared" si="57"/>
        <v>22</v>
      </c>
      <c r="BY252" s="2">
        <f t="shared" si="58"/>
        <v>30</v>
      </c>
      <c r="BZ252">
        <f t="shared" si="59"/>
        <v>50.275654806956751</v>
      </c>
      <c r="CA252">
        <v>50.275654806956751</v>
      </c>
      <c r="CB252">
        <v>50.275654806956751</v>
      </c>
      <c r="CC252">
        <v>50.275654806956751</v>
      </c>
      <c r="CD252">
        <v>50.275654806956751</v>
      </c>
      <c r="CE252">
        <v>50.275654806956751</v>
      </c>
      <c r="CF252">
        <v>50.275654806956751</v>
      </c>
      <c r="CG252">
        <v>50.275654806956751</v>
      </c>
      <c r="CH252">
        <f t="shared" si="60"/>
        <v>2.1296797499377083</v>
      </c>
      <c r="CI252">
        <f t="shared" si="61"/>
        <v>-1.0023877313662981</v>
      </c>
      <c r="CJ252">
        <f t="shared" si="62"/>
        <v>-4.8145221926973382E-2</v>
      </c>
      <c r="CK252">
        <f t="shared" si="63"/>
        <v>-0.22423648098265458</v>
      </c>
      <c r="CL252">
        <f t="shared" si="64"/>
        <v>-0.2863843877314991</v>
      </c>
      <c r="CM252">
        <f t="shared" si="65"/>
        <v>1.4645607932482096E-2</v>
      </c>
      <c r="CN252">
        <f t="shared" si="66"/>
        <v>-0.35893505488011079</v>
      </c>
      <c r="CO252" s="2">
        <f t="shared" si="67"/>
        <v>-0.22423648098265458</v>
      </c>
      <c r="CP252">
        <v>1.8816378095988699</v>
      </c>
      <c r="CQ252">
        <v>1.8380591233369801</v>
      </c>
      <c r="CR252">
        <v>2.2800378666579499</v>
      </c>
      <c r="CS252">
        <v>-2.3060768451881</v>
      </c>
      <c r="CT252">
        <v>-2.6845800151284198</v>
      </c>
      <c r="CU252">
        <v>-2.3848999441807002</v>
      </c>
      <c r="CV252">
        <v>1.71362512090799</v>
      </c>
      <c r="CW252">
        <v>-2.1002714936503901</v>
      </c>
      <c r="CX252" t="s">
        <v>1827</v>
      </c>
    </row>
    <row r="253" spans="1:102" x14ac:dyDescent="0.35">
      <c r="A253" t="s">
        <v>1734</v>
      </c>
      <c r="B253" t="s">
        <v>231</v>
      </c>
      <c r="C253" t="s">
        <v>1277</v>
      </c>
      <c r="D253" t="s">
        <v>72</v>
      </c>
      <c r="E253" t="s">
        <v>72</v>
      </c>
      <c r="F253" t="s">
        <v>72</v>
      </c>
      <c r="G253" t="s">
        <v>73</v>
      </c>
      <c r="H253" t="s">
        <v>74</v>
      </c>
      <c r="I253" t="s">
        <v>75</v>
      </c>
      <c r="J253" t="s">
        <v>76</v>
      </c>
      <c r="K253" t="s">
        <v>77</v>
      </c>
      <c r="L253" t="s">
        <v>78</v>
      </c>
      <c r="M253" t="s">
        <v>79</v>
      </c>
      <c r="N253">
        <v>60</v>
      </c>
      <c r="O253" t="s">
        <v>80</v>
      </c>
      <c r="P253">
        <v>792</v>
      </c>
      <c r="Q253">
        <v>0.75</v>
      </c>
      <c r="R253">
        <v>177</v>
      </c>
      <c r="S253">
        <v>0.85419999999999996</v>
      </c>
      <c r="T253" t="s">
        <v>81</v>
      </c>
      <c r="U253" t="s">
        <v>82</v>
      </c>
      <c r="V253" t="s">
        <v>83</v>
      </c>
      <c r="W253" t="s">
        <v>84</v>
      </c>
      <c r="X253" t="s">
        <v>85</v>
      </c>
      <c r="Y253" t="s">
        <v>86</v>
      </c>
      <c r="Z253" t="s">
        <v>87</v>
      </c>
      <c r="AA253" t="s">
        <v>88</v>
      </c>
      <c r="AB253">
        <v>1408</v>
      </c>
      <c r="AC253">
        <v>17</v>
      </c>
      <c r="AE253">
        <v>22</v>
      </c>
      <c r="AF253" t="s">
        <v>159</v>
      </c>
      <c r="AG253" t="s">
        <v>1735</v>
      </c>
      <c r="AH253" t="s">
        <v>72</v>
      </c>
      <c r="AI253" t="s">
        <v>72</v>
      </c>
      <c r="AJ253" t="s">
        <v>91</v>
      </c>
      <c r="AK253" t="s">
        <v>92</v>
      </c>
      <c r="AL253" t="s">
        <v>93</v>
      </c>
      <c r="AM253" t="s">
        <v>94</v>
      </c>
      <c r="AN253" t="s">
        <v>1736</v>
      </c>
      <c r="AO253" t="s">
        <v>1737</v>
      </c>
      <c r="AP253" t="s">
        <v>623</v>
      </c>
      <c r="AQ253">
        <v>39</v>
      </c>
      <c r="AR253" t="s">
        <v>80</v>
      </c>
      <c r="AS253">
        <v>1368</v>
      </c>
      <c r="AT253">
        <v>0.97219999999999995</v>
      </c>
      <c r="AU253">
        <v>163</v>
      </c>
      <c r="AV253">
        <v>0.92110000000000003</v>
      </c>
      <c r="AW253" t="s">
        <v>624</v>
      </c>
      <c r="AX253" t="s">
        <v>146</v>
      </c>
      <c r="AY253" t="s">
        <v>1738</v>
      </c>
      <c r="AZ253" t="s">
        <v>101</v>
      </c>
      <c r="BA253" t="s">
        <v>102</v>
      </c>
      <c r="BB253" t="s">
        <v>103</v>
      </c>
      <c r="BC253" t="s">
        <v>626</v>
      </c>
      <c r="BD253" t="s">
        <v>105</v>
      </c>
      <c r="BE253">
        <v>4014</v>
      </c>
      <c r="BF253" t="s">
        <v>627</v>
      </c>
      <c r="BG253">
        <v>61</v>
      </c>
      <c r="BH253" t="s">
        <v>80</v>
      </c>
      <c r="BI253">
        <v>1</v>
      </c>
      <c r="BJ253">
        <v>5632</v>
      </c>
      <c r="BK253">
        <v>7</v>
      </c>
      <c r="BL253">
        <v>28</v>
      </c>
      <c r="BM253">
        <v>19</v>
      </c>
      <c r="BN253">
        <v>31</v>
      </c>
      <c r="BO253">
        <v>35</v>
      </c>
      <c r="BP253">
        <v>29</v>
      </c>
      <c r="BQ253" s="2">
        <v>17</v>
      </c>
      <c r="BR253">
        <f t="shared" si="51"/>
        <v>5633</v>
      </c>
      <c r="BS253">
        <f t="shared" si="52"/>
        <v>8</v>
      </c>
      <c r="BT253">
        <f t="shared" si="53"/>
        <v>29</v>
      </c>
      <c r="BU253">
        <f t="shared" si="54"/>
        <v>20</v>
      </c>
      <c r="BV253">
        <f t="shared" si="55"/>
        <v>32</v>
      </c>
      <c r="BW253">
        <f t="shared" si="56"/>
        <v>36</v>
      </c>
      <c r="BX253">
        <f t="shared" si="57"/>
        <v>30</v>
      </c>
      <c r="BY253" s="2">
        <f t="shared" si="58"/>
        <v>18</v>
      </c>
      <c r="BZ253">
        <f t="shared" si="59"/>
        <v>44.811346754231614</v>
      </c>
      <c r="CA253">
        <v>44.811346754231614</v>
      </c>
      <c r="CB253">
        <v>44.811346754231614</v>
      </c>
      <c r="CC253">
        <v>44.811346754231614</v>
      </c>
      <c r="CD253">
        <v>44.811346754231614</v>
      </c>
      <c r="CE253">
        <v>44.811346754231614</v>
      </c>
      <c r="CF253">
        <v>44.811346754231614</v>
      </c>
      <c r="CG253">
        <v>44.811346754231614</v>
      </c>
      <c r="CH253">
        <f t="shared" si="60"/>
        <v>2.0993517548978016</v>
      </c>
      <c r="CI253">
        <f t="shared" si="61"/>
        <v>-0.74829800934560564</v>
      </c>
      <c r="CJ253">
        <f t="shared" si="62"/>
        <v>-0.18898999843859304</v>
      </c>
      <c r="CK253">
        <f t="shared" si="63"/>
        <v>-0.35035800067356798</v>
      </c>
      <c r="CL253">
        <f t="shared" si="64"/>
        <v>-0.14623801801764322</v>
      </c>
      <c r="CM253">
        <f t="shared" si="65"/>
        <v>-9.5085495570261871E-2</v>
      </c>
      <c r="CN253">
        <f t="shared" si="66"/>
        <v>-0.17426674161788674</v>
      </c>
      <c r="CO253" s="2">
        <f t="shared" si="67"/>
        <v>-0.39611549123424306</v>
      </c>
      <c r="CP253">
        <v>1.8452007753244699</v>
      </c>
      <c r="CQ253">
        <v>2.5886921210854998</v>
      </c>
      <c r="CR253">
        <v>1.65076066159984</v>
      </c>
      <c r="CS253">
        <v>-2.6776875847570101</v>
      </c>
      <c r="CT253">
        <v>-2.2944664608297298</v>
      </c>
      <c r="CU253">
        <v>-2.7017807634466702</v>
      </c>
      <c r="CV253">
        <v>2.2089006973554102</v>
      </c>
      <c r="CW253">
        <v>-2.5723635585908098</v>
      </c>
      <c r="CX253" t="s">
        <v>1827</v>
      </c>
    </row>
    <row r="254" spans="1:102" x14ac:dyDescent="0.35">
      <c r="A254" t="s">
        <v>974</v>
      </c>
      <c r="B254" t="s">
        <v>89</v>
      </c>
      <c r="C254" t="s">
        <v>975</v>
      </c>
      <c r="D254" t="s">
        <v>72</v>
      </c>
      <c r="E254" t="s">
        <v>72</v>
      </c>
      <c r="F254" t="s">
        <v>72</v>
      </c>
      <c r="G254" t="s">
        <v>73</v>
      </c>
      <c r="H254" t="s">
        <v>74</v>
      </c>
      <c r="I254" t="s">
        <v>75</v>
      </c>
      <c r="J254" t="s">
        <v>76</v>
      </c>
      <c r="K254" t="s">
        <v>77</v>
      </c>
      <c r="L254" t="s">
        <v>78</v>
      </c>
      <c r="M254" t="s">
        <v>79</v>
      </c>
      <c r="N254">
        <v>60</v>
      </c>
      <c r="O254" t="s">
        <v>80</v>
      </c>
      <c r="P254">
        <v>792</v>
      </c>
      <c r="Q254">
        <v>0.75</v>
      </c>
      <c r="R254">
        <v>177</v>
      </c>
      <c r="S254">
        <v>0.85419999999999996</v>
      </c>
      <c r="T254" t="s">
        <v>81</v>
      </c>
      <c r="U254" t="s">
        <v>82</v>
      </c>
      <c r="V254" t="s">
        <v>83</v>
      </c>
      <c r="W254" t="s">
        <v>84</v>
      </c>
      <c r="X254" t="s">
        <v>85</v>
      </c>
      <c r="Y254" t="s">
        <v>86</v>
      </c>
      <c r="Z254" t="s">
        <v>87</v>
      </c>
      <c r="AA254" t="s">
        <v>88</v>
      </c>
      <c r="AB254">
        <v>542</v>
      </c>
      <c r="AC254">
        <v>18</v>
      </c>
      <c r="AE254">
        <v>22</v>
      </c>
      <c r="AF254" t="s">
        <v>211</v>
      </c>
      <c r="AG254" t="s">
        <v>976</v>
      </c>
      <c r="AH254" t="s">
        <v>72</v>
      </c>
      <c r="AI254" t="s">
        <v>72</v>
      </c>
      <c r="AJ254" t="s">
        <v>72</v>
      </c>
      <c r="AK254" t="s">
        <v>92</v>
      </c>
      <c r="AL254" t="s">
        <v>93</v>
      </c>
      <c r="AM254" t="s">
        <v>94</v>
      </c>
      <c r="AN254" t="s">
        <v>977</v>
      </c>
      <c r="AO254" t="s">
        <v>978</v>
      </c>
      <c r="AP254" t="s">
        <v>979</v>
      </c>
      <c r="AQ254">
        <v>39</v>
      </c>
      <c r="AR254" t="s">
        <v>80</v>
      </c>
      <c r="AS254">
        <v>1287</v>
      </c>
      <c r="AT254">
        <v>0.95699999999999996</v>
      </c>
      <c r="AU254">
        <v>172</v>
      </c>
      <c r="AV254">
        <v>0.94740000000000002</v>
      </c>
      <c r="AW254" t="s">
        <v>980</v>
      </c>
      <c r="AX254" t="s">
        <v>252</v>
      </c>
      <c r="AY254" t="s">
        <v>981</v>
      </c>
      <c r="AZ254" t="s">
        <v>101</v>
      </c>
      <c r="BA254" t="s">
        <v>185</v>
      </c>
      <c r="BB254" t="s">
        <v>464</v>
      </c>
      <c r="BC254" t="s">
        <v>982</v>
      </c>
      <c r="BD254" t="s">
        <v>105</v>
      </c>
      <c r="BE254">
        <v>683</v>
      </c>
      <c r="BF254" t="s">
        <v>106</v>
      </c>
      <c r="BG254">
        <v>9</v>
      </c>
      <c r="BH254" t="s">
        <v>80</v>
      </c>
      <c r="BI254">
        <v>1</v>
      </c>
      <c r="BJ254">
        <v>3931</v>
      </c>
      <c r="BK254">
        <v>0</v>
      </c>
      <c r="BL254">
        <v>17</v>
      </c>
      <c r="BM254">
        <v>19</v>
      </c>
      <c r="BN254">
        <v>34</v>
      </c>
      <c r="BO254">
        <v>68</v>
      </c>
      <c r="BP254">
        <v>19</v>
      </c>
      <c r="BQ254" s="2">
        <v>14</v>
      </c>
      <c r="BR254">
        <f t="shared" si="51"/>
        <v>3932</v>
      </c>
      <c r="BS254">
        <f t="shared" si="52"/>
        <v>1</v>
      </c>
      <c r="BT254">
        <f t="shared" si="53"/>
        <v>18</v>
      </c>
      <c r="BU254">
        <f t="shared" si="54"/>
        <v>20</v>
      </c>
      <c r="BV254">
        <f t="shared" si="55"/>
        <v>35</v>
      </c>
      <c r="BW254">
        <f t="shared" si="56"/>
        <v>69</v>
      </c>
      <c r="BX254">
        <f t="shared" si="57"/>
        <v>20</v>
      </c>
      <c r="BY254" s="2">
        <f t="shared" si="58"/>
        <v>15</v>
      </c>
      <c r="BZ254">
        <f t="shared" si="59"/>
        <v>31.722638338748176</v>
      </c>
      <c r="CA254">
        <v>31.722638338748176</v>
      </c>
      <c r="CB254">
        <v>31.722638338748176</v>
      </c>
      <c r="CC254">
        <v>31.722638338748176</v>
      </c>
      <c r="CD254">
        <v>31.722638338748176</v>
      </c>
      <c r="CE254">
        <v>31.722638338748176</v>
      </c>
      <c r="CF254">
        <v>31.722638338748176</v>
      </c>
      <c r="CG254">
        <v>31.722638338748176</v>
      </c>
      <c r="CH254">
        <f t="shared" si="60"/>
        <v>2.0932442091932759</v>
      </c>
      <c r="CI254">
        <f t="shared" si="61"/>
        <v>-1.5013692999668224</v>
      </c>
      <c r="CJ254">
        <f t="shared" si="62"/>
        <v>-0.24609679486351624</v>
      </c>
      <c r="CK254">
        <f t="shared" si="63"/>
        <v>-0.20033930430284108</v>
      </c>
      <c r="CL254">
        <f t="shared" si="64"/>
        <v>4.2698744383453342E-2</v>
      </c>
      <c r="CM254">
        <f t="shared" si="65"/>
        <v>0.337479790770433</v>
      </c>
      <c r="CN254">
        <f t="shared" si="66"/>
        <v>-0.20033930430284108</v>
      </c>
      <c r="CO254" s="2">
        <f t="shared" si="67"/>
        <v>-0.32527804091114104</v>
      </c>
      <c r="CP254">
        <v>1.8378629723514901</v>
      </c>
      <c r="CQ254">
        <v>-2.2527165794045199</v>
      </c>
      <c r="CR254">
        <v>1.3956144919360101</v>
      </c>
      <c r="CS254">
        <v>-2.2356650112571499</v>
      </c>
      <c r="CT254">
        <v>-1.76853923154458</v>
      </c>
      <c r="CU254">
        <v>-1.4526213369379499</v>
      </c>
      <c r="CV254">
        <v>2.13897476753487</v>
      </c>
      <c r="CW254">
        <v>-2.3777976360316999</v>
      </c>
      <c r="CX254" t="s">
        <v>1827</v>
      </c>
    </row>
    <row r="255" spans="1:102" x14ac:dyDescent="0.35">
      <c r="A255" t="s">
        <v>1374</v>
      </c>
      <c r="B255" t="s">
        <v>70</v>
      </c>
      <c r="C255" t="s">
        <v>1322</v>
      </c>
      <c r="D255" t="s">
        <v>72</v>
      </c>
      <c r="E255" t="s">
        <v>72</v>
      </c>
      <c r="F255" t="s">
        <v>72</v>
      </c>
      <c r="G255" t="s">
        <v>73</v>
      </c>
      <c r="H255" t="s">
        <v>74</v>
      </c>
      <c r="I255" t="s">
        <v>75</v>
      </c>
      <c r="J255" t="s">
        <v>76</v>
      </c>
      <c r="K255" t="s">
        <v>77</v>
      </c>
      <c r="L255" t="s">
        <v>78</v>
      </c>
      <c r="M255" t="s">
        <v>79</v>
      </c>
      <c r="N255">
        <v>60</v>
      </c>
      <c r="O255" t="s">
        <v>80</v>
      </c>
      <c r="P255">
        <v>792</v>
      </c>
      <c r="Q255">
        <v>0.75</v>
      </c>
      <c r="R255">
        <v>177</v>
      </c>
      <c r="S255">
        <v>0.85419999999999996</v>
      </c>
      <c r="T255" t="s">
        <v>81</v>
      </c>
      <c r="U255" t="s">
        <v>82</v>
      </c>
      <c r="V255" t="s">
        <v>83</v>
      </c>
      <c r="W255" t="s">
        <v>84</v>
      </c>
      <c r="X255" t="s">
        <v>85</v>
      </c>
      <c r="Y255" t="s">
        <v>86</v>
      </c>
      <c r="Z255" t="s">
        <v>87</v>
      </c>
      <c r="AA255" t="s">
        <v>88</v>
      </c>
      <c r="AB255">
        <v>101</v>
      </c>
      <c r="AC255">
        <v>5</v>
      </c>
      <c r="AE255">
        <v>22</v>
      </c>
      <c r="AF255" t="s">
        <v>153</v>
      </c>
      <c r="AG255" t="s">
        <v>1375</v>
      </c>
      <c r="AH255" t="s">
        <v>72</v>
      </c>
      <c r="AI255" t="s">
        <v>72</v>
      </c>
      <c r="AJ255" t="s">
        <v>72</v>
      </c>
      <c r="AK255" t="s">
        <v>92</v>
      </c>
      <c r="AL255" t="s">
        <v>93</v>
      </c>
      <c r="AM255" t="s">
        <v>94</v>
      </c>
      <c r="AN255" t="s">
        <v>1376</v>
      </c>
      <c r="AO255" t="s">
        <v>1377</v>
      </c>
      <c r="AP255" t="s">
        <v>97</v>
      </c>
      <c r="AQ255">
        <v>39</v>
      </c>
      <c r="AR255" t="s">
        <v>80</v>
      </c>
      <c r="AS255">
        <v>1329</v>
      </c>
      <c r="AT255">
        <v>0.96809999999999996</v>
      </c>
      <c r="AU255">
        <v>172</v>
      </c>
      <c r="AV255">
        <v>0.94740000000000002</v>
      </c>
      <c r="AW255" t="s">
        <v>98</v>
      </c>
      <c r="AX255" t="s">
        <v>183</v>
      </c>
      <c r="AY255" t="s">
        <v>1239</v>
      </c>
      <c r="AZ255" t="s">
        <v>101</v>
      </c>
      <c r="BA255" t="s">
        <v>1378</v>
      </c>
      <c r="BB255" t="s">
        <v>186</v>
      </c>
      <c r="BC255" t="s">
        <v>104</v>
      </c>
      <c r="BD255" t="s">
        <v>105</v>
      </c>
      <c r="BE255">
        <v>220</v>
      </c>
      <c r="BF255" t="s">
        <v>106</v>
      </c>
      <c r="BG255">
        <v>7</v>
      </c>
      <c r="BH255" t="s">
        <v>80</v>
      </c>
      <c r="BI255">
        <v>1</v>
      </c>
      <c r="BJ255">
        <v>5779</v>
      </c>
      <c r="BK255">
        <v>7</v>
      </c>
      <c r="BL255">
        <v>40</v>
      </c>
      <c r="BM255">
        <v>30</v>
      </c>
      <c r="BN255">
        <v>24</v>
      </c>
      <c r="BO255">
        <v>35</v>
      </c>
      <c r="BP255">
        <v>26</v>
      </c>
      <c r="BQ255" s="2">
        <v>19</v>
      </c>
      <c r="BR255">
        <f t="shared" si="51"/>
        <v>5780</v>
      </c>
      <c r="BS255">
        <f t="shared" si="52"/>
        <v>8</v>
      </c>
      <c r="BT255">
        <f t="shared" si="53"/>
        <v>41</v>
      </c>
      <c r="BU255">
        <f t="shared" si="54"/>
        <v>31</v>
      </c>
      <c r="BV255">
        <f t="shared" si="55"/>
        <v>25</v>
      </c>
      <c r="BW255">
        <f t="shared" si="56"/>
        <v>36</v>
      </c>
      <c r="BX255">
        <f t="shared" si="57"/>
        <v>27</v>
      </c>
      <c r="BY255" s="2">
        <f t="shared" si="58"/>
        <v>20</v>
      </c>
      <c r="BZ255">
        <f t="shared" si="59"/>
        <v>48.081162081215766</v>
      </c>
      <c r="CA255">
        <v>48.081162081215766</v>
      </c>
      <c r="CB255">
        <v>48.081162081215766</v>
      </c>
      <c r="CC255">
        <v>48.081162081215766</v>
      </c>
      <c r="CD255">
        <v>48.081162081215766</v>
      </c>
      <c r="CE255">
        <v>48.081162081215766</v>
      </c>
      <c r="CF255">
        <v>48.081162081215766</v>
      </c>
      <c r="CG255">
        <v>48.081162081215766</v>
      </c>
      <c r="CH255">
        <f t="shared" si="60"/>
        <v>2.0799528827669325</v>
      </c>
      <c r="CI255">
        <f t="shared" si="61"/>
        <v>-0.77888496866165313</v>
      </c>
      <c r="CJ255">
        <f t="shared" si="62"/>
        <v>-6.91910989338613E-2</v>
      </c>
      <c r="CK255">
        <f t="shared" si="63"/>
        <v>-0.19061326181932409</v>
      </c>
      <c r="CL255">
        <f t="shared" si="64"/>
        <v>-0.28403494698155918</v>
      </c>
      <c r="CM255">
        <f t="shared" si="65"/>
        <v>-0.12567245488630954</v>
      </c>
      <c r="CN255">
        <f t="shared" si="66"/>
        <v>-0.25061119149460948</v>
      </c>
      <c r="CO255" s="2">
        <f t="shared" si="67"/>
        <v>-0.38094495998961558</v>
      </c>
      <c r="CP255">
        <v>1.8218943428423</v>
      </c>
      <c r="CQ255">
        <v>2.4983319885274899</v>
      </c>
      <c r="CR255">
        <v>2.1860074667460401</v>
      </c>
      <c r="CS255">
        <v>-2.20700771431658</v>
      </c>
      <c r="CT255">
        <v>-2.6780400763241201</v>
      </c>
      <c r="CU255">
        <v>-2.7901096001896799</v>
      </c>
      <c r="CV255">
        <v>2.0041468835943901</v>
      </c>
      <c r="CW255">
        <v>-2.5306953676288302</v>
      </c>
      <c r="CX255" t="s">
        <v>1827</v>
      </c>
    </row>
    <row r="256" spans="1:102" x14ac:dyDescent="0.35">
      <c r="A256" t="s">
        <v>232</v>
      </c>
      <c r="B256" t="s">
        <v>148</v>
      </c>
      <c r="C256" t="s">
        <v>149</v>
      </c>
      <c r="D256" t="s">
        <v>72</v>
      </c>
      <c r="E256" t="s">
        <v>72</v>
      </c>
      <c r="F256" t="s">
        <v>72</v>
      </c>
      <c r="G256" t="s">
        <v>73</v>
      </c>
      <c r="H256" t="s">
        <v>74</v>
      </c>
      <c r="I256" t="s">
        <v>75</v>
      </c>
      <c r="J256" t="s">
        <v>76</v>
      </c>
      <c r="K256" t="s">
        <v>77</v>
      </c>
      <c r="L256" t="s">
        <v>78</v>
      </c>
      <c r="M256" t="s">
        <v>79</v>
      </c>
      <c r="N256">
        <v>60</v>
      </c>
      <c r="O256" t="s">
        <v>80</v>
      </c>
      <c r="P256">
        <v>792</v>
      </c>
      <c r="Q256">
        <v>0.75</v>
      </c>
      <c r="R256">
        <v>177</v>
      </c>
      <c r="S256">
        <v>0.85419999999999996</v>
      </c>
      <c r="T256" t="s">
        <v>81</v>
      </c>
      <c r="U256" t="s">
        <v>82</v>
      </c>
      <c r="V256" t="s">
        <v>83</v>
      </c>
      <c r="W256" t="s">
        <v>84</v>
      </c>
      <c r="X256" t="s">
        <v>85</v>
      </c>
      <c r="Y256" t="s">
        <v>86</v>
      </c>
      <c r="Z256" t="s">
        <v>87</v>
      </c>
      <c r="AA256" t="s">
        <v>88</v>
      </c>
      <c r="AB256">
        <v>1280</v>
      </c>
      <c r="AC256">
        <v>14</v>
      </c>
      <c r="AE256">
        <v>22</v>
      </c>
      <c r="AF256" t="s">
        <v>89</v>
      </c>
      <c r="AG256" t="s">
        <v>233</v>
      </c>
      <c r="AH256" t="s">
        <v>72</v>
      </c>
      <c r="AI256" t="s">
        <v>72</v>
      </c>
      <c r="AJ256" t="s">
        <v>91</v>
      </c>
      <c r="AK256" t="s">
        <v>92</v>
      </c>
      <c r="AL256" t="s">
        <v>93</v>
      </c>
      <c r="AM256" t="s">
        <v>94</v>
      </c>
      <c r="AN256" t="s">
        <v>234</v>
      </c>
      <c r="AO256" t="s">
        <v>235</v>
      </c>
      <c r="AP256" t="s">
        <v>97</v>
      </c>
      <c r="AQ256">
        <v>39</v>
      </c>
      <c r="AR256" t="s">
        <v>80</v>
      </c>
      <c r="AS256">
        <v>1359</v>
      </c>
      <c r="AT256">
        <v>0.96879999999999999</v>
      </c>
      <c r="AU256">
        <v>163</v>
      </c>
      <c r="AV256">
        <v>0.92110000000000003</v>
      </c>
      <c r="AW256" t="s">
        <v>98</v>
      </c>
      <c r="AX256" t="s">
        <v>236</v>
      </c>
      <c r="AY256" t="s">
        <v>100</v>
      </c>
      <c r="AZ256" t="s">
        <v>237</v>
      </c>
      <c r="BA256" t="s">
        <v>102</v>
      </c>
      <c r="BB256" t="s">
        <v>103</v>
      </c>
      <c r="BC256" t="s">
        <v>104</v>
      </c>
      <c r="BD256" t="s">
        <v>105</v>
      </c>
      <c r="BE256">
        <v>60352</v>
      </c>
      <c r="BF256" t="s">
        <v>106</v>
      </c>
      <c r="BG256">
        <v>702</v>
      </c>
      <c r="BH256" t="s">
        <v>80</v>
      </c>
      <c r="BI256">
        <v>1</v>
      </c>
      <c r="BJ256">
        <v>4171</v>
      </c>
      <c r="BK256">
        <v>0</v>
      </c>
      <c r="BL256">
        <v>26</v>
      </c>
      <c r="BM256">
        <v>37</v>
      </c>
      <c r="BN256">
        <v>26</v>
      </c>
      <c r="BO256">
        <v>45</v>
      </c>
      <c r="BP256">
        <v>19</v>
      </c>
      <c r="BQ256" s="2">
        <v>19</v>
      </c>
      <c r="BR256">
        <f t="shared" si="51"/>
        <v>4172</v>
      </c>
      <c r="BS256">
        <f t="shared" si="52"/>
        <v>1</v>
      </c>
      <c r="BT256">
        <f t="shared" si="53"/>
        <v>27</v>
      </c>
      <c r="BU256">
        <f t="shared" si="54"/>
        <v>38</v>
      </c>
      <c r="BV256">
        <f t="shared" si="55"/>
        <v>27</v>
      </c>
      <c r="BW256">
        <f t="shared" si="56"/>
        <v>46</v>
      </c>
      <c r="BX256">
        <f t="shared" si="57"/>
        <v>20</v>
      </c>
      <c r="BY256" s="2">
        <f t="shared" si="58"/>
        <v>20</v>
      </c>
      <c r="BZ256">
        <f t="shared" si="59"/>
        <v>34.750347829113473</v>
      </c>
      <c r="CA256">
        <v>34.750347829113473</v>
      </c>
      <c r="CB256">
        <v>34.750347829113473</v>
      </c>
      <c r="CC256">
        <v>34.750347829113473</v>
      </c>
      <c r="CD256">
        <v>34.750347829113473</v>
      </c>
      <c r="CE256">
        <v>34.750347829113473</v>
      </c>
      <c r="CF256">
        <v>34.750347829113473</v>
      </c>
      <c r="CG256">
        <v>34.750347829113473</v>
      </c>
      <c r="CH256">
        <f t="shared" si="60"/>
        <v>2.0793851437921416</v>
      </c>
      <c r="CI256">
        <f t="shared" si="61"/>
        <v>-1.5409591559623519</v>
      </c>
      <c r="CJ256">
        <f t="shared" si="62"/>
        <v>-0.10959539180336451</v>
      </c>
      <c r="CK256">
        <f t="shared" si="63"/>
        <v>3.8824440654458323E-2</v>
      </c>
      <c r="CL256">
        <f t="shared" si="64"/>
        <v>-0.10959539180336451</v>
      </c>
      <c r="CM256">
        <f t="shared" si="65"/>
        <v>0.12179867571922229</v>
      </c>
      <c r="CN256">
        <f t="shared" si="66"/>
        <v>-0.23992916029837064</v>
      </c>
      <c r="CO256" s="2">
        <f t="shared" si="67"/>
        <v>-0.23992916029837064</v>
      </c>
      <c r="CP256">
        <v>1.8212122428730699</v>
      </c>
      <c r="CQ256">
        <v>-2.2527165794045199</v>
      </c>
      <c r="CR256">
        <v>2.0054860365659701</v>
      </c>
      <c r="CS256">
        <v>-1.5309810179191199</v>
      </c>
      <c r="CT256">
        <v>-2.1924674923193201</v>
      </c>
      <c r="CU256">
        <v>-2.0754639609157102</v>
      </c>
      <c r="CV256">
        <v>2.0327958113118099</v>
      </c>
      <c r="CW256">
        <v>-2.14337384437815</v>
      </c>
      <c r="CX256" t="s">
        <v>1827</v>
      </c>
    </row>
    <row r="257" spans="1:102" x14ac:dyDescent="0.35">
      <c r="A257" t="s">
        <v>430</v>
      </c>
      <c r="B257" t="s">
        <v>89</v>
      </c>
      <c r="C257" t="s">
        <v>431</v>
      </c>
      <c r="D257" t="s">
        <v>72</v>
      </c>
      <c r="E257" t="s">
        <v>72</v>
      </c>
      <c r="F257" t="s">
        <v>72</v>
      </c>
      <c r="G257" t="s">
        <v>73</v>
      </c>
      <c r="H257" t="s">
        <v>74</v>
      </c>
      <c r="I257" t="s">
        <v>75</v>
      </c>
      <c r="J257" t="s">
        <v>76</v>
      </c>
      <c r="K257" t="s">
        <v>77</v>
      </c>
      <c r="L257" t="s">
        <v>78</v>
      </c>
      <c r="M257" t="s">
        <v>79</v>
      </c>
      <c r="N257">
        <v>60</v>
      </c>
      <c r="O257" t="s">
        <v>80</v>
      </c>
      <c r="P257">
        <v>792</v>
      </c>
      <c r="Q257">
        <v>0.75</v>
      </c>
      <c r="R257">
        <v>177</v>
      </c>
      <c r="S257">
        <v>0.85419999999999996</v>
      </c>
      <c r="T257" t="s">
        <v>81</v>
      </c>
      <c r="U257" t="s">
        <v>82</v>
      </c>
      <c r="V257" t="s">
        <v>83</v>
      </c>
      <c r="W257" t="s">
        <v>84</v>
      </c>
      <c r="X257" t="s">
        <v>85</v>
      </c>
      <c r="Y257" t="s">
        <v>86</v>
      </c>
      <c r="Z257" t="s">
        <v>87</v>
      </c>
      <c r="AA257" t="s">
        <v>88</v>
      </c>
      <c r="AB257">
        <v>1088</v>
      </c>
      <c r="AC257">
        <v>12</v>
      </c>
      <c r="AE257">
        <v>22</v>
      </c>
      <c r="AF257" t="s">
        <v>153</v>
      </c>
      <c r="AG257" t="s">
        <v>432</v>
      </c>
      <c r="AH257" t="s">
        <v>72</v>
      </c>
      <c r="AI257" t="s">
        <v>72</v>
      </c>
      <c r="AJ257" t="s">
        <v>91</v>
      </c>
      <c r="AK257" t="s">
        <v>92</v>
      </c>
      <c r="AL257" t="s">
        <v>93</v>
      </c>
      <c r="AM257" t="s">
        <v>94</v>
      </c>
      <c r="AN257" t="s">
        <v>433</v>
      </c>
      <c r="AO257" t="s">
        <v>434</v>
      </c>
      <c r="AP257" t="s">
        <v>97</v>
      </c>
      <c r="AQ257">
        <v>39</v>
      </c>
      <c r="AR257" t="s">
        <v>80</v>
      </c>
      <c r="AS257">
        <v>1359</v>
      </c>
      <c r="AT257">
        <v>0.96879999999999999</v>
      </c>
      <c r="AU257">
        <v>163</v>
      </c>
      <c r="AV257">
        <v>0.92110000000000003</v>
      </c>
      <c r="AW257" t="s">
        <v>98</v>
      </c>
      <c r="AX257" t="s">
        <v>338</v>
      </c>
      <c r="AY257" t="s">
        <v>100</v>
      </c>
      <c r="AZ257" t="s">
        <v>307</v>
      </c>
      <c r="BA257" t="s">
        <v>435</v>
      </c>
      <c r="BB257" t="s">
        <v>103</v>
      </c>
      <c r="BC257" t="s">
        <v>104</v>
      </c>
      <c r="BD257" t="s">
        <v>105</v>
      </c>
      <c r="BE257">
        <v>8089</v>
      </c>
      <c r="BF257" t="s">
        <v>106</v>
      </c>
      <c r="BG257">
        <v>93</v>
      </c>
      <c r="BH257" t="s">
        <v>80</v>
      </c>
      <c r="BI257">
        <v>1</v>
      </c>
      <c r="BJ257">
        <v>5828</v>
      </c>
      <c r="BK257">
        <v>7</v>
      </c>
      <c r="BL257">
        <v>61</v>
      </c>
      <c r="BM257">
        <v>26</v>
      </c>
      <c r="BN257">
        <v>26</v>
      </c>
      <c r="BO257">
        <v>70</v>
      </c>
      <c r="BP257">
        <v>24</v>
      </c>
      <c r="BQ257" s="2">
        <v>14</v>
      </c>
      <c r="BR257">
        <f t="shared" si="51"/>
        <v>5829</v>
      </c>
      <c r="BS257">
        <f t="shared" si="52"/>
        <v>8</v>
      </c>
      <c r="BT257">
        <f t="shared" si="53"/>
        <v>62</v>
      </c>
      <c r="BU257">
        <f t="shared" si="54"/>
        <v>27</v>
      </c>
      <c r="BV257">
        <f t="shared" si="55"/>
        <v>27</v>
      </c>
      <c r="BW257">
        <f t="shared" si="56"/>
        <v>71</v>
      </c>
      <c r="BX257">
        <f t="shared" si="57"/>
        <v>25</v>
      </c>
      <c r="BY257" s="2">
        <f t="shared" si="58"/>
        <v>15</v>
      </c>
      <c r="BZ257">
        <f t="shared" si="59"/>
        <v>52.316250376968263</v>
      </c>
      <c r="CA257">
        <v>52.316250376968263</v>
      </c>
      <c r="CB257">
        <v>52.316250376968263</v>
      </c>
      <c r="CC257">
        <v>52.316250376968263</v>
      </c>
      <c r="CD257">
        <v>52.316250376968263</v>
      </c>
      <c r="CE257">
        <v>52.316250376968263</v>
      </c>
      <c r="CF257">
        <v>52.316250376968263</v>
      </c>
      <c r="CG257">
        <v>52.316250376968263</v>
      </c>
      <c r="CH257">
        <f t="shared" si="60"/>
        <v>2.0469574457476436</v>
      </c>
      <c r="CI257">
        <f t="shared" si="61"/>
        <v>-0.81554662257985788</v>
      </c>
      <c r="CJ257">
        <f t="shared" si="62"/>
        <v>7.3755079926452416E-2</v>
      </c>
      <c r="CK257">
        <f t="shared" si="63"/>
        <v>-0.28727284541281406</v>
      </c>
      <c r="CL257">
        <f t="shared" si="64"/>
        <v>-0.28727284541281406</v>
      </c>
      <c r="CM257">
        <f t="shared" si="65"/>
        <v>0.13262173914727385</v>
      </c>
      <c r="CN257">
        <f t="shared" si="66"/>
        <v>-0.32069660089976382</v>
      </c>
      <c r="CO257" s="2">
        <f t="shared" si="67"/>
        <v>-0.54254535051612018</v>
      </c>
      <c r="CP257">
        <v>1.7822525574889101</v>
      </c>
      <c r="CQ257">
        <v>2.3900259658982099</v>
      </c>
      <c r="CR257">
        <v>2.8246734800328999</v>
      </c>
      <c r="CS257">
        <v>-2.4918103351035001</v>
      </c>
      <c r="CT257">
        <v>-2.6870531393671002</v>
      </c>
      <c r="CU257">
        <v>-2.0442091835866698</v>
      </c>
      <c r="CV257">
        <v>1.8161796523434</v>
      </c>
      <c r="CW257">
        <v>-2.97455562693079</v>
      </c>
      <c r="CX257" t="s">
        <v>1827</v>
      </c>
    </row>
    <row r="258" spans="1:102" x14ac:dyDescent="0.35">
      <c r="A258" t="s">
        <v>928</v>
      </c>
      <c r="B258" t="s">
        <v>148</v>
      </c>
      <c r="C258" t="s">
        <v>481</v>
      </c>
      <c r="D258" t="s">
        <v>72</v>
      </c>
      <c r="E258" t="s">
        <v>72</v>
      </c>
      <c r="F258" t="s">
        <v>72</v>
      </c>
      <c r="G258" t="s">
        <v>73</v>
      </c>
      <c r="H258" t="s">
        <v>74</v>
      </c>
      <c r="I258" t="s">
        <v>75</v>
      </c>
      <c r="J258" t="s">
        <v>76</v>
      </c>
      <c r="K258" t="s">
        <v>77</v>
      </c>
      <c r="L258" t="s">
        <v>78</v>
      </c>
      <c r="M258" t="s">
        <v>79</v>
      </c>
      <c r="N258">
        <v>60</v>
      </c>
      <c r="O258" t="s">
        <v>80</v>
      </c>
      <c r="P258">
        <v>792</v>
      </c>
      <c r="Q258">
        <v>0.75</v>
      </c>
      <c r="R258">
        <v>177</v>
      </c>
      <c r="S258">
        <v>0.85419999999999996</v>
      </c>
      <c r="T258" t="s">
        <v>81</v>
      </c>
      <c r="U258" t="s">
        <v>82</v>
      </c>
      <c r="V258" t="s">
        <v>83</v>
      </c>
      <c r="W258" t="s">
        <v>84</v>
      </c>
      <c r="X258" t="s">
        <v>85</v>
      </c>
      <c r="Y258" t="s">
        <v>86</v>
      </c>
      <c r="Z258" t="s">
        <v>87</v>
      </c>
      <c r="AA258" t="s">
        <v>88</v>
      </c>
      <c r="AB258">
        <v>1822</v>
      </c>
      <c r="AC258">
        <v>29</v>
      </c>
      <c r="AE258">
        <v>22</v>
      </c>
      <c r="AF258" t="s">
        <v>89</v>
      </c>
      <c r="AG258" t="s">
        <v>929</v>
      </c>
      <c r="AH258" t="s">
        <v>72</v>
      </c>
      <c r="AI258" t="s">
        <v>72</v>
      </c>
      <c r="AJ258" t="s">
        <v>91</v>
      </c>
      <c r="AK258" t="s">
        <v>92</v>
      </c>
      <c r="AL258" t="s">
        <v>93</v>
      </c>
      <c r="AM258" t="s">
        <v>94</v>
      </c>
      <c r="AN258" t="s">
        <v>930</v>
      </c>
      <c r="AO258" t="s">
        <v>931</v>
      </c>
      <c r="AP258" t="s">
        <v>243</v>
      </c>
      <c r="AQ258">
        <v>39</v>
      </c>
      <c r="AR258" t="s">
        <v>80</v>
      </c>
      <c r="AS258">
        <v>1341</v>
      </c>
      <c r="AT258">
        <v>0.96179999999999999</v>
      </c>
      <c r="AU258">
        <v>172</v>
      </c>
      <c r="AV258">
        <v>0.94740000000000002</v>
      </c>
      <c r="AW258" t="s">
        <v>932</v>
      </c>
      <c r="AX258" t="s">
        <v>146</v>
      </c>
      <c r="AY258" t="s">
        <v>100</v>
      </c>
      <c r="AZ258" t="s">
        <v>101</v>
      </c>
      <c r="BA258" t="s">
        <v>933</v>
      </c>
      <c r="BB258" t="s">
        <v>103</v>
      </c>
      <c r="BC258" t="s">
        <v>246</v>
      </c>
      <c r="BD258" t="s">
        <v>105</v>
      </c>
      <c r="BE258">
        <v>67725</v>
      </c>
      <c r="BF258" t="s">
        <v>247</v>
      </c>
      <c r="BG258">
        <v>806</v>
      </c>
      <c r="BH258" t="s">
        <v>80</v>
      </c>
      <c r="BI258">
        <v>1</v>
      </c>
      <c r="BJ258">
        <v>1946</v>
      </c>
      <c r="BK258">
        <v>0</v>
      </c>
      <c r="BL258">
        <v>13</v>
      </c>
      <c r="BM258">
        <v>11</v>
      </c>
      <c r="BN258">
        <v>9</v>
      </c>
      <c r="BO258">
        <v>26</v>
      </c>
      <c r="BP258">
        <v>4</v>
      </c>
      <c r="BQ258" s="2">
        <v>19</v>
      </c>
      <c r="BR258">
        <f t="shared" ref="BR258:BR321" si="68">BJ258+1</f>
        <v>1947</v>
      </c>
      <c r="BS258">
        <f t="shared" ref="BS258:BS321" si="69">BK258+1</f>
        <v>1</v>
      </c>
      <c r="BT258">
        <f t="shared" ref="BT258:BT321" si="70">BL258+1</f>
        <v>14</v>
      </c>
      <c r="BU258">
        <f t="shared" ref="BU258:BU321" si="71">BM258+1</f>
        <v>12</v>
      </c>
      <c r="BV258">
        <f t="shared" ref="BV258:BV321" si="72">BN258+1</f>
        <v>10</v>
      </c>
      <c r="BW258">
        <f t="shared" ref="BW258:BW321" si="73">BO258+1</f>
        <v>27</v>
      </c>
      <c r="BX258">
        <f t="shared" ref="BX258:BX321" si="74">BP258+1</f>
        <v>5</v>
      </c>
      <c r="BY258" s="2">
        <f t="shared" ref="BY258:BY321" si="75">BQ258+1</f>
        <v>20</v>
      </c>
      <c r="BZ258">
        <f t="shared" ref="BZ258:BZ321" si="76">GEOMEAN(BR258:BY258)</f>
        <v>17.508739236483859</v>
      </c>
      <c r="CA258">
        <v>17.508739236483859</v>
      </c>
      <c r="CB258">
        <v>17.508739236483859</v>
      </c>
      <c r="CC258">
        <v>17.508739236483859</v>
      </c>
      <c r="CD258">
        <v>17.508739236483859</v>
      </c>
      <c r="CE258">
        <v>17.508739236483859</v>
      </c>
      <c r="CF258">
        <v>17.508739236483859</v>
      </c>
      <c r="CG258">
        <v>17.508739236483859</v>
      </c>
      <c r="CH258">
        <f t="shared" ref="CH258:CH321" si="77">LOG(BR258/BZ258)</f>
        <v>2.0461110768444213</v>
      </c>
      <c r="CI258">
        <f t="shared" ref="CI258:CI321" si="78">LOG(BS258/CA258)</f>
        <v>-1.2432548746756102</v>
      </c>
      <c r="CJ258">
        <f t="shared" ref="CJ258:CJ321" si="79">LOG(BT258/CB258)</f>
        <v>-9.7126838997372192E-2</v>
      </c>
      <c r="CK258">
        <f t="shared" ref="CK258:CK321" si="80">LOG(BU258/CC258)</f>
        <v>-0.16407362862798544</v>
      </c>
      <c r="CL258">
        <f t="shared" ref="CL258:CL321" si="81">LOG(BV258/CD258)</f>
        <v>-0.24325487467561022</v>
      </c>
      <c r="CM258">
        <f t="shared" ref="CM258:CM321" si="82">LOG(BW258/CE258)</f>
        <v>0.18810888948337709</v>
      </c>
      <c r="CN258">
        <f t="shared" ref="CN258:CN321" si="83">LOG(BX258/CF258)</f>
        <v>-0.54428487033959139</v>
      </c>
      <c r="CO258" s="2">
        <f t="shared" ref="CO258:CO321" si="84">LOG(BY258/CG258)</f>
        <v>5.7775120988370968E-2</v>
      </c>
      <c r="CP258">
        <v>1.78123570251069</v>
      </c>
      <c r="CQ258">
        <v>-2.2527165794045199</v>
      </c>
      <c r="CR258">
        <v>2.06119400284775</v>
      </c>
      <c r="CS258">
        <v>-2.1288100146512798</v>
      </c>
      <c r="CT258">
        <v>-2.56452405029852</v>
      </c>
      <c r="CU258">
        <v>-1.8839737253075299</v>
      </c>
      <c r="CV258">
        <v>1.21652177342809</v>
      </c>
      <c r="CW258">
        <v>-1.32568337310689</v>
      </c>
      <c r="CX258" t="s">
        <v>1827</v>
      </c>
    </row>
    <row r="259" spans="1:102" x14ac:dyDescent="0.35">
      <c r="A259" t="s">
        <v>1772</v>
      </c>
      <c r="B259" t="s">
        <v>148</v>
      </c>
      <c r="C259" t="s">
        <v>1773</v>
      </c>
      <c r="D259" t="s">
        <v>72</v>
      </c>
      <c r="E259" t="s">
        <v>72</v>
      </c>
      <c r="F259" t="s">
        <v>72</v>
      </c>
      <c r="G259" t="s">
        <v>73</v>
      </c>
      <c r="H259" t="s">
        <v>74</v>
      </c>
      <c r="I259" t="s">
        <v>75</v>
      </c>
      <c r="J259" t="s">
        <v>76</v>
      </c>
      <c r="K259" t="s">
        <v>1774</v>
      </c>
      <c r="L259" t="s">
        <v>1775</v>
      </c>
      <c r="M259" t="s">
        <v>79</v>
      </c>
      <c r="N259">
        <v>60</v>
      </c>
      <c r="O259" t="s">
        <v>80</v>
      </c>
      <c r="P259">
        <v>783</v>
      </c>
      <c r="Q259">
        <v>0.74650000000000005</v>
      </c>
      <c r="R259">
        <v>177</v>
      </c>
      <c r="S259">
        <v>0.85419999999999996</v>
      </c>
      <c r="T259" t="s">
        <v>81</v>
      </c>
      <c r="U259" t="s">
        <v>82</v>
      </c>
      <c r="V259" t="s">
        <v>1776</v>
      </c>
      <c r="W259" t="s">
        <v>84</v>
      </c>
      <c r="X259" t="s">
        <v>85</v>
      </c>
      <c r="Y259" t="s">
        <v>86</v>
      </c>
      <c r="Z259" t="s">
        <v>87</v>
      </c>
      <c r="AA259" t="s">
        <v>88</v>
      </c>
      <c r="AB259">
        <v>263</v>
      </c>
      <c r="AC259">
        <v>7</v>
      </c>
      <c r="AE259">
        <v>22</v>
      </c>
      <c r="AF259" t="s">
        <v>89</v>
      </c>
      <c r="AG259" t="s">
        <v>1777</v>
      </c>
      <c r="AH259" t="s">
        <v>72</v>
      </c>
      <c r="AI259" t="s">
        <v>72</v>
      </c>
      <c r="AJ259" t="s">
        <v>91</v>
      </c>
      <c r="AK259" t="s">
        <v>92</v>
      </c>
      <c r="AL259" t="s">
        <v>93</v>
      </c>
      <c r="AM259" t="s">
        <v>94</v>
      </c>
      <c r="AN259" t="s">
        <v>483</v>
      </c>
      <c r="AO259" t="s">
        <v>484</v>
      </c>
      <c r="AP259" t="s">
        <v>243</v>
      </c>
      <c r="AQ259">
        <v>39</v>
      </c>
      <c r="AR259" t="s">
        <v>80</v>
      </c>
      <c r="AS259">
        <v>1377</v>
      </c>
      <c r="AT259">
        <v>0.97570000000000001</v>
      </c>
      <c r="AU259">
        <v>172</v>
      </c>
      <c r="AV259">
        <v>0.94740000000000002</v>
      </c>
      <c r="AW259" t="s">
        <v>98</v>
      </c>
      <c r="AX259" t="s">
        <v>146</v>
      </c>
      <c r="AY259" t="s">
        <v>100</v>
      </c>
      <c r="AZ259" t="s">
        <v>101</v>
      </c>
      <c r="BA259" t="s">
        <v>102</v>
      </c>
      <c r="BB259" t="s">
        <v>103</v>
      </c>
      <c r="BC259" t="s">
        <v>246</v>
      </c>
      <c r="BD259" t="s">
        <v>105</v>
      </c>
      <c r="BE259">
        <v>31967</v>
      </c>
      <c r="BF259" t="s">
        <v>247</v>
      </c>
      <c r="BG259">
        <v>491</v>
      </c>
      <c r="BH259" t="s">
        <v>80</v>
      </c>
      <c r="BI259">
        <v>1</v>
      </c>
      <c r="BJ259">
        <v>2038</v>
      </c>
      <c r="BK259">
        <v>0</v>
      </c>
      <c r="BL259">
        <v>17</v>
      </c>
      <c r="BM259">
        <v>13</v>
      </c>
      <c r="BN259">
        <v>10</v>
      </c>
      <c r="BO259">
        <v>27</v>
      </c>
      <c r="BP259">
        <v>12</v>
      </c>
      <c r="BQ259" s="2">
        <v>9</v>
      </c>
      <c r="BR259">
        <f t="shared" si="68"/>
        <v>2039</v>
      </c>
      <c r="BS259">
        <f t="shared" si="69"/>
        <v>1</v>
      </c>
      <c r="BT259">
        <f t="shared" si="70"/>
        <v>18</v>
      </c>
      <c r="BU259">
        <f t="shared" si="71"/>
        <v>14</v>
      </c>
      <c r="BV259">
        <f t="shared" si="72"/>
        <v>11</v>
      </c>
      <c r="BW259">
        <f t="shared" si="73"/>
        <v>28</v>
      </c>
      <c r="BX259">
        <f t="shared" si="74"/>
        <v>13</v>
      </c>
      <c r="BY259" s="2">
        <f t="shared" si="75"/>
        <v>10</v>
      </c>
      <c r="BZ259">
        <f t="shared" si="76"/>
        <v>19.46094742696479</v>
      </c>
      <c r="CA259">
        <v>19.46094742696479</v>
      </c>
      <c r="CB259">
        <v>19.46094742696479</v>
      </c>
      <c r="CC259">
        <v>19.46094742696479</v>
      </c>
      <c r="CD259">
        <v>19.46094742696479</v>
      </c>
      <c r="CE259">
        <v>19.46094742696479</v>
      </c>
      <c r="CF259">
        <v>19.46094742696479</v>
      </c>
      <c r="CG259">
        <v>19.46094742696479</v>
      </c>
      <c r="CH259">
        <f t="shared" si="77"/>
        <v>2.0202532463572695</v>
      </c>
      <c r="CI259">
        <f t="shared" si="78"/>
        <v>-1.2891639794208707</v>
      </c>
      <c r="CJ259">
        <f t="shared" si="79"/>
        <v>-3.3891474317564542E-2</v>
      </c>
      <c r="CK259">
        <f t="shared" si="80"/>
        <v>-0.14303594374263259</v>
      </c>
      <c r="CL259">
        <f t="shared" si="81"/>
        <v>-0.24777129426264557</v>
      </c>
      <c r="CM259">
        <f t="shared" si="82"/>
        <v>0.1579940519213486</v>
      </c>
      <c r="CN259">
        <f t="shared" si="83"/>
        <v>-0.17522062711403386</v>
      </c>
      <c r="CO259" s="2">
        <f t="shared" si="84"/>
        <v>-0.28916397942087063</v>
      </c>
      <c r="CP259">
        <v>1.75016926852842</v>
      </c>
      <c r="CQ259">
        <v>-2.2527165794045199</v>
      </c>
      <c r="CR259">
        <v>2.3437218645981401</v>
      </c>
      <c r="CS259">
        <v>-2.0668235300432398</v>
      </c>
      <c r="CT259">
        <v>-2.57709602416698</v>
      </c>
      <c r="CU259">
        <v>-1.9709391716950999</v>
      </c>
      <c r="CV259">
        <v>2.2063424014538402</v>
      </c>
      <c r="CW259">
        <v>-2.2786048268726802</v>
      </c>
      <c r="CX259" t="s">
        <v>1827</v>
      </c>
    </row>
    <row r="260" spans="1:102" x14ac:dyDescent="0.35">
      <c r="A260" t="s">
        <v>1441</v>
      </c>
      <c r="B260" t="s">
        <v>211</v>
      </c>
      <c r="C260" t="s">
        <v>1442</v>
      </c>
      <c r="D260" t="s">
        <v>72</v>
      </c>
      <c r="E260" t="s">
        <v>72</v>
      </c>
      <c r="F260" t="s">
        <v>72</v>
      </c>
      <c r="G260" t="s">
        <v>73</v>
      </c>
      <c r="H260" t="s">
        <v>74</v>
      </c>
      <c r="I260" t="s">
        <v>75</v>
      </c>
      <c r="J260" t="s">
        <v>76</v>
      </c>
      <c r="K260" t="s">
        <v>77</v>
      </c>
      <c r="L260" t="s">
        <v>78</v>
      </c>
      <c r="M260" t="s">
        <v>79</v>
      </c>
      <c r="N260">
        <v>60</v>
      </c>
      <c r="O260" t="s">
        <v>80</v>
      </c>
      <c r="P260">
        <v>792</v>
      </c>
      <c r="Q260">
        <v>0.75</v>
      </c>
      <c r="R260">
        <v>177</v>
      </c>
      <c r="S260">
        <v>0.85419999999999996</v>
      </c>
      <c r="T260" t="s">
        <v>81</v>
      </c>
      <c r="U260" t="s">
        <v>82</v>
      </c>
      <c r="V260" t="s">
        <v>83</v>
      </c>
      <c r="W260" t="s">
        <v>84</v>
      </c>
      <c r="X260" t="s">
        <v>85</v>
      </c>
      <c r="Y260" t="s">
        <v>86</v>
      </c>
      <c r="Z260" t="s">
        <v>87</v>
      </c>
      <c r="AA260" t="s">
        <v>88</v>
      </c>
      <c r="AB260">
        <v>1502</v>
      </c>
      <c r="AC260">
        <v>16</v>
      </c>
      <c r="AE260">
        <v>22</v>
      </c>
      <c r="AF260" t="s">
        <v>89</v>
      </c>
      <c r="AG260" t="s">
        <v>1443</v>
      </c>
      <c r="AH260" t="s">
        <v>72</v>
      </c>
      <c r="AI260" t="s">
        <v>72</v>
      </c>
      <c r="AJ260" t="s">
        <v>91</v>
      </c>
      <c r="AK260" t="s">
        <v>92</v>
      </c>
      <c r="AL260" t="s">
        <v>93</v>
      </c>
      <c r="AM260" t="s">
        <v>94</v>
      </c>
      <c r="AN260" t="s">
        <v>1444</v>
      </c>
      <c r="AO260" t="s">
        <v>1445</v>
      </c>
      <c r="AP260" t="s">
        <v>1446</v>
      </c>
      <c r="AQ260">
        <v>39</v>
      </c>
      <c r="AR260" t="s">
        <v>80</v>
      </c>
      <c r="AS260">
        <v>1341</v>
      </c>
      <c r="AT260">
        <v>0.96179999999999999</v>
      </c>
      <c r="AU260">
        <v>163</v>
      </c>
      <c r="AV260">
        <v>0.92110000000000003</v>
      </c>
      <c r="AW260" t="s">
        <v>1447</v>
      </c>
      <c r="AX260" t="s">
        <v>146</v>
      </c>
      <c r="AY260" t="s">
        <v>1448</v>
      </c>
      <c r="AZ260" t="s">
        <v>101</v>
      </c>
      <c r="BA260" t="s">
        <v>102</v>
      </c>
      <c r="BB260" t="s">
        <v>450</v>
      </c>
      <c r="BC260" t="s">
        <v>1449</v>
      </c>
      <c r="BD260" t="s">
        <v>105</v>
      </c>
      <c r="BE260">
        <v>70126</v>
      </c>
      <c r="BF260" t="s">
        <v>1450</v>
      </c>
      <c r="BG260">
        <v>599</v>
      </c>
      <c r="BH260" t="s">
        <v>80</v>
      </c>
      <c r="BI260">
        <v>1</v>
      </c>
      <c r="BJ260">
        <v>7653</v>
      </c>
      <c r="BK260">
        <v>5</v>
      </c>
      <c r="BL260">
        <v>42</v>
      </c>
      <c r="BM260">
        <v>41</v>
      </c>
      <c r="BN260">
        <v>86</v>
      </c>
      <c r="BO260">
        <v>85</v>
      </c>
      <c r="BP260">
        <v>35</v>
      </c>
      <c r="BQ260" s="2">
        <v>36</v>
      </c>
      <c r="BR260">
        <f t="shared" si="68"/>
        <v>7654</v>
      </c>
      <c r="BS260">
        <f t="shared" si="69"/>
        <v>6</v>
      </c>
      <c r="BT260">
        <f t="shared" si="70"/>
        <v>43</v>
      </c>
      <c r="BU260">
        <f t="shared" si="71"/>
        <v>42</v>
      </c>
      <c r="BV260">
        <f t="shared" si="72"/>
        <v>87</v>
      </c>
      <c r="BW260">
        <f t="shared" si="73"/>
        <v>86</v>
      </c>
      <c r="BX260">
        <f t="shared" si="74"/>
        <v>36</v>
      </c>
      <c r="BY260" s="2">
        <f t="shared" si="75"/>
        <v>37</v>
      </c>
      <c r="BZ260">
        <f t="shared" si="76"/>
        <v>73.225091471708225</v>
      </c>
      <c r="CA260">
        <v>73.225091471708225</v>
      </c>
      <c r="CB260">
        <v>73.225091471708225</v>
      </c>
      <c r="CC260">
        <v>73.225091471708225</v>
      </c>
      <c r="CD260">
        <v>73.225091471708225</v>
      </c>
      <c r="CE260">
        <v>73.225091471708225</v>
      </c>
      <c r="CF260">
        <v>73.225091471708225</v>
      </c>
      <c r="CG260">
        <v>73.225091471708225</v>
      </c>
      <c r="CH260">
        <f t="shared" si="77"/>
        <v>2.0192285350202206</v>
      </c>
      <c r="CI260">
        <f t="shared" si="78"/>
        <v>-1.0865086724846162</v>
      </c>
      <c r="CJ260">
        <f t="shared" si="79"/>
        <v>-0.2311914672886734</v>
      </c>
      <c r="CK260">
        <f t="shared" si="80"/>
        <v>-0.24141063247035952</v>
      </c>
      <c r="CL260">
        <f t="shared" si="81"/>
        <v>7.4859329750358528E-2</v>
      </c>
      <c r="CM260">
        <f t="shared" si="82"/>
        <v>6.9838528375307782E-2</v>
      </c>
      <c r="CN260">
        <f t="shared" si="83"/>
        <v>-0.30835742210097267</v>
      </c>
      <c r="CO260" s="2">
        <f t="shared" si="84"/>
        <v>-0.296458198801265</v>
      </c>
      <c r="CP260">
        <v>1.7489381471812799</v>
      </c>
      <c r="CQ260">
        <v>1.58954866135171</v>
      </c>
      <c r="CR260">
        <v>1.4622096693297499</v>
      </c>
      <c r="CS260">
        <v>-2.3566796221880502</v>
      </c>
      <c r="CT260">
        <v>-1.6790165397229799</v>
      </c>
      <c r="CU260">
        <v>-2.2255141612138298</v>
      </c>
      <c r="CV260">
        <v>1.84927300650092</v>
      </c>
      <c r="CW260">
        <v>-2.2986395192087499</v>
      </c>
      <c r="CX260" t="s">
        <v>1827</v>
      </c>
    </row>
    <row r="261" spans="1:102" x14ac:dyDescent="0.35">
      <c r="A261" t="s">
        <v>392</v>
      </c>
      <c r="B261" t="s">
        <v>148</v>
      </c>
      <c r="C261" t="s">
        <v>393</v>
      </c>
      <c r="D261" t="s">
        <v>72</v>
      </c>
      <c r="E261" t="s">
        <v>72</v>
      </c>
      <c r="F261" t="s">
        <v>72</v>
      </c>
      <c r="G261" t="s">
        <v>73</v>
      </c>
      <c r="H261" t="s">
        <v>74</v>
      </c>
      <c r="I261" t="s">
        <v>75</v>
      </c>
      <c r="J261" t="s">
        <v>76</v>
      </c>
      <c r="K261" t="s">
        <v>77</v>
      </c>
      <c r="L261" t="s">
        <v>78</v>
      </c>
      <c r="M261" t="s">
        <v>79</v>
      </c>
      <c r="N261">
        <v>60</v>
      </c>
      <c r="O261" t="s">
        <v>80</v>
      </c>
      <c r="P261">
        <v>792</v>
      </c>
      <c r="Q261">
        <v>0.75</v>
      </c>
      <c r="R261">
        <v>177</v>
      </c>
      <c r="S261">
        <v>0.85419999999999996</v>
      </c>
      <c r="T261" t="s">
        <v>81</v>
      </c>
      <c r="U261" t="s">
        <v>82</v>
      </c>
      <c r="V261" t="s">
        <v>83</v>
      </c>
      <c r="W261" t="s">
        <v>84</v>
      </c>
      <c r="X261" t="s">
        <v>85</v>
      </c>
      <c r="Y261" t="s">
        <v>86</v>
      </c>
      <c r="Z261" t="s">
        <v>87</v>
      </c>
      <c r="AA261" t="s">
        <v>88</v>
      </c>
      <c r="AB261">
        <v>828</v>
      </c>
      <c r="AC261">
        <v>17</v>
      </c>
      <c r="AE261">
        <v>22</v>
      </c>
      <c r="AF261" t="s">
        <v>89</v>
      </c>
      <c r="AG261" t="s">
        <v>394</v>
      </c>
      <c r="AH261" t="s">
        <v>72</v>
      </c>
      <c r="AI261" t="s">
        <v>72</v>
      </c>
      <c r="AJ261" t="s">
        <v>91</v>
      </c>
      <c r="AK261" t="s">
        <v>92</v>
      </c>
      <c r="AL261" t="s">
        <v>93</v>
      </c>
      <c r="AM261" t="s">
        <v>94</v>
      </c>
      <c r="AN261" t="s">
        <v>395</v>
      </c>
      <c r="AO261" t="s">
        <v>396</v>
      </c>
      <c r="AP261" t="s">
        <v>243</v>
      </c>
      <c r="AQ261">
        <v>39</v>
      </c>
      <c r="AR261" t="s">
        <v>80</v>
      </c>
      <c r="AS261">
        <v>1350</v>
      </c>
      <c r="AT261">
        <v>0.96530000000000005</v>
      </c>
      <c r="AU261">
        <v>172</v>
      </c>
      <c r="AV261">
        <v>0.94740000000000002</v>
      </c>
      <c r="AW261" t="s">
        <v>397</v>
      </c>
      <c r="AX261" t="s">
        <v>398</v>
      </c>
      <c r="AY261" t="s">
        <v>100</v>
      </c>
      <c r="AZ261" t="s">
        <v>101</v>
      </c>
      <c r="BA261" t="s">
        <v>102</v>
      </c>
      <c r="BB261" t="s">
        <v>103</v>
      </c>
      <c r="BC261" t="s">
        <v>246</v>
      </c>
      <c r="BD261" t="s">
        <v>105</v>
      </c>
      <c r="BE261">
        <v>86922</v>
      </c>
      <c r="BF261" t="s">
        <v>247</v>
      </c>
      <c r="BG261">
        <v>1073</v>
      </c>
      <c r="BH261" t="s">
        <v>80</v>
      </c>
      <c r="BI261">
        <v>1</v>
      </c>
      <c r="BJ261">
        <v>6979</v>
      </c>
      <c r="BK261">
        <v>4</v>
      </c>
      <c r="BL261">
        <v>31</v>
      </c>
      <c r="BM261">
        <v>50</v>
      </c>
      <c r="BN261">
        <v>43</v>
      </c>
      <c r="BO261">
        <v>84</v>
      </c>
      <c r="BP261">
        <v>31</v>
      </c>
      <c r="BQ261" s="2">
        <v>59</v>
      </c>
      <c r="BR261">
        <f t="shared" si="68"/>
        <v>6980</v>
      </c>
      <c r="BS261">
        <f t="shared" si="69"/>
        <v>5</v>
      </c>
      <c r="BT261">
        <f t="shared" si="70"/>
        <v>32</v>
      </c>
      <c r="BU261">
        <f t="shared" si="71"/>
        <v>51</v>
      </c>
      <c r="BV261">
        <f t="shared" si="72"/>
        <v>44</v>
      </c>
      <c r="BW261">
        <f t="shared" si="73"/>
        <v>85</v>
      </c>
      <c r="BX261">
        <f t="shared" si="74"/>
        <v>32</v>
      </c>
      <c r="BY261" s="2">
        <f t="shared" si="75"/>
        <v>60</v>
      </c>
      <c r="BZ261">
        <f t="shared" si="76"/>
        <v>67.060193391597807</v>
      </c>
      <c r="CA261">
        <v>67.060193391597807</v>
      </c>
      <c r="CB261">
        <v>67.060193391597807</v>
      </c>
      <c r="CC261">
        <v>67.060193391597807</v>
      </c>
      <c r="CD261">
        <v>67.060193391597807</v>
      </c>
      <c r="CE261">
        <v>67.060193391597807</v>
      </c>
      <c r="CF261">
        <v>67.060193391597807</v>
      </c>
      <c r="CG261">
        <v>67.060193391597807</v>
      </c>
      <c r="CH261">
        <f t="shared" si="77"/>
        <v>2.0173906210880297</v>
      </c>
      <c r="CI261">
        <f t="shared" si="78"/>
        <v>-1.1274947971991127</v>
      </c>
      <c r="CJ261">
        <f t="shared" si="79"/>
        <v>-0.32131482321522553</v>
      </c>
      <c r="CK261">
        <f t="shared" si="80"/>
        <v>-0.11889462543719513</v>
      </c>
      <c r="CL261">
        <f t="shared" si="81"/>
        <v>-0.18301212504894407</v>
      </c>
      <c r="CM261">
        <f t="shared" si="82"/>
        <v>0.10295412417916119</v>
      </c>
      <c r="CN261">
        <f t="shared" si="83"/>
        <v>-0.32131482321522553</v>
      </c>
      <c r="CO261" s="2">
        <f t="shared" si="84"/>
        <v>-4.8313551151487874E-2</v>
      </c>
      <c r="CP261">
        <v>1.7467300179313101</v>
      </c>
      <c r="CQ261">
        <v>1.4684672676775901</v>
      </c>
      <c r="CR261">
        <v>1.0595495570235001</v>
      </c>
      <c r="CS261">
        <v>-1.99569234504295</v>
      </c>
      <c r="CT261">
        <v>-2.3968314213309001</v>
      </c>
      <c r="CU261">
        <v>-2.1298831432632701</v>
      </c>
      <c r="CV261">
        <v>1.8145215962954799</v>
      </c>
      <c r="CW261">
        <v>-1.6170721833169499</v>
      </c>
      <c r="CX261" t="s">
        <v>1827</v>
      </c>
    </row>
    <row r="262" spans="1:102" x14ac:dyDescent="0.35">
      <c r="A262" t="s">
        <v>1656</v>
      </c>
      <c r="B262" t="s">
        <v>142</v>
      </c>
      <c r="C262" t="s">
        <v>1657</v>
      </c>
      <c r="D262" t="s">
        <v>72</v>
      </c>
      <c r="E262" t="s">
        <v>72</v>
      </c>
      <c r="F262" t="s">
        <v>72</v>
      </c>
      <c r="G262" t="s">
        <v>73</v>
      </c>
      <c r="H262" t="s">
        <v>74</v>
      </c>
      <c r="I262" t="s">
        <v>75</v>
      </c>
      <c r="J262" t="s">
        <v>76</v>
      </c>
      <c r="K262" t="s">
        <v>77</v>
      </c>
      <c r="L262" t="s">
        <v>78</v>
      </c>
      <c r="M262" t="s">
        <v>79</v>
      </c>
      <c r="N262">
        <v>60</v>
      </c>
      <c r="O262" t="s">
        <v>80</v>
      </c>
      <c r="P262">
        <v>792</v>
      </c>
      <c r="Q262">
        <v>0.75</v>
      </c>
      <c r="R262">
        <v>177</v>
      </c>
      <c r="S262">
        <v>0.85419999999999996</v>
      </c>
      <c r="T262" t="s">
        <v>81</v>
      </c>
      <c r="U262" t="s">
        <v>82</v>
      </c>
      <c r="V262" t="s">
        <v>83</v>
      </c>
      <c r="W262" t="s">
        <v>84</v>
      </c>
      <c r="X262" t="s">
        <v>85</v>
      </c>
      <c r="Y262" t="s">
        <v>86</v>
      </c>
      <c r="Z262" t="s">
        <v>87</v>
      </c>
      <c r="AA262" t="s">
        <v>88</v>
      </c>
      <c r="AB262">
        <v>504</v>
      </c>
      <c r="AC262">
        <v>15</v>
      </c>
      <c r="AE262">
        <v>22</v>
      </c>
      <c r="AF262" t="s">
        <v>159</v>
      </c>
      <c r="AG262" t="s">
        <v>1658</v>
      </c>
      <c r="AH262" t="s">
        <v>72</v>
      </c>
      <c r="AI262" t="s">
        <v>72</v>
      </c>
      <c r="AJ262" t="s">
        <v>72</v>
      </c>
      <c r="AK262" t="s">
        <v>92</v>
      </c>
      <c r="AL262" t="s">
        <v>93</v>
      </c>
      <c r="AM262" t="s">
        <v>94</v>
      </c>
      <c r="AN262" t="s">
        <v>1659</v>
      </c>
      <c r="AO262" t="s">
        <v>1660</v>
      </c>
      <c r="AP262" t="s">
        <v>97</v>
      </c>
      <c r="AQ262">
        <v>39</v>
      </c>
      <c r="AR262" t="s">
        <v>80</v>
      </c>
      <c r="AS262">
        <v>1092</v>
      </c>
      <c r="AT262">
        <v>0.96970000000000001</v>
      </c>
      <c r="AU262">
        <v>163</v>
      </c>
      <c r="AV262">
        <v>0.92110000000000003</v>
      </c>
      <c r="AW262" t="s">
        <v>98</v>
      </c>
      <c r="AX262" t="s">
        <v>1661</v>
      </c>
      <c r="AY262" t="s">
        <v>1662</v>
      </c>
      <c r="AZ262" t="s">
        <v>307</v>
      </c>
      <c r="BA262" t="s">
        <v>253</v>
      </c>
      <c r="BB262" t="s">
        <v>464</v>
      </c>
      <c r="BC262" t="s">
        <v>104</v>
      </c>
      <c r="BD262" t="s">
        <v>105</v>
      </c>
      <c r="BE262">
        <v>323</v>
      </c>
      <c r="BF262" t="s">
        <v>106</v>
      </c>
      <c r="BG262">
        <v>1</v>
      </c>
      <c r="BH262" t="s">
        <v>80</v>
      </c>
      <c r="BI262">
        <v>1</v>
      </c>
      <c r="BJ262">
        <v>1738</v>
      </c>
      <c r="BK262">
        <v>0</v>
      </c>
      <c r="BL262">
        <v>15</v>
      </c>
      <c r="BM262">
        <v>14</v>
      </c>
      <c r="BN262">
        <v>18</v>
      </c>
      <c r="BO262">
        <v>20</v>
      </c>
      <c r="BP262">
        <v>5</v>
      </c>
      <c r="BQ262" s="2">
        <v>14</v>
      </c>
      <c r="BR262">
        <f t="shared" si="68"/>
        <v>1739</v>
      </c>
      <c r="BS262">
        <f t="shared" si="69"/>
        <v>1</v>
      </c>
      <c r="BT262">
        <f t="shared" si="70"/>
        <v>16</v>
      </c>
      <c r="BU262">
        <f t="shared" si="71"/>
        <v>15</v>
      </c>
      <c r="BV262">
        <f t="shared" si="72"/>
        <v>19</v>
      </c>
      <c r="BW262">
        <f t="shared" si="73"/>
        <v>21</v>
      </c>
      <c r="BX262">
        <f t="shared" si="74"/>
        <v>6</v>
      </c>
      <c r="BY262" s="2">
        <f t="shared" si="75"/>
        <v>15</v>
      </c>
      <c r="BZ262">
        <f t="shared" si="76"/>
        <v>18.705347407720275</v>
      </c>
      <c r="CA262">
        <v>18.705347407720275</v>
      </c>
      <c r="CB262">
        <v>18.705347407720275</v>
      </c>
      <c r="CC262">
        <v>18.705347407720275</v>
      </c>
      <c r="CD262">
        <v>18.705347407720275</v>
      </c>
      <c r="CE262">
        <v>18.705347407720275</v>
      </c>
      <c r="CF262">
        <v>18.705347407720275</v>
      </c>
      <c r="CG262">
        <v>18.705347407720275</v>
      </c>
      <c r="CH262">
        <f t="shared" si="77"/>
        <v>1.9683338033976636</v>
      </c>
      <c r="CI262">
        <f t="shared" si="78"/>
        <v>-1.2719657786050489</v>
      </c>
      <c r="CJ262">
        <f t="shared" si="79"/>
        <v>-6.7845795949124113E-2</v>
      </c>
      <c r="CK262">
        <f t="shared" si="80"/>
        <v>-9.5874519549367668E-2</v>
      </c>
      <c r="CL262">
        <f t="shared" si="81"/>
        <v>6.7878223477800459E-3</v>
      </c>
      <c r="CM262">
        <f t="shared" si="82"/>
        <v>5.0253516128870371E-2</v>
      </c>
      <c r="CN262">
        <f t="shared" si="83"/>
        <v>-0.49381452822140531</v>
      </c>
      <c r="CO262" s="2">
        <f t="shared" si="84"/>
        <v>-9.5874519549367668E-2</v>
      </c>
      <c r="CP262">
        <v>1.6877915702949</v>
      </c>
      <c r="CQ262">
        <v>-2.2527165794045199</v>
      </c>
      <c r="CR262">
        <v>2.1920181156544301</v>
      </c>
      <c r="CS262">
        <v>-1.92786475626274</v>
      </c>
      <c r="CT262">
        <v>-1.8685014172371801</v>
      </c>
      <c r="CU262">
        <v>-2.2820716415259601</v>
      </c>
      <c r="CV262">
        <v>1.3518819082801801</v>
      </c>
      <c r="CW262">
        <v>-1.74770567805639</v>
      </c>
      <c r="CX262" t="s">
        <v>1827</v>
      </c>
    </row>
    <row r="263" spans="1:102" x14ac:dyDescent="0.35">
      <c r="A263" t="s">
        <v>1321</v>
      </c>
      <c r="B263" t="s">
        <v>211</v>
      </c>
      <c r="C263" t="s">
        <v>1322</v>
      </c>
      <c r="D263" t="s">
        <v>72</v>
      </c>
      <c r="E263" t="s">
        <v>72</v>
      </c>
      <c r="F263" t="s">
        <v>72</v>
      </c>
      <c r="G263" t="s">
        <v>73</v>
      </c>
      <c r="H263" t="s">
        <v>74</v>
      </c>
      <c r="I263" t="s">
        <v>75</v>
      </c>
      <c r="J263" t="s">
        <v>76</v>
      </c>
      <c r="K263" t="s">
        <v>77</v>
      </c>
      <c r="L263" t="s">
        <v>78</v>
      </c>
      <c r="M263" t="s">
        <v>79</v>
      </c>
      <c r="N263">
        <v>60</v>
      </c>
      <c r="O263" t="s">
        <v>80</v>
      </c>
      <c r="P263">
        <v>792</v>
      </c>
      <c r="Q263">
        <v>0.75</v>
      </c>
      <c r="R263">
        <v>177</v>
      </c>
      <c r="S263">
        <v>0.85419999999999996</v>
      </c>
      <c r="T263" t="s">
        <v>81</v>
      </c>
      <c r="U263" t="s">
        <v>82</v>
      </c>
      <c r="V263" t="s">
        <v>83</v>
      </c>
      <c r="W263" t="s">
        <v>84</v>
      </c>
      <c r="X263" t="s">
        <v>85</v>
      </c>
      <c r="Y263" t="s">
        <v>86</v>
      </c>
      <c r="Z263" t="s">
        <v>87</v>
      </c>
      <c r="AA263" t="s">
        <v>88</v>
      </c>
      <c r="AB263">
        <v>363</v>
      </c>
      <c r="AC263">
        <v>11</v>
      </c>
      <c r="AE263">
        <v>22</v>
      </c>
      <c r="AF263" t="s">
        <v>89</v>
      </c>
      <c r="AG263" t="s">
        <v>1323</v>
      </c>
      <c r="AH263" t="s">
        <v>72</v>
      </c>
      <c r="AI263" t="s">
        <v>72</v>
      </c>
      <c r="AJ263" t="s">
        <v>91</v>
      </c>
      <c r="AK263" t="s">
        <v>92</v>
      </c>
      <c r="AL263" t="s">
        <v>93</v>
      </c>
      <c r="AM263" t="s">
        <v>94</v>
      </c>
      <c r="AN263" t="s">
        <v>1324</v>
      </c>
      <c r="AO263" t="s">
        <v>1325</v>
      </c>
      <c r="AP263" t="s">
        <v>1326</v>
      </c>
      <c r="AQ263">
        <v>39</v>
      </c>
      <c r="AR263" t="s">
        <v>80</v>
      </c>
      <c r="AS263">
        <v>1332</v>
      </c>
      <c r="AT263">
        <v>0.95830000000000004</v>
      </c>
      <c r="AU263">
        <v>136</v>
      </c>
      <c r="AV263">
        <v>0.84209999999999996</v>
      </c>
      <c r="AW263" t="s">
        <v>98</v>
      </c>
      <c r="AX263" t="s">
        <v>99</v>
      </c>
      <c r="AY263" t="s">
        <v>1327</v>
      </c>
      <c r="AZ263" t="s">
        <v>1328</v>
      </c>
      <c r="BA263" t="s">
        <v>1329</v>
      </c>
      <c r="BB263" t="s">
        <v>655</v>
      </c>
      <c r="BC263" t="s">
        <v>1330</v>
      </c>
      <c r="BD263" t="s">
        <v>105</v>
      </c>
      <c r="BE263">
        <v>45568</v>
      </c>
      <c r="BF263" t="s">
        <v>1331</v>
      </c>
      <c r="BG263">
        <v>515</v>
      </c>
      <c r="BH263" t="s">
        <v>80</v>
      </c>
      <c r="BI263">
        <v>1</v>
      </c>
      <c r="BJ263">
        <v>2894</v>
      </c>
      <c r="BK263">
        <v>0</v>
      </c>
      <c r="BL263">
        <v>20</v>
      </c>
      <c r="BM263">
        <v>24</v>
      </c>
      <c r="BN263">
        <v>27</v>
      </c>
      <c r="BO263">
        <v>56</v>
      </c>
      <c r="BP263">
        <v>16</v>
      </c>
      <c r="BQ263" s="2">
        <v>27</v>
      </c>
      <c r="BR263">
        <f t="shared" si="68"/>
        <v>2895</v>
      </c>
      <c r="BS263">
        <f t="shared" si="69"/>
        <v>1</v>
      </c>
      <c r="BT263">
        <f t="shared" si="70"/>
        <v>21</v>
      </c>
      <c r="BU263">
        <f t="shared" si="71"/>
        <v>25</v>
      </c>
      <c r="BV263">
        <f t="shared" si="72"/>
        <v>28</v>
      </c>
      <c r="BW263">
        <f t="shared" si="73"/>
        <v>57</v>
      </c>
      <c r="BX263">
        <f t="shared" si="74"/>
        <v>17</v>
      </c>
      <c r="BY263" s="2">
        <f t="shared" si="75"/>
        <v>28</v>
      </c>
      <c r="BZ263">
        <f t="shared" si="76"/>
        <v>32.196299886965811</v>
      </c>
      <c r="CA263">
        <v>32.196299886965811</v>
      </c>
      <c r="CB263">
        <v>32.196299886965811</v>
      </c>
      <c r="CC263">
        <v>32.196299886965811</v>
      </c>
      <c r="CD263">
        <v>32.196299886965811</v>
      </c>
      <c r="CE263">
        <v>32.196299886965811</v>
      </c>
      <c r="CF263">
        <v>32.196299886965811</v>
      </c>
      <c r="CG263">
        <v>32.196299886965811</v>
      </c>
      <c r="CH263">
        <f t="shared" si="77"/>
        <v>1.953842604162878</v>
      </c>
      <c r="CI263">
        <f t="shared" si="78"/>
        <v>-1.507805963900577</v>
      </c>
      <c r="CJ263">
        <f t="shared" si="79"/>
        <v>-0.18558666916665767</v>
      </c>
      <c r="CK263">
        <f t="shared" si="80"/>
        <v>-0.10986595522853938</v>
      </c>
      <c r="CL263">
        <f t="shared" si="81"/>
        <v>-6.0647932558357723E-2</v>
      </c>
      <c r="CM263">
        <f t="shared" si="82"/>
        <v>0.24806889177191441</v>
      </c>
      <c r="CN263">
        <f t="shared" si="83"/>
        <v>-0.27735704252230303</v>
      </c>
      <c r="CO263" s="2">
        <f t="shared" si="84"/>
        <v>-6.0647932558357723E-2</v>
      </c>
      <c r="CP263">
        <v>1.6703813747808101</v>
      </c>
      <c r="CQ263">
        <v>-2.2527165794045199</v>
      </c>
      <c r="CR263">
        <v>1.66596631980868</v>
      </c>
      <c r="CS263">
        <v>-1.9690898205745999</v>
      </c>
      <c r="CT263">
        <v>-2.0562166044872101</v>
      </c>
      <c r="CU263">
        <v>-1.7108215921212799</v>
      </c>
      <c r="CV263">
        <v>1.93241521208392</v>
      </c>
      <c r="CW263">
        <v>-1.6509504537329101</v>
      </c>
      <c r="CX263" t="s">
        <v>1827</v>
      </c>
    </row>
    <row r="264" spans="1:102" x14ac:dyDescent="0.35">
      <c r="A264" t="s">
        <v>147</v>
      </c>
      <c r="B264" t="s">
        <v>148</v>
      </c>
      <c r="C264" t="s">
        <v>149</v>
      </c>
      <c r="D264" t="s">
        <v>72</v>
      </c>
      <c r="E264" t="s">
        <v>72</v>
      </c>
      <c r="F264" t="s">
        <v>72</v>
      </c>
      <c r="G264" t="s">
        <v>73</v>
      </c>
      <c r="H264" t="s">
        <v>74</v>
      </c>
      <c r="I264" t="s">
        <v>75</v>
      </c>
      <c r="J264" t="s">
        <v>76</v>
      </c>
      <c r="K264" t="s">
        <v>77</v>
      </c>
      <c r="L264" t="s">
        <v>78</v>
      </c>
      <c r="M264" t="s">
        <v>79</v>
      </c>
      <c r="N264">
        <v>60</v>
      </c>
      <c r="O264" t="s">
        <v>80</v>
      </c>
      <c r="P264">
        <v>792</v>
      </c>
      <c r="Q264">
        <v>0.75</v>
      </c>
      <c r="R264">
        <v>177</v>
      </c>
      <c r="S264">
        <v>0.85419999999999996</v>
      </c>
      <c r="T264" t="s">
        <v>81</v>
      </c>
      <c r="U264" t="s">
        <v>82</v>
      </c>
      <c r="V264" t="s">
        <v>83</v>
      </c>
      <c r="W264" t="s">
        <v>84</v>
      </c>
      <c r="X264" t="s">
        <v>85</v>
      </c>
      <c r="Y264" t="s">
        <v>86</v>
      </c>
      <c r="Z264" t="s">
        <v>87</v>
      </c>
      <c r="AA264" t="s">
        <v>88</v>
      </c>
      <c r="AB264">
        <v>600</v>
      </c>
      <c r="AC264">
        <v>11</v>
      </c>
      <c r="AE264">
        <v>22</v>
      </c>
      <c r="AF264" t="s">
        <v>89</v>
      </c>
      <c r="AG264" t="s">
        <v>150</v>
      </c>
      <c r="AH264" t="s">
        <v>72</v>
      </c>
      <c r="AI264" t="s">
        <v>72</v>
      </c>
      <c r="AJ264" t="s">
        <v>91</v>
      </c>
      <c r="AK264" t="s">
        <v>92</v>
      </c>
      <c r="AL264" t="s">
        <v>93</v>
      </c>
      <c r="AM264" t="s">
        <v>94</v>
      </c>
      <c r="AN264" t="s">
        <v>95</v>
      </c>
      <c r="AO264" t="s">
        <v>96</v>
      </c>
      <c r="AP264" t="s">
        <v>97</v>
      </c>
      <c r="AQ264">
        <v>39</v>
      </c>
      <c r="AR264" t="s">
        <v>80</v>
      </c>
      <c r="AS264">
        <v>1368</v>
      </c>
      <c r="AT264">
        <v>0.97219999999999995</v>
      </c>
      <c r="AU264">
        <v>172</v>
      </c>
      <c r="AV264">
        <v>0.94740000000000002</v>
      </c>
      <c r="AW264" t="s">
        <v>98</v>
      </c>
      <c r="AX264" t="s">
        <v>99</v>
      </c>
      <c r="AY264" t="s">
        <v>100</v>
      </c>
      <c r="AZ264" t="s">
        <v>101</v>
      </c>
      <c r="BA264" t="s">
        <v>102</v>
      </c>
      <c r="BB264" t="s">
        <v>103</v>
      </c>
      <c r="BC264" t="s">
        <v>104</v>
      </c>
      <c r="BD264" t="s">
        <v>105</v>
      </c>
      <c r="BE264">
        <v>148240</v>
      </c>
      <c r="BF264" t="s">
        <v>106</v>
      </c>
      <c r="BG264">
        <v>1652</v>
      </c>
      <c r="BH264" t="s">
        <v>80</v>
      </c>
      <c r="BI264">
        <v>1</v>
      </c>
      <c r="BJ264">
        <v>1299</v>
      </c>
      <c r="BK264">
        <v>0</v>
      </c>
      <c r="BL264">
        <v>13</v>
      </c>
      <c r="BM264">
        <v>10</v>
      </c>
      <c r="BN264">
        <v>11</v>
      </c>
      <c r="BO264">
        <v>24</v>
      </c>
      <c r="BP264">
        <v>4</v>
      </c>
      <c r="BQ264" s="2">
        <v>12</v>
      </c>
      <c r="BR264">
        <f t="shared" si="68"/>
        <v>1300</v>
      </c>
      <c r="BS264">
        <f t="shared" si="69"/>
        <v>1</v>
      </c>
      <c r="BT264">
        <f t="shared" si="70"/>
        <v>14</v>
      </c>
      <c r="BU264">
        <f t="shared" si="71"/>
        <v>11</v>
      </c>
      <c r="BV264">
        <f t="shared" si="72"/>
        <v>12</v>
      </c>
      <c r="BW264">
        <f t="shared" si="73"/>
        <v>25</v>
      </c>
      <c r="BX264">
        <f t="shared" si="74"/>
        <v>5</v>
      </c>
      <c r="BY264" s="2">
        <f t="shared" si="75"/>
        <v>13</v>
      </c>
      <c r="BZ264">
        <f t="shared" si="76"/>
        <v>15.810198971374836</v>
      </c>
      <c r="CA264">
        <v>15.810198971374836</v>
      </c>
      <c r="CB264">
        <v>15.810198971374836</v>
      </c>
      <c r="CC264">
        <v>15.810198971374836</v>
      </c>
      <c r="CD264">
        <v>15.810198971374836</v>
      </c>
      <c r="CE264">
        <v>15.810198971374836</v>
      </c>
      <c r="CF264">
        <v>15.810198971374836</v>
      </c>
      <c r="CG264">
        <v>15.810198971374836</v>
      </c>
      <c r="CH264">
        <f t="shared" si="77"/>
        <v>1.9150060167436096</v>
      </c>
      <c r="CI264">
        <f t="shared" si="78"/>
        <v>-1.1989373355632271</v>
      </c>
      <c r="CJ264">
        <f t="shared" si="79"/>
        <v>-5.2809299884989176E-2</v>
      </c>
      <c r="CK264">
        <f t="shared" si="80"/>
        <v>-0.15754465040500218</v>
      </c>
      <c r="CL264">
        <f t="shared" si="81"/>
        <v>-0.11975608951560239</v>
      </c>
      <c r="CM264">
        <f t="shared" si="82"/>
        <v>0.19900267310881042</v>
      </c>
      <c r="CN264">
        <f t="shared" si="83"/>
        <v>-0.49996733122720843</v>
      </c>
      <c r="CO264" s="2">
        <f t="shared" si="84"/>
        <v>-8.4993983256390446E-2</v>
      </c>
      <c r="CP264">
        <v>1.62372184239053</v>
      </c>
      <c r="CQ264">
        <v>-2.2527165794045199</v>
      </c>
      <c r="CR264">
        <v>2.2591993377874799</v>
      </c>
      <c r="CS264">
        <v>-2.10957270739382</v>
      </c>
      <c r="CT264">
        <v>-2.2207509641407399</v>
      </c>
      <c r="CU264">
        <v>-1.8525147226187699</v>
      </c>
      <c r="CV264">
        <v>1.3353802518691</v>
      </c>
      <c r="CW264">
        <v>-1.71782061624056</v>
      </c>
      <c r="CX264" t="s">
        <v>1827</v>
      </c>
    </row>
    <row r="265" spans="1:102" x14ac:dyDescent="0.35">
      <c r="A265" t="s">
        <v>1806</v>
      </c>
      <c r="B265" t="s">
        <v>153</v>
      </c>
      <c r="C265" t="s">
        <v>149</v>
      </c>
      <c r="D265" t="s">
        <v>72</v>
      </c>
      <c r="E265" t="s">
        <v>72</v>
      </c>
      <c r="F265" t="s">
        <v>72</v>
      </c>
      <c r="G265" t="s">
        <v>73</v>
      </c>
      <c r="H265" t="s">
        <v>74</v>
      </c>
      <c r="I265" t="s">
        <v>75</v>
      </c>
      <c r="J265" t="s">
        <v>76</v>
      </c>
      <c r="K265" t="s">
        <v>77</v>
      </c>
      <c r="L265" t="s">
        <v>78</v>
      </c>
      <c r="M265" t="s">
        <v>79</v>
      </c>
      <c r="N265">
        <v>60</v>
      </c>
      <c r="O265" t="s">
        <v>80</v>
      </c>
      <c r="P265">
        <v>792</v>
      </c>
      <c r="Q265">
        <v>0.75</v>
      </c>
      <c r="R265">
        <v>177</v>
      </c>
      <c r="S265">
        <v>0.85419999999999996</v>
      </c>
      <c r="T265" t="s">
        <v>81</v>
      </c>
      <c r="U265" t="s">
        <v>82</v>
      </c>
      <c r="V265" t="s">
        <v>83</v>
      </c>
      <c r="W265" t="s">
        <v>84</v>
      </c>
      <c r="X265" t="s">
        <v>85</v>
      </c>
      <c r="Y265" t="s">
        <v>86</v>
      </c>
      <c r="Z265" t="s">
        <v>87</v>
      </c>
      <c r="AA265" t="s">
        <v>88</v>
      </c>
      <c r="AB265">
        <v>625</v>
      </c>
      <c r="AC265">
        <v>8</v>
      </c>
      <c r="AE265">
        <v>22</v>
      </c>
      <c r="AF265" t="s">
        <v>89</v>
      </c>
      <c r="AG265" t="s">
        <v>1807</v>
      </c>
      <c r="AH265" t="s">
        <v>72</v>
      </c>
      <c r="AI265" t="s">
        <v>72</v>
      </c>
      <c r="AJ265" t="s">
        <v>91</v>
      </c>
      <c r="AK265" t="s">
        <v>92</v>
      </c>
      <c r="AL265" t="s">
        <v>93</v>
      </c>
      <c r="AM265" t="s">
        <v>94</v>
      </c>
      <c r="AN265" t="s">
        <v>1808</v>
      </c>
      <c r="AO265" t="s">
        <v>1809</v>
      </c>
      <c r="AP265" t="s">
        <v>623</v>
      </c>
      <c r="AQ265">
        <v>39</v>
      </c>
      <c r="AR265" t="s">
        <v>80</v>
      </c>
      <c r="AS265">
        <v>1377</v>
      </c>
      <c r="AT265">
        <v>0.97570000000000001</v>
      </c>
      <c r="AU265">
        <v>163</v>
      </c>
      <c r="AV265">
        <v>0.92110000000000003</v>
      </c>
      <c r="AW265" t="s">
        <v>98</v>
      </c>
      <c r="AX265" t="s">
        <v>146</v>
      </c>
      <c r="AY265" t="s">
        <v>100</v>
      </c>
      <c r="AZ265" t="s">
        <v>101</v>
      </c>
      <c r="BA265" t="s">
        <v>953</v>
      </c>
      <c r="BB265" t="s">
        <v>103</v>
      </c>
      <c r="BC265" t="s">
        <v>626</v>
      </c>
      <c r="BD265" t="s">
        <v>105</v>
      </c>
      <c r="BE265">
        <v>10713</v>
      </c>
      <c r="BF265" t="s">
        <v>627</v>
      </c>
      <c r="BG265">
        <v>154</v>
      </c>
      <c r="BH265" t="s">
        <v>80</v>
      </c>
      <c r="BI265">
        <v>1</v>
      </c>
      <c r="BJ265">
        <v>2943</v>
      </c>
      <c r="BK265">
        <v>0</v>
      </c>
      <c r="BL265">
        <v>12</v>
      </c>
      <c r="BM265">
        <v>36</v>
      </c>
      <c r="BN265">
        <v>46</v>
      </c>
      <c r="BO265">
        <v>73</v>
      </c>
      <c r="BP265">
        <v>12</v>
      </c>
      <c r="BQ265" s="2">
        <v>58</v>
      </c>
      <c r="BR265">
        <f t="shared" si="68"/>
        <v>2944</v>
      </c>
      <c r="BS265">
        <f t="shared" si="69"/>
        <v>1</v>
      </c>
      <c r="BT265">
        <f t="shared" si="70"/>
        <v>13</v>
      </c>
      <c r="BU265">
        <f t="shared" si="71"/>
        <v>37</v>
      </c>
      <c r="BV265">
        <f t="shared" si="72"/>
        <v>47</v>
      </c>
      <c r="BW265">
        <f t="shared" si="73"/>
        <v>74</v>
      </c>
      <c r="BX265">
        <f t="shared" si="74"/>
        <v>13</v>
      </c>
      <c r="BY265" s="2">
        <f t="shared" si="75"/>
        <v>59</v>
      </c>
      <c r="BZ265">
        <f t="shared" si="76"/>
        <v>37.337993688548018</v>
      </c>
      <c r="CA265">
        <v>37.337993688548018</v>
      </c>
      <c r="CB265">
        <v>37.337993688548018</v>
      </c>
      <c r="CC265">
        <v>37.337993688548018</v>
      </c>
      <c r="CD265">
        <v>37.337993688548018</v>
      </c>
      <c r="CE265">
        <v>37.337993688548018</v>
      </c>
      <c r="CF265">
        <v>37.337993688548018</v>
      </c>
      <c r="CG265">
        <v>37.337993688548018</v>
      </c>
      <c r="CH265">
        <f t="shared" si="77"/>
        <v>1.8967868277085904</v>
      </c>
      <c r="CI265">
        <f t="shared" si="78"/>
        <v>-1.572150977956871</v>
      </c>
      <c r="CJ265">
        <f t="shared" si="79"/>
        <v>-0.45820762565003414</v>
      </c>
      <c r="CK265">
        <f t="shared" si="80"/>
        <v>-3.9492538898759314E-3</v>
      </c>
      <c r="CL265">
        <f t="shared" si="81"/>
        <v>9.9946879978846548E-2</v>
      </c>
      <c r="CM265">
        <f t="shared" si="82"/>
        <v>0.29708074177410526</v>
      </c>
      <c r="CN265">
        <f t="shared" si="83"/>
        <v>-0.45820762565003414</v>
      </c>
      <c r="CO265" s="2">
        <f t="shared" si="84"/>
        <v>0.19870103368527328</v>
      </c>
      <c r="CP265">
        <v>1.6018327193394599</v>
      </c>
      <c r="CQ265">
        <v>-2.2527165794045199</v>
      </c>
      <c r="CR265">
        <v>0.44792928794208398</v>
      </c>
      <c r="CS265">
        <v>-1.6570115660973299</v>
      </c>
      <c r="CT265">
        <v>-1.60918245548473</v>
      </c>
      <c r="CU265">
        <v>-1.56928546711506</v>
      </c>
      <c r="CV265">
        <v>1.44737868780349</v>
      </c>
      <c r="CW265">
        <v>-0.93860873827329505</v>
      </c>
      <c r="CX265" t="s">
        <v>1827</v>
      </c>
    </row>
    <row r="266" spans="1:102" x14ac:dyDescent="0.35">
      <c r="A266" t="s">
        <v>695</v>
      </c>
      <c r="B266" t="s">
        <v>199</v>
      </c>
      <c r="C266" t="s">
        <v>696</v>
      </c>
      <c r="D266" t="s">
        <v>72</v>
      </c>
      <c r="E266" t="s">
        <v>72</v>
      </c>
      <c r="F266" t="s">
        <v>72</v>
      </c>
      <c r="G266" t="s">
        <v>73</v>
      </c>
      <c r="H266" t="s">
        <v>74</v>
      </c>
      <c r="I266" t="s">
        <v>75</v>
      </c>
      <c r="J266" t="s">
        <v>76</v>
      </c>
      <c r="K266" t="s">
        <v>77</v>
      </c>
      <c r="L266" t="s">
        <v>78</v>
      </c>
      <c r="M266" t="s">
        <v>79</v>
      </c>
      <c r="N266">
        <v>60</v>
      </c>
      <c r="O266" t="s">
        <v>80</v>
      </c>
      <c r="P266">
        <v>792</v>
      </c>
      <c r="Q266">
        <v>0.75</v>
      </c>
      <c r="R266">
        <v>177</v>
      </c>
      <c r="S266">
        <v>0.85419999999999996</v>
      </c>
      <c r="T266" t="s">
        <v>81</v>
      </c>
      <c r="U266" t="s">
        <v>82</v>
      </c>
      <c r="V266" t="s">
        <v>83</v>
      </c>
      <c r="W266" t="s">
        <v>84</v>
      </c>
      <c r="X266" t="s">
        <v>85</v>
      </c>
      <c r="Y266" t="s">
        <v>86</v>
      </c>
      <c r="Z266" t="s">
        <v>87</v>
      </c>
      <c r="AA266" t="s">
        <v>88</v>
      </c>
      <c r="AB266">
        <v>240</v>
      </c>
      <c r="AC266">
        <v>10</v>
      </c>
      <c r="AE266">
        <v>22</v>
      </c>
      <c r="AF266" t="s">
        <v>89</v>
      </c>
      <c r="AG266" t="s">
        <v>697</v>
      </c>
      <c r="AH266" t="s">
        <v>72</v>
      </c>
      <c r="AI266" t="s">
        <v>72</v>
      </c>
      <c r="AJ266" t="s">
        <v>91</v>
      </c>
      <c r="AK266" t="s">
        <v>92</v>
      </c>
      <c r="AL266" t="s">
        <v>93</v>
      </c>
      <c r="AM266" t="s">
        <v>94</v>
      </c>
      <c r="AN266" t="s">
        <v>698</v>
      </c>
      <c r="AO266" t="s">
        <v>699</v>
      </c>
      <c r="AP266" t="s">
        <v>97</v>
      </c>
      <c r="AQ266">
        <v>39</v>
      </c>
      <c r="AR266" t="s">
        <v>80</v>
      </c>
      <c r="AS266">
        <v>1359</v>
      </c>
      <c r="AT266">
        <v>0.96879999999999999</v>
      </c>
      <c r="AU266">
        <v>172</v>
      </c>
      <c r="AV266">
        <v>0.94740000000000002</v>
      </c>
      <c r="AW266" t="s">
        <v>639</v>
      </c>
      <c r="AX266" t="s">
        <v>146</v>
      </c>
      <c r="AY266" t="s">
        <v>218</v>
      </c>
      <c r="AZ266" t="s">
        <v>101</v>
      </c>
      <c r="BA266" t="s">
        <v>102</v>
      </c>
      <c r="BB266" t="s">
        <v>103</v>
      </c>
      <c r="BC266" t="s">
        <v>104</v>
      </c>
      <c r="BD266" t="s">
        <v>105</v>
      </c>
      <c r="BE266">
        <v>111105</v>
      </c>
      <c r="BF266" t="s">
        <v>106</v>
      </c>
      <c r="BG266">
        <v>1315</v>
      </c>
      <c r="BH266" t="s">
        <v>80</v>
      </c>
      <c r="BI266">
        <v>1</v>
      </c>
      <c r="BJ266">
        <v>2136</v>
      </c>
      <c r="BK266">
        <v>0</v>
      </c>
      <c r="BL266">
        <v>17</v>
      </c>
      <c r="BM266">
        <v>25</v>
      </c>
      <c r="BN266">
        <v>41</v>
      </c>
      <c r="BO266">
        <v>49</v>
      </c>
      <c r="BP266">
        <v>8</v>
      </c>
      <c r="BQ266" s="2">
        <v>20</v>
      </c>
      <c r="BR266">
        <f t="shared" si="68"/>
        <v>2137</v>
      </c>
      <c r="BS266">
        <f t="shared" si="69"/>
        <v>1</v>
      </c>
      <c r="BT266">
        <f t="shared" si="70"/>
        <v>18</v>
      </c>
      <c r="BU266">
        <f t="shared" si="71"/>
        <v>26</v>
      </c>
      <c r="BV266">
        <f t="shared" si="72"/>
        <v>42</v>
      </c>
      <c r="BW266">
        <f t="shared" si="73"/>
        <v>50</v>
      </c>
      <c r="BX266">
        <f t="shared" si="74"/>
        <v>9</v>
      </c>
      <c r="BY266" s="2">
        <f t="shared" si="75"/>
        <v>21</v>
      </c>
      <c r="BZ266">
        <f t="shared" si="76"/>
        <v>28.173540962303026</v>
      </c>
      <c r="CA266">
        <v>28.173540962303026</v>
      </c>
      <c r="CB266">
        <v>28.173540962303026</v>
      </c>
      <c r="CC266">
        <v>28.173540962303026</v>
      </c>
      <c r="CD266">
        <v>28.173540962303026</v>
      </c>
      <c r="CE266">
        <v>28.173540962303026</v>
      </c>
      <c r="CF266">
        <v>28.173540962303026</v>
      </c>
      <c r="CG266">
        <v>28.173540962303026</v>
      </c>
      <c r="CH266">
        <f t="shared" si="77"/>
        <v>1.8799630878958999</v>
      </c>
      <c r="CI266">
        <f t="shared" si="78"/>
        <v>-1.4498414342681696</v>
      </c>
      <c r="CJ266">
        <f t="shared" si="79"/>
        <v>-0.19456892916486351</v>
      </c>
      <c r="CK266">
        <f t="shared" si="80"/>
        <v>-3.4868086297351622E-2</v>
      </c>
      <c r="CL266">
        <f t="shared" si="81"/>
        <v>0.17340785612973092</v>
      </c>
      <c r="CM266">
        <f t="shared" si="82"/>
        <v>0.24912857006784922</v>
      </c>
      <c r="CN266">
        <f t="shared" si="83"/>
        <v>-0.49559892482884471</v>
      </c>
      <c r="CO266" s="2">
        <f t="shared" si="84"/>
        <v>-0.12762213953425028</v>
      </c>
      <c r="CP266">
        <v>1.58162013412333</v>
      </c>
      <c r="CQ266">
        <v>-2.2527165794045199</v>
      </c>
      <c r="CR266">
        <v>1.6258346826491701</v>
      </c>
      <c r="CS266">
        <v>-1.74811235687204</v>
      </c>
      <c r="CT266">
        <v>-1.4046953712528201</v>
      </c>
      <c r="CU266">
        <v>-1.70776145952573</v>
      </c>
      <c r="CV266">
        <v>1.34709620334386</v>
      </c>
      <c r="CW266">
        <v>-1.83490538588382</v>
      </c>
      <c r="CX266" t="s">
        <v>1827</v>
      </c>
    </row>
    <row r="267" spans="1:102" x14ac:dyDescent="0.35">
      <c r="A267" t="s">
        <v>69</v>
      </c>
      <c r="B267" t="s">
        <v>70</v>
      </c>
      <c r="C267" t="s">
        <v>71</v>
      </c>
      <c r="D267" t="s">
        <v>72</v>
      </c>
      <c r="E267" t="s">
        <v>72</v>
      </c>
      <c r="F267" t="s">
        <v>72</v>
      </c>
      <c r="G267" t="s">
        <v>73</v>
      </c>
      <c r="H267" t="s">
        <v>74</v>
      </c>
      <c r="I267" t="s">
        <v>75</v>
      </c>
      <c r="J267" t="s">
        <v>76</v>
      </c>
      <c r="K267" t="s">
        <v>77</v>
      </c>
      <c r="L267" t="s">
        <v>78</v>
      </c>
      <c r="M267" t="s">
        <v>79</v>
      </c>
      <c r="N267">
        <v>60</v>
      </c>
      <c r="O267" t="s">
        <v>80</v>
      </c>
      <c r="P267">
        <v>792</v>
      </c>
      <c r="Q267">
        <v>0.75</v>
      </c>
      <c r="R267">
        <v>177</v>
      </c>
      <c r="S267">
        <v>0.85419999999999996</v>
      </c>
      <c r="T267" t="s">
        <v>81</v>
      </c>
      <c r="U267" t="s">
        <v>82</v>
      </c>
      <c r="V267" t="s">
        <v>83</v>
      </c>
      <c r="W267" t="s">
        <v>84</v>
      </c>
      <c r="X267" t="s">
        <v>85</v>
      </c>
      <c r="Y267" t="s">
        <v>86</v>
      </c>
      <c r="Z267" t="s">
        <v>87</v>
      </c>
      <c r="AA267" t="s">
        <v>88</v>
      </c>
      <c r="AB267">
        <v>216</v>
      </c>
      <c r="AC267">
        <v>5</v>
      </c>
      <c r="AE267">
        <v>22</v>
      </c>
      <c r="AF267" t="s">
        <v>89</v>
      </c>
      <c r="AG267" t="s">
        <v>90</v>
      </c>
      <c r="AH267" t="s">
        <v>72</v>
      </c>
      <c r="AI267" t="s">
        <v>72</v>
      </c>
      <c r="AJ267" t="s">
        <v>91</v>
      </c>
      <c r="AK267" t="s">
        <v>92</v>
      </c>
      <c r="AL267" t="s">
        <v>93</v>
      </c>
      <c r="AM267" t="s">
        <v>94</v>
      </c>
      <c r="AN267" t="s">
        <v>95</v>
      </c>
      <c r="AO267" t="s">
        <v>96</v>
      </c>
      <c r="AP267" t="s">
        <v>97</v>
      </c>
      <c r="AQ267">
        <v>39</v>
      </c>
      <c r="AR267" t="s">
        <v>80</v>
      </c>
      <c r="AS267">
        <v>1368</v>
      </c>
      <c r="AT267">
        <v>0.97219999999999995</v>
      </c>
      <c r="AU267">
        <v>172</v>
      </c>
      <c r="AV267">
        <v>0.94740000000000002</v>
      </c>
      <c r="AW267" t="s">
        <v>98</v>
      </c>
      <c r="AX267" t="s">
        <v>99</v>
      </c>
      <c r="AY267" t="s">
        <v>100</v>
      </c>
      <c r="AZ267" t="s">
        <v>101</v>
      </c>
      <c r="BA267" t="s">
        <v>102</v>
      </c>
      <c r="BB267" t="s">
        <v>103</v>
      </c>
      <c r="BC267" t="s">
        <v>104</v>
      </c>
      <c r="BD267" t="s">
        <v>105</v>
      </c>
      <c r="BE267">
        <v>64145</v>
      </c>
      <c r="BF267" t="s">
        <v>106</v>
      </c>
      <c r="BG267">
        <v>735</v>
      </c>
      <c r="BH267" t="s">
        <v>80</v>
      </c>
      <c r="BI267">
        <v>1</v>
      </c>
      <c r="BJ267">
        <v>2668</v>
      </c>
      <c r="BK267">
        <v>0</v>
      </c>
      <c r="BL267">
        <v>21</v>
      </c>
      <c r="BM267">
        <v>48</v>
      </c>
      <c r="BN267">
        <v>51</v>
      </c>
      <c r="BO267">
        <v>82</v>
      </c>
      <c r="BP267">
        <v>12</v>
      </c>
      <c r="BQ267" s="2">
        <v>19</v>
      </c>
      <c r="BR267">
        <f t="shared" si="68"/>
        <v>2669</v>
      </c>
      <c r="BS267">
        <f t="shared" si="69"/>
        <v>1</v>
      </c>
      <c r="BT267">
        <f t="shared" si="70"/>
        <v>22</v>
      </c>
      <c r="BU267">
        <f t="shared" si="71"/>
        <v>49</v>
      </c>
      <c r="BV267">
        <f t="shared" si="72"/>
        <v>52</v>
      </c>
      <c r="BW267">
        <f t="shared" si="73"/>
        <v>83</v>
      </c>
      <c r="BX267">
        <f t="shared" si="74"/>
        <v>13</v>
      </c>
      <c r="BY267" s="2">
        <f t="shared" si="75"/>
        <v>20</v>
      </c>
      <c r="BZ267">
        <f t="shared" si="76"/>
        <v>36.612363440371929</v>
      </c>
      <c r="CA267">
        <v>36.612363440371929</v>
      </c>
      <c r="CB267">
        <v>36.612363440371929</v>
      </c>
      <c r="CC267">
        <v>36.612363440371929</v>
      </c>
      <c r="CD267">
        <v>36.612363440371929</v>
      </c>
      <c r="CE267">
        <v>36.612363440371929</v>
      </c>
      <c r="CF267">
        <v>36.612363440371929</v>
      </c>
      <c r="CG267">
        <v>36.612363440371929</v>
      </c>
      <c r="CH267">
        <f t="shared" si="77"/>
        <v>1.8627208089600178</v>
      </c>
      <c r="CI267">
        <f t="shared" si="78"/>
        <v>-1.5636277648274899</v>
      </c>
      <c r="CJ267">
        <f t="shared" si="79"/>
        <v>-0.22120508400528355</v>
      </c>
      <c r="CK267">
        <f t="shared" si="80"/>
        <v>0.12656831520102382</v>
      </c>
      <c r="CL267">
        <f t="shared" si="81"/>
        <v>0.15237557880730937</v>
      </c>
      <c r="CM267">
        <f t="shared" si="82"/>
        <v>0.35545032754858408</v>
      </c>
      <c r="CN267">
        <f t="shared" si="83"/>
        <v>-0.449684412520653</v>
      </c>
      <c r="CO267" s="2">
        <f t="shared" si="84"/>
        <v>-0.26259776916350858</v>
      </c>
      <c r="CP267">
        <v>1.5609047024659199</v>
      </c>
      <c r="CQ267">
        <v>-2.2527165794045199</v>
      </c>
      <c r="CR267">
        <v>1.5068276063016099</v>
      </c>
      <c r="CS267">
        <v>-1.2724480871964301</v>
      </c>
      <c r="CT267">
        <v>-1.4632411364980999</v>
      </c>
      <c r="CU267">
        <v>-1.4007261291515101</v>
      </c>
      <c r="CV267">
        <v>1.47023772204313</v>
      </c>
      <c r="CW267">
        <v>-2.2056366556010301</v>
      </c>
      <c r="CX267" t="s">
        <v>1827</v>
      </c>
    </row>
    <row r="268" spans="1:102" x14ac:dyDescent="0.35">
      <c r="A268" t="s">
        <v>480</v>
      </c>
      <c r="B268" t="s">
        <v>148</v>
      </c>
      <c r="C268" t="s">
        <v>481</v>
      </c>
      <c r="D268" t="s">
        <v>72</v>
      </c>
      <c r="E268" t="s">
        <v>72</v>
      </c>
      <c r="F268" t="s">
        <v>72</v>
      </c>
      <c r="G268" t="s">
        <v>73</v>
      </c>
      <c r="H268" t="s">
        <v>74</v>
      </c>
      <c r="I268" t="s">
        <v>75</v>
      </c>
      <c r="J268" t="s">
        <v>76</v>
      </c>
      <c r="K268" t="s">
        <v>77</v>
      </c>
      <c r="L268" t="s">
        <v>78</v>
      </c>
      <c r="M268" t="s">
        <v>79</v>
      </c>
      <c r="N268">
        <v>60</v>
      </c>
      <c r="O268" t="s">
        <v>80</v>
      </c>
      <c r="P268">
        <v>792</v>
      </c>
      <c r="Q268">
        <v>0.75</v>
      </c>
      <c r="R268">
        <v>177</v>
      </c>
      <c r="S268">
        <v>0.85419999999999996</v>
      </c>
      <c r="T268" t="s">
        <v>81</v>
      </c>
      <c r="U268" t="s">
        <v>82</v>
      </c>
      <c r="V268" t="s">
        <v>83</v>
      </c>
      <c r="W268" t="s">
        <v>84</v>
      </c>
      <c r="X268" t="s">
        <v>85</v>
      </c>
      <c r="Y268" t="s">
        <v>86</v>
      </c>
      <c r="Z268" t="s">
        <v>87</v>
      </c>
      <c r="AA268" t="s">
        <v>88</v>
      </c>
      <c r="AB268">
        <v>571</v>
      </c>
      <c r="AC268">
        <v>9</v>
      </c>
      <c r="AE268">
        <v>22</v>
      </c>
      <c r="AF268" t="s">
        <v>89</v>
      </c>
      <c r="AG268" t="s">
        <v>482</v>
      </c>
      <c r="AH268" t="s">
        <v>72</v>
      </c>
      <c r="AI268" t="s">
        <v>72</v>
      </c>
      <c r="AJ268" t="s">
        <v>91</v>
      </c>
      <c r="AK268" t="s">
        <v>92</v>
      </c>
      <c r="AL268" t="s">
        <v>93</v>
      </c>
      <c r="AM268" t="s">
        <v>94</v>
      </c>
      <c r="AN268" t="s">
        <v>483</v>
      </c>
      <c r="AO268" t="s">
        <v>484</v>
      </c>
      <c r="AP268" t="s">
        <v>243</v>
      </c>
      <c r="AQ268">
        <v>39</v>
      </c>
      <c r="AR268" t="s">
        <v>80</v>
      </c>
      <c r="AS268">
        <v>1377</v>
      </c>
      <c r="AT268">
        <v>0.97570000000000001</v>
      </c>
      <c r="AU268">
        <v>172</v>
      </c>
      <c r="AV268">
        <v>0.94740000000000002</v>
      </c>
      <c r="AW268" t="s">
        <v>98</v>
      </c>
      <c r="AX268" t="s">
        <v>146</v>
      </c>
      <c r="AY268" t="s">
        <v>100</v>
      </c>
      <c r="AZ268" t="s">
        <v>101</v>
      </c>
      <c r="BA268" t="s">
        <v>102</v>
      </c>
      <c r="BB268" t="s">
        <v>103</v>
      </c>
      <c r="BC268" t="s">
        <v>246</v>
      </c>
      <c r="BD268" t="s">
        <v>105</v>
      </c>
      <c r="BE268">
        <v>90673</v>
      </c>
      <c r="BF268" t="s">
        <v>247</v>
      </c>
      <c r="BG268">
        <v>1076</v>
      </c>
      <c r="BH268" t="s">
        <v>80</v>
      </c>
      <c r="BI268">
        <v>1</v>
      </c>
      <c r="BJ268">
        <v>1757</v>
      </c>
      <c r="BK268">
        <v>0</v>
      </c>
      <c r="BL268">
        <v>13</v>
      </c>
      <c r="BM268">
        <v>19</v>
      </c>
      <c r="BN268">
        <v>18</v>
      </c>
      <c r="BO268">
        <v>38</v>
      </c>
      <c r="BP268">
        <v>12</v>
      </c>
      <c r="BQ268" s="2">
        <v>28</v>
      </c>
      <c r="BR268">
        <f t="shared" si="68"/>
        <v>1758</v>
      </c>
      <c r="BS268">
        <f t="shared" si="69"/>
        <v>1</v>
      </c>
      <c r="BT268">
        <f t="shared" si="70"/>
        <v>14</v>
      </c>
      <c r="BU268">
        <f t="shared" si="71"/>
        <v>20</v>
      </c>
      <c r="BV268">
        <f t="shared" si="72"/>
        <v>19</v>
      </c>
      <c r="BW268">
        <f t="shared" si="73"/>
        <v>39</v>
      </c>
      <c r="BX268">
        <f t="shared" si="74"/>
        <v>13</v>
      </c>
      <c r="BY268" s="2">
        <f t="shared" si="75"/>
        <v>29</v>
      </c>
      <c r="BZ268">
        <f t="shared" si="76"/>
        <v>24.67698275169267</v>
      </c>
      <c r="CA268">
        <v>24.67698275169267</v>
      </c>
      <c r="CB268">
        <v>24.67698275169267</v>
      </c>
      <c r="CC268">
        <v>24.67698275169267</v>
      </c>
      <c r="CD268">
        <v>24.67698275169267</v>
      </c>
      <c r="CE268">
        <v>24.67698275169267</v>
      </c>
      <c r="CF268">
        <v>24.67698275169267</v>
      </c>
      <c r="CG268">
        <v>24.67698275169267</v>
      </c>
      <c r="CH268">
        <f t="shared" si="77"/>
        <v>1.8527268132046164</v>
      </c>
      <c r="CI268">
        <f t="shared" si="78"/>
        <v>-1.3922920575331368</v>
      </c>
      <c r="CJ268">
        <f t="shared" si="79"/>
        <v>-0.24616402185489861</v>
      </c>
      <c r="CK268">
        <f t="shared" si="80"/>
        <v>-9.1262061869155447E-2</v>
      </c>
      <c r="CL268">
        <f t="shared" si="81"/>
        <v>-0.1135384565803077</v>
      </c>
      <c r="CM268">
        <f t="shared" si="82"/>
        <v>0.19877254949336257</v>
      </c>
      <c r="CN268">
        <f t="shared" si="83"/>
        <v>-0.2783487052262999</v>
      </c>
      <c r="CO268" s="2">
        <f t="shared" si="84"/>
        <v>7.010594036581945E-2</v>
      </c>
      <c r="CP268">
        <v>1.5488975926850499</v>
      </c>
      <c r="CQ268">
        <v>-2.2527165794045199</v>
      </c>
      <c r="CR268">
        <v>1.3953141299752101</v>
      </c>
      <c r="CS268">
        <v>-1.9142743807742899</v>
      </c>
      <c r="CT268">
        <v>-2.2034434670670402</v>
      </c>
      <c r="CU268">
        <v>-1.85317927220833</v>
      </c>
      <c r="CV268">
        <v>1.92975559870095</v>
      </c>
      <c r="CW268">
        <v>-1.2918148863510801</v>
      </c>
      <c r="CX268" t="s">
        <v>1827</v>
      </c>
    </row>
    <row r="269" spans="1:102" x14ac:dyDescent="0.35">
      <c r="A269" t="s">
        <v>1209</v>
      </c>
      <c r="B269" t="s">
        <v>178</v>
      </c>
      <c r="C269" t="s">
        <v>1210</v>
      </c>
      <c r="D269" t="s">
        <v>72</v>
      </c>
      <c r="E269" t="s">
        <v>72</v>
      </c>
      <c r="F269" t="s">
        <v>72</v>
      </c>
      <c r="G269" t="s">
        <v>73</v>
      </c>
      <c r="H269" t="s">
        <v>74</v>
      </c>
      <c r="I269" t="s">
        <v>75</v>
      </c>
      <c r="J269" t="s">
        <v>76</v>
      </c>
      <c r="K269" t="s">
        <v>77</v>
      </c>
      <c r="L269" t="s">
        <v>78</v>
      </c>
      <c r="M269" t="s">
        <v>79</v>
      </c>
      <c r="N269">
        <v>60</v>
      </c>
      <c r="O269" t="s">
        <v>80</v>
      </c>
      <c r="P269">
        <v>792</v>
      </c>
      <c r="Q269">
        <v>0.75</v>
      </c>
      <c r="R269">
        <v>177</v>
      </c>
      <c r="S269">
        <v>0.85419999999999996</v>
      </c>
      <c r="T269" t="s">
        <v>81</v>
      </c>
      <c r="U269" t="s">
        <v>82</v>
      </c>
      <c r="V269" t="s">
        <v>83</v>
      </c>
      <c r="W269" t="s">
        <v>84</v>
      </c>
      <c r="X269" t="s">
        <v>85</v>
      </c>
      <c r="Y269" t="s">
        <v>86</v>
      </c>
      <c r="Z269" t="s">
        <v>87</v>
      </c>
      <c r="AA269" t="s">
        <v>88</v>
      </c>
      <c r="AB269">
        <v>784</v>
      </c>
      <c r="AC269">
        <v>13</v>
      </c>
      <c r="AE269">
        <v>22</v>
      </c>
      <c r="AF269" t="s">
        <v>89</v>
      </c>
      <c r="AG269" t="s">
        <v>1211</v>
      </c>
      <c r="AH269" t="s">
        <v>72</v>
      </c>
      <c r="AI269" t="s">
        <v>72</v>
      </c>
      <c r="AJ269" t="s">
        <v>91</v>
      </c>
      <c r="AK269" t="s">
        <v>92</v>
      </c>
      <c r="AL269" t="s">
        <v>93</v>
      </c>
      <c r="AM269" t="s">
        <v>94</v>
      </c>
      <c r="AN269" t="s">
        <v>1212</v>
      </c>
      <c r="AO269" t="s">
        <v>1213</v>
      </c>
      <c r="AP269" t="s">
        <v>243</v>
      </c>
      <c r="AQ269">
        <v>39</v>
      </c>
      <c r="AR269" t="s">
        <v>80</v>
      </c>
      <c r="AS269">
        <v>1314</v>
      </c>
      <c r="AT269">
        <v>0.95140000000000002</v>
      </c>
      <c r="AU269">
        <v>172</v>
      </c>
      <c r="AV269">
        <v>0.94740000000000002</v>
      </c>
      <c r="AW269" t="s">
        <v>644</v>
      </c>
      <c r="AX269" t="s">
        <v>1214</v>
      </c>
      <c r="AY269" t="s">
        <v>100</v>
      </c>
      <c r="AZ269" t="s">
        <v>101</v>
      </c>
      <c r="BA269" t="s">
        <v>1215</v>
      </c>
      <c r="BB269" t="s">
        <v>103</v>
      </c>
      <c r="BC269" t="s">
        <v>246</v>
      </c>
      <c r="BD269" t="s">
        <v>105</v>
      </c>
      <c r="BE269">
        <v>62197</v>
      </c>
      <c r="BF269" t="s">
        <v>247</v>
      </c>
      <c r="BG269">
        <v>682</v>
      </c>
      <c r="BH269" t="s">
        <v>80</v>
      </c>
      <c r="BI269">
        <v>1</v>
      </c>
      <c r="BJ269">
        <v>1622</v>
      </c>
      <c r="BK269">
        <v>0</v>
      </c>
      <c r="BL269">
        <v>10</v>
      </c>
      <c r="BM269">
        <v>26</v>
      </c>
      <c r="BN269">
        <v>25</v>
      </c>
      <c r="BO269">
        <v>43</v>
      </c>
      <c r="BP269">
        <v>16</v>
      </c>
      <c r="BQ269" s="2">
        <v>20</v>
      </c>
      <c r="BR269">
        <f t="shared" si="68"/>
        <v>1623</v>
      </c>
      <c r="BS269">
        <f t="shared" si="69"/>
        <v>1</v>
      </c>
      <c r="BT269">
        <f t="shared" si="70"/>
        <v>11</v>
      </c>
      <c r="BU269">
        <f t="shared" si="71"/>
        <v>27</v>
      </c>
      <c r="BV269">
        <f t="shared" si="72"/>
        <v>26</v>
      </c>
      <c r="BW269">
        <f t="shared" si="73"/>
        <v>44</v>
      </c>
      <c r="BX269">
        <f t="shared" si="74"/>
        <v>17</v>
      </c>
      <c r="BY269" s="2">
        <f t="shared" si="75"/>
        <v>21</v>
      </c>
      <c r="BZ269">
        <f t="shared" si="76"/>
        <v>25.808998430742218</v>
      </c>
      <c r="CA269">
        <v>25.808998430742218</v>
      </c>
      <c r="CB269">
        <v>25.808998430742218</v>
      </c>
      <c r="CC269">
        <v>25.808998430742218</v>
      </c>
      <c r="CD269">
        <v>25.808998430742218</v>
      </c>
      <c r="CE269">
        <v>25.808998430742218</v>
      </c>
      <c r="CF269">
        <v>25.808998430742218</v>
      </c>
      <c r="CG269">
        <v>25.808998430742218</v>
      </c>
      <c r="CH269">
        <f t="shared" si="77"/>
        <v>1.7985473686121516</v>
      </c>
      <c r="CI269">
        <f t="shared" si="78"/>
        <v>-1.4117711512140805</v>
      </c>
      <c r="CJ269">
        <f t="shared" si="79"/>
        <v>-0.37037846605585528</v>
      </c>
      <c r="CK269">
        <f t="shared" si="80"/>
        <v>1.9592612944906922E-2</v>
      </c>
      <c r="CL269">
        <f t="shared" si="81"/>
        <v>3.202196756737611E-3</v>
      </c>
      <c r="CM269">
        <f t="shared" si="82"/>
        <v>0.23168152527210709</v>
      </c>
      <c r="CN269">
        <f t="shared" si="83"/>
        <v>-0.18132222983580643</v>
      </c>
      <c r="CO269" s="2">
        <f t="shared" si="84"/>
        <v>-8.9551856480161091E-2</v>
      </c>
      <c r="CP269">
        <v>1.4838046553845099</v>
      </c>
      <c r="CQ269">
        <v>-2.2527165794045199</v>
      </c>
      <c r="CR269">
        <v>0.840339212121756</v>
      </c>
      <c r="CS269">
        <v>-1.5876466348251299</v>
      </c>
      <c r="CT269">
        <v>-1.87848241886114</v>
      </c>
      <c r="CU269">
        <v>-1.7581449303208301</v>
      </c>
      <c r="CV269">
        <v>2.1899780628626901</v>
      </c>
      <c r="CW269">
        <v>-1.7303395141490201</v>
      </c>
      <c r="CX269" t="s">
        <v>1827</v>
      </c>
    </row>
    <row r="270" spans="1:102" x14ac:dyDescent="0.35">
      <c r="A270" t="s">
        <v>966</v>
      </c>
      <c r="B270" t="s">
        <v>148</v>
      </c>
      <c r="C270" t="s">
        <v>967</v>
      </c>
      <c r="D270" t="s">
        <v>72</v>
      </c>
      <c r="E270" t="s">
        <v>72</v>
      </c>
      <c r="F270" t="s">
        <v>72</v>
      </c>
      <c r="G270" t="s">
        <v>73</v>
      </c>
      <c r="H270" t="s">
        <v>74</v>
      </c>
      <c r="I270" t="s">
        <v>75</v>
      </c>
      <c r="J270" t="s">
        <v>76</v>
      </c>
      <c r="K270" t="s">
        <v>139</v>
      </c>
      <c r="L270" t="s">
        <v>140</v>
      </c>
      <c r="M270" t="s">
        <v>79</v>
      </c>
      <c r="N270">
        <v>60</v>
      </c>
      <c r="O270" t="s">
        <v>80</v>
      </c>
      <c r="P270">
        <v>783</v>
      </c>
      <c r="Q270">
        <v>0.74650000000000005</v>
      </c>
      <c r="R270">
        <v>177</v>
      </c>
      <c r="S270">
        <v>0.85419999999999996</v>
      </c>
      <c r="T270" t="s">
        <v>81</v>
      </c>
      <c r="U270" t="s">
        <v>82</v>
      </c>
      <c r="V270" t="s">
        <v>141</v>
      </c>
      <c r="W270" t="s">
        <v>84</v>
      </c>
      <c r="X270" t="s">
        <v>85</v>
      </c>
      <c r="Y270" t="s">
        <v>86</v>
      </c>
      <c r="Z270" t="s">
        <v>87</v>
      </c>
      <c r="AA270" t="s">
        <v>88</v>
      </c>
      <c r="AB270">
        <v>299</v>
      </c>
      <c r="AC270">
        <v>3</v>
      </c>
      <c r="AE270">
        <v>22</v>
      </c>
      <c r="AF270" t="s">
        <v>89</v>
      </c>
      <c r="AG270" t="s">
        <v>968</v>
      </c>
      <c r="AH270" t="s">
        <v>72</v>
      </c>
      <c r="AI270" t="s">
        <v>72</v>
      </c>
      <c r="AJ270" t="s">
        <v>91</v>
      </c>
      <c r="AK270" t="s">
        <v>92</v>
      </c>
      <c r="AL270" t="s">
        <v>93</v>
      </c>
      <c r="AM270" t="s">
        <v>94</v>
      </c>
      <c r="AN270" t="s">
        <v>969</v>
      </c>
      <c r="AO270" t="s">
        <v>970</v>
      </c>
      <c r="AP270" t="s">
        <v>380</v>
      </c>
      <c r="AQ270">
        <v>39</v>
      </c>
      <c r="AR270" t="s">
        <v>80</v>
      </c>
      <c r="AS270">
        <v>1314</v>
      </c>
      <c r="AT270">
        <v>0.95140000000000002</v>
      </c>
      <c r="AU270">
        <v>163</v>
      </c>
      <c r="AV270">
        <v>0.92110000000000003</v>
      </c>
      <c r="AW270" t="s">
        <v>971</v>
      </c>
      <c r="AX270" t="s">
        <v>972</v>
      </c>
      <c r="AY270" t="s">
        <v>973</v>
      </c>
      <c r="AZ270" t="s">
        <v>101</v>
      </c>
      <c r="BA270" t="s">
        <v>102</v>
      </c>
      <c r="BB270" t="s">
        <v>450</v>
      </c>
      <c r="BC270" t="s">
        <v>382</v>
      </c>
      <c r="BD270" t="s">
        <v>105</v>
      </c>
      <c r="BE270">
        <v>48345</v>
      </c>
      <c r="BF270" t="s">
        <v>106</v>
      </c>
      <c r="BG270">
        <v>626</v>
      </c>
      <c r="BH270" t="s">
        <v>80</v>
      </c>
      <c r="BI270">
        <v>1</v>
      </c>
      <c r="BJ270">
        <v>1991</v>
      </c>
      <c r="BK270">
        <v>0</v>
      </c>
      <c r="BL270">
        <v>14</v>
      </c>
      <c r="BM270">
        <v>42</v>
      </c>
      <c r="BN270">
        <v>51</v>
      </c>
      <c r="BO270">
        <v>90</v>
      </c>
      <c r="BP270">
        <v>10</v>
      </c>
      <c r="BQ270" s="2">
        <v>28</v>
      </c>
      <c r="BR270">
        <f t="shared" si="68"/>
        <v>1992</v>
      </c>
      <c r="BS270">
        <f t="shared" si="69"/>
        <v>1</v>
      </c>
      <c r="BT270">
        <f t="shared" si="70"/>
        <v>15</v>
      </c>
      <c r="BU270">
        <f t="shared" si="71"/>
        <v>43</v>
      </c>
      <c r="BV270">
        <f t="shared" si="72"/>
        <v>52</v>
      </c>
      <c r="BW270">
        <f t="shared" si="73"/>
        <v>91</v>
      </c>
      <c r="BX270">
        <f t="shared" si="74"/>
        <v>11</v>
      </c>
      <c r="BY270" s="2">
        <f t="shared" si="75"/>
        <v>29</v>
      </c>
      <c r="BZ270">
        <f t="shared" si="76"/>
        <v>34.352674824753542</v>
      </c>
      <c r="CA270">
        <v>34.352674824753542</v>
      </c>
      <c r="CB270">
        <v>34.352674824753542</v>
      </c>
      <c r="CC270">
        <v>34.352674824753542</v>
      </c>
      <c r="CD270">
        <v>34.352674824753542</v>
      </c>
      <c r="CE270">
        <v>34.352674824753542</v>
      </c>
      <c r="CF270">
        <v>34.352674824753542</v>
      </c>
      <c r="CG270">
        <v>34.352674824753542</v>
      </c>
      <c r="CH270">
        <f t="shared" si="77"/>
        <v>1.7633287756206772</v>
      </c>
      <c r="CI270">
        <f t="shared" si="78"/>
        <v>-1.5359605584670026</v>
      </c>
      <c r="CJ270">
        <f t="shared" si="79"/>
        <v>-0.35986929941132145</v>
      </c>
      <c r="CK270">
        <f t="shared" si="80"/>
        <v>9.7507897112583869E-2</v>
      </c>
      <c r="CL270">
        <f t="shared" si="81"/>
        <v>0.18004278516779648</v>
      </c>
      <c r="CM270">
        <f t="shared" si="82"/>
        <v>0.42308083385409095</v>
      </c>
      <c r="CN270">
        <f t="shared" si="83"/>
        <v>-0.49456787330877761</v>
      </c>
      <c r="CO270" s="2">
        <f t="shared" si="84"/>
        <v>-7.3562560568046581E-2</v>
      </c>
      <c r="CP270">
        <v>1.4414918985327001</v>
      </c>
      <c r="CQ270">
        <v>-2.2527165794045199</v>
      </c>
      <c r="CR270">
        <v>0.88729288109943805</v>
      </c>
      <c r="CS270">
        <v>-1.3580731532794601</v>
      </c>
      <c r="CT270">
        <v>-1.3862262824362901</v>
      </c>
      <c r="CU270">
        <v>-1.2054231607007699</v>
      </c>
      <c r="CV270">
        <v>1.3498614564992499</v>
      </c>
      <c r="CW270">
        <v>-1.68642246044337</v>
      </c>
      <c r="CX270" t="s">
        <v>1827</v>
      </c>
    </row>
    <row r="271" spans="1:102" x14ac:dyDescent="0.35">
      <c r="A271" t="s">
        <v>640</v>
      </c>
      <c r="B271" t="s">
        <v>178</v>
      </c>
      <c r="C271" t="s">
        <v>149</v>
      </c>
      <c r="D271" t="s">
        <v>72</v>
      </c>
      <c r="E271" t="s">
        <v>72</v>
      </c>
      <c r="F271" t="s">
        <v>72</v>
      </c>
      <c r="G271" t="s">
        <v>73</v>
      </c>
      <c r="H271" t="s">
        <v>74</v>
      </c>
      <c r="I271" t="s">
        <v>75</v>
      </c>
      <c r="J271" t="s">
        <v>76</v>
      </c>
      <c r="K271" t="s">
        <v>77</v>
      </c>
      <c r="L271" t="s">
        <v>78</v>
      </c>
      <c r="M271" t="s">
        <v>79</v>
      </c>
      <c r="N271">
        <v>60</v>
      </c>
      <c r="O271" t="s">
        <v>80</v>
      </c>
      <c r="P271">
        <v>792</v>
      </c>
      <c r="Q271">
        <v>0.75</v>
      </c>
      <c r="R271">
        <v>177</v>
      </c>
      <c r="S271">
        <v>0.85419999999999996</v>
      </c>
      <c r="T271" t="s">
        <v>81</v>
      </c>
      <c r="U271" t="s">
        <v>82</v>
      </c>
      <c r="V271" t="s">
        <v>83</v>
      </c>
      <c r="W271" t="s">
        <v>84</v>
      </c>
      <c r="X271" t="s">
        <v>85</v>
      </c>
      <c r="Y271" t="s">
        <v>86</v>
      </c>
      <c r="Z271" t="s">
        <v>87</v>
      </c>
      <c r="AA271" t="s">
        <v>88</v>
      </c>
      <c r="AB271">
        <v>538</v>
      </c>
      <c r="AC271">
        <v>12</v>
      </c>
      <c r="AE271">
        <v>22</v>
      </c>
      <c r="AF271" t="s">
        <v>89</v>
      </c>
      <c r="AG271" t="s">
        <v>641</v>
      </c>
      <c r="AH271" t="s">
        <v>72</v>
      </c>
      <c r="AI271" t="s">
        <v>72</v>
      </c>
      <c r="AJ271" t="s">
        <v>91</v>
      </c>
      <c r="AK271" t="s">
        <v>92</v>
      </c>
      <c r="AL271" t="s">
        <v>93</v>
      </c>
      <c r="AM271" t="s">
        <v>94</v>
      </c>
      <c r="AN271" t="s">
        <v>642</v>
      </c>
      <c r="AO271" t="s">
        <v>643</v>
      </c>
      <c r="AP271" t="s">
        <v>243</v>
      </c>
      <c r="AQ271">
        <v>39</v>
      </c>
      <c r="AR271" t="s">
        <v>80</v>
      </c>
      <c r="AS271">
        <v>1359</v>
      </c>
      <c r="AT271">
        <v>0.96879999999999999</v>
      </c>
      <c r="AU271">
        <v>172</v>
      </c>
      <c r="AV271">
        <v>0.94740000000000002</v>
      </c>
      <c r="AW271" t="s">
        <v>644</v>
      </c>
      <c r="AX271" t="s">
        <v>338</v>
      </c>
      <c r="AY271" t="s">
        <v>100</v>
      </c>
      <c r="AZ271" t="s">
        <v>101</v>
      </c>
      <c r="BA271" t="s">
        <v>102</v>
      </c>
      <c r="BB271" t="s">
        <v>103</v>
      </c>
      <c r="BC271" t="s">
        <v>246</v>
      </c>
      <c r="BD271" t="s">
        <v>105</v>
      </c>
      <c r="BE271">
        <v>48038</v>
      </c>
      <c r="BF271" t="s">
        <v>247</v>
      </c>
      <c r="BG271">
        <v>556</v>
      </c>
      <c r="BH271" t="s">
        <v>80</v>
      </c>
      <c r="BI271">
        <v>1</v>
      </c>
      <c r="BJ271">
        <v>1719</v>
      </c>
      <c r="BK271">
        <v>0</v>
      </c>
      <c r="BL271">
        <v>16</v>
      </c>
      <c r="BM271">
        <v>27</v>
      </c>
      <c r="BN271">
        <v>41</v>
      </c>
      <c r="BO271">
        <v>75</v>
      </c>
      <c r="BP271">
        <v>6</v>
      </c>
      <c r="BQ271" s="2">
        <v>36</v>
      </c>
      <c r="BR271">
        <f t="shared" si="68"/>
        <v>1720</v>
      </c>
      <c r="BS271">
        <f t="shared" si="69"/>
        <v>1</v>
      </c>
      <c r="BT271">
        <f t="shared" si="70"/>
        <v>17</v>
      </c>
      <c r="BU271">
        <f t="shared" si="71"/>
        <v>28</v>
      </c>
      <c r="BV271">
        <f t="shared" si="72"/>
        <v>42</v>
      </c>
      <c r="BW271">
        <f t="shared" si="73"/>
        <v>76</v>
      </c>
      <c r="BX271">
        <f t="shared" si="74"/>
        <v>7</v>
      </c>
      <c r="BY271" s="2">
        <f t="shared" si="75"/>
        <v>37</v>
      </c>
      <c r="BZ271">
        <f t="shared" si="76"/>
        <v>30.117037922176323</v>
      </c>
      <c r="CA271">
        <v>30.117037922176323</v>
      </c>
      <c r="CB271">
        <v>30.117037922176323</v>
      </c>
      <c r="CC271">
        <v>30.117037922176323</v>
      </c>
      <c r="CD271">
        <v>30.117037922176323</v>
      </c>
      <c r="CE271">
        <v>30.117037922176323</v>
      </c>
      <c r="CF271">
        <v>30.117037922176323</v>
      </c>
      <c r="CG271">
        <v>30.117037922176323</v>
      </c>
      <c r="CH271">
        <f t="shared" si="77"/>
        <v>1.7567161911090508</v>
      </c>
      <c r="CI271">
        <f t="shared" si="78"/>
        <v>-1.4788122557984982</v>
      </c>
      <c r="CJ271">
        <f t="shared" si="79"/>
        <v>-0.24836333442022426</v>
      </c>
      <c r="CK271">
        <f t="shared" si="80"/>
        <v>-3.1654224456278995E-2</v>
      </c>
      <c r="CL271">
        <f t="shared" si="81"/>
        <v>0.14443703459940224</v>
      </c>
      <c r="CM271">
        <f t="shared" si="82"/>
        <v>0.40200133648229308</v>
      </c>
      <c r="CN271">
        <f t="shared" si="83"/>
        <v>-0.63371421578424136</v>
      </c>
      <c r="CO271" s="2">
        <f t="shared" si="84"/>
        <v>8.9389468268496794E-2</v>
      </c>
      <c r="CP271">
        <v>1.4335473256001501</v>
      </c>
      <c r="CQ271">
        <v>-2.2527165794045199</v>
      </c>
      <c r="CR271">
        <v>1.3854878708945799</v>
      </c>
      <c r="CS271">
        <v>-1.73864287395936</v>
      </c>
      <c r="CT271">
        <v>-1.4853389882171799</v>
      </c>
      <c r="CU271">
        <v>-1.2662964061495701</v>
      </c>
      <c r="CV271">
        <v>0.97667461267820099</v>
      </c>
      <c r="CW271">
        <v>-1.23884971920481</v>
      </c>
      <c r="CX271" t="s">
        <v>1827</v>
      </c>
    </row>
    <row r="272" spans="1:102" x14ac:dyDescent="0.35">
      <c r="A272" t="s">
        <v>445</v>
      </c>
      <c r="B272" t="s">
        <v>211</v>
      </c>
      <c r="C272" t="s">
        <v>446</v>
      </c>
      <c r="D272" t="s">
        <v>72</v>
      </c>
      <c r="E272" t="s">
        <v>72</v>
      </c>
      <c r="F272" t="s">
        <v>72</v>
      </c>
      <c r="G272" t="s">
        <v>73</v>
      </c>
      <c r="H272" t="s">
        <v>74</v>
      </c>
      <c r="I272" t="s">
        <v>75</v>
      </c>
      <c r="J272" t="s">
        <v>76</v>
      </c>
      <c r="K272" t="s">
        <v>139</v>
      </c>
      <c r="L272" t="s">
        <v>140</v>
      </c>
      <c r="M272" t="s">
        <v>79</v>
      </c>
      <c r="N272">
        <v>60</v>
      </c>
      <c r="O272" t="s">
        <v>80</v>
      </c>
      <c r="P272">
        <v>783</v>
      </c>
      <c r="Q272">
        <v>0.74650000000000005</v>
      </c>
      <c r="R272">
        <v>177</v>
      </c>
      <c r="S272">
        <v>0.85419999999999996</v>
      </c>
      <c r="T272" t="s">
        <v>81</v>
      </c>
      <c r="U272" t="s">
        <v>82</v>
      </c>
      <c r="V272" t="s">
        <v>141</v>
      </c>
      <c r="W272" t="s">
        <v>84</v>
      </c>
      <c r="X272" t="s">
        <v>85</v>
      </c>
      <c r="Y272" t="s">
        <v>86</v>
      </c>
      <c r="Z272" t="s">
        <v>87</v>
      </c>
      <c r="AA272" t="s">
        <v>88</v>
      </c>
      <c r="AB272">
        <v>493</v>
      </c>
      <c r="AC272">
        <v>5</v>
      </c>
      <c r="AE272">
        <v>22</v>
      </c>
      <c r="AF272" t="s">
        <v>89</v>
      </c>
      <c r="AG272" t="s">
        <v>447</v>
      </c>
      <c r="AH272" t="s">
        <v>72</v>
      </c>
      <c r="AI272" t="s">
        <v>72</v>
      </c>
      <c r="AJ272" t="s">
        <v>91</v>
      </c>
      <c r="AK272" t="s">
        <v>92</v>
      </c>
      <c r="AL272" t="s">
        <v>93</v>
      </c>
      <c r="AM272" t="s">
        <v>94</v>
      </c>
      <c r="AN272" t="s">
        <v>448</v>
      </c>
      <c r="AO272" t="s">
        <v>449</v>
      </c>
      <c r="AP272" t="s">
        <v>97</v>
      </c>
      <c r="AQ272">
        <v>39</v>
      </c>
      <c r="AR272" t="s">
        <v>80</v>
      </c>
      <c r="AS272">
        <v>1359</v>
      </c>
      <c r="AT272">
        <v>0.96879999999999999</v>
      </c>
      <c r="AU272">
        <v>172</v>
      </c>
      <c r="AV272">
        <v>0.94740000000000002</v>
      </c>
      <c r="AW272" t="s">
        <v>216</v>
      </c>
      <c r="AX272" t="s">
        <v>146</v>
      </c>
      <c r="AY272" t="s">
        <v>100</v>
      </c>
      <c r="AZ272" t="s">
        <v>101</v>
      </c>
      <c r="BA272" t="s">
        <v>102</v>
      </c>
      <c r="BB272" t="s">
        <v>450</v>
      </c>
      <c r="BC272" t="s">
        <v>104</v>
      </c>
      <c r="BD272" t="s">
        <v>105</v>
      </c>
      <c r="BE272">
        <v>4455</v>
      </c>
      <c r="BF272" t="s">
        <v>106</v>
      </c>
      <c r="BG272">
        <v>58</v>
      </c>
      <c r="BH272" t="s">
        <v>80</v>
      </c>
      <c r="BI272">
        <v>1</v>
      </c>
      <c r="BJ272">
        <v>1092</v>
      </c>
      <c r="BK272">
        <v>4</v>
      </c>
      <c r="BL272">
        <v>9</v>
      </c>
      <c r="BM272">
        <v>18</v>
      </c>
      <c r="BN272">
        <v>44</v>
      </c>
      <c r="BO272">
        <v>54</v>
      </c>
      <c r="BP272">
        <v>0</v>
      </c>
      <c r="BQ272" s="2">
        <v>23</v>
      </c>
      <c r="BR272">
        <f t="shared" si="68"/>
        <v>1093</v>
      </c>
      <c r="BS272">
        <f t="shared" si="69"/>
        <v>5</v>
      </c>
      <c r="BT272">
        <f t="shared" si="70"/>
        <v>10</v>
      </c>
      <c r="BU272">
        <f t="shared" si="71"/>
        <v>19</v>
      </c>
      <c r="BV272">
        <f t="shared" si="72"/>
        <v>45</v>
      </c>
      <c r="BW272">
        <f t="shared" si="73"/>
        <v>55</v>
      </c>
      <c r="BX272">
        <f t="shared" si="74"/>
        <v>1</v>
      </c>
      <c r="BY272" s="2">
        <f t="shared" si="75"/>
        <v>24</v>
      </c>
      <c r="BZ272">
        <f t="shared" si="76"/>
        <v>22.323705087152852</v>
      </c>
      <c r="CA272">
        <v>22.323705087152852</v>
      </c>
      <c r="CB272">
        <v>22.323705087152852</v>
      </c>
      <c r="CC272">
        <v>22.323705087152852</v>
      </c>
      <c r="CD272">
        <v>22.323705087152852</v>
      </c>
      <c r="CE272">
        <v>22.323705087152852</v>
      </c>
      <c r="CF272">
        <v>22.323705087152852</v>
      </c>
      <c r="CG272">
        <v>22.323705087152852</v>
      </c>
      <c r="CH272">
        <f t="shared" si="77"/>
        <v>1.6898538854222347</v>
      </c>
      <c r="CI272">
        <f t="shared" si="78"/>
        <v>-0.6497962721914492</v>
      </c>
      <c r="CJ272">
        <f t="shared" si="79"/>
        <v>-0.34876627652746794</v>
      </c>
      <c r="CK272">
        <f t="shared" si="80"/>
        <v>-7.0012675574639027E-2</v>
      </c>
      <c r="CL272">
        <f t="shared" si="81"/>
        <v>0.30444623724787573</v>
      </c>
      <c r="CM272">
        <f t="shared" si="82"/>
        <v>0.39159641296677583</v>
      </c>
      <c r="CN272">
        <f t="shared" si="83"/>
        <v>-1.3487662765274679</v>
      </c>
      <c r="CO272" s="2">
        <f t="shared" si="84"/>
        <v>3.1444965184138057E-2</v>
      </c>
      <c r="CP272">
        <v>1.3532167887225801</v>
      </c>
      <c r="CQ272">
        <v>2.8796863952948302</v>
      </c>
      <c r="CR272">
        <v>0.93689982699473795</v>
      </c>
      <c r="CS272">
        <v>-1.8516641285695601</v>
      </c>
      <c r="CT272">
        <v>-1.0399349517576899</v>
      </c>
      <c r="CU272">
        <v>-1.2963436815596301</v>
      </c>
      <c r="CV272">
        <v>-2.6172399890044602</v>
      </c>
      <c r="CW272">
        <v>-1.3980031846163199</v>
      </c>
      <c r="CX272" t="s">
        <v>1827</v>
      </c>
    </row>
    <row r="273" spans="1:102" x14ac:dyDescent="0.35">
      <c r="A273" t="s">
        <v>1636</v>
      </c>
      <c r="B273" t="s">
        <v>148</v>
      </c>
      <c r="C273" t="s">
        <v>1637</v>
      </c>
      <c r="D273" t="s">
        <v>72</v>
      </c>
      <c r="E273" t="s">
        <v>72</v>
      </c>
      <c r="F273" t="s">
        <v>72</v>
      </c>
      <c r="G273" t="s">
        <v>73</v>
      </c>
      <c r="H273" t="s">
        <v>74</v>
      </c>
      <c r="I273" t="s">
        <v>75</v>
      </c>
      <c r="J273" t="s">
        <v>76</v>
      </c>
      <c r="K273" t="s">
        <v>77</v>
      </c>
      <c r="L273" t="s">
        <v>78</v>
      </c>
      <c r="M273" t="s">
        <v>79</v>
      </c>
      <c r="N273">
        <v>60</v>
      </c>
      <c r="O273" t="s">
        <v>80</v>
      </c>
      <c r="P273">
        <v>792</v>
      </c>
      <c r="Q273">
        <v>0.75</v>
      </c>
      <c r="R273">
        <v>177</v>
      </c>
      <c r="S273">
        <v>0.85419999999999996</v>
      </c>
      <c r="T273" t="s">
        <v>81</v>
      </c>
      <c r="U273" t="s">
        <v>82</v>
      </c>
      <c r="V273" t="s">
        <v>83</v>
      </c>
      <c r="W273" t="s">
        <v>84</v>
      </c>
      <c r="X273" t="s">
        <v>85</v>
      </c>
      <c r="Y273" t="s">
        <v>86</v>
      </c>
      <c r="Z273" t="s">
        <v>87</v>
      </c>
      <c r="AA273" t="s">
        <v>88</v>
      </c>
      <c r="AB273">
        <v>1473</v>
      </c>
      <c r="AC273">
        <v>44</v>
      </c>
      <c r="AE273">
        <v>22</v>
      </c>
      <c r="AF273" t="s">
        <v>89</v>
      </c>
      <c r="AG273" t="s">
        <v>1638</v>
      </c>
      <c r="AH273" t="s">
        <v>72</v>
      </c>
      <c r="AI273" t="s">
        <v>72</v>
      </c>
      <c r="AJ273" t="s">
        <v>91</v>
      </c>
      <c r="AK273" t="s">
        <v>92</v>
      </c>
      <c r="AL273" t="s">
        <v>93</v>
      </c>
      <c r="AM273" t="s">
        <v>94</v>
      </c>
      <c r="AN273" t="s">
        <v>1639</v>
      </c>
      <c r="AO273" t="s">
        <v>1640</v>
      </c>
      <c r="AP273" t="s">
        <v>97</v>
      </c>
      <c r="AQ273">
        <v>39</v>
      </c>
      <c r="AR273" t="s">
        <v>80</v>
      </c>
      <c r="AS273">
        <v>1368</v>
      </c>
      <c r="AT273">
        <v>0.97219999999999995</v>
      </c>
      <c r="AU273">
        <v>172</v>
      </c>
      <c r="AV273">
        <v>0.94740000000000002</v>
      </c>
      <c r="AW273" t="s">
        <v>98</v>
      </c>
      <c r="AX273" t="s">
        <v>338</v>
      </c>
      <c r="AY273" t="s">
        <v>100</v>
      </c>
      <c r="AZ273" t="s">
        <v>101</v>
      </c>
      <c r="BA273" t="s">
        <v>102</v>
      </c>
      <c r="BB273" t="s">
        <v>103</v>
      </c>
      <c r="BC273" t="s">
        <v>104</v>
      </c>
      <c r="BD273" t="s">
        <v>105</v>
      </c>
      <c r="BE273">
        <v>132075</v>
      </c>
      <c r="BF273" t="s">
        <v>106</v>
      </c>
      <c r="BG273">
        <v>1589</v>
      </c>
      <c r="BH273" t="s">
        <v>80</v>
      </c>
      <c r="BI273">
        <v>1</v>
      </c>
      <c r="BJ273">
        <v>9573</v>
      </c>
      <c r="BK273">
        <v>4</v>
      </c>
      <c r="BL273">
        <v>83</v>
      </c>
      <c r="BM273">
        <v>256</v>
      </c>
      <c r="BN273">
        <v>337</v>
      </c>
      <c r="BO273">
        <v>510</v>
      </c>
      <c r="BP273">
        <v>59</v>
      </c>
      <c r="BQ273" s="2">
        <v>337</v>
      </c>
      <c r="BR273">
        <f t="shared" si="68"/>
        <v>9574</v>
      </c>
      <c r="BS273">
        <f t="shared" si="69"/>
        <v>5</v>
      </c>
      <c r="BT273">
        <f t="shared" si="70"/>
        <v>84</v>
      </c>
      <c r="BU273">
        <f t="shared" si="71"/>
        <v>257</v>
      </c>
      <c r="BV273">
        <f t="shared" si="72"/>
        <v>338</v>
      </c>
      <c r="BW273">
        <f t="shared" si="73"/>
        <v>511</v>
      </c>
      <c r="BX273">
        <f t="shared" si="74"/>
        <v>60</v>
      </c>
      <c r="BY273" s="2">
        <f t="shared" si="75"/>
        <v>338</v>
      </c>
      <c r="BZ273">
        <f t="shared" si="76"/>
        <v>208.8503336896089</v>
      </c>
      <c r="CA273">
        <v>208.8503336896089</v>
      </c>
      <c r="CB273">
        <v>208.8503336896089</v>
      </c>
      <c r="CC273">
        <v>208.8503336896089</v>
      </c>
      <c r="CD273">
        <v>208.8503336896089</v>
      </c>
      <c r="CE273">
        <v>208.8503336896089</v>
      </c>
      <c r="CF273">
        <v>208.8503336896089</v>
      </c>
      <c r="CG273">
        <v>208.8503336896089</v>
      </c>
      <c r="CH273">
        <f t="shared" si="77"/>
        <v>1.6612582496523309</v>
      </c>
      <c r="CI273">
        <f t="shared" si="78"/>
        <v>-1.6208651691575799</v>
      </c>
      <c r="CJ273">
        <f t="shared" si="79"/>
        <v>-0.39555588743171721</v>
      </c>
      <c r="CK273">
        <f t="shared" si="80"/>
        <v>9.0097949837695701E-2</v>
      </c>
      <c r="CL273">
        <f t="shared" si="81"/>
        <v>0.20908152678405592</v>
      </c>
      <c r="CM273">
        <f t="shared" si="82"/>
        <v>0.3885857266411139</v>
      </c>
      <c r="CN273">
        <f t="shared" si="83"/>
        <v>-0.54168392310995517</v>
      </c>
      <c r="CO273" s="2">
        <f t="shared" si="84"/>
        <v>0.20908152678405592</v>
      </c>
      <c r="CP273">
        <v>1.31886106691257</v>
      </c>
      <c r="CQ273">
        <v>1.09502994260044E-2</v>
      </c>
      <c r="CR273">
        <v>0.727849578168838</v>
      </c>
      <c r="CS273">
        <v>-1.37990619171522</v>
      </c>
      <c r="CT273">
        <v>-1.30539360209352</v>
      </c>
      <c r="CU273">
        <v>-1.3050379233832801</v>
      </c>
      <c r="CV273">
        <v>1.2234974457332699</v>
      </c>
      <c r="CW273">
        <v>-0.910097121788357</v>
      </c>
      <c r="CX273" t="s">
        <v>1827</v>
      </c>
    </row>
    <row r="274" spans="1:102" x14ac:dyDescent="0.35">
      <c r="A274" t="s">
        <v>1204</v>
      </c>
      <c r="B274" t="s">
        <v>130</v>
      </c>
      <c r="C274" t="s">
        <v>228</v>
      </c>
      <c r="D274" t="s">
        <v>72</v>
      </c>
      <c r="E274" t="s">
        <v>72</v>
      </c>
      <c r="F274" t="s">
        <v>72</v>
      </c>
      <c r="G274" t="s">
        <v>73</v>
      </c>
      <c r="H274" t="s">
        <v>74</v>
      </c>
      <c r="I274" t="s">
        <v>75</v>
      </c>
      <c r="J274" t="s">
        <v>76</v>
      </c>
      <c r="K274" t="s">
        <v>77</v>
      </c>
      <c r="L274" t="s">
        <v>78</v>
      </c>
      <c r="M274" t="s">
        <v>79</v>
      </c>
      <c r="N274">
        <v>60</v>
      </c>
      <c r="O274" t="s">
        <v>80</v>
      </c>
      <c r="P274">
        <v>792</v>
      </c>
      <c r="Q274">
        <v>0.75</v>
      </c>
      <c r="R274">
        <v>177</v>
      </c>
      <c r="S274">
        <v>0.85419999999999996</v>
      </c>
      <c r="T274" t="s">
        <v>81</v>
      </c>
      <c r="U274" t="s">
        <v>82</v>
      </c>
      <c r="V274" t="s">
        <v>83</v>
      </c>
      <c r="W274" t="s">
        <v>84</v>
      </c>
      <c r="X274" t="s">
        <v>85</v>
      </c>
      <c r="Y274" t="s">
        <v>86</v>
      </c>
      <c r="Z274" t="s">
        <v>87</v>
      </c>
      <c r="AA274" t="s">
        <v>88</v>
      </c>
      <c r="AB274">
        <v>823</v>
      </c>
      <c r="AC274">
        <v>6</v>
      </c>
      <c r="AE274">
        <v>22</v>
      </c>
      <c r="AF274" t="s">
        <v>89</v>
      </c>
      <c r="AG274" t="s">
        <v>1205</v>
      </c>
      <c r="AH274" t="s">
        <v>72</v>
      </c>
      <c r="AI274" t="s">
        <v>72</v>
      </c>
      <c r="AJ274" t="s">
        <v>91</v>
      </c>
      <c r="AK274" t="s">
        <v>92</v>
      </c>
      <c r="AL274" t="s">
        <v>93</v>
      </c>
      <c r="AM274" t="s">
        <v>94</v>
      </c>
      <c r="AN274" t="s">
        <v>1206</v>
      </c>
      <c r="AO274" t="s">
        <v>1207</v>
      </c>
      <c r="AP274" t="s">
        <v>97</v>
      </c>
      <c r="AQ274">
        <v>39</v>
      </c>
      <c r="AR274" t="s">
        <v>80</v>
      </c>
      <c r="AS274">
        <v>1350</v>
      </c>
      <c r="AT274">
        <v>0.96530000000000005</v>
      </c>
      <c r="AU274">
        <v>172</v>
      </c>
      <c r="AV274">
        <v>0.94740000000000002</v>
      </c>
      <c r="AW274" t="s">
        <v>98</v>
      </c>
      <c r="AX274" t="s">
        <v>1208</v>
      </c>
      <c r="AY274" t="s">
        <v>127</v>
      </c>
      <c r="AZ274" t="s">
        <v>101</v>
      </c>
      <c r="BA274" t="s">
        <v>128</v>
      </c>
      <c r="BB274" t="s">
        <v>103</v>
      </c>
      <c r="BC274" t="s">
        <v>104</v>
      </c>
      <c r="BD274" t="s">
        <v>105</v>
      </c>
      <c r="BE274">
        <v>43027</v>
      </c>
      <c r="BF274" t="s">
        <v>106</v>
      </c>
      <c r="BG274">
        <v>501</v>
      </c>
      <c r="BH274" t="s">
        <v>80</v>
      </c>
      <c r="BI274">
        <v>1</v>
      </c>
      <c r="BJ274">
        <v>11952</v>
      </c>
      <c r="BK274">
        <v>5</v>
      </c>
      <c r="BL274">
        <v>81</v>
      </c>
      <c r="BM274">
        <v>395</v>
      </c>
      <c r="BN274">
        <v>567</v>
      </c>
      <c r="BO274">
        <v>876</v>
      </c>
      <c r="BP274">
        <v>82</v>
      </c>
      <c r="BQ274" s="2">
        <v>472</v>
      </c>
      <c r="BR274">
        <f t="shared" si="68"/>
        <v>11953</v>
      </c>
      <c r="BS274">
        <f t="shared" si="69"/>
        <v>6</v>
      </c>
      <c r="BT274">
        <f t="shared" si="70"/>
        <v>82</v>
      </c>
      <c r="BU274">
        <f t="shared" si="71"/>
        <v>396</v>
      </c>
      <c r="BV274">
        <f t="shared" si="72"/>
        <v>568</v>
      </c>
      <c r="BW274">
        <f t="shared" si="73"/>
        <v>877</v>
      </c>
      <c r="BX274">
        <f t="shared" si="74"/>
        <v>83</v>
      </c>
      <c r="BY274" s="2">
        <f t="shared" si="75"/>
        <v>473</v>
      </c>
      <c r="BZ274">
        <f t="shared" si="76"/>
        <v>286.61772617973037</v>
      </c>
      <c r="CA274">
        <v>286.61772617973037</v>
      </c>
      <c r="CB274">
        <v>286.61772617973037</v>
      </c>
      <c r="CC274">
        <v>286.61772617973037</v>
      </c>
      <c r="CD274">
        <v>286.61772617973037</v>
      </c>
      <c r="CE274">
        <v>286.61772617973037</v>
      </c>
      <c r="CF274">
        <v>286.61772617973037</v>
      </c>
      <c r="CG274">
        <v>286.61772617973037</v>
      </c>
      <c r="CH274">
        <f t="shared" si="77"/>
        <v>1.6201738732058224</v>
      </c>
      <c r="CI274">
        <f t="shared" si="78"/>
        <v>-1.6791517959148763</v>
      </c>
      <c r="CJ274">
        <f t="shared" si="79"/>
        <v>-0.54348919391480333</v>
      </c>
      <c r="CK274">
        <f t="shared" si="80"/>
        <v>0.14039213962699235</v>
      </c>
      <c r="CL274">
        <f t="shared" si="81"/>
        <v>0.29704528941249891</v>
      </c>
      <c r="CM274">
        <f t="shared" si="82"/>
        <v>0.48569654706752052</v>
      </c>
      <c r="CN274">
        <f t="shared" si="83"/>
        <v>-0.53822495392244607</v>
      </c>
      <c r="CO274" s="2">
        <f t="shared" si="84"/>
        <v>0.21755809443929158</v>
      </c>
      <c r="CP274">
        <v>1.26950096807471</v>
      </c>
      <c r="CQ274">
        <v>-0.16124031506849101</v>
      </c>
      <c r="CR274">
        <v>6.6901689689629298E-2</v>
      </c>
      <c r="CS274">
        <v>-1.23171688104545</v>
      </c>
      <c r="CT274">
        <v>-1.06053634208362</v>
      </c>
      <c r="CU274">
        <v>-1.0246018815135201</v>
      </c>
      <c r="CV274">
        <v>1.23277431044272</v>
      </c>
      <c r="CW274">
        <v>-0.88681492856354305</v>
      </c>
      <c r="CX274" t="s">
        <v>1827</v>
      </c>
    </row>
    <row r="275" spans="1:102" x14ac:dyDescent="0.35">
      <c r="A275" t="s">
        <v>238</v>
      </c>
      <c r="B275" t="s">
        <v>148</v>
      </c>
      <c r="C275" t="s">
        <v>239</v>
      </c>
      <c r="D275" t="s">
        <v>72</v>
      </c>
      <c r="E275" t="s">
        <v>72</v>
      </c>
      <c r="F275" t="s">
        <v>72</v>
      </c>
      <c r="G275" t="s">
        <v>73</v>
      </c>
      <c r="H275" t="s">
        <v>74</v>
      </c>
      <c r="I275" t="s">
        <v>75</v>
      </c>
      <c r="J275" t="s">
        <v>76</v>
      </c>
      <c r="K275" t="s">
        <v>77</v>
      </c>
      <c r="L275" t="s">
        <v>78</v>
      </c>
      <c r="M275" t="s">
        <v>79</v>
      </c>
      <c r="N275">
        <v>60</v>
      </c>
      <c r="O275" t="s">
        <v>80</v>
      </c>
      <c r="P275">
        <v>792</v>
      </c>
      <c r="Q275">
        <v>0.75</v>
      </c>
      <c r="R275">
        <v>177</v>
      </c>
      <c r="S275">
        <v>0.85419999999999996</v>
      </c>
      <c r="T275" t="s">
        <v>81</v>
      </c>
      <c r="U275" t="s">
        <v>82</v>
      </c>
      <c r="V275" t="s">
        <v>83</v>
      </c>
      <c r="W275" t="s">
        <v>84</v>
      </c>
      <c r="X275" t="s">
        <v>85</v>
      </c>
      <c r="Y275" t="s">
        <v>86</v>
      </c>
      <c r="Z275" t="s">
        <v>87</v>
      </c>
      <c r="AA275" t="s">
        <v>88</v>
      </c>
      <c r="AB275">
        <v>573</v>
      </c>
      <c r="AC275">
        <v>6</v>
      </c>
      <c r="AE275">
        <v>22</v>
      </c>
      <c r="AF275" t="s">
        <v>89</v>
      </c>
      <c r="AG275" t="s">
        <v>240</v>
      </c>
      <c r="AH275" t="s">
        <v>72</v>
      </c>
      <c r="AI275" t="s">
        <v>72</v>
      </c>
      <c r="AJ275" t="s">
        <v>91</v>
      </c>
      <c r="AK275" t="s">
        <v>92</v>
      </c>
      <c r="AL275" t="s">
        <v>93</v>
      </c>
      <c r="AM275" t="s">
        <v>94</v>
      </c>
      <c r="AN275" t="s">
        <v>241</v>
      </c>
      <c r="AO275" t="s">
        <v>242</v>
      </c>
      <c r="AP275" t="s">
        <v>243</v>
      </c>
      <c r="AQ275">
        <v>39</v>
      </c>
      <c r="AR275" t="s">
        <v>80</v>
      </c>
      <c r="AS275">
        <v>1359</v>
      </c>
      <c r="AT275">
        <v>0.96879999999999999</v>
      </c>
      <c r="AU275">
        <v>172</v>
      </c>
      <c r="AV275">
        <v>0.94740000000000002</v>
      </c>
      <c r="AW275" t="s">
        <v>98</v>
      </c>
      <c r="AX275" t="s">
        <v>244</v>
      </c>
      <c r="AY275" t="s">
        <v>100</v>
      </c>
      <c r="AZ275" t="s">
        <v>101</v>
      </c>
      <c r="BA275" t="s">
        <v>245</v>
      </c>
      <c r="BB275" t="s">
        <v>103</v>
      </c>
      <c r="BC275" t="s">
        <v>246</v>
      </c>
      <c r="BD275" t="s">
        <v>105</v>
      </c>
      <c r="BE275">
        <v>83867</v>
      </c>
      <c r="BF275" t="s">
        <v>247</v>
      </c>
      <c r="BG275">
        <v>919</v>
      </c>
      <c r="BH275" t="s">
        <v>80</v>
      </c>
      <c r="BI275">
        <v>1</v>
      </c>
      <c r="BJ275">
        <v>1323</v>
      </c>
      <c r="BK275">
        <v>0</v>
      </c>
      <c r="BL275">
        <v>15</v>
      </c>
      <c r="BM275">
        <v>46</v>
      </c>
      <c r="BN275">
        <v>55</v>
      </c>
      <c r="BO275">
        <v>82</v>
      </c>
      <c r="BP275">
        <v>5</v>
      </c>
      <c r="BQ275" s="2">
        <v>46</v>
      </c>
      <c r="BR275">
        <f t="shared" si="68"/>
        <v>1324</v>
      </c>
      <c r="BS275">
        <f t="shared" si="69"/>
        <v>1</v>
      </c>
      <c r="BT275">
        <f t="shared" si="70"/>
        <v>16</v>
      </c>
      <c r="BU275">
        <f t="shared" si="71"/>
        <v>47</v>
      </c>
      <c r="BV275">
        <f t="shared" si="72"/>
        <v>56</v>
      </c>
      <c r="BW275">
        <f t="shared" si="73"/>
        <v>83</v>
      </c>
      <c r="BX275">
        <f t="shared" si="74"/>
        <v>6</v>
      </c>
      <c r="BY275" s="2">
        <f t="shared" si="75"/>
        <v>47</v>
      </c>
      <c r="BZ275">
        <f t="shared" si="76"/>
        <v>32.692838694127573</v>
      </c>
      <c r="CA275">
        <v>32.692838694127573</v>
      </c>
      <c r="CB275">
        <v>32.692838694127573</v>
      </c>
      <c r="CC275">
        <v>32.692838694127573</v>
      </c>
      <c r="CD275">
        <v>32.692838694127573</v>
      </c>
      <c r="CE275">
        <v>32.692838694127573</v>
      </c>
      <c r="CF275">
        <v>32.692838694127573</v>
      </c>
      <c r="CG275">
        <v>32.692838694127573</v>
      </c>
      <c r="CH275">
        <f t="shared" si="77"/>
        <v>1.6074353534290613</v>
      </c>
      <c r="CI275">
        <f t="shared" si="78"/>
        <v>-1.5144526316746199</v>
      </c>
      <c r="CJ275">
        <f t="shared" si="79"/>
        <v>-0.31033264901869506</v>
      </c>
      <c r="CK275">
        <f t="shared" si="80"/>
        <v>0.15764522626109767</v>
      </c>
      <c r="CL275">
        <f t="shared" si="81"/>
        <v>0.23373539533158055</v>
      </c>
      <c r="CM275">
        <f t="shared" si="82"/>
        <v>0.40462546070145411</v>
      </c>
      <c r="CN275">
        <f t="shared" si="83"/>
        <v>-0.73630138129097622</v>
      </c>
      <c r="CO275" s="2">
        <f t="shared" si="84"/>
        <v>0.15764522626109767</v>
      </c>
      <c r="CP275">
        <v>1.2541964983562199</v>
      </c>
      <c r="CQ275">
        <v>-2.2527165794045199</v>
      </c>
      <c r="CR275">
        <v>1.1086165657903</v>
      </c>
      <c r="CS275">
        <v>-1.1808815255909699</v>
      </c>
      <c r="CT275">
        <v>-1.23676672074137</v>
      </c>
      <c r="CU275">
        <v>-1.2587184760469901</v>
      </c>
      <c r="CV275">
        <v>0.70153852335730005</v>
      </c>
      <c r="CW275">
        <v>-1.05137481061863</v>
      </c>
      <c r="CX275" t="s">
        <v>1827</v>
      </c>
    </row>
    <row r="276" spans="1:102" x14ac:dyDescent="0.35">
      <c r="A276" t="s">
        <v>1229</v>
      </c>
      <c r="B276" t="s">
        <v>142</v>
      </c>
      <c r="C276" t="s">
        <v>1230</v>
      </c>
      <c r="D276" t="s">
        <v>72</v>
      </c>
      <c r="E276" t="s">
        <v>72</v>
      </c>
      <c r="F276" t="s">
        <v>72</v>
      </c>
      <c r="G276" t="s">
        <v>73</v>
      </c>
      <c r="H276" t="s">
        <v>74</v>
      </c>
      <c r="I276" t="s">
        <v>75</v>
      </c>
      <c r="J276" t="s">
        <v>76</v>
      </c>
      <c r="K276" t="s">
        <v>1231</v>
      </c>
      <c r="L276" t="s">
        <v>1232</v>
      </c>
      <c r="M276" t="s">
        <v>1233</v>
      </c>
      <c r="N276">
        <v>60</v>
      </c>
      <c r="O276" t="s">
        <v>80</v>
      </c>
      <c r="P276">
        <v>792</v>
      </c>
      <c r="Q276">
        <v>0.75</v>
      </c>
      <c r="R276">
        <v>177</v>
      </c>
      <c r="S276">
        <v>0.85419999999999996</v>
      </c>
      <c r="T276" t="s">
        <v>81</v>
      </c>
      <c r="U276" t="s">
        <v>82</v>
      </c>
      <c r="V276" t="s">
        <v>83</v>
      </c>
      <c r="W276" t="s">
        <v>84</v>
      </c>
      <c r="X276" t="s">
        <v>85</v>
      </c>
      <c r="Y276" t="s">
        <v>86</v>
      </c>
      <c r="Z276" t="s">
        <v>1234</v>
      </c>
      <c r="AA276" t="s">
        <v>88</v>
      </c>
      <c r="AB276">
        <v>205</v>
      </c>
      <c r="AC276">
        <v>2</v>
      </c>
      <c r="AE276">
        <v>22</v>
      </c>
      <c r="AF276" t="s">
        <v>89</v>
      </c>
      <c r="AG276" t="s">
        <v>1235</v>
      </c>
      <c r="AH276" t="s">
        <v>72</v>
      </c>
      <c r="AI276" t="s">
        <v>72</v>
      </c>
      <c r="AJ276" t="s">
        <v>72</v>
      </c>
      <c r="AK276" t="s">
        <v>92</v>
      </c>
      <c r="AL276" t="s">
        <v>93</v>
      </c>
      <c r="AM276" t="s">
        <v>94</v>
      </c>
      <c r="AN276" t="s">
        <v>1236</v>
      </c>
      <c r="AO276" t="s">
        <v>1237</v>
      </c>
      <c r="AP276" t="s">
        <v>1238</v>
      </c>
      <c r="AQ276">
        <v>39</v>
      </c>
      <c r="AR276" t="s">
        <v>80</v>
      </c>
      <c r="AS276">
        <v>1311</v>
      </c>
      <c r="AT276">
        <v>0.96099999999999997</v>
      </c>
      <c r="AU276">
        <v>172</v>
      </c>
      <c r="AV276">
        <v>0.94740000000000002</v>
      </c>
      <c r="AW276" t="s">
        <v>644</v>
      </c>
      <c r="AX276" t="s">
        <v>183</v>
      </c>
      <c r="AY276" t="s">
        <v>1239</v>
      </c>
      <c r="AZ276" t="s">
        <v>101</v>
      </c>
      <c r="BA276" t="s">
        <v>1240</v>
      </c>
      <c r="BB276" t="s">
        <v>186</v>
      </c>
      <c r="BC276" t="s">
        <v>1241</v>
      </c>
      <c r="BD276" t="s">
        <v>105</v>
      </c>
      <c r="BE276">
        <v>14966</v>
      </c>
      <c r="BF276" t="s">
        <v>1242</v>
      </c>
      <c r="BG276">
        <v>187</v>
      </c>
      <c r="BH276" t="s">
        <v>80</v>
      </c>
      <c r="BI276">
        <v>1</v>
      </c>
      <c r="BJ276">
        <v>743</v>
      </c>
      <c r="BK276">
        <v>0</v>
      </c>
      <c r="BL276">
        <v>13</v>
      </c>
      <c r="BM276">
        <v>18</v>
      </c>
      <c r="BN276">
        <v>32</v>
      </c>
      <c r="BO276">
        <v>45</v>
      </c>
      <c r="BP276">
        <v>4</v>
      </c>
      <c r="BQ276" s="2">
        <v>22</v>
      </c>
      <c r="BR276">
        <f t="shared" si="68"/>
        <v>744</v>
      </c>
      <c r="BS276">
        <f t="shared" si="69"/>
        <v>1</v>
      </c>
      <c r="BT276">
        <f t="shared" si="70"/>
        <v>14</v>
      </c>
      <c r="BU276">
        <f t="shared" si="71"/>
        <v>19</v>
      </c>
      <c r="BV276">
        <f t="shared" si="72"/>
        <v>33</v>
      </c>
      <c r="BW276">
        <f t="shared" si="73"/>
        <v>46</v>
      </c>
      <c r="BX276">
        <f t="shared" si="74"/>
        <v>5</v>
      </c>
      <c r="BY276" s="2">
        <f t="shared" si="75"/>
        <v>23</v>
      </c>
      <c r="BZ276">
        <f t="shared" si="76"/>
        <v>20.763617650588145</v>
      </c>
      <c r="CA276">
        <v>20.763617650588145</v>
      </c>
      <c r="CB276">
        <v>20.763617650588145</v>
      </c>
      <c r="CC276">
        <v>20.763617650588145</v>
      </c>
      <c r="CD276">
        <v>20.763617650588145</v>
      </c>
      <c r="CE276">
        <v>20.763617650588145</v>
      </c>
      <c r="CF276">
        <v>20.763617650588145</v>
      </c>
      <c r="CG276">
        <v>20.763617650588145</v>
      </c>
      <c r="CH276">
        <f t="shared" si="77"/>
        <v>1.5542699125346264</v>
      </c>
      <c r="CI276">
        <f t="shared" si="78"/>
        <v>-1.3173030230112523</v>
      </c>
      <c r="CJ276">
        <f t="shared" si="79"/>
        <v>-0.17117498733301428</v>
      </c>
      <c r="CK276">
        <f t="shared" si="80"/>
        <v>-3.8549422058423384E-2</v>
      </c>
      <c r="CL276">
        <f t="shared" si="81"/>
        <v>0.20121091686663514</v>
      </c>
      <c r="CM276">
        <f t="shared" si="82"/>
        <v>0.34545480867032174</v>
      </c>
      <c r="CN276">
        <f t="shared" si="83"/>
        <v>-0.61833301867523349</v>
      </c>
      <c r="CO276" s="2">
        <f t="shared" si="84"/>
        <v>4.4424813006340533E-2</v>
      </c>
      <c r="CP276">
        <v>1.1903218178989301</v>
      </c>
      <c r="CQ276">
        <v>-2.2527165794045199</v>
      </c>
      <c r="CR276">
        <v>1.7303559485125499</v>
      </c>
      <c r="CS276">
        <v>-1.75895922827135</v>
      </c>
      <c r="CT276">
        <v>-1.3273023508941699</v>
      </c>
      <c r="CU276">
        <v>-1.4295911283178899</v>
      </c>
      <c r="CV276">
        <v>1.01792658021959</v>
      </c>
      <c r="CW276">
        <v>-1.3623520416871999</v>
      </c>
      <c r="CX276" t="s">
        <v>1827</v>
      </c>
    </row>
    <row r="277" spans="1:102" x14ac:dyDescent="0.35">
      <c r="A277" t="s">
        <v>1565</v>
      </c>
      <c r="B277" t="s">
        <v>231</v>
      </c>
      <c r="C277" t="s">
        <v>188</v>
      </c>
      <c r="D277" t="s">
        <v>72</v>
      </c>
      <c r="E277" t="s">
        <v>72</v>
      </c>
      <c r="F277" t="s">
        <v>72</v>
      </c>
      <c r="G277" t="s">
        <v>73</v>
      </c>
      <c r="H277" t="s">
        <v>109</v>
      </c>
      <c r="I277" t="s">
        <v>110</v>
      </c>
      <c r="J277" t="s">
        <v>111</v>
      </c>
      <c r="K277" t="s">
        <v>112</v>
      </c>
      <c r="L277" t="s">
        <v>113</v>
      </c>
      <c r="M277" t="s">
        <v>114</v>
      </c>
      <c r="N277">
        <v>48</v>
      </c>
      <c r="O277" t="s">
        <v>80</v>
      </c>
      <c r="P277">
        <v>621</v>
      </c>
      <c r="Q277">
        <v>0.68400000000000005</v>
      </c>
      <c r="R277">
        <v>175</v>
      </c>
      <c r="S277">
        <v>0.81130000000000002</v>
      </c>
      <c r="T277" t="s">
        <v>115</v>
      </c>
      <c r="U277" t="s">
        <v>116</v>
      </c>
      <c r="V277" t="s">
        <v>117</v>
      </c>
      <c r="W277" t="s">
        <v>118</v>
      </c>
      <c r="X277" t="s">
        <v>119</v>
      </c>
      <c r="Y277" t="s">
        <v>120</v>
      </c>
      <c r="Z277" t="s">
        <v>121</v>
      </c>
      <c r="AA277" t="s">
        <v>88</v>
      </c>
      <c r="AB277">
        <v>223</v>
      </c>
      <c r="AC277">
        <v>3</v>
      </c>
      <c r="AE277">
        <v>1</v>
      </c>
      <c r="AF277" t="s">
        <v>89</v>
      </c>
      <c r="AG277" t="s">
        <v>1566</v>
      </c>
      <c r="AH277" t="s">
        <v>72</v>
      </c>
      <c r="AI277" t="s">
        <v>72</v>
      </c>
      <c r="AJ277" t="s">
        <v>91</v>
      </c>
      <c r="AK277" t="s">
        <v>92</v>
      </c>
      <c r="AL277" t="s">
        <v>93</v>
      </c>
      <c r="AM277" t="s">
        <v>94</v>
      </c>
      <c r="AN277" t="s">
        <v>1206</v>
      </c>
      <c r="AO277" t="s">
        <v>1207</v>
      </c>
      <c r="AP277" t="s">
        <v>97</v>
      </c>
      <c r="AQ277">
        <v>39</v>
      </c>
      <c r="AR277" t="s">
        <v>80</v>
      </c>
      <c r="AS277">
        <v>1350</v>
      </c>
      <c r="AT277">
        <v>0.96530000000000005</v>
      </c>
      <c r="AU277">
        <v>172</v>
      </c>
      <c r="AV277">
        <v>0.94740000000000002</v>
      </c>
      <c r="AW277" t="s">
        <v>98</v>
      </c>
      <c r="AX277" t="s">
        <v>1208</v>
      </c>
      <c r="AY277" t="s">
        <v>127</v>
      </c>
      <c r="AZ277" t="s">
        <v>101</v>
      </c>
      <c r="BA277" t="s">
        <v>128</v>
      </c>
      <c r="BB277" t="s">
        <v>103</v>
      </c>
      <c r="BC277" t="s">
        <v>104</v>
      </c>
      <c r="BD277" t="s">
        <v>105</v>
      </c>
      <c r="BE277">
        <v>17521</v>
      </c>
      <c r="BF277" t="s">
        <v>106</v>
      </c>
      <c r="BG277">
        <v>343</v>
      </c>
      <c r="BH277" t="s">
        <v>80</v>
      </c>
      <c r="BI277">
        <v>1</v>
      </c>
      <c r="BJ277">
        <v>5060</v>
      </c>
      <c r="BK277">
        <v>4</v>
      </c>
      <c r="BL277">
        <v>35</v>
      </c>
      <c r="BM277">
        <v>219</v>
      </c>
      <c r="BN277">
        <v>327</v>
      </c>
      <c r="BO277">
        <v>489</v>
      </c>
      <c r="BP277">
        <v>29</v>
      </c>
      <c r="BQ277" s="2">
        <v>249</v>
      </c>
      <c r="BR277">
        <f t="shared" si="68"/>
        <v>5061</v>
      </c>
      <c r="BS277">
        <f t="shared" si="69"/>
        <v>5</v>
      </c>
      <c r="BT277">
        <f t="shared" si="70"/>
        <v>36</v>
      </c>
      <c r="BU277">
        <f t="shared" si="71"/>
        <v>220</v>
      </c>
      <c r="BV277">
        <f t="shared" si="72"/>
        <v>328</v>
      </c>
      <c r="BW277">
        <f t="shared" si="73"/>
        <v>490</v>
      </c>
      <c r="BX277">
        <f t="shared" si="74"/>
        <v>30</v>
      </c>
      <c r="BY277" s="2">
        <f t="shared" si="75"/>
        <v>250</v>
      </c>
      <c r="BZ277">
        <f t="shared" si="76"/>
        <v>148.89593415395916</v>
      </c>
      <c r="CA277">
        <v>148.89593415395916</v>
      </c>
      <c r="CB277">
        <v>148.89593415395916</v>
      </c>
      <c r="CC277">
        <v>148.89593415395916</v>
      </c>
      <c r="CD277">
        <v>148.89593415395916</v>
      </c>
      <c r="CE277">
        <v>148.89593415395916</v>
      </c>
      <c r="CF277">
        <v>148.89593415395916</v>
      </c>
      <c r="CG277">
        <v>148.89593415395916</v>
      </c>
      <c r="CH277">
        <f t="shared" si="77"/>
        <v>1.5313534985130135</v>
      </c>
      <c r="CI277">
        <f t="shared" si="78"/>
        <v>-1.4739128344597554</v>
      </c>
      <c r="CJ277">
        <f t="shared" si="79"/>
        <v>-0.61658033802848689</v>
      </c>
      <c r="CK277">
        <f t="shared" si="80"/>
        <v>0.1695398420264321</v>
      </c>
      <c r="CL277">
        <f t="shared" si="81"/>
        <v>0.34299100491590495</v>
      </c>
      <c r="CM277">
        <f t="shared" si="82"/>
        <v>0.51731324123273947</v>
      </c>
      <c r="CN277">
        <f t="shared" si="83"/>
        <v>-0.69576158407611166</v>
      </c>
      <c r="CO277" s="2">
        <f t="shared" si="84"/>
        <v>0.22505716987626345</v>
      </c>
      <c r="CP277">
        <v>1.1627892968056901</v>
      </c>
      <c r="CQ277">
        <v>0.44507754645958902</v>
      </c>
      <c r="CR277">
        <v>-0.25966058703466099</v>
      </c>
      <c r="CS277">
        <v>-1.1458346361126599</v>
      </c>
      <c r="CT277">
        <v>-0.93264115352878096</v>
      </c>
      <c r="CU277">
        <v>-0.93329938268004098</v>
      </c>
      <c r="CV277">
        <v>0.81026519703489497</v>
      </c>
      <c r="CW277">
        <v>-0.866217567646687</v>
      </c>
      <c r="CX277" t="s">
        <v>1827</v>
      </c>
    </row>
    <row r="278" spans="1:102" x14ac:dyDescent="0.35">
      <c r="A278" t="s">
        <v>1752</v>
      </c>
      <c r="B278" t="s">
        <v>211</v>
      </c>
      <c r="C278" t="s">
        <v>149</v>
      </c>
      <c r="D278" t="s">
        <v>72</v>
      </c>
      <c r="E278" t="s">
        <v>72</v>
      </c>
      <c r="F278" t="s">
        <v>72</v>
      </c>
      <c r="G278" t="s">
        <v>73</v>
      </c>
      <c r="H278" t="s">
        <v>74</v>
      </c>
      <c r="I278" t="s">
        <v>75</v>
      </c>
      <c r="J278" t="s">
        <v>76</v>
      </c>
      <c r="K278" t="s">
        <v>77</v>
      </c>
      <c r="L278" t="s">
        <v>78</v>
      </c>
      <c r="M278" t="s">
        <v>79</v>
      </c>
      <c r="N278">
        <v>60</v>
      </c>
      <c r="O278" t="s">
        <v>80</v>
      </c>
      <c r="P278">
        <v>792</v>
      </c>
      <c r="Q278">
        <v>0.75</v>
      </c>
      <c r="R278">
        <v>177</v>
      </c>
      <c r="S278">
        <v>0.85419999999999996</v>
      </c>
      <c r="T278" t="s">
        <v>81</v>
      </c>
      <c r="U278" t="s">
        <v>82</v>
      </c>
      <c r="V278" t="s">
        <v>83</v>
      </c>
      <c r="W278" t="s">
        <v>84</v>
      </c>
      <c r="X278" t="s">
        <v>85</v>
      </c>
      <c r="Y278" t="s">
        <v>86</v>
      </c>
      <c r="Z278" t="s">
        <v>87</v>
      </c>
      <c r="AA278" t="s">
        <v>88</v>
      </c>
      <c r="AB278">
        <v>1080</v>
      </c>
      <c r="AC278">
        <v>7</v>
      </c>
      <c r="AE278">
        <v>22</v>
      </c>
      <c r="AF278" t="s">
        <v>153</v>
      </c>
      <c r="AG278" t="s">
        <v>225</v>
      </c>
      <c r="AH278" t="s">
        <v>72</v>
      </c>
      <c r="AI278" t="s">
        <v>72</v>
      </c>
      <c r="AJ278" t="s">
        <v>91</v>
      </c>
      <c r="AK278" t="s">
        <v>92</v>
      </c>
      <c r="AL278" t="s">
        <v>93</v>
      </c>
      <c r="AM278" t="s">
        <v>94</v>
      </c>
      <c r="AN278" t="s">
        <v>144</v>
      </c>
      <c r="AO278" t="s">
        <v>145</v>
      </c>
      <c r="AP278" t="s">
        <v>97</v>
      </c>
      <c r="AQ278">
        <v>39</v>
      </c>
      <c r="AR278" t="s">
        <v>80</v>
      </c>
      <c r="AS278">
        <v>1359</v>
      </c>
      <c r="AT278">
        <v>0.96879999999999999</v>
      </c>
      <c r="AU278">
        <v>172</v>
      </c>
      <c r="AV278">
        <v>0.94740000000000002</v>
      </c>
      <c r="AW278" t="s">
        <v>98</v>
      </c>
      <c r="AX278" t="s">
        <v>146</v>
      </c>
      <c r="AY278" t="s">
        <v>127</v>
      </c>
      <c r="AZ278" t="s">
        <v>101</v>
      </c>
      <c r="BA278" t="s">
        <v>128</v>
      </c>
      <c r="BB278" t="s">
        <v>103</v>
      </c>
      <c r="BC278" t="s">
        <v>104</v>
      </c>
      <c r="BD278" t="s">
        <v>105</v>
      </c>
      <c r="BE278">
        <v>498</v>
      </c>
      <c r="BF278" t="s">
        <v>106</v>
      </c>
      <c r="BG278">
        <v>5</v>
      </c>
      <c r="BH278" t="s">
        <v>80</v>
      </c>
      <c r="BI278">
        <v>1</v>
      </c>
      <c r="BJ278">
        <v>2442</v>
      </c>
      <c r="BK278">
        <v>0</v>
      </c>
      <c r="BL278">
        <v>27</v>
      </c>
      <c r="BM278">
        <v>187</v>
      </c>
      <c r="BN278">
        <v>252</v>
      </c>
      <c r="BO278">
        <v>352</v>
      </c>
      <c r="BP278">
        <v>9</v>
      </c>
      <c r="BQ278" s="2">
        <v>153</v>
      </c>
      <c r="BR278">
        <f t="shared" si="68"/>
        <v>2443</v>
      </c>
      <c r="BS278">
        <f t="shared" si="69"/>
        <v>1</v>
      </c>
      <c r="BT278">
        <f t="shared" si="70"/>
        <v>28</v>
      </c>
      <c r="BU278">
        <f t="shared" si="71"/>
        <v>188</v>
      </c>
      <c r="BV278">
        <f t="shared" si="72"/>
        <v>253</v>
      </c>
      <c r="BW278">
        <f t="shared" si="73"/>
        <v>353</v>
      </c>
      <c r="BX278">
        <f t="shared" si="74"/>
        <v>10</v>
      </c>
      <c r="BY278" s="2">
        <f t="shared" si="75"/>
        <v>154</v>
      </c>
      <c r="BZ278">
        <f t="shared" si="76"/>
        <v>80.529854028150126</v>
      </c>
      <c r="CA278">
        <v>80.529854028150126</v>
      </c>
      <c r="CB278">
        <v>80.529854028150126</v>
      </c>
      <c r="CC278">
        <v>80.529854028150126</v>
      </c>
      <c r="CD278">
        <v>80.529854028150126</v>
      </c>
      <c r="CE278">
        <v>80.529854028150126</v>
      </c>
      <c r="CF278">
        <v>80.529854028150126</v>
      </c>
      <c r="CG278">
        <v>80.529854028150126</v>
      </c>
      <c r="CH278">
        <f t="shared" si="77"/>
        <v>1.4819665551010068</v>
      </c>
      <c r="CI278">
        <f t="shared" si="78"/>
        <v>-1.90595691187243</v>
      </c>
      <c r="CJ278">
        <f t="shared" si="79"/>
        <v>-0.45879888053021073</v>
      </c>
      <c r="CK278">
        <f t="shared" si="80"/>
        <v>0.36820093739124993</v>
      </c>
      <c r="CL278">
        <f t="shared" si="81"/>
        <v>0.49716360930338799</v>
      </c>
      <c r="CM278">
        <f t="shared" si="82"/>
        <v>0.64181779351539259</v>
      </c>
      <c r="CN278">
        <f t="shared" si="83"/>
        <v>-0.90595691187242999</v>
      </c>
      <c r="CO278" s="2">
        <f t="shared" si="84"/>
        <v>0.28156380896403316</v>
      </c>
      <c r="CP278">
        <v>1.10345422544857</v>
      </c>
      <c r="CQ278">
        <v>-2.2527165794045199</v>
      </c>
      <c r="CR278">
        <v>0.44528763357839701</v>
      </c>
      <c r="CS278">
        <v>-0.560489670772777</v>
      </c>
      <c r="CT278">
        <v>-0.50348396026085496</v>
      </c>
      <c r="CU278">
        <v>-0.57375588707778502</v>
      </c>
      <c r="CV278">
        <v>0.24652683660999899</v>
      </c>
      <c r="CW278">
        <v>-0.71101341624541703</v>
      </c>
      <c r="CX278" t="s">
        <v>1827</v>
      </c>
    </row>
    <row r="279" spans="1:102" x14ac:dyDescent="0.35">
      <c r="A279" t="s">
        <v>1792</v>
      </c>
      <c r="B279" t="s">
        <v>159</v>
      </c>
      <c r="C279" t="s">
        <v>108</v>
      </c>
      <c r="D279" t="s">
        <v>72</v>
      </c>
      <c r="E279" t="s">
        <v>72</v>
      </c>
      <c r="F279" t="s">
        <v>72</v>
      </c>
      <c r="G279" t="s">
        <v>73</v>
      </c>
      <c r="H279" t="s">
        <v>109</v>
      </c>
      <c r="I279" t="s">
        <v>110</v>
      </c>
      <c r="J279" t="s">
        <v>111</v>
      </c>
      <c r="K279" t="s">
        <v>112</v>
      </c>
      <c r="L279" t="s">
        <v>113</v>
      </c>
      <c r="M279" t="s">
        <v>114</v>
      </c>
      <c r="N279">
        <v>48</v>
      </c>
      <c r="O279" t="s">
        <v>80</v>
      </c>
      <c r="P279">
        <v>621</v>
      </c>
      <c r="Q279">
        <v>0.68400000000000005</v>
      </c>
      <c r="R279">
        <v>175</v>
      </c>
      <c r="S279">
        <v>0.81130000000000002</v>
      </c>
      <c r="T279" t="s">
        <v>115</v>
      </c>
      <c r="U279" t="s">
        <v>116</v>
      </c>
      <c r="V279" t="s">
        <v>117</v>
      </c>
      <c r="W279" t="s">
        <v>118</v>
      </c>
      <c r="X279" t="s">
        <v>119</v>
      </c>
      <c r="Y279" t="s">
        <v>120</v>
      </c>
      <c r="Z279" t="s">
        <v>121</v>
      </c>
      <c r="AA279" t="s">
        <v>88</v>
      </c>
      <c r="AB279">
        <v>247</v>
      </c>
      <c r="AC279">
        <v>3</v>
      </c>
      <c r="AE279">
        <v>1</v>
      </c>
      <c r="AF279" t="s">
        <v>153</v>
      </c>
      <c r="AG279" t="s">
        <v>384</v>
      </c>
      <c r="AH279" t="s">
        <v>72</v>
      </c>
      <c r="AI279" t="s">
        <v>72</v>
      </c>
      <c r="AJ279" t="s">
        <v>91</v>
      </c>
      <c r="AK279" t="s">
        <v>92</v>
      </c>
      <c r="AL279" t="s">
        <v>93</v>
      </c>
      <c r="AM279" t="s">
        <v>94</v>
      </c>
      <c r="AN279" t="s">
        <v>144</v>
      </c>
      <c r="AO279" t="s">
        <v>145</v>
      </c>
      <c r="AP279" t="s">
        <v>97</v>
      </c>
      <c r="AQ279">
        <v>39</v>
      </c>
      <c r="AR279" t="s">
        <v>80</v>
      </c>
      <c r="AS279">
        <v>1359</v>
      </c>
      <c r="AT279">
        <v>0.96879999999999999</v>
      </c>
      <c r="AU279">
        <v>172</v>
      </c>
      <c r="AV279">
        <v>0.94740000000000002</v>
      </c>
      <c r="AW279" t="s">
        <v>98</v>
      </c>
      <c r="AX279" t="s">
        <v>146</v>
      </c>
      <c r="AY279" t="s">
        <v>127</v>
      </c>
      <c r="AZ279" t="s">
        <v>101</v>
      </c>
      <c r="BA279" t="s">
        <v>128</v>
      </c>
      <c r="BB279" t="s">
        <v>103</v>
      </c>
      <c r="BC279" t="s">
        <v>104</v>
      </c>
      <c r="BD279" t="s">
        <v>105</v>
      </c>
      <c r="BE279">
        <v>3929</v>
      </c>
      <c r="BF279" t="s">
        <v>106</v>
      </c>
      <c r="BG279">
        <v>47</v>
      </c>
      <c r="BH279" t="s">
        <v>80</v>
      </c>
      <c r="BI279">
        <v>1</v>
      </c>
      <c r="BJ279">
        <v>2531</v>
      </c>
      <c r="BK279">
        <v>0</v>
      </c>
      <c r="BL279">
        <v>27</v>
      </c>
      <c r="BM279">
        <v>187</v>
      </c>
      <c r="BN279">
        <v>246</v>
      </c>
      <c r="BO279">
        <v>301</v>
      </c>
      <c r="BP279">
        <v>14</v>
      </c>
      <c r="BQ279" s="2">
        <v>167</v>
      </c>
      <c r="BR279">
        <f t="shared" si="68"/>
        <v>2532</v>
      </c>
      <c r="BS279">
        <f t="shared" si="69"/>
        <v>1</v>
      </c>
      <c r="BT279">
        <f t="shared" si="70"/>
        <v>28</v>
      </c>
      <c r="BU279">
        <f t="shared" si="71"/>
        <v>188</v>
      </c>
      <c r="BV279">
        <f t="shared" si="72"/>
        <v>247</v>
      </c>
      <c r="BW279">
        <f t="shared" si="73"/>
        <v>302</v>
      </c>
      <c r="BX279">
        <f t="shared" si="74"/>
        <v>15</v>
      </c>
      <c r="BY279" s="2">
        <f t="shared" si="75"/>
        <v>168</v>
      </c>
      <c r="BZ279">
        <f t="shared" si="76"/>
        <v>84.112492457864235</v>
      </c>
      <c r="CA279">
        <v>84.112492457864235</v>
      </c>
      <c r="CB279">
        <v>84.112492457864235</v>
      </c>
      <c r="CC279">
        <v>84.112492457864235</v>
      </c>
      <c r="CD279">
        <v>84.112492457864235</v>
      </c>
      <c r="CE279">
        <v>84.112492457864235</v>
      </c>
      <c r="CF279">
        <v>84.112492457864235</v>
      </c>
      <c r="CG279">
        <v>84.112492457864235</v>
      </c>
      <c r="CH279">
        <f t="shared" si="77"/>
        <v>1.4786031989766204</v>
      </c>
      <c r="CI279">
        <f t="shared" si="78"/>
        <v>-1.9248605023686971</v>
      </c>
      <c r="CJ279">
        <f t="shared" si="79"/>
        <v>-0.47770247102647784</v>
      </c>
      <c r="CK279">
        <f t="shared" si="80"/>
        <v>0.34929734689498276</v>
      </c>
      <c r="CL279">
        <f t="shared" si="81"/>
        <v>0.46783645089096859</v>
      </c>
      <c r="CM279">
        <f t="shared" si="82"/>
        <v>0.55514644058845353</v>
      </c>
      <c r="CN279">
        <f t="shared" si="83"/>
        <v>-0.74876924331301586</v>
      </c>
      <c r="CO279" s="2">
        <f t="shared" si="84"/>
        <v>0.30044877935716574</v>
      </c>
      <c r="CP279">
        <v>1.0994133806047199</v>
      </c>
      <c r="CQ279">
        <v>-2.2527165794045199</v>
      </c>
      <c r="CR279">
        <v>0.36082870732157102</v>
      </c>
      <c r="CS279">
        <v>-0.61618815317325504</v>
      </c>
      <c r="CT279">
        <v>-0.58511948195941399</v>
      </c>
      <c r="CU279">
        <v>-0.82404489762884903</v>
      </c>
      <c r="CV279">
        <v>0.66810004416750901</v>
      </c>
      <c r="CW279">
        <v>-0.65914294843097898</v>
      </c>
      <c r="CX279" t="s">
        <v>1827</v>
      </c>
    </row>
    <row r="280" spans="1:102" x14ac:dyDescent="0.35">
      <c r="A280" t="s">
        <v>1012</v>
      </c>
      <c r="B280" t="s">
        <v>178</v>
      </c>
      <c r="C280" t="s">
        <v>518</v>
      </c>
      <c r="D280" t="s">
        <v>72</v>
      </c>
      <c r="E280" t="s">
        <v>72</v>
      </c>
      <c r="F280" t="s">
        <v>72</v>
      </c>
      <c r="G280" t="s">
        <v>73</v>
      </c>
      <c r="H280" t="s">
        <v>74</v>
      </c>
      <c r="I280" t="s">
        <v>75</v>
      </c>
      <c r="J280" t="s">
        <v>76</v>
      </c>
      <c r="K280" t="s">
        <v>77</v>
      </c>
      <c r="L280" t="s">
        <v>78</v>
      </c>
      <c r="M280" t="s">
        <v>79</v>
      </c>
      <c r="N280">
        <v>60</v>
      </c>
      <c r="O280" t="s">
        <v>80</v>
      </c>
      <c r="P280">
        <v>792</v>
      </c>
      <c r="Q280">
        <v>0.75</v>
      </c>
      <c r="R280">
        <v>177</v>
      </c>
      <c r="S280">
        <v>0.85419999999999996</v>
      </c>
      <c r="T280" t="s">
        <v>81</v>
      </c>
      <c r="U280" t="s">
        <v>82</v>
      </c>
      <c r="V280" t="s">
        <v>83</v>
      </c>
      <c r="W280" t="s">
        <v>84</v>
      </c>
      <c r="X280" t="s">
        <v>85</v>
      </c>
      <c r="Y280" t="s">
        <v>86</v>
      </c>
      <c r="Z280" t="s">
        <v>87</v>
      </c>
      <c r="AA280" t="s">
        <v>88</v>
      </c>
      <c r="AB280">
        <v>752</v>
      </c>
      <c r="AC280">
        <v>8</v>
      </c>
      <c r="AE280">
        <v>22</v>
      </c>
      <c r="AF280" t="s">
        <v>89</v>
      </c>
      <c r="AG280" t="s">
        <v>1013</v>
      </c>
      <c r="AH280" t="s">
        <v>72</v>
      </c>
      <c r="AI280" t="s">
        <v>72</v>
      </c>
      <c r="AJ280" t="s">
        <v>91</v>
      </c>
      <c r="AK280" t="s">
        <v>92</v>
      </c>
      <c r="AL280" t="s">
        <v>93</v>
      </c>
      <c r="AM280" t="s">
        <v>94</v>
      </c>
      <c r="AN280" t="s">
        <v>1014</v>
      </c>
      <c r="AO280" t="s">
        <v>1015</v>
      </c>
      <c r="AP280" t="s">
        <v>1016</v>
      </c>
      <c r="AQ280">
        <v>39</v>
      </c>
      <c r="AR280" t="s">
        <v>80</v>
      </c>
      <c r="AS280">
        <v>1386</v>
      </c>
      <c r="AT280">
        <v>0.97919999999999996</v>
      </c>
      <c r="AU280">
        <v>172</v>
      </c>
      <c r="AV280">
        <v>0.94740000000000002</v>
      </c>
      <c r="AW280" t="s">
        <v>98</v>
      </c>
      <c r="AX280" t="s">
        <v>146</v>
      </c>
      <c r="AY280" t="s">
        <v>100</v>
      </c>
      <c r="AZ280" t="s">
        <v>101</v>
      </c>
      <c r="BA280" t="s">
        <v>102</v>
      </c>
      <c r="BB280" t="s">
        <v>103</v>
      </c>
      <c r="BC280" t="s">
        <v>1017</v>
      </c>
      <c r="BD280" t="s">
        <v>105</v>
      </c>
      <c r="BE280">
        <v>13593</v>
      </c>
      <c r="BF280" t="s">
        <v>1018</v>
      </c>
      <c r="BG280">
        <v>137</v>
      </c>
      <c r="BH280" t="s">
        <v>80</v>
      </c>
      <c r="BI280">
        <v>1</v>
      </c>
      <c r="BJ280">
        <v>251</v>
      </c>
      <c r="BK280">
        <v>0</v>
      </c>
      <c r="BL280">
        <v>4</v>
      </c>
      <c r="BM280">
        <v>6</v>
      </c>
      <c r="BN280">
        <v>22</v>
      </c>
      <c r="BO280">
        <v>14</v>
      </c>
      <c r="BP280">
        <v>0</v>
      </c>
      <c r="BQ280" s="2">
        <v>12</v>
      </c>
      <c r="BR280">
        <f t="shared" si="68"/>
        <v>252</v>
      </c>
      <c r="BS280">
        <f t="shared" si="69"/>
        <v>1</v>
      </c>
      <c r="BT280">
        <f t="shared" si="70"/>
        <v>5</v>
      </c>
      <c r="BU280">
        <f t="shared" si="71"/>
        <v>7</v>
      </c>
      <c r="BV280">
        <f t="shared" si="72"/>
        <v>23</v>
      </c>
      <c r="BW280">
        <f t="shared" si="73"/>
        <v>15</v>
      </c>
      <c r="BX280">
        <f t="shared" si="74"/>
        <v>1</v>
      </c>
      <c r="BY280" s="2">
        <f t="shared" si="75"/>
        <v>13</v>
      </c>
      <c r="BZ280">
        <f t="shared" si="76"/>
        <v>8.9054091825304216</v>
      </c>
      <c r="CA280">
        <v>8.9054091825304216</v>
      </c>
      <c r="CB280">
        <v>8.9054091825304216</v>
      </c>
      <c r="CC280">
        <v>8.9054091825304216</v>
      </c>
      <c r="CD280">
        <v>8.9054091825304216</v>
      </c>
      <c r="CE280">
        <v>8.9054091825304216</v>
      </c>
      <c r="CF280">
        <v>8.9054091825304216</v>
      </c>
      <c r="CG280">
        <v>8.9054091825304216</v>
      </c>
      <c r="CH280">
        <f t="shared" si="77"/>
        <v>1.4517466617175527</v>
      </c>
      <c r="CI280">
        <f t="shared" si="78"/>
        <v>-0.94965387906399135</v>
      </c>
      <c r="CJ280">
        <f t="shared" si="79"/>
        <v>-0.25068387472797249</v>
      </c>
      <c r="CK280">
        <f t="shared" si="80"/>
        <v>-0.10455583904973453</v>
      </c>
      <c r="CL280">
        <f t="shared" si="81"/>
        <v>0.41207395695360155</v>
      </c>
      <c r="CM280">
        <f t="shared" si="82"/>
        <v>0.22643737999168989</v>
      </c>
      <c r="CN280">
        <f t="shared" si="83"/>
        <v>-0.94965387906399135</v>
      </c>
      <c r="CO280" s="2">
        <f t="shared" si="84"/>
        <v>0.1642894732428454</v>
      </c>
      <c r="CP280">
        <v>1.06714706800104</v>
      </c>
      <c r="CQ280">
        <v>-2.2527165794045199</v>
      </c>
      <c r="CR280">
        <v>1.3751199811137</v>
      </c>
      <c r="CS280">
        <v>-1.95344382927004</v>
      </c>
      <c r="CT280">
        <v>-0.74034080343125297</v>
      </c>
      <c r="CU280">
        <v>-1.77328894145134</v>
      </c>
      <c r="CV280">
        <v>-2.6172399890044602</v>
      </c>
      <c r="CW280">
        <v>-1.03312536717003</v>
      </c>
      <c r="CX280" t="s">
        <v>1827</v>
      </c>
    </row>
    <row r="281" spans="1:102" x14ac:dyDescent="0.35">
      <c r="A281" t="s">
        <v>1590</v>
      </c>
      <c r="B281" t="s">
        <v>178</v>
      </c>
      <c r="C281" t="s">
        <v>71</v>
      </c>
      <c r="D281" t="s">
        <v>72</v>
      </c>
      <c r="E281" t="s">
        <v>72</v>
      </c>
      <c r="F281" t="s">
        <v>72</v>
      </c>
      <c r="G281" t="s">
        <v>73</v>
      </c>
      <c r="H281" t="s">
        <v>74</v>
      </c>
      <c r="I281" t="s">
        <v>75</v>
      </c>
      <c r="J281" t="s">
        <v>76</v>
      </c>
      <c r="K281" t="s">
        <v>77</v>
      </c>
      <c r="L281" t="s">
        <v>78</v>
      </c>
      <c r="M281" t="s">
        <v>79</v>
      </c>
      <c r="N281">
        <v>60</v>
      </c>
      <c r="O281" t="s">
        <v>80</v>
      </c>
      <c r="P281">
        <v>792</v>
      </c>
      <c r="Q281">
        <v>0.75</v>
      </c>
      <c r="R281">
        <v>177</v>
      </c>
      <c r="S281">
        <v>0.85419999999999996</v>
      </c>
      <c r="T281" t="s">
        <v>81</v>
      </c>
      <c r="U281" t="s">
        <v>82</v>
      </c>
      <c r="V281" t="s">
        <v>83</v>
      </c>
      <c r="W281" t="s">
        <v>84</v>
      </c>
      <c r="X281" t="s">
        <v>85</v>
      </c>
      <c r="Y281" t="s">
        <v>86</v>
      </c>
      <c r="Z281" t="s">
        <v>87</v>
      </c>
      <c r="AA281" t="s">
        <v>88</v>
      </c>
      <c r="AB281">
        <v>365</v>
      </c>
      <c r="AC281">
        <v>4</v>
      </c>
      <c r="AE281">
        <v>22</v>
      </c>
      <c r="AF281" t="s">
        <v>89</v>
      </c>
      <c r="AG281" t="s">
        <v>1591</v>
      </c>
      <c r="AH281" t="s">
        <v>72</v>
      </c>
      <c r="AI281" t="s">
        <v>72</v>
      </c>
      <c r="AJ281" t="s">
        <v>91</v>
      </c>
      <c r="AK281" t="s">
        <v>92</v>
      </c>
      <c r="AL281" t="s">
        <v>93</v>
      </c>
      <c r="AM281" t="s">
        <v>94</v>
      </c>
      <c r="AN281" t="s">
        <v>144</v>
      </c>
      <c r="AO281" t="s">
        <v>145</v>
      </c>
      <c r="AP281" t="s">
        <v>97</v>
      </c>
      <c r="AQ281">
        <v>39</v>
      </c>
      <c r="AR281" t="s">
        <v>80</v>
      </c>
      <c r="AS281">
        <v>1359</v>
      </c>
      <c r="AT281">
        <v>0.96879999999999999</v>
      </c>
      <c r="AU281">
        <v>172</v>
      </c>
      <c r="AV281">
        <v>0.94740000000000002</v>
      </c>
      <c r="AW281" t="s">
        <v>98</v>
      </c>
      <c r="AX281" t="s">
        <v>146</v>
      </c>
      <c r="AY281" t="s">
        <v>127</v>
      </c>
      <c r="AZ281" t="s">
        <v>101</v>
      </c>
      <c r="BA281" t="s">
        <v>128</v>
      </c>
      <c r="BB281" t="s">
        <v>103</v>
      </c>
      <c r="BC281" t="s">
        <v>104</v>
      </c>
      <c r="BD281" t="s">
        <v>105</v>
      </c>
      <c r="BE281">
        <v>11061</v>
      </c>
      <c r="BF281" t="s">
        <v>106</v>
      </c>
      <c r="BG281">
        <v>133</v>
      </c>
      <c r="BH281" t="s">
        <v>80</v>
      </c>
      <c r="BI281">
        <v>1</v>
      </c>
      <c r="BJ281">
        <v>11639</v>
      </c>
      <c r="BK281">
        <v>10</v>
      </c>
      <c r="BL281">
        <v>127</v>
      </c>
      <c r="BM281">
        <v>822</v>
      </c>
      <c r="BN281">
        <v>1031</v>
      </c>
      <c r="BO281">
        <v>1511</v>
      </c>
      <c r="BP281">
        <v>66</v>
      </c>
      <c r="BQ281" s="2">
        <v>780</v>
      </c>
      <c r="BR281">
        <f t="shared" si="68"/>
        <v>11640</v>
      </c>
      <c r="BS281">
        <f t="shared" si="69"/>
        <v>11</v>
      </c>
      <c r="BT281">
        <f t="shared" si="70"/>
        <v>128</v>
      </c>
      <c r="BU281">
        <f t="shared" si="71"/>
        <v>823</v>
      </c>
      <c r="BV281">
        <f t="shared" si="72"/>
        <v>1032</v>
      </c>
      <c r="BW281">
        <f t="shared" si="73"/>
        <v>1512</v>
      </c>
      <c r="BX281">
        <f t="shared" si="74"/>
        <v>67</v>
      </c>
      <c r="BY281" s="2">
        <f t="shared" si="75"/>
        <v>781</v>
      </c>
      <c r="BZ281">
        <f t="shared" si="76"/>
        <v>426.81443543484147</v>
      </c>
      <c r="CA281">
        <v>426.81443543484147</v>
      </c>
      <c r="CB281">
        <v>426.81443543484147</v>
      </c>
      <c r="CC281">
        <v>426.81443543484147</v>
      </c>
      <c r="CD281">
        <v>426.81443543484147</v>
      </c>
      <c r="CE281">
        <v>426.81443543484147</v>
      </c>
      <c r="CF281">
        <v>426.81443543484147</v>
      </c>
      <c r="CG281">
        <v>426.81443543484147</v>
      </c>
      <c r="CH281">
        <f t="shared" si="77"/>
        <v>1.4357138808930272</v>
      </c>
      <c r="CI281">
        <f t="shared" si="78"/>
        <v>-1.5888464142626173</v>
      </c>
      <c r="CJ281">
        <f t="shared" si="79"/>
        <v>-0.52302912977297411</v>
      </c>
      <c r="CK281">
        <f t="shared" si="80"/>
        <v>0.28516073579142737</v>
      </c>
      <c r="CL281">
        <f t="shared" si="81"/>
        <v>0.38344059787035006</v>
      </c>
      <c r="CM281">
        <f t="shared" si="82"/>
        <v>0.54931269174434527</v>
      </c>
      <c r="CN281">
        <f t="shared" si="83"/>
        <v>-0.80416429672001599</v>
      </c>
      <c r="CO281" s="2">
        <f t="shared" si="84"/>
        <v>0.26241193445645788</v>
      </c>
      <c r="CP281">
        <v>1.0478847664988</v>
      </c>
      <c r="CQ281">
        <v>0.105540248912523</v>
      </c>
      <c r="CR281">
        <v>0.158314749494639</v>
      </c>
      <c r="CS281">
        <v>-0.80516346479371503</v>
      </c>
      <c r="CT281">
        <v>-0.820045054824172</v>
      </c>
      <c r="CU281">
        <v>-0.840891562376613</v>
      </c>
      <c r="CV281">
        <v>0.519531962703907</v>
      </c>
      <c r="CW281">
        <v>-0.76361697714867405</v>
      </c>
      <c r="CX281" t="s">
        <v>1827</v>
      </c>
    </row>
    <row r="282" spans="1:102" x14ac:dyDescent="0.35">
      <c r="A282" t="s">
        <v>954</v>
      </c>
      <c r="B282" t="s">
        <v>70</v>
      </c>
      <c r="C282" t="s">
        <v>955</v>
      </c>
      <c r="D282" t="s">
        <v>72</v>
      </c>
      <c r="E282" t="s">
        <v>72</v>
      </c>
      <c r="F282" t="s">
        <v>72</v>
      </c>
      <c r="G282" t="s">
        <v>73</v>
      </c>
      <c r="H282" t="s">
        <v>74</v>
      </c>
      <c r="I282" t="s">
        <v>75</v>
      </c>
      <c r="J282" t="s">
        <v>76</v>
      </c>
      <c r="K282" t="s">
        <v>77</v>
      </c>
      <c r="L282" t="s">
        <v>78</v>
      </c>
      <c r="M282" t="s">
        <v>79</v>
      </c>
      <c r="N282">
        <v>60</v>
      </c>
      <c r="O282" t="s">
        <v>80</v>
      </c>
      <c r="P282">
        <v>792</v>
      </c>
      <c r="Q282">
        <v>0.75</v>
      </c>
      <c r="R282">
        <v>177</v>
      </c>
      <c r="S282">
        <v>0.85419999999999996</v>
      </c>
      <c r="T282" t="s">
        <v>81</v>
      </c>
      <c r="U282" t="s">
        <v>82</v>
      </c>
      <c r="V282" t="s">
        <v>83</v>
      </c>
      <c r="W282" t="s">
        <v>84</v>
      </c>
      <c r="X282" t="s">
        <v>85</v>
      </c>
      <c r="Y282" t="s">
        <v>86</v>
      </c>
      <c r="Z282" t="s">
        <v>87</v>
      </c>
      <c r="AA282" t="s">
        <v>88</v>
      </c>
      <c r="AB282">
        <v>578</v>
      </c>
      <c r="AC282">
        <v>8</v>
      </c>
      <c r="AE282">
        <v>22</v>
      </c>
      <c r="AF282" t="s">
        <v>89</v>
      </c>
      <c r="AG282" t="s">
        <v>956</v>
      </c>
      <c r="AH282" t="s">
        <v>72</v>
      </c>
      <c r="AI282" t="s">
        <v>72</v>
      </c>
      <c r="AJ282" t="s">
        <v>91</v>
      </c>
      <c r="AK282" t="s">
        <v>92</v>
      </c>
      <c r="AL282" t="s">
        <v>93</v>
      </c>
      <c r="AM282" t="s">
        <v>94</v>
      </c>
      <c r="AN282" t="s">
        <v>957</v>
      </c>
      <c r="AO282" t="s">
        <v>958</v>
      </c>
      <c r="AP282" t="s">
        <v>959</v>
      </c>
      <c r="AQ282">
        <v>39</v>
      </c>
      <c r="AR282" t="s">
        <v>80</v>
      </c>
      <c r="AS282">
        <v>1350</v>
      </c>
      <c r="AT282">
        <v>0.96530000000000005</v>
      </c>
      <c r="AU282">
        <v>163</v>
      </c>
      <c r="AV282">
        <v>0.92110000000000003</v>
      </c>
      <c r="AW282" t="s">
        <v>644</v>
      </c>
      <c r="AX282" t="s">
        <v>960</v>
      </c>
      <c r="AY282" t="s">
        <v>100</v>
      </c>
      <c r="AZ282" t="s">
        <v>101</v>
      </c>
      <c r="BA282" t="s">
        <v>102</v>
      </c>
      <c r="BB282" t="s">
        <v>103</v>
      </c>
      <c r="BC282" t="s">
        <v>961</v>
      </c>
      <c r="BD282" t="s">
        <v>105</v>
      </c>
      <c r="BE282">
        <v>50628</v>
      </c>
      <c r="BF282" t="s">
        <v>962</v>
      </c>
      <c r="BG282">
        <v>638</v>
      </c>
      <c r="BH282" t="s">
        <v>80</v>
      </c>
      <c r="BI282">
        <v>1</v>
      </c>
      <c r="BJ282">
        <v>224</v>
      </c>
      <c r="BK282">
        <v>0</v>
      </c>
      <c r="BL282">
        <v>0</v>
      </c>
      <c r="BM282">
        <v>15</v>
      </c>
      <c r="BN282">
        <v>20</v>
      </c>
      <c r="BO282">
        <v>42</v>
      </c>
      <c r="BP282">
        <v>0</v>
      </c>
      <c r="BQ282" s="2">
        <v>27</v>
      </c>
      <c r="BR282">
        <f t="shared" si="68"/>
        <v>225</v>
      </c>
      <c r="BS282">
        <f t="shared" si="69"/>
        <v>1</v>
      </c>
      <c r="BT282">
        <f t="shared" si="70"/>
        <v>1</v>
      </c>
      <c r="BU282">
        <f t="shared" si="71"/>
        <v>16</v>
      </c>
      <c r="BV282">
        <f t="shared" si="72"/>
        <v>21</v>
      </c>
      <c r="BW282">
        <f t="shared" si="73"/>
        <v>43</v>
      </c>
      <c r="BX282">
        <f t="shared" si="74"/>
        <v>1</v>
      </c>
      <c r="BY282" s="2">
        <f t="shared" si="75"/>
        <v>28</v>
      </c>
      <c r="BZ282">
        <f t="shared" si="76"/>
        <v>9.8831078647427137</v>
      </c>
      <c r="CA282">
        <v>9.8831078647427137</v>
      </c>
      <c r="CB282">
        <v>9.8831078647427137</v>
      </c>
      <c r="CC282">
        <v>9.8831078647427137</v>
      </c>
      <c r="CD282">
        <v>9.8831078647427137</v>
      </c>
      <c r="CE282">
        <v>9.8831078647427137</v>
      </c>
      <c r="CF282">
        <v>9.8831078647427137</v>
      </c>
      <c r="CG282">
        <v>9.8831078647427137</v>
      </c>
      <c r="CH282">
        <f t="shared" si="77"/>
        <v>1.357288982808486</v>
      </c>
      <c r="CI282">
        <f t="shared" si="78"/>
        <v>-0.9948935353028765</v>
      </c>
      <c r="CJ282">
        <f t="shared" si="79"/>
        <v>-0.9948935353028765</v>
      </c>
      <c r="CK282">
        <f t="shared" si="80"/>
        <v>0.20922644735304824</v>
      </c>
      <c r="CL282">
        <f t="shared" si="81"/>
        <v>0.32732575943104275</v>
      </c>
      <c r="CM282">
        <f t="shared" si="82"/>
        <v>0.63857492027670992</v>
      </c>
      <c r="CN282">
        <f t="shared" si="83"/>
        <v>-0.9948935353028765</v>
      </c>
      <c r="CO282" s="2">
        <f t="shared" si="84"/>
        <v>0.45226449603934266</v>
      </c>
      <c r="CP282">
        <v>0.95366255709416503</v>
      </c>
      <c r="CQ282">
        <v>-2.2527165794045199</v>
      </c>
      <c r="CR282">
        <v>-1.9704671477324001</v>
      </c>
      <c r="CS282">
        <v>-1.0289000416632299</v>
      </c>
      <c r="CT282">
        <v>-0.97624716778044296</v>
      </c>
      <c r="CU282">
        <v>-0.58312063686929405</v>
      </c>
      <c r="CV282">
        <v>-2.6172399890044602</v>
      </c>
      <c r="CW282">
        <v>-0.242157796643165</v>
      </c>
      <c r="CX282" t="s">
        <v>1827</v>
      </c>
    </row>
    <row r="283" spans="1:102" x14ac:dyDescent="0.35">
      <c r="A283" t="s">
        <v>1156</v>
      </c>
      <c r="B283" t="s">
        <v>142</v>
      </c>
      <c r="C283" t="s">
        <v>618</v>
      </c>
      <c r="D283" t="s">
        <v>72</v>
      </c>
      <c r="E283" t="s">
        <v>72</v>
      </c>
      <c r="F283" t="s">
        <v>72</v>
      </c>
      <c r="G283" t="s">
        <v>73</v>
      </c>
      <c r="H283" t="s">
        <v>74</v>
      </c>
      <c r="I283" t="s">
        <v>75</v>
      </c>
      <c r="J283" t="s">
        <v>76</v>
      </c>
      <c r="K283" t="s">
        <v>77</v>
      </c>
      <c r="L283" t="s">
        <v>78</v>
      </c>
      <c r="M283" t="s">
        <v>79</v>
      </c>
      <c r="N283">
        <v>60</v>
      </c>
      <c r="O283" t="s">
        <v>80</v>
      </c>
      <c r="P283">
        <v>792</v>
      </c>
      <c r="Q283">
        <v>0.75</v>
      </c>
      <c r="R283">
        <v>177</v>
      </c>
      <c r="S283">
        <v>0.85419999999999996</v>
      </c>
      <c r="T283" t="s">
        <v>81</v>
      </c>
      <c r="U283" t="s">
        <v>82</v>
      </c>
      <c r="V283" t="s">
        <v>83</v>
      </c>
      <c r="W283" t="s">
        <v>84</v>
      </c>
      <c r="X283" t="s">
        <v>85</v>
      </c>
      <c r="Y283" t="s">
        <v>86</v>
      </c>
      <c r="Z283" t="s">
        <v>87</v>
      </c>
      <c r="AA283" t="s">
        <v>88</v>
      </c>
      <c r="AB283">
        <v>145</v>
      </c>
      <c r="AC283">
        <v>2</v>
      </c>
      <c r="AE283">
        <v>22</v>
      </c>
      <c r="AF283" t="s">
        <v>89</v>
      </c>
      <c r="AG283" t="s">
        <v>1157</v>
      </c>
      <c r="AH283" t="s">
        <v>72</v>
      </c>
      <c r="AI283" t="s">
        <v>72</v>
      </c>
      <c r="AJ283" t="s">
        <v>91</v>
      </c>
      <c r="AK283" t="s">
        <v>92</v>
      </c>
      <c r="AL283" t="s">
        <v>93</v>
      </c>
      <c r="AM283" t="s">
        <v>94</v>
      </c>
      <c r="AN283" t="s">
        <v>1158</v>
      </c>
      <c r="AO283" t="s">
        <v>1159</v>
      </c>
      <c r="AP283" t="s">
        <v>513</v>
      </c>
      <c r="AQ283">
        <v>39</v>
      </c>
      <c r="AR283" t="s">
        <v>80</v>
      </c>
      <c r="AS283">
        <v>1368</v>
      </c>
      <c r="AT283">
        <v>0.97219999999999995</v>
      </c>
      <c r="AU283">
        <v>172</v>
      </c>
      <c r="AV283">
        <v>0.94740000000000002</v>
      </c>
      <c r="AW283" t="s">
        <v>98</v>
      </c>
      <c r="AX283" t="s">
        <v>146</v>
      </c>
      <c r="AY283" t="s">
        <v>100</v>
      </c>
      <c r="AZ283" t="s">
        <v>101</v>
      </c>
      <c r="BA283" t="s">
        <v>1160</v>
      </c>
      <c r="BB283" t="s">
        <v>103</v>
      </c>
      <c r="BC283" t="s">
        <v>515</v>
      </c>
      <c r="BD283" t="s">
        <v>105</v>
      </c>
      <c r="BE283">
        <v>7050</v>
      </c>
      <c r="BF283" t="s">
        <v>516</v>
      </c>
      <c r="BG283">
        <v>97</v>
      </c>
      <c r="BH283" t="s">
        <v>80</v>
      </c>
      <c r="BI283">
        <v>1</v>
      </c>
      <c r="BJ283">
        <v>140</v>
      </c>
      <c r="BK283">
        <v>0</v>
      </c>
      <c r="BL283">
        <v>0</v>
      </c>
      <c r="BM283">
        <v>11</v>
      </c>
      <c r="BN283">
        <v>9</v>
      </c>
      <c r="BO283">
        <v>20</v>
      </c>
      <c r="BP283">
        <v>0</v>
      </c>
      <c r="BQ283" s="2">
        <v>6</v>
      </c>
      <c r="BR283">
        <f t="shared" si="68"/>
        <v>141</v>
      </c>
      <c r="BS283">
        <f t="shared" si="69"/>
        <v>1</v>
      </c>
      <c r="BT283">
        <f t="shared" si="70"/>
        <v>1</v>
      </c>
      <c r="BU283">
        <f t="shared" si="71"/>
        <v>12</v>
      </c>
      <c r="BV283">
        <f t="shared" si="72"/>
        <v>10</v>
      </c>
      <c r="BW283">
        <f t="shared" si="73"/>
        <v>21</v>
      </c>
      <c r="BX283">
        <f t="shared" si="74"/>
        <v>1</v>
      </c>
      <c r="BY283" s="2">
        <f t="shared" si="75"/>
        <v>7</v>
      </c>
      <c r="BZ283">
        <f t="shared" si="76"/>
        <v>6.301801390288909</v>
      </c>
      <c r="CA283">
        <v>6.301801390288909</v>
      </c>
      <c r="CB283">
        <v>6.301801390288909</v>
      </c>
      <c r="CC283">
        <v>6.301801390288909</v>
      </c>
      <c r="CD283">
        <v>6.301801390288909</v>
      </c>
      <c r="CE283">
        <v>6.301801390288909</v>
      </c>
      <c r="CF283">
        <v>6.301801390288909</v>
      </c>
      <c r="CG283">
        <v>6.301801390288909</v>
      </c>
      <c r="CH283">
        <f t="shared" si="77"/>
        <v>1.3497544009739824</v>
      </c>
      <c r="CI283">
        <f t="shared" si="78"/>
        <v>-0.79946471168139766</v>
      </c>
      <c r="CJ283">
        <f t="shared" si="79"/>
        <v>-0.79946471168139766</v>
      </c>
      <c r="CK283">
        <f t="shared" si="80"/>
        <v>0.27971653436622723</v>
      </c>
      <c r="CL283">
        <f t="shared" si="81"/>
        <v>0.20053528831860237</v>
      </c>
      <c r="CM283">
        <f t="shared" si="82"/>
        <v>0.52275458305252165</v>
      </c>
      <c r="CN283">
        <f t="shared" si="83"/>
        <v>-0.79946471168139766</v>
      </c>
      <c r="CO283" s="2">
        <f t="shared" si="84"/>
        <v>4.563332833285922E-2</v>
      </c>
      <c r="CP283">
        <v>0.94461026675364501</v>
      </c>
      <c r="CQ283">
        <v>-2.2527165794045199</v>
      </c>
      <c r="CR283">
        <v>-1.9704671477324001</v>
      </c>
      <c r="CS283">
        <v>-0.82120453155963102</v>
      </c>
      <c r="CT283">
        <v>-1.32918304073863</v>
      </c>
      <c r="CU283">
        <v>-0.917585908571803</v>
      </c>
      <c r="CV283">
        <v>-2.6172399890044602</v>
      </c>
      <c r="CW283">
        <v>-1.3590326689774499</v>
      </c>
      <c r="CX283" t="s">
        <v>1827</v>
      </c>
    </row>
    <row r="284" spans="1:102" x14ac:dyDescent="0.35">
      <c r="A284" t="s">
        <v>1203</v>
      </c>
      <c r="B284" t="s">
        <v>231</v>
      </c>
      <c r="C284" t="s">
        <v>281</v>
      </c>
      <c r="D284" t="s">
        <v>72</v>
      </c>
      <c r="E284" t="s">
        <v>72</v>
      </c>
      <c r="F284" t="s">
        <v>72</v>
      </c>
      <c r="G284" t="s">
        <v>73</v>
      </c>
      <c r="H284" t="s">
        <v>74</v>
      </c>
      <c r="I284" t="s">
        <v>75</v>
      </c>
      <c r="J284" t="s">
        <v>76</v>
      </c>
      <c r="K284" t="s">
        <v>77</v>
      </c>
      <c r="L284" t="s">
        <v>78</v>
      </c>
      <c r="M284" t="s">
        <v>79</v>
      </c>
      <c r="N284">
        <v>60</v>
      </c>
      <c r="O284" t="s">
        <v>80</v>
      </c>
      <c r="P284">
        <v>792</v>
      </c>
      <c r="Q284">
        <v>0.75</v>
      </c>
      <c r="R284">
        <v>177</v>
      </c>
      <c r="S284">
        <v>0.85419999999999996</v>
      </c>
      <c r="T284" t="s">
        <v>81</v>
      </c>
      <c r="U284" t="s">
        <v>82</v>
      </c>
      <c r="V284" t="s">
        <v>83</v>
      </c>
      <c r="W284" t="s">
        <v>84</v>
      </c>
      <c r="X284" t="s">
        <v>85</v>
      </c>
      <c r="Y284" t="s">
        <v>86</v>
      </c>
      <c r="Z284" t="s">
        <v>87</v>
      </c>
      <c r="AA284" t="s">
        <v>88</v>
      </c>
      <c r="AB284">
        <v>455</v>
      </c>
      <c r="AC284">
        <v>8</v>
      </c>
      <c r="AE284">
        <v>22</v>
      </c>
      <c r="AF284" t="s">
        <v>89</v>
      </c>
      <c r="AG284" t="s">
        <v>693</v>
      </c>
      <c r="AH284" t="s">
        <v>72</v>
      </c>
      <c r="AI284" t="s">
        <v>72</v>
      </c>
      <c r="AJ284" t="s">
        <v>91</v>
      </c>
      <c r="AK284" t="s">
        <v>92</v>
      </c>
      <c r="AL284" t="s">
        <v>93</v>
      </c>
      <c r="AM284" t="s">
        <v>94</v>
      </c>
      <c r="AN284" t="s">
        <v>144</v>
      </c>
      <c r="AO284" t="s">
        <v>145</v>
      </c>
      <c r="AP284" t="s">
        <v>97</v>
      </c>
      <c r="AQ284">
        <v>39</v>
      </c>
      <c r="AR284" t="s">
        <v>80</v>
      </c>
      <c r="AS284">
        <v>1359</v>
      </c>
      <c r="AT284">
        <v>0.96879999999999999</v>
      </c>
      <c r="AU284">
        <v>172</v>
      </c>
      <c r="AV284">
        <v>0.94740000000000002</v>
      </c>
      <c r="AW284" t="s">
        <v>98</v>
      </c>
      <c r="AX284" t="s">
        <v>146</v>
      </c>
      <c r="AY284" t="s">
        <v>127</v>
      </c>
      <c r="AZ284" t="s">
        <v>101</v>
      </c>
      <c r="BA284" t="s">
        <v>128</v>
      </c>
      <c r="BB284" t="s">
        <v>103</v>
      </c>
      <c r="BC284" t="s">
        <v>104</v>
      </c>
      <c r="BD284" t="s">
        <v>105</v>
      </c>
      <c r="BE284">
        <v>2702</v>
      </c>
      <c r="BF284" t="s">
        <v>106</v>
      </c>
      <c r="BG284">
        <v>37</v>
      </c>
      <c r="BH284" t="s">
        <v>80</v>
      </c>
      <c r="BI284">
        <v>1</v>
      </c>
      <c r="BJ284">
        <v>1193</v>
      </c>
      <c r="BK284">
        <v>4</v>
      </c>
      <c r="BL284">
        <v>14</v>
      </c>
      <c r="BM284">
        <v>155</v>
      </c>
      <c r="BN284">
        <v>210</v>
      </c>
      <c r="BO284">
        <v>271</v>
      </c>
      <c r="BP284">
        <v>0</v>
      </c>
      <c r="BQ284" s="2">
        <v>133</v>
      </c>
      <c r="BR284">
        <f t="shared" si="68"/>
        <v>1194</v>
      </c>
      <c r="BS284">
        <f t="shared" si="69"/>
        <v>5</v>
      </c>
      <c r="BT284">
        <f t="shared" si="70"/>
        <v>15</v>
      </c>
      <c r="BU284">
        <f t="shared" si="71"/>
        <v>156</v>
      </c>
      <c r="BV284">
        <f t="shared" si="72"/>
        <v>211</v>
      </c>
      <c r="BW284">
        <f t="shared" si="73"/>
        <v>272</v>
      </c>
      <c r="BX284">
        <f t="shared" si="74"/>
        <v>1</v>
      </c>
      <c r="BY284" s="2">
        <f t="shared" si="75"/>
        <v>134</v>
      </c>
      <c r="BZ284">
        <f t="shared" si="76"/>
        <v>56.740517608866973</v>
      </c>
      <c r="CA284">
        <v>56.740517608866973</v>
      </c>
      <c r="CB284">
        <v>56.740517608866973</v>
      </c>
      <c r="CC284">
        <v>56.740517608866973</v>
      </c>
      <c r="CD284">
        <v>56.740517608866973</v>
      </c>
      <c r="CE284">
        <v>56.740517608866973</v>
      </c>
      <c r="CF284">
        <v>56.740517608866973</v>
      </c>
      <c r="CG284">
        <v>56.740517608866973</v>
      </c>
      <c r="CH284">
        <f t="shared" si="77"/>
        <v>1.3231110335138239</v>
      </c>
      <c r="CI284">
        <f t="shared" si="78"/>
        <v>-1.0549232889435076</v>
      </c>
      <c r="CJ284">
        <f t="shared" si="79"/>
        <v>-0.57780203422384513</v>
      </c>
      <c r="CK284">
        <f t="shared" si="80"/>
        <v>0.43923130507493524</v>
      </c>
      <c r="CL284">
        <f t="shared" si="81"/>
        <v>0.57038916201816625</v>
      </c>
      <c r="CM284">
        <f t="shared" si="82"/>
        <v>0.68067561075467231</v>
      </c>
      <c r="CN284">
        <f t="shared" si="83"/>
        <v>-1.7538932932795264</v>
      </c>
      <c r="CO284" s="2">
        <f t="shared" si="84"/>
        <v>0.37321150508528128</v>
      </c>
      <c r="CP284">
        <v>0.91260006324187803</v>
      </c>
      <c r="CQ284">
        <v>1.6828583432386801</v>
      </c>
      <c r="CR284">
        <v>-8.6403876779126407E-2</v>
      </c>
      <c r="CS284">
        <v>-0.351202250739508</v>
      </c>
      <c r="CT284">
        <v>-0.29965220426622002</v>
      </c>
      <c r="CU284">
        <v>-0.46154251667855001</v>
      </c>
      <c r="CV284">
        <v>-2.6172399890044602</v>
      </c>
      <c r="CW284">
        <v>-0.45928896166785899</v>
      </c>
      <c r="CX284" t="s">
        <v>1827</v>
      </c>
    </row>
    <row r="285" spans="1:102" x14ac:dyDescent="0.35">
      <c r="A285" t="s">
        <v>579</v>
      </c>
      <c r="B285" t="s">
        <v>178</v>
      </c>
      <c r="C285" t="s">
        <v>580</v>
      </c>
      <c r="D285" t="s">
        <v>72</v>
      </c>
      <c r="E285" t="s">
        <v>72</v>
      </c>
      <c r="F285" t="s">
        <v>72</v>
      </c>
      <c r="G285" t="s">
        <v>73</v>
      </c>
      <c r="H285" t="s">
        <v>74</v>
      </c>
      <c r="I285" t="s">
        <v>75</v>
      </c>
      <c r="J285" t="s">
        <v>76</v>
      </c>
      <c r="K285" t="s">
        <v>581</v>
      </c>
      <c r="L285" t="s">
        <v>582</v>
      </c>
      <c r="M285" t="s">
        <v>79</v>
      </c>
      <c r="N285">
        <v>60</v>
      </c>
      <c r="O285" t="s">
        <v>80</v>
      </c>
      <c r="P285">
        <v>801</v>
      </c>
      <c r="Q285">
        <v>0.75349999999999995</v>
      </c>
      <c r="R285">
        <v>177</v>
      </c>
      <c r="S285">
        <v>0.85419999999999996</v>
      </c>
      <c r="T285" t="s">
        <v>81</v>
      </c>
      <c r="U285" t="s">
        <v>82</v>
      </c>
      <c r="V285" t="s">
        <v>583</v>
      </c>
      <c r="W285" t="s">
        <v>84</v>
      </c>
      <c r="X285" t="s">
        <v>85</v>
      </c>
      <c r="Y285" t="s">
        <v>86</v>
      </c>
      <c r="Z285" t="s">
        <v>87</v>
      </c>
      <c r="AA285" t="s">
        <v>584</v>
      </c>
      <c r="AB285">
        <v>555</v>
      </c>
      <c r="AC285">
        <v>5</v>
      </c>
      <c r="AE285">
        <v>22</v>
      </c>
      <c r="AF285" t="s">
        <v>89</v>
      </c>
      <c r="AG285" t="s">
        <v>585</v>
      </c>
      <c r="AH285" t="s">
        <v>72</v>
      </c>
      <c r="AI285" t="s">
        <v>72</v>
      </c>
      <c r="AJ285" t="s">
        <v>91</v>
      </c>
      <c r="AK285" t="s">
        <v>92</v>
      </c>
      <c r="AL285" t="s">
        <v>93</v>
      </c>
      <c r="AM285" t="s">
        <v>94</v>
      </c>
      <c r="AN285" t="s">
        <v>144</v>
      </c>
      <c r="AO285" t="s">
        <v>145</v>
      </c>
      <c r="AP285" t="s">
        <v>97</v>
      </c>
      <c r="AQ285">
        <v>39</v>
      </c>
      <c r="AR285" t="s">
        <v>80</v>
      </c>
      <c r="AS285">
        <v>1359</v>
      </c>
      <c r="AT285">
        <v>0.96879999999999999</v>
      </c>
      <c r="AU285">
        <v>172</v>
      </c>
      <c r="AV285">
        <v>0.94740000000000002</v>
      </c>
      <c r="AW285" t="s">
        <v>98</v>
      </c>
      <c r="AX285" t="s">
        <v>146</v>
      </c>
      <c r="AY285" t="s">
        <v>127</v>
      </c>
      <c r="AZ285" t="s">
        <v>101</v>
      </c>
      <c r="BA285" t="s">
        <v>128</v>
      </c>
      <c r="BB285" t="s">
        <v>103</v>
      </c>
      <c r="BC285" t="s">
        <v>104</v>
      </c>
      <c r="BD285" t="s">
        <v>105</v>
      </c>
      <c r="BE285">
        <v>5737</v>
      </c>
      <c r="BF285" t="s">
        <v>106</v>
      </c>
      <c r="BG285">
        <v>69</v>
      </c>
      <c r="BH285" t="s">
        <v>80</v>
      </c>
      <c r="BI285">
        <v>1</v>
      </c>
      <c r="BJ285">
        <v>1699</v>
      </c>
      <c r="BK285">
        <v>0</v>
      </c>
      <c r="BL285">
        <v>24</v>
      </c>
      <c r="BM285">
        <v>334</v>
      </c>
      <c r="BN285">
        <v>472</v>
      </c>
      <c r="BO285">
        <v>704</v>
      </c>
      <c r="BP285">
        <v>9</v>
      </c>
      <c r="BQ285" s="2">
        <v>308</v>
      </c>
      <c r="BR285">
        <f t="shared" si="68"/>
        <v>1700</v>
      </c>
      <c r="BS285">
        <f t="shared" si="69"/>
        <v>1</v>
      </c>
      <c r="BT285">
        <f t="shared" si="70"/>
        <v>25</v>
      </c>
      <c r="BU285">
        <f t="shared" si="71"/>
        <v>335</v>
      </c>
      <c r="BV285">
        <f t="shared" si="72"/>
        <v>473</v>
      </c>
      <c r="BW285">
        <f t="shared" si="73"/>
        <v>705</v>
      </c>
      <c r="BX285">
        <f t="shared" si="74"/>
        <v>10</v>
      </c>
      <c r="BY285" s="2">
        <f t="shared" si="75"/>
        <v>309</v>
      </c>
      <c r="BZ285">
        <f t="shared" si="76"/>
        <v>104.9072032676382</v>
      </c>
      <c r="CA285">
        <v>104.9072032676382</v>
      </c>
      <c r="CB285">
        <v>104.9072032676382</v>
      </c>
      <c r="CC285">
        <v>104.9072032676382</v>
      </c>
      <c r="CD285">
        <v>104.9072032676382</v>
      </c>
      <c r="CE285">
        <v>104.9072032676382</v>
      </c>
      <c r="CF285">
        <v>104.9072032676382</v>
      </c>
      <c r="CG285">
        <v>104.9072032676382</v>
      </c>
      <c r="CH285">
        <f t="shared" si="77"/>
        <v>1.2096436120981238</v>
      </c>
      <c r="CI285">
        <f t="shared" si="78"/>
        <v>-2.0208053092801501</v>
      </c>
      <c r="CJ285">
        <f t="shared" si="79"/>
        <v>-0.62286530060811263</v>
      </c>
      <c r="CK285">
        <f t="shared" si="80"/>
        <v>0.50423949775669508</v>
      </c>
      <c r="CL285">
        <f t="shared" si="81"/>
        <v>0.65405583145766133</v>
      </c>
      <c r="CM285">
        <f t="shared" si="82"/>
        <v>0.82738380771124853</v>
      </c>
      <c r="CN285">
        <f t="shared" si="83"/>
        <v>-1.0208053092801501</v>
      </c>
      <c r="CO285" s="2">
        <f t="shared" si="84"/>
        <v>0.46915317014468444</v>
      </c>
      <c r="CP285">
        <v>0.776276632770737</v>
      </c>
      <c r="CQ285">
        <v>-2.2527165794045199</v>
      </c>
      <c r="CR285">
        <v>-0.287741029802628</v>
      </c>
      <c r="CS285">
        <v>-0.15965886766173501</v>
      </c>
      <c r="CT285">
        <v>-6.6756397845996296E-2</v>
      </c>
      <c r="CU285">
        <v>-3.78794698244714E-2</v>
      </c>
      <c r="CV285">
        <v>-6.1493555331315501E-2</v>
      </c>
      <c r="CW285">
        <v>-0.19577046278066501</v>
      </c>
      <c r="CX285" t="s">
        <v>1827</v>
      </c>
    </row>
    <row r="286" spans="1:102" x14ac:dyDescent="0.35">
      <c r="A286" t="s">
        <v>801</v>
      </c>
      <c r="B286" t="s">
        <v>211</v>
      </c>
      <c r="C286" t="s">
        <v>802</v>
      </c>
      <c r="D286" t="s">
        <v>72</v>
      </c>
      <c r="E286" t="s">
        <v>72</v>
      </c>
      <c r="F286" t="s">
        <v>72</v>
      </c>
      <c r="G286" t="s">
        <v>73</v>
      </c>
      <c r="H286" t="s">
        <v>74</v>
      </c>
      <c r="I286" t="s">
        <v>75</v>
      </c>
      <c r="J286" t="s">
        <v>76</v>
      </c>
      <c r="K286" t="s">
        <v>77</v>
      </c>
      <c r="L286" t="s">
        <v>78</v>
      </c>
      <c r="M286" t="s">
        <v>79</v>
      </c>
      <c r="N286">
        <v>60</v>
      </c>
      <c r="O286" t="s">
        <v>80</v>
      </c>
      <c r="P286">
        <v>792</v>
      </c>
      <c r="Q286">
        <v>0.75</v>
      </c>
      <c r="R286">
        <v>177</v>
      </c>
      <c r="S286">
        <v>0.85419999999999996</v>
      </c>
      <c r="T286" t="s">
        <v>81</v>
      </c>
      <c r="U286" t="s">
        <v>82</v>
      </c>
      <c r="V286" t="s">
        <v>83</v>
      </c>
      <c r="W286" t="s">
        <v>84</v>
      </c>
      <c r="X286" t="s">
        <v>85</v>
      </c>
      <c r="Y286" t="s">
        <v>86</v>
      </c>
      <c r="Z286" t="s">
        <v>87</v>
      </c>
      <c r="AA286" t="s">
        <v>88</v>
      </c>
      <c r="AB286">
        <v>1064</v>
      </c>
      <c r="AC286">
        <v>14</v>
      </c>
      <c r="AE286">
        <v>22</v>
      </c>
      <c r="AF286" t="s">
        <v>89</v>
      </c>
      <c r="AG286" t="s">
        <v>346</v>
      </c>
      <c r="AH286" t="s">
        <v>72</v>
      </c>
      <c r="AI286" t="s">
        <v>72</v>
      </c>
      <c r="AJ286" t="s">
        <v>91</v>
      </c>
      <c r="AK286" t="s">
        <v>92</v>
      </c>
      <c r="AL286" t="s">
        <v>93</v>
      </c>
      <c r="AM286" t="s">
        <v>94</v>
      </c>
      <c r="AN286" t="s">
        <v>144</v>
      </c>
      <c r="AO286" t="s">
        <v>145</v>
      </c>
      <c r="AP286" t="s">
        <v>97</v>
      </c>
      <c r="AQ286">
        <v>39</v>
      </c>
      <c r="AR286" t="s">
        <v>80</v>
      </c>
      <c r="AS286">
        <v>1359</v>
      </c>
      <c r="AT286">
        <v>0.96879999999999999</v>
      </c>
      <c r="AU286">
        <v>172</v>
      </c>
      <c r="AV286">
        <v>0.94740000000000002</v>
      </c>
      <c r="AW286" t="s">
        <v>98</v>
      </c>
      <c r="AX286" t="s">
        <v>146</v>
      </c>
      <c r="AY286" t="s">
        <v>127</v>
      </c>
      <c r="AZ286" t="s">
        <v>101</v>
      </c>
      <c r="BA286" t="s">
        <v>128</v>
      </c>
      <c r="BB286" t="s">
        <v>103</v>
      </c>
      <c r="BC286" t="s">
        <v>104</v>
      </c>
      <c r="BD286" t="s">
        <v>105</v>
      </c>
      <c r="BE286">
        <v>10368</v>
      </c>
      <c r="BF286" t="s">
        <v>106</v>
      </c>
      <c r="BG286">
        <v>142</v>
      </c>
      <c r="BH286" t="s">
        <v>80</v>
      </c>
      <c r="BI286">
        <v>1</v>
      </c>
      <c r="BJ286">
        <v>7606</v>
      </c>
      <c r="BK286">
        <v>22</v>
      </c>
      <c r="BL286">
        <v>124</v>
      </c>
      <c r="BM286">
        <v>926</v>
      </c>
      <c r="BN286">
        <v>1129</v>
      </c>
      <c r="BO286">
        <v>1807</v>
      </c>
      <c r="BP286">
        <v>84</v>
      </c>
      <c r="BQ286" s="2">
        <v>887</v>
      </c>
      <c r="BR286">
        <f t="shared" si="68"/>
        <v>7607</v>
      </c>
      <c r="BS286">
        <f t="shared" si="69"/>
        <v>23</v>
      </c>
      <c r="BT286">
        <f t="shared" si="70"/>
        <v>125</v>
      </c>
      <c r="BU286">
        <f t="shared" si="71"/>
        <v>927</v>
      </c>
      <c r="BV286">
        <f t="shared" si="72"/>
        <v>1130</v>
      </c>
      <c r="BW286">
        <f t="shared" si="73"/>
        <v>1808</v>
      </c>
      <c r="BX286">
        <f t="shared" si="74"/>
        <v>85</v>
      </c>
      <c r="BY286" s="2">
        <f t="shared" si="75"/>
        <v>888</v>
      </c>
      <c r="BZ286">
        <f t="shared" si="76"/>
        <v>486.27279146514235</v>
      </c>
      <c r="CA286">
        <v>486.27279146514235</v>
      </c>
      <c r="CB286">
        <v>486.27279146514235</v>
      </c>
      <c r="CC286">
        <v>486.27279146514235</v>
      </c>
      <c r="CD286">
        <v>486.27279146514235</v>
      </c>
      <c r="CE286">
        <v>486.27279146514235</v>
      </c>
      <c r="CF286">
        <v>486.27279146514235</v>
      </c>
      <c r="CG286">
        <v>486.27279146514235</v>
      </c>
      <c r="CH286">
        <f t="shared" si="77"/>
        <v>1.1943334461874162</v>
      </c>
      <c r="CI286">
        <f t="shared" si="78"/>
        <v>-1.3251521340500101</v>
      </c>
      <c r="CJ286">
        <f t="shared" si="79"/>
        <v>-0.58996995705954658</v>
      </c>
      <c r="CK286">
        <f t="shared" si="80"/>
        <v>0.28019976407689412</v>
      </c>
      <c r="CL286">
        <f t="shared" si="81"/>
        <v>0.36619847341581674</v>
      </c>
      <c r="CM286">
        <f t="shared" si="82"/>
        <v>0.57031845607174148</v>
      </c>
      <c r="CN286">
        <f t="shared" si="83"/>
        <v>-0.7574610443533103</v>
      </c>
      <c r="CO286" s="2">
        <f t="shared" si="84"/>
        <v>0.26153299571099808</v>
      </c>
      <c r="CP286">
        <v>0.75788250420070802</v>
      </c>
      <c r="CQ286">
        <v>0.88454707559954704</v>
      </c>
      <c r="CR286">
        <v>-0.14076866518703199</v>
      </c>
      <c r="CS286">
        <v>-0.81978071942509101</v>
      </c>
      <c r="CT286">
        <v>-0.86804049322441001</v>
      </c>
      <c r="CU286">
        <v>-0.78023124276899403</v>
      </c>
      <c r="CV286">
        <v>0.64478886156908799</v>
      </c>
      <c r="CW286">
        <v>-0.76603111722716799</v>
      </c>
      <c r="CX286" t="s">
        <v>1827</v>
      </c>
    </row>
    <row r="287" spans="1:102" x14ac:dyDescent="0.35">
      <c r="A287" t="s">
        <v>1347</v>
      </c>
      <c r="B287" t="s">
        <v>148</v>
      </c>
      <c r="C287" t="s">
        <v>539</v>
      </c>
      <c r="D287" t="s">
        <v>72</v>
      </c>
      <c r="E287" t="s">
        <v>72</v>
      </c>
      <c r="F287" t="s">
        <v>72</v>
      </c>
      <c r="G287" t="s">
        <v>73</v>
      </c>
      <c r="H287" t="s">
        <v>109</v>
      </c>
      <c r="I287" t="s">
        <v>110</v>
      </c>
      <c r="J287" t="s">
        <v>111</v>
      </c>
      <c r="K287" t="s">
        <v>112</v>
      </c>
      <c r="L287" t="s">
        <v>113</v>
      </c>
      <c r="M287" t="s">
        <v>114</v>
      </c>
      <c r="N287">
        <v>48</v>
      </c>
      <c r="O287" t="s">
        <v>80</v>
      </c>
      <c r="P287">
        <v>621</v>
      </c>
      <c r="Q287">
        <v>0.68400000000000005</v>
      </c>
      <c r="R287">
        <v>175</v>
      </c>
      <c r="S287">
        <v>0.81130000000000002</v>
      </c>
      <c r="T287" t="s">
        <v>115</v>
      </c>
      <c r="U287" t="s">
        <v>116</v>
      </c>
      <c r="V287" t="s">
        <v>117</v>
      </c>
      <c r="W287" t="s">
        <v>118</v>
      </c>
      <c r="X287" t="s">
        <v>119</v>
      </c>
      <c r="Y287" t="s">
        <v>120</v>
      </c>
      <c r="Z287" t="s">
        <v>121</v>
      </c>
      <c r="AA287" t="s">
        <v>88</v>
      </c>
      <c r="AB287">
        <v>342</v>
      </c>
      <c r="AC287">
        <v>1</v>
      </c>
      <c r="AE287">
        <v>1</v>
      </c>
      <c r="AF287" t="s">
        <v>89</v>
      </c>
      <c r="AG287" t="s">
        <v>1348</v>
      </c>
      <c r="AH287" t="s">
        <v>72</v>
      </c>
      <c r="AI287" t="s">
        <v>72</v>
      </c>
      <c r="AJ287" t="s">
        <v>91</v>
      </c>
      <c r="AK287" t="s">
        <v>92</v>
      </c>
      <c r="AL287" t="s">
        <v>93</v>
      </c>
      <c r="AM287" t="s">
        <v>94</v>
      </c>
      <c r="AN287" t="s">
        <v>144</v>
      </c>
      <c r="AO287" t="s">
        <v>145</v>
      </c>
      <c r="AP287" t="s">
        <v>97</v>
      </c>
      <c r="AQ287">
        <v>39</v>
      </c>
      <c r="AR287" t="s">
        <v>80</v>
      </c>
      <c r="AS287">
        <v>1359</v>
      </c>
      <c r="AT287">
        <v>0.96879999999999999</v>
      </c>
      <c r="AU287">
        <v>172</v>
      </c>
      <c r="AV287">
        <v>0.94740000000000002</v>
      </c>
      <c r="AW287" t="s">
        <v>98</v>
      </c>
      <c r="AX287" t="s">
        <v>146</v>
      </c>
      <c r="AY287" t="s">
        <v>127</v>
      </c>
      <c r="AZ287" t="s">
        <v>101</v>
      </c>
      <c r="BA287" t="s">
        <v>128</v>
      </c>
      <c r="BB287" t="s">
        <v>103</v>
      </c>
      <c r="BC287" t="s">
        <v>104</v>
      </c>
      <c r="BD287" t="s">
        <v>105</v>
      </c>
      <c r="BE287">
        <v>3581</v>
      </c>
      <c r="BF287" t="s">
        <v>106</v>
      </c>
      <c r="BG287">
        <v>52</v>
      </c>
      <c r="BH287" t="s">
        <v>80</v>
      </c>
      <c r="BI287">
        <v>1</v>
      </c>
      <c r="BJ287">
        <v>1164</v>
      </c>
      <c r="BK287">
        <v>0</v>
      </c>
      <c r="BL287">
        <v>15</v>
      </c>
      <c r="BM287">
        <v>213</v>
      </c>
      <c r="BN287">
        <v>281</v>
      </c>
      <c r="BO287">
        <v>403</v>
      </c>
      <c r="BP287">
        <v>9</v>
      </c>
      <c r="BQ287" s="2">
        <v>217</v>
      </c>
      <c r="BR287">
        <f t="shared" si="68"/>
        <v>1165</v>
      </c>
      <c r="BS287">
        <f t="shared" si="69"/>
        <v>1</v>
      </c>
      <c r="BT287">
        <f t="shared" si="70"/>
        <v>16</v>
      </c>
      <c r="BU287">
        <f t="shared" si="71"/>
        <v>214</v>
      </c>
      <c r="BV287">
        <f t="shared" si="72"/>
        <v>282</v>
      </c>
      <c r="BW287">
        <f t="shared" si="73"/>
        <v>404</v>
      </c>
      <c r="BX287">
        <f t="shared" si="74"/>
        <v>10</v>
      </c>
      <c r="BY287" s="2">
        <f t="shared" si="75"/>
        <v>218</v>
      </c>
      <c r="BZ287">
        <f t="shared" si="76"/>
        <v>74.901985660508686</v>
      </c>
      <c r="CA287">
        <v>74.901985660508686</v>
      </c>
      <c r="CB287">
        <v>74.901985660508686</v>
      </c>
      <c r="CC287">
        <v>74.901985660508686</v>
      </c>
      <c r="CD287">
        <v>74.901985660508686</v>
      </c>
      <c r="CE287">
        <v>74.901985660508686</v>
      </c>
      <c r="CF287">
        <v>74.901985660508686</v>
      </c>
      <c r="CG287">
        <v>74.901985660508686</v>
      </c>
      <c r="CH287">
        <f t="shared" si="77"/>
        <v>1.1918325943118222</v>
      </c>
      <c r="CI287">
        <f t="shared" si="78"/>
        <v>-1.8744933310502154</v>
      </c>
      <c r="CJ287">
        <f t="shared" si="79"/>
        <v>-0.67037334839429075</v>
      </c>
      <c r="CK287">
        <f t="shared" si="80"/>
        <v>0.45592044229897533</v>
      </c>
      <c r="CL287">
        <f t="shared" si="81"/>
        <v>0.57575577726914562</v>
      </c>
      <c r="CM287">
        <f t="shared" si="82"/>
        <v>0.73188803406038938</v>
      </c>
      <c r="CN287">
        <f t="shared" si="83"/>
        <v>-0.87449333105021543</v>
      </c>
      <c r="CO287" s="2">
        <f t="shared" si="84"/>
        <v>0.4639631625543893</v>
      </c>
      <c r="CP287">
        <v>0.75487789986117604</v>
      </c>
      <c r="CQ287">
        <v>-2.2527165794045199</v>
      </c>
      <c r="CR287">
        <v>-0.50000116659362104</v>
      </c>
      <c r="CS287">
        <v>-0.30202854397010298</v>
      </c>
      <c r="CT287">
        <v>-0.28471361288930702</v>
      </c>
      <c r="CU287">
        <v>-0.31365158935086301</v>
      </c>
      <c r="CV287">
        <v>0.33091133578877702</v>
      </c>
      <c r="CW287">
        <v>-0.21002561468532399</v>
      </c>
      <c r="CX287" t="s">
        <v>1827</v>
      </c>
    </row>
    <row r="288" spans="1:102" x14ac:dyDescent="0.35">
      <c r="A288" t="s">
        <v>557</v>
      </c>
      <c r="B288" t="s">
        <v>148</v>
      </c>
      <c r="C288" t="s">
        <v>71</v>
      </c>
      <c r="D288" t="s">
        <v>72</v>
      </c>
      <c r="E288" t="s">
        <v>72</v>
      </c>
      <c r="F288" t="s">
        <v>72</v>
      </c>
      <c r="G288" t="s">
        <v>73</v>
      </c>
      <c r="H288" t="s">
        <v>74</v>
      </c>
      <c r="I288" t="s">
        <v>75</v>
      </c>
      <c r="J288" t="s">
        <v>76</v>
      </c>
      <c r="K288" t="s">
        <v>77</v>
      </c>
      <c r="L288" t="s">
        <v>78</v>
      </c>
      <c r="M288" t="s">
        <v>79</v>
      </c>
      <c r="N288">
        <v>60</v>
      </c>
      <c r="O288" t="s">
        <v>80</v>
      </c>
      <c r="P288">
        <v>792</v>
      </c>
      <c r="Q288">
        <v>0.75</v>
      </c>
      <c r="R288">
        <v>177</v>
      </c>
      <c r="S288">
        <v>0.85419999999999996</v>
      </c>
      <c r="T288" t="s">
        <v>81</v>
      </c>
      <c r="U288" t="s">
        <v>82</v>
      </c>
      <c r="V288" t="s">
        <v>83</v>
      </c>
      <c r="W288" t="s">
        <v>84</v>
      </c>
      <c r="X288" t="s">
        <v>85</v>
      </c>
      <c r="Y288" t="s">
        <v>86</v>
      </c>
      <c r="Z288" t="s">
        <v>87</v>
      </c>
      <c r="AA288" t="s">
        <v>88</v>
      </c>
      <c r="AB288">
        <v>194</v>
      </c>
      <c r="AC288">
        <v>1</v>
      </c>
      <c r="AE288">
        <v>22</v>
      </c>
      <c r="AF288" t="s">
        <v>89</v>
      </c>
      <c r="AG288" t="s">
        <v>384</v>
      </c>
      <c r="AH288" t="s">
        <v>72</v>
      </c>
      <c r="AI288" t="s">
        <v>72</v>
      </c>
      <c r="AJ288" t="s">
        <v>91</v>
      </c>
      <c r="AK288" t="s">
        <v>92</v>
      </c>
      <c r="AL288" t="s">
        <v>93</v>
      </c>
      <c r="AM288" t="s">
        <v>94</v>
      </c>
      <c r="AN288" t="s">
        <v>144</v>
      </c>
      <c r="AO288" t="s">
        <v>145</v>
      </c>
      <c r="AP288" t="s">
        <v>97</v>
      </c>
      <c r="AQ288">
        <v>39</v>
      </c>
      <c r="AR288" t="s">
        <v>80</v>
      </c>
      <c r="AS288">
        <v>1359</v>
      </c>
      <c r="AT288">
        <v>0.96879999999999999</v>
      </c>
      <c r="AU288">
        <v>172</v>
      </c>
      <c r="AV288">
        <v>0.94740000000000002</v>
      </c>
      <c r="AW288" t="s">
        <v>98</v>
      </c>
      <c r="AX288" t="s">
        <v>146</v>
      </c>
      <c r="AY288" t="s">
        <v>127</v>
      </c>
      <c r="AZ288" t="s">
        <v>101</v>
      </c>
      <c r="BA288" t="s">
        <v>128</v>
      </c>
      <c r="BB288" t="s">
        <v>103</v>
      </c>
      <c r="BC288" t="s">
        <v>104</v>
      </c>
      <c r="BD288" t="s">
        <v>105</v>
      </c>
      <c r="BE288">
        <v>6039</v>
      </c>
      <c r="BF288" t="s">
        <v>106</v>
      </c>
      <c r="BG288">
        <v>74</v>
      </c>
      <c r="BH288" t="s">
        <v>80</v>
      </c>
      <c r="BI288">
        <v>1</v>
      </c>
      <c r="BJ288">
        <v>1746</v>
      </c>
      <c r="BK288">
        <v>0</v>
      </c>
      <c r="BL288">
        <v>28</v>
      </c>
      <c r="BM288">
        <v>306</v>
      </c>
      <c r="BN288">
        <v>526</v>
      </c>
      <c r="BO288">
        <v>657</v>
      </c>
      <c r="BP288">
        <v>17</v>
      </c>
      <c r="BQ288" s="2">
        <v>341</v>
      </c>
      <c r="BR288">
        <f t="shared" si="68"/>
        <v>1747</v>
      </c>
      <c r="BS288">
        <f t="shared" si="69"/>
        <v>1</v>
      </c>
      <c r="BT288">
        <f t="shared" si="70"/>
        <v>29</v>
      </c>
      <c r="BU288">
        <f t="shared" si="71"/>
        <v>307</v>
      </c>
      <c r="BV288">
        <f t="shared" si="72"/>
        <v>527</v>
      </c>
      <c r="BW288">
        <f t="shared" si="73"/>
        <v>658</v>
      </c>
      <c r="BX288">
        <f t="shared" si="74"/>
        <v>18</v>
      </c>
      <c r="BY288" s="2">
        <f t="shared" si="75"/>
        <v>342</v>
      </c>
      <c r="BZ288">
        <f t="shared" si="76"/>
        <v>116.18379278731555</v>
      </c>
      <c r="CA288">
        <v>116.18379278731555</v>
      </c>
      <c r="CB288">
        <v>116.18379278731555</v>
      </c>
      <c r="CC288">
        <v>116.18379278731555</v>
      </c>
      <c r="CD288">
        <v>116.18379278731555</v>
      </c>
      <c r="CE288">
        <v>116.18379278731555</v>
      </c>
      <c r="CF288">
        <v>116.18379278731555</v>
      </c>
      <c r="CG288">
        <v>116.18379278731555</v>
      </c>
      <c r="CH288">
        <f t="shared" si="77"/>
        <v>1.177147355189804</v>
      </c>
      <c r="CI288">
        <f t="shared" si="78"/>
        <v>-2.0651455497931273</v>
      </c>
      <c r="CJ288">
        <f t="shared" si="79"/>
        <v>-0.60274755189417095</v>
      </c>
      <c r="CK288">
        <f t="shared" si="80"/>
        <v>0.42199282568405944</v>
      </c>
      <c r="CL288">
        <f t="shared" si="81"/>
        <v>0.65666506541941949</v>
      </c>
      <c r="CM288">
        <f t="shared" si="82"/>
        <v>0.75308034382082845</v>
      </c>
      <c r="CN288">
        <f t="shared" si="83"/>
        <v>-0.80987304468982102</v>
      </c>
      <c r="CO288" s="2">
        <f t="shared" si="84"/>
        <v>0.46888055626300795</v>
      </c>
      <c r="CP288">
        <v>0.73723457854986996</v>
      </c>
      <c r="CQ288">
        <v>-2.2527165794045199</v>
      </c>
      <c r="CR288">
        <v>-0.19785739338870501</v>
      </c>
      <c r="CS288">
        <v>-0.40199456668357603</v>
      </c>
      <c r="CT288">
        <v>-5.94932947281872E-2</v>
      </c>
      <c r="CU288">
        <v>-0.25245256496614898</v>
      </c>
      <c r="CV288">
        <v>0.50422125026173903</v>
      </c>
      <c r="CW288">
        <v>-0.19651923862097101</v>
      </c>
      <c r="CX288" t="s">
        <v>1827</v>
      </c>
    </row>
    <row r="289" spans="1:102" x14ac:dyDescent="0.35">
      <c r="A289" t="s">
        <v>923</v>
      </c>
      <c r="B289" t="s">
        <v>142</v>
      </c>
      <c r="C289" t="s">
        <v>410</v>
      </c>
      <c r="D289" t="s">
        <v>72</v>
      </c>
      <c r="E289" t="s">
        <v>72</v>
      </c>
      <c r="F289" t="s">
        <v>72</v>
      </c>
      <c r="G289" t="s">
        <v>73</v>
      </c>
      <c r="H289" t="s">
        <v>74</v>
      </c>
      <c r="I289" t="s">
        <v>75</v>
      </c>
      <c r="J289" t="s">
        <v>76</v>
      </c>
      <c r="K289" t="s">
        <v>139</v>
      </c>
      <c r="L289" t="s">
        <v>140</v>
      </c>
      <c r="M289" t="s">
        <v>79</v>
      </c>
      <c r="N289">
        <v>60</v>
      </c>
      <c r="O289" t="s">
        <v>80</v>
      </c>
      <c r="P289">
        <v>783</v>
      </c>
      <c r="Q289">
        <v>0.74650000000000005</v>
      </c>
      <c r="R289">
        <v>177</v>
      </c>
      <c r="S289">
        <v>0.85419999999999996</v>
      </c>
      <c r="T289" t="s">
        <v>81</v>
      </c>
      <c r="U289" t="s">
        <v>82</v>
      </c>
      <c r="V289" t="s">
        <v>141</v>
      </c>
      <c r="W289" t="s">
        <v>84</v>
      </c>
      <c r="X289" t="s">
        <v>85</v>
      </c>
      <c r="Y289" t="s">
        <v>86</v>
      </c>
      <c r="Z289" t="s">
        <v>87</v>
      </c>
      <c r="AA289" t="s">
        <v>88</v>
      </c>
      <c r="AB289">
        <v>180</v>
      </c>
      <c r="AC289">
        <v>2</v>
      </c>
      <c r="AE289">
        <v>22</v>
      </c>
      <c r="AF289" t="s">
        <v>231</v>
      </c>
      <c r="AG289" t="s">
        <v>161</v>
      </c>
      <c r="AH289" t="s">
        <v>72</v>
      </c>
      <c r="AI289" t="s">
        <v>72</v>
      </c>
      <c r="AJ289" t="s">
        <v>91</v>
      </c>
      <c r="AK289" t="s">
        <v>92</v>
      </c>
      <c r="AL289" t="s">
        <v>93</v>
      </c>
      <c r="AM289" t="s">
        <v>94</v>
      </c>
      <c r="AN289" t="s">
        <v>144</v>
      </c>
      <c r="AO289" t="s">
        <v>145</v>
      </c>
      <c r="AP289" t="s">
        <v>97</v>
      </c>
      <c r="AQ289">
        <v>39</v>
      </c>
      <c r="AR289" t="s">
        <v>80</v>
      </c>
      <c r="AS289">
        <v>1359</v>
      </c>
      <c r="AT289">
        <v>0.96879999999999999</v>
      </c>
      <c r="AU289">
        <v>172</v>
      </c>
      <c r="AV289">
        <v>0.94740000000000002</v>
      </c>
      <c r="AW289" t="s">
        <v>98</v>
      </c>
      <c r="AX289" t="s">
        <v>146</v>
      </c>
      <c r="AY289" t="s">
        <v>127</v>
      </c>
      <c r="AZ289" t="s">
        <v>101</v>
      </c>
      <c r="BA289" t="s">
        <v>128</v>
      </c>
      <c r="BB289" t="s">
        <v>103</v>
      </c>
      <c r="BC289" t="s">
        <v>104</v>
      </c>
      <c r="BD289" t="s">
        <v>105</v>
      </c>
      <c r="BE289">
        <v>4426</v>
      </c>
      <c r="BF289" t="s">
        <v>106</v>
      </c>
      <c r="BG289">
        <v>60</v>
      </c>
      <c r="BH289" t="s">
        <v>80</v>
      </c>
      <c r="BI289">
        <v>1</v>
      </c>
      <c r="BJ289">
        <v>1136</v>
      </c>
      <c r="BK289">
        <v>0</v>
      </c>
      <c r="BL289">
        <v>26</v>
      </c>
      <c r="BM289">
        <v>234</v>
      </c>
      <c r="BN289">
        <v>292</v>
      </c>
      <c r="BO289">
        <v>433</v>
      </c>
      <c r="BP289">
        <v>5</v>
      </c>
      <c r="BQ289" s="2">
        <v>220</v>
      </c>
      <c r="BR289">
        <f t="shared" si="68"/>
        <v>1137</v>
      </c>
      <c r="BS289">
        <f t="shared" si="69"/>
        <v>1</v>
      </c>
      <c r="BT289">
        <f t="shared" si="70"/>
        <v>27</v>
      </c>
      <c r="BU289">
        <f t="shared" si="71"/>
        <v>235</v>
      </c>
      <c r="BV289">
        <f t="shared" si="72"/>
        <v>293</v>
      </c>
      <c r="BW289">
        <f t="shared" si="73"/>
        <v>434</v>
      </c>
      <c r="BX289">
        <f t="shared" si="74"/>
        <v>6</v>
      </c>
      <c r="BY289" s="2">
        <f t="shared" si="75"/>
        <v>221</v>
      </c>
      <c r="BZ289">
        <f t="shared" si="76"/>
        <v>76.848716883586562</v>
      </c>
      <c r="CA289">
        <v>76.848716883586562</v>
      </c>
      <c r="CB289">
        <v>76.848716883586562</v>
      </c>
      <c r="CC289">
        <v>76.848716883586562</v>
      </c>
      <c r="CD289">
        <v>76.848716883586562</v>
      </c>
      <c r="CE289">
        <v>76.848716883586562</v>
      </c>
      <c r="CF289">
        <v>76.848716883586562</v>
      </c>
      <c r="CG289">
        <v>76.848716883586562</v>
      </c>
      <c r="CH289">
        <f t="shared" si="77"/>
        <v>1.1701238440560058</v>
      </c>
      <c r="CI289">
        <f t="shared" si="78"/>
        <v>-1.885636620631729</v>
      </c>
      <c r="CJ289">
        <f t="shared" si="79"/>
        <v>-0.45427285647274179</v>
      </c>
      <c r="CK289">
        <f t="shared" si="80"/>
        <v>0.48543124164000717</v>
      </c>
      <c r="CL289">
        <f t="shared" si="81"/>
        <v>0.58123099972238035</v>
      </c>
      <c r="CM289">
        <f t="shared" si="82"/>
        <v>0.75185310888078161</v>
      </c>
      <c r="CN289">
        <f t="shared" si="83"/>
        <v>-1.1074853702480854</v>
      </c>
      <c r="CO289" s="2">
        <f t="shared" si="84"/>
        <v>0.45875565305338162</v>
      </c>
      <c r="CP289">
        <v>0.72879630508101401</v>
      </c>
      <c r="CQ289">
        <v>-2.2527165794045199</v>
      </c>
      <c r="CR289">
        <v>0.46550935453568698</v>
      </c>
      <c r="CS289">
        <v>-0.21507645208866499</v>
      </c>
      <c r="CT289">
        <v>-0.269472700861628</v>
      </c>
      <c r="CU289">
        <v>-0.255996566628577</v>
      </c>
      <c r="CV289">
        <v>-0.29396720716692798</v>
      </c>
      <c r="CW289">
        <v>-0.22432883827224701</v>
      </c>
      <c r="CX289" t="s">
        <v>1827</v>
      </c>
    </row>
    <row r="290" spans="1:102" x14ac:dyDescent="0.35">
      <c r="A290" t="s">
        <v>694</v>
      </c>
      <c r="B290" t="s">
        <v>130</v>
      </c>
      <c r="C290" t="s">
        <v>149</v>
      </c>
      <c r="D290" t="s">
        <v>72</v>
      </c>
      <c r="E290" t="s">
        <v>72</v>
      </c>
      <c r="F290" t="s">
        <v>72</v>
      </c>
      <c r="G290" t="s">
        <v>73</v>
      </c>
      <c r="H290" t="s">
        <v>74</v>
      </c>
      <c r="I290" t="s">
        <v>75</v>
      </c>
      <c r="J290" t="s">
        <v>76</v>
      </c>
      <c r="K290" t="s">
        <v>77</v>
      </c>
      <c r="L290" t="s">
        <v>78</v>
      </c>
      <c r="M290" t="s">
        <v>79</v>
      </c>
      <c r="N290">
        <v>60</v>
      </c>
      <c r="O290" t="s">
        <v>80</v>
      </c>
      <c r="P290">
        <v>792</v>
      </c>
      <c r="Q290">
        <v>0.75</v>
      </c>
      <c r="R290">
        <v>177</v>
      </c>
      <c r="S290">
        <v>0.85419999999999996</v>
      </c>
      <c r="T290" t="s">
        <v>81</v>
      </c>
      <c r="U290" t="s">
        <v>82</v>
      </c>
      <c r="V290" t="s">
        <v>83</v>
      </c>
      <c r="W290" t="s">
        <v>84</v>
      </c>
      <c r="X290" t="s">
        <v>85</v>
      </c>
      <c r="Y290" t="s">
        <v>86</v>
      </c>
      <c r="Z290" t="s">
        <v>87</v>
      </c>
      <c r="AA290" t="s">
        <v>88</v>
      </c>
      <c r="AB290">
        <v>2327</v>
      </c>
      <c r="AC290">
        <v>36</v>
      </c>
      <c r="AE290">
        <v>22</v>
      </c>
      <c r="AF290" t="s">
        <v>89</v>
      </c>
      <c r="AG290" t="s">
        <v>384</v>
      </c>
      <c r="AH290" t="s">
        <v>72</v>
      </c>
      <c r="AI290" t="s">
        <v>72</v>
      </c>
      <c r="AJ290" t="s">
        <v>91</v>
      </c>
      <c r="AK290" t="s">
        <v>92</v>
      </c>
      <c r="AL290" t="s">
        <v>93</v>
      </c>
      <c r="AM290" t="s">
        <v>94</v>
      </c>
      <c r="AN290" t="s">
        <v>144</v>
      </c>
      <c r="AO290" t="s">
        <v>145</v>
      </c>
      <c r="AP290" t="s">
        <v>97</v>
      </c>
      <c r="AQ290">
        <v>39</v>
      </c>
      <c r="AR290" t="s">
        <v>80</v>
      </c>
      <c r="AS290">
        <v>1359</v>
      </c>
      <c r="AT290">
        <v>0.96879999999999999</v>
      </c>
      <c r="AU290">
        <v>172</v>
      </c>
      <c r="AV290">
        <v>0.94740000000000002</v>
      </c>
      <c r="AW290" t="s">
        <v>98</v>
      </c>
      <c r="AX290" t="s">
        <v>146</v>
      </c>
      <c r="AY290" t="s">
        <v>127</v>
      </c>
      <c r="AZ290" t="s">
        <v>101</v>
      </c>
      <c r="BA290" t="s">
        <v>128</v>
      </c>
      <c r="BB290" t="s">
        <v>103</v>
      </c>
      <c r="BC290" t="s">
        <v>104</v>
      </c>
      <c r="BD290" t="s">
        <v>105</v>
      </c>
      <c r="BE290">
        <v>25255</v>
      </c>
      <c r="BF290" t="s">
        <v>106</v>
      </c>
      <c r="BG290">
        <v>314</v>
      </c>
      <c r="BH290" t="s">
        <v>80</v>
      </c>
      <c r="BI290">
        <v>1</v>
      </c>
      <c r="BJ290">
        <v>12009</v>
      </c>
      <c r="BK290">
        <v>16</v>
      </c>
      <c r="BL290">
        <v>217</v>
      </c>
      <c r="BM290">
        <v>2036</v>
      </c>
      <c r="BN290">
        <v>2653</v>
      </c>
      <c r="BO290">
        <v>3785</v>
      </c>
      <c r="BP290">
        <v>111</v>
      </c>
      <c r="BQ290" s="2">
        <v>1900</v>
      </c>
      <c r="BR290">
        <f t="shared" si="68"/>
        <v>12010</v>
      </c>
      <c r="BS290">
        <f t="shared" si="69"/>
        <v>17</v>
      </c>
      <c r="BT290">
        <f t="shared" si="70"/>
        <v>218</v>
      </c>
      <c r="BU290">
        <f t="shared" si="71"/>
        <v>2037</v>
      </c>
      <c r="BV290">
        <f t="shared" si="72"/>
        <v>2654</v>
      </c>
      <c r="BW290">
        <f t="shared" si="73"/>
        <v>3786</v>
      </c>
      <c r="BX290">
        <f t="shared" si="74"/>
        <v>112</v>
      </c>
      <c r="BY290" s="2">
        <f t="shared" si="75"/>
        <v>1901</v>
      </c>
      <c r="BZ290">
        <f t="shared" si="76"/>
        <v>814.63889165083583</v>
      </c>
      <c r="CA290">
        <v>814.63889165083583</v>
      </c>
      <c r="CB290">
        <v>814.63889165083583</v>
      </c>
      <c r="CC290">
        <v>814.63889165083583</v>
      </c>
      <c r="CD290">
        <v>814.63889165083583</v>
      </c>
      <c r="CE290">
        <v>814.63889165083583</v>
      </c>
      <c r="CF290">
        <v>814.63889165083583</v>
      </c>
      <c r="CG290">
        <v>814.63889165083583</v>
      </c>
      <c r="CH290">
        <f t="shared" si="77"/>
        <v>1.168577867518185</v>
      </c>
      <c r="CI290">
        <f t="shared" si="78"/>
        <v>-1.6805162185064471</v>
      </c>
      <c r="CJ290">
        <f t="shared" si="79"/>
        <v>-0.57250864628011622</v>
      </c>
      <c r="CK290">
        <f t="shared" si="80"/>
        <v>0.39802588911544307</v>
      </c>
      <c r="CL290">
        <f t="shared" si="81"/>
        <v>0.51293577864369566</v>
      </c>
      <c r="CM290">
        <f t="shared" si="82"/>
        <v>0.6672154697430569</v>
      </c>
      <c r="CN290">
        <f t="shared" si="83"/>
        <v>-0.86174711721453945</v>
      </c>
      <c r="CO290" s="2">
        <f t="shared" si="84"/>
        <v>0.36801697698072211</v>
      </c>
      <c r="CP290">
        <v>0.72693891886007</v>
      </c>
      <c r="CQ290">
        <v>-0.165271098415261</v>
      </c>
      <c r="CR290">
        <v>-6.2753667995960993E-2</v>
      </c>
      <c r="CS290">
        <v>-0.47261194463217499</v>
      </c>
      <c r="CT290">
        <v>-0.45958031114806602</v>
      </c>
      <c r="CU290">
        <v>-0.50041263075782205</v>
      </c>
      <c r="CV290">
        <v>0.36509634724779499</v>
      </c>
      <c r="CW290">
        <v>-0.47355652985831298</v>
      </c>
      <c r="CX290" t="s">
        <v>1827</v>
      </c>
    </row>
    <row r="291" spans="1:102" x14ac:dyDescent="0.35">
      <c r="A291" t="s">
        <v>376</v>
      </c>
      <c r="B291" t="s">
        <v>89</v>
      </c>
      <c r="C291" t="s">
        <v>149</v>
      </c>
      <c r="D291" t="s">
        <v>72</v>
      </c>
      <c r="E291" t="s">
        <v>72</v>
      </c>
      <c r="F291" t="s">
        <v>72</v>
      </c>
      <c r="G291" t="s">
        <v>73</v>
      </c>
      <c r="H291" t="s">
        <v>74</v>
      </c>
      <c r="I291" t="s">
        <v>75</v>
      </c>
      <c r="J291" t="s">
        <v>76</v>
      </c>
      <c r="K291" t="s">
        <v>77</v>
      </c>
      <c r="L291" t="s">
        <v>78</v>
      </c>
      <c r="M291" t="s">
        <v>79</v>
      </c>
      <c r="N291">
        <v>60</v>
      </c>
      <c r="O291" t="s">
        <v>80</v>
      </c>
      <c r="P291">
        <v>792</v>
      </c>
      <c r="Q291">
        <v>0.75</v>
      </c>
      <c r="R291">
        <v>177</v>
      </c>
      <c r="S291">
        <v>0.85419999999999996</v>
      </c>
      <c r="T291" t="s">
        <v>81</v>
      </c>
      <c r="U291" t="s">
        <v>82</v>
      </c>
      <c r="V291" t="s">
        <v>83</v>
      </c>
      <c r="W291" t="s">
        <v>84</v>
      </c>
      <c r="X291" t="s">
        <v>85</v>
      </c>
      <c r="Y291" t="s">
        <v>86</v>
      </c>
      <c r="Z291" t="s">
        <v>87</v>
      </c>
      <c r="AA291" t="s">
        <v>88</v>
      </c>
      <c r="AB291">
        <v>252</v>
      </c>
      <c r="AC291">
        <v>2</v>
      </c>
      <c r="AE291">
        <v>22</v>
      </c>
      <c r="AF291" t="s">
        <v>142</v>
      </c>
      <c r="AG291" t="s">
        <v>377</v>
      </c>
      <c r="AH291" t="s">
        <v>72</v>
      </c>
      <c r="AI291" t="s">
        <v>72</v>
      </c>
      <c r="AJ291" t="s">
        <v>91</v>
      </c>
      <c r="AK291" t="s">
        <v>92</v>
      </c>
      <c r="AL291" t="s">
        <v>93</v>
      </c>
      <c r="AM291" t="s">
        <v>94</v>
      </c>
      <c r="AN291" t="s">
        <v>378</v>
      </c>
      <c r="AO291" t="s">
        <v>379</v>
      </c>
      <c r="AP291" t="s">
        <v>380</v>
      </c>
      <c r="AQ291">
        <v>39</v>
      </c>
      <c r="AR291" t="s">
        <v>80</v>
      </c>
      <c r="AS291">
        <v>1350</v>
      </c>
      <c r="AT291">
        <v>0.96530000000000005</v>
      </c>
      <c r="AU291">
        <v>163</v>
      </c>
      <c r="AV291">
        <v>0.92110000000000003</v>
      </c>
      <c r="AW291" t="s">
        <v>98</v>
      </c>
      <c r="AX291" t="s">
        <v>146</v>
      </c>
      <c r="AY291" t="s">
        <v>381</v>
      </c>
      <c r="AZ291" t="s">
        <v>101</v>
      </c>
      <c r="BA291" t="s">
        <v>245</v>
      </c>
      <c r="BB291" t="s">
        <v>103</v>
      </c>
      <c r="BC291" t="s">
        <v>382</v>
      </c>
      <c r="BD291" t="s">
        <v>105</v>
      </c>
      <c r="BE291">
        <v>6008</v>
      </c>
      <c r="BF291" t="s">
        <v>106</v>
      </c>
      <c r="BG291">
        <v>83</v>
      </c>
      <c r="BH291" t="s">
        <v>80</v>
      </c>
      <c r="BI291">
        <v>1</v>
      </c>
      <c r="BJ291">
        <v>835</v>
      </c>
      <c r="BK291">
        <v>0</v>
      </c>
      <c r="BL291">
        <v>15</v>
      </c>
      <c r="BM291">
        <v>146</v>
      </c>
      <c r="BN291">
        <v>201</v>
      </c>
      <c r="BO291">
        <v>316</v>
      </c>
      <c r="BP291">
        <v>6</v>
      </c>
      <c r="BQ291" s="2">
        <v>136</v>
      </c>
      <c r="BR291">
        <f t="shared" si="68"/>
        <v>836</v>
      </c>
      <c r="BS291">
        <f t="shared" si="69"/>
        <v>1</v>
      </c>
      <c r="BT291">
        <f t="shared" si="70"/>
        <v>16</v>
      </c>
      <c r="BU291">
        <f t="shared" si="71"/>
        <v>147</v>
      </c>
      <c r="BV291">
        <f t="shared" si="72"/>
        <v>202</v>
      </c>
      <c r="BW291">
        <f t="shared" si="73"/>
        <v>317</v>
      </c>
      <c r="BX291">
        <f t="shared" si="74"/>
        <v>7</v>
      </c>
      <c r="BY291" s="2">
        <f t="shared" si="75"/>
        <v>137</v>
      </c>
      <c r="BZ291">
        <f t="shared" si="76"/>
        <v>57.575020889733416</v>
      </c>
      <c r="CA291">
        <v>57.575020889733416</v>
      </c>
      <c r="CB291">
        <v>57.575020889733416</v>
      </c>
      <c r="CC291">
        <v>57.575020889733416</v>
      </c>
      <c r="CD291">
        <v>57.575020889733416</v>
      </c>
      <c r="CE291">
        <v>57.575020889733416</v>
      </c>
      <c r="CF291">
        <v>57.575020889733416</v>
      </c>
      <c r="CG291">
        <v>57.575020889733416</v>
      </c>
      <c r="CH291">
        <f t="shared" si="77"/>
        <v>1.161972173229247</v>
      </c>
      <c r="CI291">
        <f t="shared" si="78"/>
        <v>-1.7602341042097696</v>
      </c>
      <c r="CJ291">
        <f t="shared" si="79"/>
        <v>-0.55611412155384465</v>
      </c>
      <c r="CK291">
        <f t="shared" si="80"/>
        <v>0.40708323053840662</v>
      </c>
      <c r="CL291">
        <f t="shared" si="81"/>
        <v>0.54511726523685422</v>
      </c>
      <c r="CM291">
        <f t="shared" si="82"/>
        <v>0.74082515800798199</v>
      </c>
      <c r="CN291">
        <f t="shared" si="83"/>
        <v>-0.91513606419551263</v>
      </c>
      <c r="CO291" s="2">
        <f t="shared" si="84"/>
        <v>0.37648646294663729</v>
      </c>
      <c r="CP291">
        <v>0.71900262406394</v>
      </c>
      <c r="CQ291">
        <v>-2.2527165794045199</v>
      </c>
      <c r="CR291">
        <v>1.0495059812933E-2</v>
      </c>
      <c r="CS291">
        <v>-0.44592494186718901</v>
      </c>
      <c r="CT291">
        <v>-0.36999943835695598</v>
      </c>
      <c r="CU291">
        <v>-0.28784301668555901</v>
      </c>
      <c r="CV291">
        <v>0.22190859064346999</v>
      </c>
      <c r="CW291">
        <v>-0.45029378757942701</v>
      </c>
      <c r="CX291" t="s">
        <v>1827</v>
      </c>
    </row>
    <row r="292" spans="1:102" x14ac:dyDescent="0.35">
      <c r="A292" t="s">
        <v>674</v>
      </c>
      <c r="B292" t="s">
        <v>148</v>
      </c>
      <c r="C292" t="s">
        <v>160</v>
      </c>
      <c r="D292" t="s">
        <v>72</v>
      </c>
      <c r="E292" t="s">
        <v>72</v>
      </c>
      <c r="F292" t="s">
        <v>72</v>
      </c>
      <c r="G292" t="s">
        <v>73</v>
      </c>
      <c r="H292" t="s">
        <v>74</v>
      </c>
      <c r="I292" t="s">
        <v>75</v>
      </c>
      <c r="J292" t="s">
        <v>76</v>
      </c>
      <c r="K292" t="s">
        <v>77</v>
      </c>
      <c r="L292" t="s">
        <v>78</v>
      </c>
      <c r="M292" t="s">
        <v>79</v>
      </c>
      <c r="N292">
        <v>60</v>
      </c>
      <c r="O292" t="s">
        <v>80</v>
      </c>
      <c r="P292">
        <v>792</v>
      </c>
      <c r="Q292">
        <v>0.75</v>
      </c>
      <c r="R292">
        <v>177</v>
      </c>
      <c r="S292">
        <v>0.85419999999999996</v>
      </c>
      <c r="T292" t="s">
        <v>81</v>
      </c>
      <c r="U292" t="s">
        <v>82</v>
      </c>
      <c r="V292" t="s">
        <v>83</v>
      </c>
      <c r="W292" t="s">
        <v>84</v>
      </c>
      <c r="X292" t="s">
        <v>85</v>
      </c>
      <c r="Y292" t="s">
        <v>86</v>
      </c>
      <c r="Z292" t="s">
        <v>87</v>
      </c>
      <c r="AA292" t="s">
        <v>88</v>
      </c>
      <c r="AB292">
        <v>130</v>
      </c>
      <c r="AC292">
        <v>3</v>
      </c>
      <c r="AE292">
        <v>22</v>
      </c>
      <c r="AF292" t="s">
        <v>89</v>
      </c>
      <c r="AG292" t="s">
        <v>675</v>
      </c>
      <c r="AH292" t="s">
        <v>72</v>
      </c>
      <c r="AI292" t="s">
        <v>72</v>
      </c>
      <c r="AJ292" t="s">
        <v>91</v>
      </c>
      <c r="AK292" t="s">
        <v>92</v>
      </c>
      <c r="AL292" t="s">
        <v>93</v>
      </c>
      <c r="AM292" t="s">
        <v>94</v>
      </c>
      <c r="AN292" t="s">
        <v>676</v>
      </c>
      <c r="AO292" t="s">
        <v>677</v>
      </c>
      <c r="AP292" t="s">
        <v>97</v>
      </c>
      <c r="AQ292">
        <v>39</v>
      </c>
      <c r="AR292" t="s">
        <v>80</v>
      </c>
      <c r="AS292">
        <v>1359</v>
      </c>
      <c r="AT292">
        <v>0.96879999999999999</v>
      </c>
      <c r="AU292">
        <v>172</v>
      </c>
      <c r="AV292">
        <v>0.94740000000000002</v>
      </c>
      <c r="AW292" t="s">
        <v>216</v>
      </c>
      <c r="AX292" t="s">
        <v>146</v>
      </c>
      <c r="AY292" t="s">
        <v>100</v>
      </c>
      <c r="AZ292" t="s">
        <v>101</v>
      </c>
      <c r="BA292" t="s">
        <v>102</v>
      </c>
      <c r="BB292" t="s">
        <v>655</v>
      </c>
      <c r="BC292" t="s">
        <v>104</v>
      </c>
      <c r="BD292" t="s">
        <v>105</v>
      </c>
      <c r="BE292">
        <v>5020</v>
      </c>
      <c r="BF292" t="s">
        <v>106</v>
      </c>
      <c r="BG292">
        <v>53</v>
      </c>
      <c r="BH292" t="s">
        <v>80</v>
      </c>
      <c r="BI292">
        <v>1</v>
      </c>
      <c r="BJ292">
        <v>437</v>
      </c>
      <c r="BK292">
        <v>0</v>
      </c>
      <c r="BL292">
        <v>7</v>
      </c>
      <c r="BM292">
        <v>97</v>
      </c>
      <c r="BN292">
        <v>141</v>
      </c>
      <c r="BO292">
        <v>202</v>
      </c>
      <c r="BP292">
        <v>0</v>
      </c>
      <c r="BQ292" s="2">
        <v>85</v>
      </c>
      <c r="BR292">
        <f t="shared" si="68"/>
        <v>438</v>
      </c>
      <c r="BS292">
        <f t="shared" si="69"/>
        <v>1</v>
      </c>
      <c r="BT292">
        <f t="shared" si="70"/>
        <v>8</v>
      </c>
      <c r="BU292">
        <f t="shared" si="71"/>
        <v>98</v>
      </c>
      <c r="BV292">
        <f t="shared" si="72"/>
        <v>142</v>
      </c>
      <c r="BW292">
        <f t="shared" si="73"/>
        <v>203</v>
      </c>
      <c r="BX292">
        <f t="shared" si="74"/>
        <v>1</v>
      </c>
      <c r="BY292" s="2">
        <f t="shared" si="75"/>
        <v>86</v>
      </c>
      <c r="BZ292">
        <f t="shared" si="76"/>
        <v>30.992679546976511</v>
      </c>
      <c r="CA292">
        <v>30.992679546976511</v>
      </c>
      <c r="CB292">
        <v>30.992679546976511</v>
      </c>
      <c r="CC292">
        <v>30.992679546976511</v>
      </c>
      <c r="CD292">
        <v>30.992679546976511</v>
      </c>
      <c r="CE292">
        <v>30.992679546976511</v>
      </c>
      <c r="CF292">
        <v>30.992679546976511</v>
      </c>
      <c r="CG292">
        <v>30.992679546976511</v>
      </c>
      <c r="CH292">
        <f t="shared" si="77"/>
        <v>1.1502149846630527</v>
      </c>
      <c r="CI292">
        <f t="shared" si="78"/>
        <v>-1.4912591258410468</v>
      </c>
      <c r="CJ292">
        <f t="shared" si="79"/>
        <v>-0.58816913884910327</v>
      </c>
      <c r="CK292">
        <f t="shared" si="80"/>
        <v>0.49996694985144791</v>
      </c>
      <c r="CL292">
        <f t="shared" si="81"/>
        <v>0.66102921854200958</v>
      </c>
      <c r="CM292">
        <f t="shared" si="82"/>
        <v>0.81623691207216598</v>
      </c>
      <c r="CN292">
        <f t="shared" si="83"/>
        <v>-1.4912591258410468</v>
      </c>
      <c r="CO292" s="2">
        <f t="shared" si="84"/>
        <v>0.44323932540252081</v>
      </c>
      <c r="CP292">
        <v>0.70487715740538504</v>
      </c>
      <c r="CQ292">
        <v>-2.2527165794045199</v>
      </c>
      <c r="CR292">
        <v>-0.13272283006021801</v>
      </c>
      <c r="CS292">
        <v>-0.172247716026419</v>
      </c>
      <c r="CT292">
        <v>-4.7345172093019999E-2</v>
      </c>
      <c r="CU292">
        <v>-7.0069407860557306E-2</v>
      </c>
      <c r="CV292">
        <v>-2.6172399890044602</v>
      </c>
      <c r="CW292">
        <v>-0.26694681210316901</v>
      </c>
      <c r="CX292" t="s">
        <v>1827</v>
      </c>
    </row>
    <row r="293" spans="1:102" x14ac:dyDescent="0.35">
      <c r="A293" t="s">
        <v>1597</v>
      </c>
      <c r="B293" t="s">
        <v>89</v>
      </c>
      <c r="C293" t="s">
        <v>152</v>
      </c>
      <c r="D293" t="s">
        <v>72</v>
      </c>
      <c r="E293" t="s">
        <v>72</v>
      </c>
      <c r="F293" t="s">
        <v>72</v>
      </c>
      <c r="G293" t="s">
        <v>73</v>
      </c>
      <c r="H293" t="s">
        <v>109</v>
      </c>
      <c r="I293" t="s">
        <v>110</v>
      </c>
      <c r="J293" t="s">
        <v>111</v>
      </c>
      <c r="K293" t="s">
        <v>112</v>
      </c>
      <c r="L293" t="s">
        <v>113</v>
      </c>
      <c r="M293" t="s">
        <v>114</v>
      </c>
      <c r="N293">
        <v>48</v>
      </c>
      <c r="O293" t="s">
        <v>80</v>
      </c>
      <c r="P293">
        <v>621</v>
      </c>
      <c r="Q293">
        <v>0.68400000000000005</v>
      </c>
      <c r="R293">
        <v>175</v>
      </c>
      <c r="S293">
        <v>0.81130000000000002</v>
      </c>
      <c r="T293" t="s">
        <v>115</v>
      </c>
      <c r="U293" t="s">
        <v>116</v>
      </c>
      <c r="V293" t="s">
        <v>117</v>
      </c>
      <c r="W293" t="s">
        <v>118</v>
      </c>
      <c r="X293" t="s">
        <v>119</v>
      </c>
      <c r="Y293" t="s">
        <v>120</v>
      </c>
      <c r="Z293" t="s">
        <v>121</v>
      </c>
      <c r="AA293" t="s">
        <v>88</v>
      </c>
      <c r="AB293">
        <v>414</v>
      </c>
      <c r="AC293">
        <v>4</v>
      </c>
      <c r="AE293">
        <v>1</v>
      </c>
      <c r="AF293" t="s">
        <v>142</v>
      </c>
      <c r="AG293" t="s">
        <v>1598</v>
      </c>
      <c r="AH293" t="s">
        <v>72</v>
      </c>
      <c r="AI293" t="s">
        <v>72</v>
      </c>
      <c r="AJ293" t="s">
        <v>91</v>
      </c>
      <c r="AK293" t="s">
        <v>92</v>
      </c>
      <c r="AL293" t="s">
        <v>93</v>
      </c>
      <c r="AM293" t="s">
        <v>94</v>
      </c>
      <c r="AN293" t="s">
        <v>144</v>
      </c>
      <c r="AO293" t="s">
        <v>145</v>
      </c>
      <c r="AP293" t="s">
        <v>97</v>
      </c>
      <c r="AQ293">
        <v>39</v>
      </c>
      <c r="AR293" t="s">
        <v>80</v>
      </c>
      <c r="AS293">
        <v>1359</v>
      </c>
      <c r="AT293">
        <v>0.96879999999999999</v>
      </c>
      <c r="AU293">
        <v>172</v>
      </c>
      <c r="AV293">
        <v>0.94740000000000002</v>
      </c>
      <c r="AW293" t="s">
        <v>98</v>
      </c>
      <c r="AX293" t="s">
        <v>146</v>
      </c>
      <c r="AY293" t="s">
        <v>127</v>
      </c>
      <c r="AZ293" t="s">
        <v>101</v>
      </c>
      <c r="BA293" t="s">
        <v>128</v>
      </c>
      <c r="BB293" t="s">
        <v>103</v>
      </c>
      <c r="BC293" t="s">
        <v>104</v>
      </c>
      <c r="BD293" t="s">
        <v>105</v>
      </c>
      <c r="BE293">
        <v>4579</v>
      </c>
      <c r="BF293" t="s">
        <v>106</v>
      </c>
      <c r="BG293">
        <v>59</v>
      </c>
      <c r="BH293" t="s">
        <v>80</v>
      </c>
      <c r="BI293">
        <v>1</v>
      </c>
      <c r="BJ293">
        <v>1031</v>
      </c>
      <c r="BK293">
        <v>0</v>
      </c>
      <c r="BL293">
        <v>25</v>
      </c>
      <c r="BM293">
        <v>205</v>
      </c>
      <c r="BN293">
        <v>253</v>
      </c>
      <c r="BO293">
        <v>350</v>
      </c>
      <c r="BP293">
        <v>8</v>
      </c>
      <c r="BQ293" s="2">
        <v>188</v>
      </c>
      <c r="BR293">
        <f t="shared" si="68"/>
        <v>1032</v>
      </c>
      <c r="BS293">
        <f t="shared" si="69"/>
        <v>1</v>
      </c>
      <c r="BT293">
        <f t="shared" si="70"/>
        <v>26</v>
      </c>
      <c r="BU293">
        <f t="shared" si="71"/>
        <v>206</v>
      </c>
      <c r="BV293">
        <f t="shared" si="72"/>
        <v>254</v>
      </c>
      <c r="BW293">
        <f t="shared" si="73"/>
        <v>351</v>
      </c>
      <c r="BX293">
        <f t="shared" si="74"/>
        <v>9</v>
      </c>
      <c r="BY293" s="2">
        <f t="shared" si="75"/>
        <v>189</v>
      </c>
      <c r="BZ293">
        <f t="shared" si="76"/>
        <v>73.353472278831603</v>
      </c>
      <c r="CA293">
        <v>73.353472278831603</v>
      </c>
      <c r="CB293">
        <v>73.353472278831603</v>
      </c>
      <c r="CC293">
        <v>73.353472278831603</v>
      </c>
      <c r="CD293">
        <v>73.353472278831603</v>
      </c>
      <c r="CE293">
        <v>73.353472278831603</v>
      </c>
      <c r="CF293">
        <v>73.353472278831603</v>
      </c>
      <c r="CG293">
        <v>73.353472278831603</v>
      </c>
      <c r="CH293">
        <f t="shared" si="77"/>
        <v>1.1482590207500056</v>
      </c>
      <c r="CI293">
        <f t="shared" si="78"/>
        <v>-1.8654206765411869</v>
      </c>
      <c r="CJ293">
        <f t="shared" si="79"/>
        <v>-0.4504473285703689</v>
      </c>
      <c r="CK293">
        <f t="shared" si="80"/>
        <v>0.4484465438279665</v>
      </c>
      <c r="CL293">
        <f t="shared" si="81"/>
        <v>0.53941304007875124</v>
      </c>
      <c r="CM293">
        <f t="shared" si="82"/>
        <v>0.67988643992463715</v>
      </c>
      <c r="CN293">
        <f t="shared" si="83"/>
        <v>-0.91117816710186206</v>
      </c>
      <c r="CO293" s="2">
        <f t="shared" si="84"/>
        <v>0.4110411276320573</v>
      </c>
      <c r="CP293">
        <v>0.702527199089795</v>
      </c>
      <c r="CQ293">
        <v>-2.2527165794045199</v>
      </c>
      <c r="CR293">
        <v>0.482601344497263</v>
      </c>
      <c r="CS293">
        <v>-0.32405001140152201</v>
      </c>
      <c r="CT293">
        <v>-0.385877805777326</v>
      </c>
      <c r="CU293">
        <v>-0.46382147944461799</v>
      </c>
      <c r="CV293">
        <v>0.232523566921473</v>
      </c>
      <c r="CW293">
        <v>-0.355384100929583</v>
      </c>
      <c r="CX293" t="s">
        <v>1827</v>
      </c>
    </row>
    <row r="294" spans="1:102" x14ac:dyDescent="0.35">
      <c r="A294" t="s">
        <v>803</v>
      </c>
      <c r="B294" t="s">
        <v>89</v>
      </c>
      <c r="C294" t="s">
        <v>804</v>
      </c>
      <c r="D294" t="s">
        <v>72</v>
      </c>
      <c r="E294" t="s">
        <v>72</v>
      </c>
      <c r="F294" t="s">
        <v>72</v>
      </c>
      <c r="G294" t="s">
        <v>73</v>
      </c>
      <c r="H294" t="s">
        <v>74</v>
      </c>
      <c r="I294" t="s">
        <v>75</v>
      </c>
      <c r="J294" t="s">
        <v>76</v>
      </c>
      <c r="K294" t="s">
        <v>77</v>
      </c>
      <c r="L294" t="s">
        <v>78</v>
      </c>
      <c r="M294" t="s">
        <v>79</v>
      </c>
      <c r="N294">
        <v>60</v>
      </c>
      <c r="O294" t="s">
        <v>80</v>
      </c>
      <c r="P294">
        <v>792</v>
      </c>
      <c r="Q294">
        <v>0.75</v>
      </c>
      <c r="R294">
        <v>177</v>
      </c>
      <c r="S294">
        <v>0.85419999999999996</v>
      </c>
      <c r="T294" t="s">
        <v>81</v>
      </c>
      <c r="U294" t="s">
        <v>82</v>
      </c>
      <c r="V294" t="s">
        <v>83</v>
      </c>
      <c r="W294" t="s">
        <v>84</v>
      </c>
      <c r="X294" t="s">
        <v>85</v>
      </c>
      <c r="Y294" t="s">
        <v>86</v>
      </c>
      <c r="Z294" t="s">
        <v>87</v>
      </c>
      <c r="AA294" t="s">
        <v>88</v>
      </c>
      <c r="AB294">
        <v>503</v>
      </c>
      <c r="AC294">
        <v>4</v>
      </c>
      <c r="AE294">
        <v>22</v>
      </c>
      <c r="AF294" t="s">
        <v>153</v>
      </c>
      <c r="AG294" t="s">
        <v>346</v>
      </c>
      <c r="AH294" t="s">
        <v>72</v>
      </c>
      <c r="AI294" t="s">
        <v>72</v>
      </c>
      <c r="AJ294" t="s">
        <v>91</v>
      </c>
      <c r="AK294" t="s">
        <v>92</v>
      </c>
      <c r="AL294" t="s">
        <v>93</v>
      </c>
      <c r="AM294" t="s">
        <v>94</v>
      </c>
      <c r="AN294" t="s">
        <v>144</v>
      </c>
      <c r="AO294" t="s">
        <v>145</v>
      </c>
      <c r="AP294" t="s">
        <v>97</v>
      </c>
      <c r="AQ294">
        <v>39</v>
      </c>
      <c r="AR294" t="s">
        <v>80</v>
      </c>
      <c r="AS294">
        <v>1359</v>
      </c>
      <c r="AT294">
        <v>0.96879999999999999</v>
      </c>
      <c r="AU294">
        <v>172</v>
      </c>
      <c r="AV294">
        <v>0.94740000000000002</v>
      </c>
      <c r="AW294" t="s">
        <v>98</v>
      </c>
      <c r="AX294" t="s">
        <v>146</v>
      </c>
      <c r="AY294" t="s">
        <v>127</v>
      </c>
      <c r="AZ294" t="s">
        <v>101</v>
      </c>
      <c r="BA294" t="s">
        <v>128</v>
      </c>
      <c r="BB294" t="s">
        <v>103</v>
      </c>
      <c r="BC294" t="s">
        <v>104</v>
      </c>
      <c r="BD294" t="s">
        <v>105</v>
      </c>
      <c r="BE294">
        <v>4143</v>
      </c>
      <c r="BF294" t="s">
        <v>106</v>
      </c>
      <c r="BG294">
        <v>51</v>
      </c>
      <c r="BH294" t="s">
        <v>80</v>
      </c>
      <c r="BI294">
        <v>1</v>
      </c>
      <c r="BJ294">
        <v>1300</v>
      </c>
      <c r="BK294">
        <v>0</v>
      </c>
      <c r="BL294">
        <v>20</v>
      </c>
      <c r="BM294">
        <v>297</v>
      </c>
      <c r="BN294">
        <v>407</v>
      </c>
      <c r="BO294">
        <v>651</v>
      </c>
      <c r="BP294">
        <v>11</v>
      </c>
      <c r="BQ294" s="2">
        <v>286</v>
      </c>
      <c r="BR294">
        <f t="shared" si="68"/>
        <v>1301</v>
      </c>
      <c r="BS294">
        <f t="shared" si="69"/>
        <v>1</v>
      </c>
      <c r="BT294">
        <f t="shared" si="70"/>
        <v>21</v>
      </c>
      <c r="BU294">
        <f t="shared" si="71"/>
        <v>298</v>
      </c>
      <c r="BV294">
        <f t="shared" si="72"/>
        <v>408</v>
      </c>
      <c r="BW294">
        <f t="shared" si="73"/>
        <v>652</v>
      </c>
      <c r="BX294">
        <f t="shared" si="74"/>
        <v>12</v>
      </c>
      <c r="BY294" s="2">
        <f t="shared" si="75"/>
        <v>287</v>
      </c>
      <c r="BZ294">
        <f t="shared" si="76"/>
        <v>96.40187248802313</v>
      </c>
      <c r="CA294">
        <v>96.40187248802313</v>
      </c>
      <c r="CB294">
        <v>96.40187248802313</v>
      </c>
      <c r="CC294">
        <v>96.40187248802313</v>
      </c>
      <c r="CD294">
        <v>96.40187248802313</v>
      </c>
      <c r="CE294">
        <v>96.40187248802313</v>
      </c>
      <c r="CF294">
        <v>96.40187248802313</v>
      </c>
      <c r="CG294">
        <v>96.40187248802313</v>
      </c>
      <c r="CH294">
        <f t="shared" si="77"/>
        <v>1.1301918269396891</v>
      </c>
      <c r="CI294">
        <f t="shared" si="78"/>
        <v>-1.9840854696218972</v>
      </c>
      <c r="CJ294">
        <f t="shared" si="79"/>
        <v>-0.66186617488797794</v>
      </c>
      <c r="CK294">
        <f t="shared" si="80"/>
        <v>0.49013079445435792</v>
      </c>
      <c r="CL294">
        <f t="shared" si="81"/>
        <v>0.62657469346798267</v>
      </c>
      <c r="CM294">
        <f t="shared" si="82"/>
        <v>0.83016212611002294</v>
      </c>
      <c r="CN294">
        <f t="shared" si="83"/>
        <v>-0.90490422357427247</v>
      </c>
      <c r="CO294" s="2">
        <f t="shared" si="84"/>
        <v>0.47379642711209508</v>
      </c>
      <c r="CP294">
        <v>0.68082068801833995</v>
      </c>
      <c r="CQ294">
        <v>-2.2527165794045199</v>
      </c>
      <c r="CR294">
        <v>-0.46199215767197899</v>
      </c>
      <c r="CS294">
        <v>-0.20122945515060101</v>
      </c>
      <c r="CT294">
        <v>-0.14325330917674001</v>
      </c>
      <c r="CU294">
        <v>-2.98562586994384E-2</v>
      </c>
      <c r="CV294">
        <v>0.24935011903717499</v>
      </c>
      <c r="CW294">
        <v>-0.18301704532390101</v>
      </c>
      <c r="CX294" t="s">
        <v>1827</v>
      </c>
    </row>
    <row r="295" spans="1:102" x14ac:dyDescent="0.35">
      <c r="A295" t="s">
        <v>248</v>
      </c>
      <c r="B295" t="s">
        <v>89</v>
      </c>
      <c r="C295" t="s">
        <v>138</v>
      </c>
      <c r="D295" t="s">
        <v>72</v>
      </c>
      <c r="E295" t="s">
        <v>72</v>
      </c>
      <c r="F295" t="s">
        <v>72</v>
      </c>
      <c r="G295" t="s">
        <v>73</v>
      </c>
      <c r="H295" t="s">
        <v>74</v>
      </c>
      <c r="I295" t="s">
        <v>75</v>
      </c>
      <c r="J295" t="s">
        <v>76</v>
      </c>
      <c r="K295" t="s">
        <v>139</v>
      </c>
      <c r="L295" t="s">
        <v>140</v>
      </c>
      <c r="M295" t="s">
        <v>79</v>
      </c>
      <c r="N295">
        <v>60</v>
      </c>
      <c r="O295" t="s">
        <v>80</v>
      </c>
      <c r="P295">
        <v>783</v>
      </c>
      <c r="Q295">
        <v>0.74650000000000005</v>
      </c>
      <c r="R295">
        <v>177</v>
      </c>
      <c r="S295">
        <v>0.85419999999999996</v>
      </c>
      <c r="T295" t="s">
        <v>81</v>
      </c>
      <c r="U295" t="s">
        <v>82</v>
      </c>
      <c r="V295" t="s">
        <v>141</v>
      </c>
      <c r="W295" t="s">
        <v>84</v>
      </c>
      <c r="X295" t="s">
        <v>85</v>
      </c>
      <c r="Y295" t="s">
        <v>86</v>
      </c>
      <c r="Z295" t="s">
        <v>87</v>
      </c>
      <c r="AA295" t="s">
        <v>88</v>
      </c>
      <c r="AB295">
        <v>678</v>
      </c>
      <c r="AC295">
        <v>6</v>
      </c>
      <c r="AE295">
        <v>22</v>
      </c>
      <c r="AF295" t="s">
        <v>231</v>
      </c>
      <c r="AG295" t="s">
        <v>249</v>
      </c>
      <c r="AH295" t="s">
        <v>72</v>
      </c>
      <c r="AI295" t="s">
        <v>72</v>
      </c>
      <c r="AJ295" t="s">
        <v>91</v>
      </c>
      <c r="AK295" t="s">
        <v>92</v>
      </c>
      <c r="AL295" t="s">
        <v>93</v>
      </c>
      <c r="AM295" t="s">
        <v>94</v>
      </c>
      <c r="AN295" t="s">
        <v>250</v>
      </c>
      <c r="AO295" t="s">
        <v>251</v>
      </c>
      <c r="AP295" t="s">
        <v>97</v>
      </c>
      <c r="AQ295">
        <v>39</v>
      </c>
      <c r="AR295" t="s">
        <v>80</v>
      </c>
      <c r="AS295">
        <v>1341</v>
      </c>
      <c r="AT295">
        <v>0.96179999999999999</v>
      </c>
      <c r="AU295">
        <v>172</v>
      </c>
      <c r="AV295">
        <v>0.94740000000000002</v>
      </c>
      <c r="AW295" t="s">
        <v>98</v>
      </c>
      <c r="AX295" t="s">
        <v>252</v>
      </c>
      <c r="AY295" t="s">
        <v>184</v>
      </c>
      <c r="AZ295" t="s">
        <v>101</v>
      </c>
      <c r="BA295" t="s">
        <v>253</v>
      </c>
      <c r="BB295" t="s">
        <v>186</v>
      </c>
      <c r="BC295" t="s">
        <v>104</v>
      </c>
      <c r="BD295" t="s">
        <v>105</v>
      </c>
      <c r="BE295">
        <v>351</v>
      </c>
      <c r="BF295" t="s">
        <v>106</v>
      </c>
      <c r="BG295">
        <v>7</v>
      </c>
      <c r="BH295" t="s">
        <v>80</v>
      </c>
      <c r="BI295">
        <v>1</v>
      </c>
      <c r="BJ295">
        <v>1442</v>
      </c>
      <c r="BK295">
        <v>0</v>
      </c>
      <c r="BL295">
        <v>35</v>
      </c>
      <c r="BM295">
        <v>304</v>
      </c>
      <c r="BN295">
        <v>402</v>
      </c>
      <c r="BO295">
        <v>606</v>
      </c>
      <c r="BP295">
        <v>15</v>
      </c>
      <c r="BQ295" s="2">
        <v>287</v>
      </c>
      <c r="BR295">
        <f t="shared" si="68"/>
        <v>1443</v>
      </c>
      <c r="BS295">
        <f t="shared" si="69"/>
        <v>1</v>
      </c>
      <c r="BT295">
        <f t="shared" si="70"/>
        <v>36</v>
      </c>
      <c r="BU295">
        <f t="shared" si="71"/>
        <v>305</v>
      </c>
      <c r="BV295">
        <f t="shared" si="72"/>
        <v>403</v>
      </c>
      <c r="BW295">
        <f t="shared" si="73"/>
        <v>607</v>
      </c>
      <c r="BX295">
        <f t="shared" si="74"/>
        <v>16</v>
      </c>
      <c r="BY295" s="2">
        <f t="shared" si="75"/>
        <v>288</v>
      </c>
      <c r="BZ295">
        <f t="shared" si="76"/>
        <v>107.51878792070865</v>
      </c>
      <c r="CA295">
        <v>107.51878792070865</v>
      </c>
      <c r="CB295">
        <v>107.51878792070865</v>
      </c>
      <c r="CC295">
        <v>107.51878792070865</v>
      </c>
      <c r="CD295">
        <v>107.51878792070865</v>
      </c>
      <c r="CE295">
        <v>107.51878792070865</v>
      </c>
      <c r="CF295">
        <v>107.51878792070865</v>
      </c>
      <c r="CG295">
        <v>107.51878792070865</v>
      </c>
      <c r="CH295">
        <f t="shared" si="77"/>
        <v>1.1277819712386079</v>
      </c>
      <c r="CI295">
        <f t="shared" si="78"/>
        <v>-2.0314843598548862</v>
      </c>
      <c r="CJ295">
        <f t="shared" si="79"/>
        <v>-0.47518185908759897</v>
      </c>
      <c r="CK295">
        <f t="shared" si="80"/>
        <v>0.45281547949189954</v>
      </c>
      <c r="CL295">
        <f t="shared" si="81"/>
        <v>0.57382068628622318</v>
      </c>
      <c r="CM295">
        <f t="shared" si="82"/>
        <v>0.75170433122037128</v>
      </c>
      <c r="CN295">
        <f t="shared" si="83"/>
        <v>-0.8273643771989615</v>
      </c>
      <c r="CO295" s="2">
        <f t="shared" si="84"/>
        <v>0.42790812790434463</v>
      </c>
      <c r="CP295">
        <v>0.67792540942636204</v>
      </c>
      <c r="CQ295">
        <v>-2.2527165794045199</v>
      </c>
      <c r="CR295">
        <v>0.37209049263742899</v>
      </c>
      <c r="CS295">
        <v>-0.311177161334523</v>
      </c>
      <c r="CT295">
        <v>-0.29010016141554101</v>
      </c>
      <c r="CU295">
        <v>-0.25642620585951897</v>
      </c>
      <c r="CV295">
        <v>0.45730995487888199</v>
      </c>
      <c r="CW295">
        <v>-0.30905629757396103</v>
      </c>
      <c r="CX295" t="s">
        <v>1827</v>
      </c>
    </row>
    <row r="296" spans="1:102" x14ac:dyDescent="0.35">
      <c r="A296" t="s">
        <v>220</v>
      </c>
      <c r="B296" t="s">
        <v>148</v>
      </c>
      <c r="C296" t="s">
        <v>221</v>
      </c>
      <c r="D296" t="s">
        <v>72</v>
      </c>
      <c r="E296" t="s">
        <v>72</v>
      </c>
      <c r="F296" t="s">
        <v>72</v>
      </c>
      <c r="G296" t="s">
        <v>73</v>
      </c>
      <c r="H296" t="s">
        <v>74</v>
      </c>
      <c r="I296" t="s">
        <v>75</v>
      </c>
      <c r="J296" t="s">
        <v>76</v>
      </c>
      <c r="K296" t="s">
        <v>222</v>
      </c>
      <c r="L296" t="s">
        <v>223</v>
      </c>
      <c r="M296" t="s">
        <v>79</v>
      </c>
      <c r="N296">
        <v>60</v>
      </c>
      <c r="O296" t="s">
        <v>80</v>
      </c>
      <c r="P296">
        <v>783</v>
      </c>
      <c r="Q296">
        <v>0.74650000000000005</v>
      </c>
      <c r="R296">
        <v>177</v>
      </c>
      <c r="S296">
        <v>0.85419999999999996</v>
      </c>
      <c r="T296" t="s">
        <v>224</v>
      </c>
      <c r="U296" t="s">
        <v>82</v>
      </c>
      <c r="V296" t="s">
        <v>83</v>
      </c>
      <c r="W296" t="s">
        <v>84</v>
      </c>
      <c r="X296" t="s">
        <v>85</v>
      </c>
      <c r="Y296" t="s">
        <v>86</v>
      </c>
      <c r="Z296" t="s">
        <v>87</v>
      </c>
      <c r="AA296" t="s">
        <v>88</v>
      </c>
      <c r="AB296">
        <v>304</v>
      </c>
      <c r="AC296">
        <v>7</v>
      </c>
      <c r="AE296">
        <v>22</v>
      </c>
      <c r="AF296" t="s">
        <v>142</v>
      </c>
      <c r="AG296" t="s">
        <v>225</v>
      </c>
      <c r="AH296" t="s">
        <v>72</v>
      </c>
      <c r="AI296" t="s">
        <v>72</v>
      </c>
      <c r="AJ296" t="s">
        <v>91</v>
      </c>
      <c r="AK296" t="s">
        <v>92</v>
      </c>
      <c r="AL296" t="s">
        <v>93</v>
      </c>
      <c r="AM296" t="s">
        <v>94</v>
      </c>
      <c r="AN296" t="s">
        <v>144</v>
      </c>
      <c r="AO296" t="s">
        <v>145</v>
      </c>
      <c r="AP296" t="s">
        <v>97</v>
      </c>
      <c r="AQ296">
        <v>39</v>
      </c>
      <c r="AR296" t="s">
        <v>80</v>
      </c>
      <c r="AS296">
        <v>1359</v>
      </c>
      <c r="AT296">
        <v>0.96879999999999999</v>
      </c>
      <c r="AU296">
        <v>172</v>
      </c>
      <c r="AV296">
        <v>0.94740000000000002</v>
      </c>
      <c r="AW296" t="s">
        <v>98</v>
      </c>
      <c r="AX296" t="s">
        <v>146</v>
      </c>
      <c r="AY296" t="s">
        <v>127</v>
      </c>
      <c r="AZ296" t="s">
        <v>101</v>
      </c>
      <c r="BA296" t="s">
        <v>128</v>
      </c>
      <c r="BB296" t="s">
        <v>103</v>
      </c>
      <c r="BC296" t="s">
        <v>104</v>
      </c>
      <c r="BD296" t="s">
        <v>105</v>
      </c>
      <c r="BE296">
        <v>383</v>
      </c>
      <c r="BF296" t="s">
        <v>106</v>
      </c>
      <c r="BG296">
        <v>6</v>
      </c>
      <c r="BH296" t="s">
        <v>80</v>
      </c>
      <c r="BI296">
        <v>1</v>
      </c>
      <c r="BJ296">
        <v>774</v>
      </c>
      <c r="BK296">
        <v>4</v>
      </c>
      <c r="BL296">
        <v>18</v>
      </c>
      <c r="BM296">
        <v>159</v>
      </c>
      <c r="BN296">
        <v>225</v>
      </c>
      <c r="BO296">
        <v>288</v>
      </c>
      <c r="BP296">
        <v>0</v>
      </c>
      <c r="BQ296" s="2">
        <v>165</v>
      </c>
      <c r="BR296">
        <f t="shared" si="68"/>
        <v>775</v>
      </c>
      <c r="BS296">
        <f t="shared" si="69"/>
        <v>5</v>
      </c>
      <c r="BT296">
        <f t="shared" si="70"/>
        <v>19</v>
      </c>
      <c r="BU296">
        <f t="shared" si="71"/>
        <v>160</v>
      </c>
      <c r="BV296">
        <f t="shared" si="72"/>
        <v>226</v>
      </c>
      <c r="BW296">
        <f t="shared" si="73"/>
        <v>289</v>
      </c>
      <c r="BX296">
        <f t="shared" si="74"/>
        <v>1</v>
      </c>
      <c r="BY296" s="2">
        <f t="shared" si="75"/>
        <v>166</v>
      </c>
      <c r="BZ296">
        <f t="shared" si="76"/>
        <v>57.980566931073298</v>
      </c>
      <c r="CA296">
        <v>57.980566931073298</v>
      </c>
      <c r="CB296">
        <v>57.980566931073298</v>
      </c>
      <c r="CC296">
        <v>57.980566931073298</v>
      </c>
      <c r="CD296">
        <v>57.980566931073298</v>
      </c>
      <c r="CE296">
        <v>57.980566931073298</v>
      </c>
      <c r="CF296">
        <v>57.980566931073298</v>
      </c>
      <c r="CG296">
        <v>57.980566931073298</v>
      </c>
      <c r="CH296">
        <f t="shared" si="77"/>
        <v>1.1260192449569244</v>
      </c>
      <c r="CI296">
        <f t="shared" si="78"/>
        <v>-1.064312453213367</v>
      </c>
      <c r="CJ296">
        <f t="shared" si="79"/>
        <v>-0.48452885659655687</v>
      </c>
      <c r="CK296">
        <f t="shared" si="80"/>
        <v>0.44083752510653895</v>
      </c>
      <c r="CL296">
        <f t="shared" si="81"/>
        <v>0.59082598159801503</v>
      </c>
      <c r="CM296">
        <f t="shared" si="82"/>
        <v>0.69761538520716204</v>
      </c>
      <c r="CN296">
        <f t="shared" si="83"/>
        <v>-1.763282457549386</v>
      </c>
      <c r="CO296" s="2">
        <f t="shared" si="84"/>
        <v>0.45682563049066921</v>
      </c>
      <c r="CP296">
        <v>0.67580761305183901</v>
      </c>
      <c r="CQ296">
        <v>1.65512083199191</v>
      </c>
      <c r="CR296">
        <v>0.330329252967764</v>
      </c>
      <c r="CS296">
        <v>-0.34646960388179898</v>
      </c>
      <c r="CT296">
        <v>-0.24276396419882401</v>
      </c>
      <c r="CU296">
        <v>-0.41262393812300502</v>
      </c>
      <c r="CV296">
        <v>-2.6172399890044602</v>
      </c>
      <c r="CW296">
        <v>-0.22962994127300801</v>
      </c>
      <c r="CX296" t="s">
        <v>1827</v>
      </c>
    </row>
    <row r="297" spans="1:102" x14ac:dyDescent="0.35">
      <c r="A297" t="s">
        <v>1504</v>
      </c>
      <c r="B297" t="s">
        <v>159</v>
      </c>
      <c r="C297" t="s">
        <v>281</v>
      </c>
      <c r="D297" t="s">
        <v>72</v>
      </c>
      <c r="E297" t="s">
        <v>72</v>
      </c>
      <c r="F297" t="s">
        <v>72</v>
      </c>
      <c r="G297" t="s">
        <v>73</v>
      </c>
      <c r="H297" t="s">
        <v>74</v>
      </c>
      <c r="I297" t="s">
        <v>75</v>
      </c>
      <c r="J297" t="s">
        <v>76</v>
      </c>
      <c r="K297" t="s">
        <v>77</v>
      </c>
      <c r="L297" t="s">
        <v>78</v>
      </c>
      <c r="M297" t="s">
        <v>79</v>
      </c>
      <c r="N297">
        <v>60</v>
      </c>
      <c r="O297" t="s">
        <v>80</v>
      </c>
      <c r="P297">
        <v>792</v>
      </c>
      <c r="Q297">
        <v>0.75</v>
      </c>
      <c r="R297">
        <v>177</v>
      </c>
      <c r="S297">
        <v>0.85419999999999996</v>
      </c>
      <c r="T297" t="s">
        <v>81</v>
      </c>
      <c r="U297" t="s">
        <v>82</v>
      </c>
      <c r="V297" t="s">
        <v>83</v>
      </c>
      <c r="W297" t="s">
        <v>84</v>
      </c>
      <c r="X297" t="s">
        <v>85</v>
      </c>
      <c r="Y297" t="s">
        <v>86</v>
      </c>
      <c r="Z297" t="s">
        <v>87</v>
      </c>
      <c r="AA297" t="s">
        <v>88</v>
      </c>
      <c r="AB297">
        <v>184</v>
      </c>
      <c r="AC297">
        <v>6</v>
      </c>
      <c r="AE297">
        <v>22</v>
      </c>
      <c r="AF297" t="s">
        <v>142</v>
      </c>
      <c r="AG297" t="s">
        <v>1505</v>
      </c>
      <c r="AH297" t="s">
        <v>72</v>
      </c>
      <c r="AI297" t="s">
        <v>72</v>
      </c>
      <c r="AJ297" t="s">
        <v>91</v>
      </c>
      <c r="AK297" t="s">
        <v>92</v>
      </c>
      <c r="AL297" t="s">
        <v>93</v>
      </c>
      <c r="AM297" t="s">
        <v>94</v>
      </c>
      <c r="AN297" t="s">
        <v>1506</v>
      </c>
      <c r="AO297" t="s">
        <v>1507</v>
      </c>
      <c r="AP297" t="s">
        <v>97</v>
      </c>
      <c r="AQ297">
        <v>39</v>
      </c>
      <c r="AR297" t="s">
        <v>80</v>
      </c>
      <c r="AS297">
        <v>1368</v>
      </c>
      <c r="AT297">
        <v>0.97219999999999995</v>
      </c>
      <c r="AU297">
        <v>172</v>
      </c>
      <c r="AV297">
        <v>0.94740000000000002</v>
      </c>
      <c r="AW297" t="s">
        <v>98</v>
      </c>
      <c r="AX297" t="s">
        <v>146</v>
      </c>
      <c r="AY297" t="s">
        <v>127</v>
      </c>
      <c r="AZ297" t="s">
        <v>101</v>
      </c>
      <c r="BA297" t="s">
        <v>102</v>
      </c>
      <c r="BB297" t="s">
        <v>103</v>
      </c>
      <c r="BC297" t="s">
        <v>104</v>
      </c>
      <c r="BD297" t="s">
        <v>105</v>
      </c>
      <c r="BE297">
        <v>8278</v>
      </c>
      <c r="BF297" t="s">
        <v>106</v>
      </c>
      <c r="BG297">
        <v>106</v>
      </c>
      <c r="BH297" t="s">
        <v>80</v>
      </c>
      <c r="BI297">
        <v>1</v>
      </c>
      <c r="BJ297">
        <v>994</v>
      </c>
      <c r="BK297">
        <v>0</v>
      </c>
      <c r="BL297">
        <v>13</v>
      </c>
      <c r="BM297">
        <v>225</v>
      </c>
      <c r="BN297">
        <v>308</v>
      </c>
      <c r="BO297">
        <v>404</v>
      </c>
      <c r="BP297">
        <v>11</v>
      </c>
      <c r="BQ297" s="2">
        <v>206</v>
      </c>
      <c r="BR297">
        <f t="shared" si="68"/>
        <v>995</v>
      </c>
      <c r="BS297">
        <f t="shared" si="69"/>
        <v>1</v>
      </c>
      <c r="BT297">
        <f t="shared" si="70"/>
        <v>14</v>
      </c>
      <c r="BU297">
        <f t="shared" si="71"/>
        <v>226</v>
      </c>
      <c r="BV297">
        <f t="shared" si="72"/>
        <v>309</v>
      </c>
      <c r="BW297">
        <f t="shared" si="73"/>
        <v>405</v>
      </c>
      <c r="BX297">
        <f t="shared" si="74"/>
        <v>12</v>
      </c>
      <c r="BY297" s="2">
        <f t="shared" si="75"/>
        <v>207</v>
      </c>
      <c r="BZ297">
        <f t="shared" si="76"/>
        <v>74.787339051626574</v>
      </c>
      <c r="CA297">
        <v>74.787339051626574</v>
      </c>
      <c r="CB297">
        <v>74.787339051626574</v>
      </c>
      <c r="CC297">
        <v>74.787339051626574</v>
      </c>
      <c r="CD297">
        <v>74.787339051626574</v>
      </c>
      <c r="CE297">
        <v>74.787339051626574</v>
      </c>
      <c r="CF297">
        <v>74.787339051626574</v>
      </c>
      <c r="CG297">
        <v>74.787339051626574</v>
      </c>
      <c r="CH297">
        <f t="shared" si="77"/>
        <v>1.1239949995312992</v>
      </c>
      <c r="CI297">
        <f t="shared" si="78"/>
        <v>-1.8738280812144263</v>
      </c>
      <c r="CJ297">
        <f t="shared" si="79"/>
        <v>-0.72770004553618817</v>
      </c>
      <c r="CK297">
        <f t="shared" si="80"/>
        <v>0.48028035793297469</v>
      </c>
      <c r="CL297">
        <f t="shared" si="81"/>
        <v>0.61613039821040838</v>
      </c>
      <c r="CM297">
        <f t="shared" si="82"/>
        <v>0.73362694200024237</v>
      </c>
      <c r="CN297">
        <f t="shared" si="83"/>
        <v>-0.79464683516680146</v>
      </c>
      <c r="CO297" s="2">
        <f t="shared" si="84"/>
        <v>0.44214226424249148</v>
      </c>
      <c r="CP297">
        <v>0.67337561911830501</v>
      </c>
      <c r="CQ297">
        <v>-2.2527165794045199</v>
      </c>
      <c r="CR297">
        <v>-0.75612982571851095</v>
      </c>
      <c r="CS297">
        <v>-0.230253272892084</v>
      </c>
      <c r="CT297">
        <v>-0.172326207414463</v>
      </c>
      <c r="CU297">
        <v>-0.30862998148381998</v>
      </c>
      <c r="CV297">
        <v>0.545057545159362</v>
      </c>
      <c r="CW297">
        <v>-0.26996005884950602</v>
      </c>
      <c r="CX297" t="s">
        <v>1827</v>
      </c>
    </row>
    <row r="298" spans="1:102" x14ac:dyDescent="0.35">
      <c r="A298" t="s">
        <v>504</v>
      </c>
      <c r="B298" t="s">
        <v>231</v>
      </c>
      <c r="C298" t="s">
        <v>149</v>
      </c>
      <c r="D298" t="s">
        <v>72</v>
      </c>
      <c r="E298" t="s">
        <v>72</v>
      </c>
      <c r="F298" t="s">
        <v>72</v>
      </c>
      <c r="G298" t="s">
        <v>73</v>
      </c>
      <c r="H298" t="s">
        <v>74</v>
      </c>
      <c r="I298" t="s">
        <v>75</v>
      </c>
      <c r="J298" t="s">
        <v>76</v>
      </c>
      <c r="K298" t="s">
        <v>77</v>
      </c>
      <c r="L298" t="s">
        <v>78</v>
      </c>
      <c r="M298" t="s">
        <v>79</v>
      </c>
      <c r="N298">
        <v>60</v>
      </c>
      <c r="O298" t="s">
        <v>80</v>
      </c>
      <c r="P298">
        <v>792</v>
      </c>
      <c r="Q298">
        <v>0.75</v>
      </c>
      <c r="R298">
        <v>177</v>
      </c>
      <c r="S298">
        <v>0.85419999999999996</v>
      </c>
      <c r="T298" t="s">
        <v>81</v>
      </c>
      <c r="U298" t="s">
        <v>82</v>
      </c>
      <c r="V298" t="s">
        <v>83</v>
      </c>
      <c r="W298" t="s">
        <v>84</v>
      </c>
      <c r="X298" t="s">
        <v>85</v>
      </c>
      <c r="Y298" t="s">
        <v>86</v>
      </c>
      <c r="Z298" t="s">
        <v>87</v>
      </c>
      <c r="AA298" t="s">
        <v>88</v>
      </c>
      <c r="AB298">
        <v>413</v>
      </c>
      <c r="AC298">
        <v>6</v>
      </c>
      <c r="AE298">
        <v>22</v>
      </c>
      <c r="AF298" t="s">
        <v>89</v>
      </c>
      <c r="AG298" t="s">
        <v>505</v>
      </c>
      <c r="AH298" t="s">
        <v>72</v>
      </c>
      <c r="AI298" t="s">
        <v>72</v>
      </c>
      <c r="AJ298" t="s">
        <v>91</v>
      </c>
      <c r="AK298" t="s">
        <v>92</v>
      </c>
      <c r="AL298" t="s">
        <v>93</v>
      </c>
      <c r="AM298" t="s">
        <v>94</v>
      </c>
      <c r="AN298" t="s">
        <v>506</v>
      </c>
      <c r="AO298" t="s">
        <v>507</v>
      </c>
      <c r="AP298" t="s">
        <v>97</v>
      </c>
      <c r="AQ298">
        <v>39</v>
      </c>
      <c r="AR298" t="s">
        <v>80</v>
      </c>
      <c r="AS298">
        <v>1377</v>
      </c>
      <c r="AT298">
        <v>0.97570000000000001</v>
      </c>
      <c r="AU298">
        <v>172</v>
      </c>
      <c r="AV298">
        <v>0.94740000000000002</v>
      </c>
      <c r="AW298" t="s">
        <v>98</v>
      </c>
      <c r="AX298" t="s">
        <v>146</v>
      </c>
      <c r="AY298" t="s">
        <v>100</v>
      </c>
      <c r="AZ298" t="s">
        <v>101</v>
      </c>
      <c r="BA298" t="s">
        <v>102</v>
      </c>
      <c r="BB298" t="s">
        <v>103</v>
      </c>
      <c r="BC298" t="s">
        <v>104</v>
      </c>
      <c r="BD298" t="s">
        <v>105</v>
      </c>
      <c r="BE298">
        <v>4756</v>
      </c>
      <c r="BF298" t="s">
        <v>106</v>
      </c>
      <c r="BG298">
        <v>54</v>
      </c>
      <c r="BH298" t="s">
        <v>80</v>
      </c>
      <c r="BI298">
        <v>1</v>
      </c>
      <c r="BJ298">
        <v>846</v>
      </c>
      <c r="BK298">
        <v>0</v>
      </c>
      <c r="BL298">
        <v>21</v>
      </c>
      <c r="BM298">
        <v>171</v>
      </c>
      <c r="BN298">
        <v>226</v>
      </c>
      <c r="BO298">
        <v>265</v>
      </c>
      <c r="BP298">
        <v>10</v>
      </c>
      <c r="BQ298" s="2">
        <v>142</v>
      </c>
      <c r="BR298">
        <f t="shared" si="68"/>
        <v>847</v>
      </c>
      <c r="BS298">
        <f t="shared" si="69"/>
        <v>1</v>
      </c>
      <c r="BT298">
        <f t="shared" si="70"/>
        <v>22</v>
      </c>
      <c r="BU298">
        <f t="shared" si="71"/>
        <v>172</v>
      </c>
      <c r="BV298">
        <f t="shared" si="72"/>
        <v>227</v>
      </c>
      <c r="BW298">
        <f t="shared" si="73"/>
        <v>266</v>
      </c>
      <c r="BX298">
        <f t="shared" si="74"/>
        <v>11</v>
      </c>
      <c r="BY298" s="2">
        <f t="shared" si="75"/>
        <v>143</v>
      </c>
      <c r="BZ298">
        <f t="shared" si="76"/>
        <v>64.629953627561605</v>
      </c>
      <c r="CA298">
        <v>64.629953627561605</v>
      </c>
      <c r="CB298">
        <v>64.629953627561605</v>
      </c>
      <c r="CC298">
        <v>64.629953627561605</v>
      </c>
      <c r="CD298">
        <v>64.629953627561605</v>
      </c>
      <c r="CE298">
        <v>64.629953627561605</v>
      </c>
      <c r="CF298">
        <v>64.629953627561605</v>
      </c>
      <c r="CG298">
        <v>64.629953627561605</v>
      </c>
      <c r="CH298">
        <f t="shared" si="77"/>
        <v>1.1174495660172146</v>
      </c>
      <c r="CI298">
        <f t="shared" si="78"/>
        <v>-1.8104338443134924</v>
      </c>
      <c r="CJ298">
        <f t="shared" si="79"/>
        <v>-0.46801116349128608</v>
      </c>
      <c r="CK298">
        <f t="shared" si="80"/>
        <v>0.42509460259405657</v>
      </c>
      <c r="CL298">
        <f t="shared" si="81"/>
        <v>0.54559201287963044</v>
      </c>
      <c r="CM298">
        <f t="shared" si="82"/>
        <v>0.61444779231757463</v>
      </c>
      <c r="CN298">
        <f t="shared" si="83"/>
        <v>-0.76904115915526727</v>
      </c>
      <c r="CO298" s="2">
        <f t="shared" si="84"/>
        <v>0.34490219315156945</v>
      </c>
      <c r="CP298">
        <v>0.66551172356636701</v>
      </c>
      <c r="CQ298">
        <v>-2.2527165794045199</v>
      </c>
      <c r="CR298">
        <v>0.40412828200335499</v>
      </c>
      <c r="CS298">
        <v>-0.39285533640529602</v>
      </c>
      <c r="CT298">
        <v>-0.36867792363847601</v>
      </c>
      <c r="CU298">
        <v>-0.65279481155791796</v>
      </c>
      <c r="CV298">
        <v>0.61373129715779295</v>
      </c>
      <c r="CW298">
        <v>-0.53704482905542295</v>
      </c>
      <c r="CX298" t="s">
        <v>1827</v>
      </c>
    </row>
    <row r="299" spans="1:102" x14ac:dyDescent="0.35">
      <c r="A299" t="s">
        <v>500</v>
      </c>
      <c r="B299" t="s">
        <v>159</v>
      </c>
      <c r="C299" t="s">
        <v>281</v>
      </c>
      <c r="D299" t="s">
        <v>72</v>
      </c>
      <c r="E299" t="s">
        <v>72</v>
      </c>
      <c r="F299" t="s">
        <v>72</v>
      </c>
      <c r="G299" t="s">
        <v>73</v>
      </c>
      <c r="H299" t="s">
        <v>74</v>
      </c>
      <c r="I299" t="s">
        <v>75</v>
      </c>
      <c r="J299" t="s">
        <v>76</v>
      </c>
      <c r="K299" t="s">
        <v>77</v>
      </c>
      <c r="L299" t="s">
        <v>78</v>
      </c>
      <c r="M299" t="s">
        <v>79</v>
      </c>
      <c r="N299">
        <v>60</v>
      </c>
      <c r="O299" t="s">
        <v>80</v>
      </c>
      <c r="P299">
        <v>792</v>
      </c>
      <c r="Q299">
        <v>0.75</v>
      </c>
      <c r="R299">
        <v>177</v>
      </c>
      <c r="S299">
        <v>0.85419999999999996</v>
      </c>
      <c r="T299" t="s">
        <v>81</v>
      </c>
      <c r="U299" t="s">
        <v>82</v>
      </c>
      <c r="V299" t="s">
        <v>83</v>
      </c>
      <c r="W299" t="s">
        <v>84</v>
      </c>
      <c r="X299" t="s">
        <v>85</v>
      </c>
      <c r="Y299" t="s">
        <v>86</v>
      </c>
      <c r="Z299" t="s">
        <v>87</v>
      </c>
      <c r="AA299" t="s">
        <v>88</v>
      </c>
      <c r="AB299">
        <v>394</v>
      </c>
      <c r="AC299">
        <v>5</v>
      </c>
      <c r="AE299">
        <v>22</v>
      </c>
      <c r="AF299" t="s">
        <v>231</v>
      </c>
      <c r="AG299" t="s">
        <v>501</v>
      </c>
      <c r="AH299" t="s">
        <v>72</v>
      </c>
      <c r="AI299" t="s">
        <v>72</v>
      </c>
      <c r="AJ299" t="s">
        <v>91</v>
      </c>
      <c r="AK299" t="s">
        <v>92</v>
      </c>
      <c r="AL299" t="s">
        <v>93</v>
      </c>
      <c r="AM299" t="s">
        <v>94</v>
      </c>
      <c r="AN299" t="s">
        <v>502</v>
      </c>
      <c r="AO299" t="s">
        <v>503</v>
      </c>
      <c r="AP299" t="s">
        <v>97</v>
      </c>
      <c r="AQ299">
        <v>39</v>
      </c>
      <c r="AR299" t="s">
        <v>80</v>
      </c>
      <c r="AS299">
        <v>1350</v>
      </c>
      <c r="AT299">
        <v>0.96530000000000005</v>
      </c>
      <c r="AU299">
        <v>172</v>
      </c>
      <c r="AV299">
        <v>0.94740000000000002</v>
      </c>
      <c r="AW299" t="s">
        <v>98</v>
      </c>
      <c r="AX299" t="s">
        <v>252</v>
      </c>
      <c r="AY299" t="s">
        <v>184</v>
      </c>
      <c r="AZ299" t="s">
        <v>101</v>
      </c>
      <c r="BA299" t="s">
        <v>185</v>
      </c>
      <c r="BB299" t="s">
        <v>186</v>
      </c>
      <c r="BC299" t="s">
        <v>104</v>
      </c>
      <c r="BD299" t="s">
        <v>105</v>
      </c>
      <c r="BE299">
        <v>8671</v>
      </c>
      <c r="BF299" t="s">
        <v>106</v>
      </c>
      <c r="BG299">
        <v>104</v>
      </c>
      <c r="BH299" t="s">
        <v>80</v>
      </c>
      <c r="BI299">
        <v>1</v>
      </c>
      <c r="BJ299">
        <v>2345</v>
      </c>
      <c r="BK299">
        <v>4</v>
      </c>
      <c r="BL299">
        <v>43</v>
      </c>
      <c r="BM299">
        <v>454</v>
      </c>
      <c r="BN299">
        <v>606</v>
      </c>
      <c r="BO299">
        <v>897</v>
      </c>
      <c r="BP299">
        <v>20</v>
      </c>
      <c r="BQ299" s="2">
        <v>438</v>
      </c>
      <c r="BR299">
        <f t="shared" si="68"/>
        <v>2346</v>
      </c>
      <c r="BS299">
        <f t="shared" si="69"/>
        <v>5</v>
      </c>
      <c r="BT299">
        <f t="shared" si="70"/>
        <v>44</v>
      </c>
      <c r="BU299">
        <f t="shared" si="71"/>
        <v>455</v>
      </c>
      <c r="BV299">
        <f t="shared" si="72"/>
        <v>607</v>
      </c>
      <c r="BW299">
        <f t="shared" si="73"/>
        <v>898</v>
      </c>
      <c r="BX299">
        <f t="shared" si="74"/>
        <v>21</v>
      </c>
      <c r="BY299" s="2">
        <f t="shared" si="75"/>
        <v>439</v>
      </c>
      <c r="BZ299">
        <f t="shared" si="76"/>
        <v>181.54691190148264</v>
      </c>
      <c r="CA299">
        <v>181.54691190148264</v>
      </c>
      <c r="CB299">
        <v>181.54691190148264</v>
      </c>
      <c r="CC299">
        <v>181.54691190148264</v>
      </c>
      <c r="CD299">
        <v>181.54691190148264</v>
      </c>
      <c r="CE299">
        <v>181.54691190148264</v>
      </c>
      <c r="CF299">
        <v>181.54691190148264</v>
      </c>
      <c r="CG299">
        <v>181.54691190148264</v>
      </c>
      <c r="CH299">
        <f t="shared" si="77"/>
        <v>1.1113391417823315</v>
      </c>
      <c r="CI299">
        <f t="shared" si="78"/>
        <v>-1.5600188616611601</v>
      </c>
      <c r="CJ299">
        <f t="shared" si="79"/>
        <v>-0.61553618951099154</v>
      </c>
      <c r="CK299">
        <f t="shared" si="80"/>
        <v>0.39902253065993348</v>
      </c>
      <c r="CL299">
        <f t="shared" si="81"/>
        <v>0.52419982507807861</v>
      </c>
      <c r="CM299">
        <f t="shared" si="82"/>
        <v>0.69428747067012542</v>
      </c>
      <c r="CN299">
        <f t="shared" si="83"/>
        <v>-0.93676957126325966</v>
      </c>
      <c r="CO299" s="2">
        <f t="shared" si="84"/>
        <v>0.38347565424494245</v>
      </c>
      <c r="CP299">
        <v>0.65817046223390496</v>
      </c>
      <c r="CQ299">
        <v>0.19070273425391299</v>
      </c>
      <c r="CR299">
        <v>-0.25499545938826301</v>
      </c>
      <c r="CS299">
        <v>-0.469675390249221</v>
      </c>
      <c r="CT299">
        <v>-0.42822554113672301</v>
      </c>
      <c r="CU299">
        <v>-0.42223426966329503</v>
      </c>
      <c r="CV299">
        <v>0.16388809165107701</v>
      </c>
      <c r="CW299">
        <v>-0.43109690165687797</v>
      </c>
      <c r="CX299" t="s">
        <v>1827</v>
      </c>
    </row>
    <row r="300" spans="1:102" x14ac:dyDescent="0.35">
      <c r="A300" t="s">
        <v>1745</v>
      </c>
      <c r="B300" t="s">
        <v>211</v>
      </c>
      <c r="C300" t="s">
        <v>444</v>
      </c>
      <c r="D300" t="s">
        <v>72</v>
      </c>
      <c r="E300" t="s">
        <v>72</v>
      </c>
      <c r="F300" t="s">
        <v>72</v>
      </c>
      <c r="G300" t="s">
        <v>73</v>
      </c>
      <c r="H300" t="s">
        <v>74</v>
      </c>
      <c r="I300" t="s">
        <v>75</v>
      </c>
      <c r="J300" t="s">
        <v>76</v>
      </c>
      <c r="K300" t="s">
        <v>77</v>
      </c>
      <c r="L300" t="s">
        <v>78</v>
      </c>
      <c r="M300" t="s">
        <v>79</v>
      </c>
      <c r="N300">
        <v>60</v>
      </c>
      <c r="O300" t="s">
        <v>80</v>
      </c>
      <c r="P300">
        <v>792</v>
      </c>
      <c r="Q300">
        <v>0.75</v>
      </c>
      <c r="R300">
        <v>177</v>
      </c>
      <c r="S300">
        <v>0.85419999999999996</v>
      </c>
      <c r="T300" t="s">
        <v>81</v>
      </c>
      <c r="U300" t="s">
        <v>82</v>
      </c>
      <c r="V300" t="s">
        <v>83</v>
      </c>
      <c r="W300" t="s">
        <v>84</v>
      </c>
      <c r="X300" t="s">
        <v>85</v>
      </c>
      <c r="Y300" t="s">
        <v>86</v>
      </c>
      <c r="Z300" t="s">
        <v>87</v>
      </c>
      <c r="AA300" t="s">
        <v>88</v>
      </c>
      <c r="AB300">
        <v>451</v>
      </c>
      <c r="AC300">
        <v>8</v>
      </c>
      <c r="AE300">
        <v>22</v>
      </c>
      <c r="AF300" t="s">
        <v>89</v>
      </c>
      <c r="AG300" t="s">
        <v>384</v>
      </c>
      <c r="AH300" t="s">
        <v>72</v>
      </c>
      <c r="AI300" t="s">
        <v>72</v>
      </c>
      <c r="AJ300" t="s">
        <v>91</v>
      </c>
      <c r="AK300" t="s">
        <v>92</v>
      </c>
      <c r="AL300" t="s">
        <v>93</v>
      </c>
      <c r="AM300" t="s">
        <v>94</v>
      </c>
      <c r="AN300" t="s">
        <v>144</v>
      </c>
      <c r="AO300" t="s">
        <v>145</v>
      </c>
      <c r="AP300" t="s">
        <v>97</v>
      </c>
      <c r="AQ300">
        <v>39</v>
      </c>
      <c r="AR300" t="s">
        <v>80</v>
      </c>
      <c r="AS300">
        <v>1359</v>
      </c>
      <c r="AT300">
        <v>0.96879999999999999</v>
      </c>
      <c r="AU300">
        <v>172</v>
      </c>
      <c r="AV300">
        <v>0.94740000000000002</v>
      </c>
      <c r="AW300" t="s">
        <v>98</v>
      </c>
      <c r="AX300" t="s">
        <v>146</v>
      </c>
      <c r="AY300" t="s">
        <v>127</v>
      </c>
      <c r="AZ300" t="s">
        <v>101</v>
      </c>
      <c r="BA300" t="s">
        <v>128</v>
      </c>
      <c r="BB300" t="s">
        <v>103</v>
      </c>
      <c r="BC300" t="s">
        <v>104</v>
      </c>
      <c r="BD300" t="s">
        <v>105</v>
      </c>
      <c r="BE300">
        <v>5380</v>
      </c>
      <c r="BF300" t="s">
        <v>106</v>
      </c>
      <c r="BG300">
        <v>70</v>
      </c>
      <c r="BH300" t="s">
        <v>80</v>
      </c>
      <c r="BI300">
        <v>1</v>
      </c>
      <c r="BJ300">
        <v>750</v>
      </c>
      <c r="BK300">
        <v>0</v>
      </c>
      <c r="BL300">
        <v>17</v>
      </c>
      <c r="BM300">
        <v>172</v>
      </c>
      <c r="BN300">
        <v>266</v>
      </c>
      <c r="BO300">
        <v>376</v>
      </c>
      <c r="BP300">
        <v>4</v>
      </c>
      <c r="BQ300" s="2">
        <v>164</v>
      </c>
      <c r="BR300">
        <f t="shared" si="68"/>
        <v>751</v>
      </c>
      <c r="BS300">
        <f t="shared" si="69"/>
        <v>1</v>
      </c>
      <c r="BT300">
        <f t="shared" si="70"/>
        <v>18</v>
      </c>
      <c r="BU300">
        <f t="shared" si="71"/>
        <v>173</v>
      </c>
      <c r="BV300">
        <f t="shared" si="72"/>
        <v>267</v>
      </c>
      <c r="BW300">
        <f t="shared" si="73"/>
        <v>377</v>
      </c>
      <c r="BX300">
        <f t="shared" si="74"/>
        <v>5</v>
      </c>
      <c r="BY300" s="2">
        <f t="shared" si="75"/>
        <v>165</v>
      </c>
      <c r="BZ300">
        <f t="shared" si="76"/>
        <v>61.098864367160083</v>
      </c>
      <c r="CA300">
        <v>61.098864367160083</v>
      </c>
      <c r="CB300">
        <v>61.098864367160083</v>
      </c>
      <c r="CC300">
        <v>61.098864367160083</v>
      </c>
      <c r="CD300">
        <v>61.098864367160083</v>
      </c>
      <c r="CE300">
        <v>61.098864367160083</v>
      </c>
      <c r="CF300">
        <v>61.098864367160083</v>
      </c>
      <c r="CG300">
        <v>61.098864367160083</v>
      </c>
      <c r="CH300">
        <f t="shared" si="77"/>
        <v>1.0896067988345981</v>
      </c>
      <c r="CI300">
        <f t="shared" si="78"/>
        <v>-1.7860331381695704</v>
      </c>
      <c r="CJ300">
        <f t="shared" si="79"/>
        <v>-0.53076063306626431</v>
      </c>
      <c r="CK300">
        <f t="shared" si="80"/>
        <v>0.45201296495922505</v>
      </c>
      <c r="CL300">
        <f t="shared" si="81"/>
        <v>0.64047812319500486</v>
      </c>
      <c r="CM300">
        <f t="shared" si="82"/>
        <v>0.79030821203622248</v>
      </c>
      <c r="CN300">
        <f t="shared" si="83"/>
        <v>-1.0870631338335515</v>
      </c>
      <c r="CO300" s="2">
        <f t="shared" si="84"/>
        <v>0.43145080604433589</v>
      </c>
      <c r="CP300">
        <v>0.63206052243051003</v>
      </c>
      <c r="CQ300">
        <v>-2.2527165794045199</v>
      </c>
      <c r="CR300">
        <v>0.12377134004915</v>
      </c>
      <c r="CS300">
        <v>-0.31354173020217402</v>
      </c>
      <c r="CT300">
        <v>-0.10455151191417</v>
      </c>
      <c r="CU300">
        <v>-0.14494615153320101</v>
      </c>
      <c r="CV300">
        <v>-0.239195304321899</v>
      </c>
      <c r="CW300">
        <v>-0.29932578867657</v>
      </c>
      <c r="CX300" t="s">
        <v>1827</v>
      </c>
    </row>
    <row r="301" spans="1:102" x14ac:dyDescent="0.35">
      <c r="A301" t="s">
        <v>1289</v>
      </c>
      <c r="B301" t="s">
        <v>159</v>
      </c>
      <c r="C301" t="s">
        <v>1290</v>
      </c>
      <c r="D301" t="s">
        <v>72</v>
      </c>
      <c r="E301" t="s">
        <v>72</v>
      </c>
      <c r="F301" t="s">
        <v>72</v>
      </c>
      <c r="G301" t="s">
        <v>73</v>
      </c>
      <c r="H301" t="s">
        <v>74</v>
      </c>
      <c r="I301" t="s">
        <v>75</v>
      </c>
      <c r="J301" t="s">
        <v>76</v>
      </c>
      <c r="K301" t="s">
        <v>77</v>
      </c>
      <c r="L301" t="s">
        <v>78</v>
      </c>
      <c r="M301" t="s">
        <v>79</v>
      </c>
      <c r="N301">
        <v>60</v>
      </c>
      <c r="O301" t="s">
        <v>80</v>
      </c>
      <c r="P301">
        <v>792</v>
      </c>
      <c r="Q301">
        <v>0.75</v>
      </c>
      <c r="R301">
        <v>177</v>
      </c>
      <c r="S301">
        <v>0.85419999999999996</v>
      </c>
      <c r="T301" t="s">
        <v>81</v>
      </c>
      <c r="U301" t="s">
        <v>82</v>
      </c>
      <c r="V301" t="s">
        <v>83</v>
      </c>
      <c r="W301" t="s">
        <v>84</v>
      </c>
      <c r="X301" t="s">
        <v>85</v>
      </c>
      <c r="Y301" t="s">
        <v>86</v>
      </c>
      <c r="Z301" t="s">
        <v>87</v>
      </c>
      <c r="AA301" t="s">
        <v>88</v>
      </c>
      <c r="AB301">
        <v>1616</v>
      </c>
      <c r="AC301">
        <v>22</v>
      </c>
      <c r="AE301">
        <v>22</v>
      </c>
      <c r="AF301" t="s">
        <v>148</v>
      </c>
      <c r="AG301" t="s">
        <v>1291</v>
      </c>
      <c r="AH301" t="s">
        <v>72</v>
      </c>
      <c r="AI301" t="s">
        <v>72</v>
      </c>
      <c r="AJ301" t="s">
        <v>91</v>
      </c>
      <c r="AK301" t="s">
        <v>92</v>
      </c>
      <c r="AL301" t="s">
        <v>93</v>
      </c>
      <c r="AM301" t="s">
        <v>94</v>
      </c>
      <c r="AN301" t="s">
        <v>144</v>
      </c>
      <c r="AO301" t="s">
        <v>145</v>
      </c>
      <c r="AP301" t="s">
        <v>97</v>
      </c>
      <c r="AQ301">
        <v>39</v>
      </c>
      <c r="AR301" t="s">
        <v>80</v>
      </c>
      <c r="AS301">
        <v>1359</v>
      </c>
      <c r="AT301">
        <v>0.96879999999999999</v>
      </c>
      <c r="AU301">
        <v>172</v>
      </c>
      <c r="AV301">
        <v>0.94740000000000002</v>
      </c>
      <c r="AW301" t="s">
        <v>98</v>
      </c>
      <c r="AX301" t="s">
        <v>146</v>
      </c>
      <c r="AY301" t="s">
        <v>127</v>
      </c>
      <c r="AZ301" t="s">
        <v>101</v>
      </c>
      <c r="BA301" t="s">
        <v>128</v>
      </c>
      <c r="BB301" t="s">
        <v>103</v>
      </c>
      <c r="BC301" t="s">
        <v>104</v>
      </c>
      <c r="BD301" t="s">
        <v>105</v>
      </c>
      <c r="BE301">
        <v>44466</v>
      </c>
      <c r="BF301" t="s">
        <v>106</v>
      </c>
      <c r="BG301">
        <v>483</v>
      </c>
      <c r="BH301" t="s">
        <v>80</v>
      </c>
      <c r="BI301">
        <v>1</v>
      </c>
      <c r="BJ301">
        <v>14237</v>
      </c>
      <c r="BK301">
        <v>24</v>
      </c>
      <c r="BL301">
        <v>283</v>
      </c>
      <c r="BM301">
        <v>3024</v>
      </c>
      <c r="BN301">
        <v>3766</v>
      </c>
      <c r="BO301">
        <v>5877</v>
      </c>
      <c r="BP301">
        <v>155</v>
      </c>
      <c r="BQ301" s="2">
        <v>3069</v>
      </c>
      <c r="BR301">
        <f t="shared" si="68"/>
        <v>14238</v>
      </c>
      <c r="BS301">
        <f t="shared" si="69"/>
        <v>25</v>
      </c>
      <c r="BT301">
        <f t="shared" si="70"/>
        <v>284</v>
      </c>
      <c r="BU301">
        <f t="shared" si="71"/>
        <v>3025</v>
      </c>
      <c r="BV301">
        <f t="shared" si="72"/>
        <v>3767</v>
      </c>
      <c r="BW301">
        <f t="shared" si="73"/>
        <v>5878</v>
      </c>
      <c r="BX301">
        <f t="shared" si="74"/>
        <v>156</v>
      </c>
      <c r="BY301" s="2">
        <f t="shared" si="75"/>
        <v>3070</v>
      </c>
      <c r="BZ301">
        <f t="shared" si="76"/>
        <v>1158.4175048027303</v>
      </c>
      <c r="CA301">
        <v>1158.4175048027303</v>
      </c>
      <c r="CB301">
        <v>1158.4175048027303</v>
      </c>
      <c r="CC301">
        <v>1158.4175048027303</v>
      </c>
      <c r="CD301">
        <v>1158.4175048027303</v>
      </c>
      <c r="CE301">
        <v>1158.4175048027303</v>
      </c>
      <c r="CF301">
        <v>1158.4175048027303</v>
      </c>
      <c r="CG301">
        <v>1158.4175048027303</v>
      </c>
      <c r="CH301">
        <f t="shared" si="77"/>
        <v>1.0895838770909758</v>
      </c>
      <c r="CI301">
        <f t="shared" si="78"/>
        <v>-1.6659251028379691</v>
      </c>
      <c r="CJ301">
        <f t="shared" si="79"/>
        <v>-0.61054677146296921</v>
      </c>
      <c r="CK301">
        <f t="shared" si="80"/>
        <v>0.41686026747848087</v>
      </c>
      <c r="CL301">
        <f t="shared" si="81"/>
        <v>0.51213050869326082</v>
      </c>
      <c r="CM301">
        <f t="shared" si="82"/>
        <v>0.70536447022658688</v>
      </c>
      <c r="CN301">
        <f t="shared" si="83"/>
        <v>-0.87074051315554524</v>
      </c>
      <c r="CO301" s="2">
        <f t="shared" si="84"/>
        <v>0.42327326396717962</v>
      </c>
      <c r="CP301">
        <v>0.63203298350626202</v>
      </c>
      <c r="CQ301">
        <v>-0.122165958988044</v>
      </c>
      <c r="CR301">
        <v>-0.232703350856521</v>
      </c>
      <c r="CS301">
        <v>-0.417117392314998</v>
      </c>
      <c r="CT301">
        <v>-0.461821872760939</v>
      </c>
      <c r="CU301">
        <v>-0.39024617711328702</v>
      </c>
      <c r="CV301">
        <v>0.34097629502975801</v>
      </c>
      <c r="CW301">
        <v>-0.32178666228580799</v>
      </c>
      <c r="CX301" t="s">
        <v>1827</v>
      </c>
    </row>
    <row r="302" spans="1:102" x14ac:dyDescent="0.35">
      <c r="A302" t="s">
        <v>1437</v>
      </c>
      <c r="B302" t="s">
        <v>130</v>
      </c>
      <c r="C302" t="s">
        <v>1438</v>
      </c>
      <c r="D302" t="s">
        <v>72</v>
      </c>
      <c r="E302" t="s">
        <v>72</v>
      </c>
      <c r="F302" t="s">
        <v>72</v>
      </c>
      <c r="G302" t="s">
        <v>73</v>
      </c>
      <c r="H302" t="s">
        <v>74</v>
      </c>
      <c r="I302" t="s">
        <v>75</v>
      </c>
      <c r="J302" t="s">
        <v>76</v>
      </c>
      <c r="K302" t="s">
        <v>77</v>
      </c>
      <c r="L302" t="s">
        <v>78</v>
      </c>
      <c r="M302" t="s">
        <v>79</v>
      </c>
      <c r="N302">
        <v>60</v>
      </c>
      <c r="O302" t="s">
        <v>80</v>
      </c>
      <c r="P302">
        <v>792</v>
      </c>
      <c r="Q302">
        <v>0.75</v>
      </c>
      <c r="R302">
        <v>177</v>
      </c>
      <c r="S302">
        <v>0.85419999999999996</v>
      </c>
      <c r="T302" t="s">
        <v>81</v>
      </c>
      <c r="U302" t="s">
        <v>82</v>
      </c>
      <c r="V302" t="s">
        <v>83</v>
      </c>
      <c r="W302" t="s">
        <v>84</v>
      </c>
      <c r="X302" t="s">
        <v>85</v>
      </c>
      <c r="Y302" t="s">
        <v>86</v>
      </c>
      <c r="Z302" t="s">
        <v>87</v>
      </c>
      <c r="AA302" t="s">
        <v>88</v>
      </c>
      <c r="AB302">
        <v>1564</v>
      </c>
      <c r="AC302">
        <v>17</v>
      </c>
      <c r="AE302">
        <v>22</v>
      </c>
      <c r="AF302" t="s">
        <v>89</v>
      </c>
      <c r="AG302" t="s">
        <v>384</v>
      </c>
      <c r="AH302" t="s">
        <v>72</v>
      </c>
      <c r="AI302" t="s">
        <v>72</v>
      </c>
      <c r="AJ302" t="s">
        <v>91</v>
      </c>
      <c r="AK302" t="s">
        <v>92</v>
      </c>
      <c r="AL302" t="s">
        <v>93</v>
      </c>
      <c r="AM302" t="s">
        <v>94</v>
      </c>
      <c r="AN302" t="s">
        <v>144</v>
      </c>
      <c r="AO302" t="s">
        <v>145</v>
      </c>
      <c r="AP302" t="s">
        <v>97</v>
      </c>
      <c r="AQ302">
        <v>39</v>
      </c>
      <c r="AR302" t="s">
        <v>80</v>
      </c>
      <c r="AS302">
        <v>1359</v>
      </c>
      <c r="AT302">
        <v>0.96879999999999999</v>
      </c>
      <c r="AU302">
        <v>172</v>
      </c>
      <c r="AV302">
        <v>0.94740000000000002</v>
      </c>
      <c r="AW302" t="s">
        <v>98</v>
      </c>
      <c r="AX302" t="s">
        <v>146</v>
      </c>
      <c r="AY302" t="s">
        <v>127</v>
      </c>
      <c r="AZ302" t="s">
        <v>101</v>
      </c>
      <c r="BA302" t="s">
        <v>128</v>
      </c>
      <c r="BB302" t="s">
        <v>103</v>
      </c>
      <c r="BC302" t="s">
        <v>104</v>
      </c>
      <c r="BD302" t="s">
        <v>105</v>
      </c>
      <c r="BE302">
        <v>17922</v>
      </c>
      <c r="BF302" t="s">
        <v>106</v>
      </c>
      <c r="BG302">
        <v>232</v>
      </c>
      <c r="BH302" t="s">
        <v>80</v>
      </c>
      <c r="BI302">
        <v>1</v>
      </c>
      <c r="BJ302">
        <v>4687</v>
      </c>
      <c r="BK302">
        <v>16</v>
      </c>
      <c r="BL302">
        <v>95</v>
      </c>
      <c r="BM302">
        <v>773</v>
      </c>
      <c r="BN302">
        <v>1157</v>
      </c>
      <c r="BO302">
        <v>1645</v>
      </c>
      <c r="BP302">
        <v>50</v>
      </c>
      <c r="BQ302" s="2">
        <v>844</v>
      </c>
      <c r="BR302">
        <f t="shared" si="68"/>
        <v>4688</v>
      </c>
      <c r="BS302">
        <f t="shared" si="69"/>
        <v>17</v>
      </c>
      <c r="BT302">
        <f t="shared" si="70"/>
        <v>96</v>
      </c>
      <c r="BU302">
        <f t="shared" si="71"/>
        <v>774</v>
      </c>
      <c r="BV302">
        <f t="shared" si="72"/>
        <v>1158</v>
      </c>
      <c r="BW302">
        <f t="shared" si="73"/>
        <v>1646</v>
      </c>
      <c r="BX302">
        <f t="shared" si="74"/>
        <v>51</v>
      </c>
      <c r="BY302" s="2">
        <f t="shared" si="75"/>
        <v>845</v>
      </c>
      <c r="BZ302">
        <f t="shared" si="76"/>
        <v>385.3689761623761</v>
      </c>
      <c r="CA302">
        <v>385.3689761623761</v>
      </c>
      <c r="CB302">
        <v>385.3689761623761</v>
      </c>
      <c r="CC302">
        <v>385.3689761623761</v>
      </c>
      <c r="CD302">
        <v>385.3689761623761</v>
      </c>
      <c r="CE302">
        <v>385.3689761623761</v>
      </c>
      <c r="CF302">
        <v>385.3689761623761</v>
      </c>
      <c r="CG302">
        <v>385.3689761623761</v>
      </c>
      <c r="CH302">
        <f t="shared" si="77"/>
        <v>1.085110853831776</v>
      </c>
      <c r="CI302">
        <f t="shared" si="78"/>
        <v>-1.3554278277999843</v>
      </c>
      <c r="CJ302">
        <f t="shared" si="79"/>
        <v>-0.60360551613868985</v>
      </c>
      <c r="CK302">
        <f t="shared" si="80"/>
        <v>0.30286421150463433</v>
      </c>
      <c r="CL302">
        <f t="shared" si="81"/>
        <v>0.47783181021315912</v>
      </c>
      <c r="CM302">
        <f t="shared" si="82"/>
        <v>0.63055308169799273</v>
      </c>
      <c r="CN302">
        <f t="shared" si="83"/>
        <v>-0.8783065730803219</v>
      </c>
      <c r="CO302" s="2">
        <f t="shared" si="84"/>
        <v>0.34097995977143408</v>
      </c>
      <c r="CP302">
        <v>0.62665894867174099</v>
      </c>
      <c r="CQ302">
        <v>0.79510648517452998</v>
      </c>
      <c r="CR302">
        <v>-0.201690672514866</v>
      </c>
      <c r="CS302">
        <v>-0.75300106048041504</v>
      </c>
      <c r="CT302">
        <v>-0.55729624858109805</v>
      </c>
      <c r="CU302">
        <v>-0.60628605396345203</v>
      </c>
      <c r="CV302">
        <v>0.32068432060013102</v>
      </c>
      <c r="CW302">
        <v>-0.54781784463711602</v>
      </c>
      <c r="CX302" t="s">
        <v>1827</v>
      </c>
    </row>
    <row r="303" spans="1:102" x14ac:dyDescent="0.35">
      <c r="A303" t="s">
        <v>1453</v>
      </c>
      <c r="B303" t="s">
        <v>89</v>
      </c>
      <c r="C303" t="s">
        <v>1454</v>
      </c>
      <c r="D303" t="s">
        <v>72</v>
      </c>
      <c r="E303" t="s">
        <v>72</v>
      </c>
      <c r="F303" t="s">
        <v>72</v>
      </c>
      <c r="G303" t="s">
        <v>73</v>
      </c>
      <c r="H303" t="s">
        <v>74</v>
      </c>
      <c r="I303" t="s">
        <v>75</v>
      </c>
      <c r="J303" t="s">
        <v>76</v>
      </c>
      <c r="K303" t="s">
        <v>77</v>
      </c>
      <c r="L303" t="s">
        <v>78</v>
      </c>
      <c r="M303" t="s">
        <v>79</v>
      </c>
      <c r="N303">
        <v>60</v>
      </c>
      <c r="O303" t="s">
        <v>80</v>
      </c>
      <c r="P303">
        <v>792</v>
      </c>
      <c r="Q303">
        <v>0.75</v>
      </c>
      <c r="R303">
        <v>177</v>
      </c>
      <c r="S303">
        <v>0.85419999999999996</v>
      </c>
      <c r="T303" t="s">
        <v>81</v>
      </c>
      <c r="U303" t="s">
        <v>82</v>
      </c>
      <c r="V303" t="s">
        <v>83</v>
      </c>
      <c r="W303" t="s">
        <v>84</v>
      </c>
      <c r="X303" t="s">
        <v>85</v>
      </c>
      <c r="Y303" t="s">
        <v>86</v>
      </c>
      <c r="Z303" t="s">
        <v>87</v>
      </c>
      <c r="AA303" t="s">
        <v>88</v>
      </c>
      <c r="AB303">
        <v>143</v>
      </c>
      <c r="AC303">
        <v>4</v>
      </c>
      <c r="AE303">
        <v>22</v>
      </c>
      <c r="AF303" t="s">
        <v>142</v>
      </c>
      <c r="AG303" t="s">
        <v>429</v>
      </c>
      <c r="AH303" t="s">
        <v>72</v>
      </c>
      <c r="AI303" t="s">
        <v>72</v>
      </c>
      <c r="AJ303" t="s">
        <v>91</v>
      </c>
      <c r="AK303" t="s">
        <v>92</v>
      </c>
      <c r="AL303" t="s">
        <v>93</v>
      </c>
      <c r="AM303" t="s">
        <v>94</v>
      </c>
      <c r="AN303" t="s">
        <v>144</v>
      </c>
      <c r="AO303" t="s">
        <v>145</v>
      </c>
      <c r="AP303" t="s">
        <v>97</v>
      </c>
      <c r="AQ303">
        <v>39</v>
      </c>
      <c r="AR303" t="s">
        <v>80</v>
      </c>
      <c r="AS303">
        <v>1359</v>
      </c>
      <c r="AT303">
        <v>0.96879999999999999</v>
      </c>
      <c r="AU303">
        <v>172</v>
      </c>
      <c r="AV303">
        <v>0.94740000000000002</v>
      </c>
      <c r="AW303" t="s">
        <v>98</v>
      </c>
      <c r="AX303" t="s">
        <v>146</v>
      </c>
      <c r="AY303" t="s">
        <v>127</v>
      </c>
      <c r="AZ303" t="s">
        <v>101</v>
      </c>
      <c r="BA303" t="s">
        <v>128</v>
      </c>
      <c r="BB303" t="s">
        <v>103</v>
      </c>
      <c r="BC303" t="s">
        <v>104</v>
      </c>
      <c r="BD303" t="s">
        <v>105</v>
      </c>
      <c r="BE303">
        <v>2084</v>
      </c>
      <c r="BF303" t="s">
        <v>106</v>
      </c>
      <c r="BG303">
        <v>48</v>
      </c>
      <c r="BH303" t="s">
        <v>80</v>
      </c>
      <c r="BI303">
        <v>1</v>
      </c>
      <c r="BJ303">
        <v>1266</v>
      </c>
      <c r="BK303">
        <v>4</v>
      </c>
      <c r="BL303">
        <v>21</v>
      </c>
      <c r="BM303">
        <v>283</v>
      </c>
      <c r="BN303">
        <v>400</v>
      </c>
      <c r="BO303">
        <v>578</v>
      </c>
      <c r="BP303">
        <v>4</v>
      </c>
      <c r="BQ303" s="2">
        <v>307</v>
      </c>
      <c r="BR303">
        <f t="shared" si="68"/>
        <v>1267</v>
      </c>
      <c r="BS303">
        <f t="shared" si="69"/>
        <v>5</v>
      </c>
      <c r="BT303">
        <f t="shared" si="70"/>
        <v>22</v>
      </c>
      <c r="BU303">
        <f t="shared" si="71"/>
        <v>284</v>
      </c>
      <c r="BV303">
        <f t="shared" si="72"/>
        <v>401</v>
      </c>
      <c r="BW303">
        <f t="shared" si="73"/>
        <v>579</v>
      </c>
      <c r="BX303">
        <f t="shared" si="74"/>
        <v>5</v>
      </c>
      <c r="BY303" s="2">
        <f t="shared" si="75"/>
        <v>308</v>
      </c>
      <c r="BZ303">
        <f t="shared" si="76"/>
        <v>104.43688556619242</v>
      </c>
      <c r="CA303">
        <v>104.43688556619242</v>
      </c>
      <c r="CB303">
        <v>104.43688556619242</v>
      </c>
      <c r="CC303">
        <v>104.43688556619242</v>
      </c>
      <c r="CD303">
        <v>104.43688556619242</v>
      </c>
      <c r="CE303">
        <v>104.43688556619242</v>
      </c>
      <c r="CF303">
        <v>104.43688556619242</v>
      </c>
      <c r="CG303">
        <v>104.43688556619242</v>
      </c>
      <c r="CH303">
        <f t="shared" si="77"/>
        <v>1.083922702724343</v>
      </c>
      <c r="CI303">
        <f t="shared" si="78"/>
        <v>-1.3198839078230795</v>
      </c>
      <c r="CJ303">
        <f t="shared" si="79"/>
        <v>-0.67643123133689198</v>
      </c>
      <c r="CK303">
        <f t="shared" si="80"/>
        <v>0.43446442788793943</v>
      </c>
      <c r="CL303">
        <f t="shared" si="81"/>
        <v>0.58429046046108413</v>
      </c>
      <c r="CM303">
        <f t="shared" si="82"/>
        <v>0.74382465156833799</v>
      </c>
      <c r="CN303">
        <f t="shared" si="83"/>
        <v>-1.3198839078230795</v>
      </c>
      <c r="CO303" s="2">
        <f t="shared" si="84"/>
        <v>0.46969680434134609</v>
      </c>
      <c r="CP303">
        <v>0.625231465497606</v>
      </c>
      <c r="CQ303">
        <v>0.90011049317539205</v>
      </c>
      <c r="CR303">
        <v>-0.52706704536531102</v>
      </c>
      <c r="CS303">
        <v>-0.36524761556888002</v>
      </c>
      <c r="CT303">
        <v>-0.260956339678317</v>
      </c>
      <c r="CU303">
        <v>-0.279181097262094</v>
      </c>
      <c r="CV303">
        <v>-0.86361451847728898</v>
      </c>
      <c r="CW303">
        <v>-0.19427728807539599</v>
      </c>
      <c r="CX303" t="s">
        <v>1827</v>
      </c>
    </row>
    <row r="304" spans="1:102" x14ac:dyDescent="0.35">
      <c r="A304" t="s">
        <v>517</v>
      </c>
      <c r="B304" t="s">
        <v>159</v>
      </c>
      <c r="C304" t="s">
        <v>518</v>
      </c>
      <c r="D304" t="s">
        <v>72</v>
      </c>
      <c r="E304" t="s">
        <v>72</v>
      </c>
      <c r="F304" t="s">
        <v>72</v>
      </c>
      <c r="G304" t="s">
        <v>73</v>
      </c>
      <c r="H304" t="s">
        <v>74</v>
      </c>
      <c r="I304" t="s">
        <v>75</v>
      </c>
      <c r="J304" t="s">
        <v>76</v>
      </c>
      <c r="K304" t="s">
        <v>77</v>
      </c>
      <c r="L304" t="s">
        <v>78</v>
      </c>
      <c r="M304" t="s">
        <v>79</v>
      </c>
      <c r="N304">
        <v>60</v>
      </c>
      <c r="O304" t="s">
        <v>80</v>
      </c>
      <c r="P304">
        <v>792</v>
      </c>
      <c r="Q304">
        <v>0.75</v>
      </c>
      <c r="R304">
        <v>177</v>
      </c>
      <c r="S304">
        <v>0.85419999999999996</v>
      </c>
      <c r="T304" t="s">
        <v>81</v>
      </c>
      <c r="U304" t="s">
        <v>82</v>
      </c>
      <c r="V304" t="s">
        <v>83</v>
      </c>
      <c r="W304" t="s">
        <v>84</v>
      </c>
      <c r="X304" t="s">
        <v>85</v>
      </c>
      <c r="Y304" t="s">
        <v>86</v>
      </c>
      <c r="Z304" t="s">
        <v>87</v>
      </c>
      <c r="AA304" t="s">
        <v>88</v>
      </c>
      <c r="AB304">
        <v>483</v>
      </c>
      <c r="AC304">
        <v>5</v>
      </c>
      <c r="AE304">
        <v>22</v>
      </c>
      <c r="AF304" t="s">
        <v>211</v>
      </c>
      <c r="AG304" t="s">
        <v>346</v>
      </c>
      <c r="AH304" t="s">
        <v>72</v>
      </c>
      <c r="AI304" t="s">
        <v>72</v>
      </c>
      <c r="AJ304" t="s">
        <v>91</v>
      </c>
      <c r="AK304" t="s">
        <v>92</v>
      </c>
      <c r="AL304" t="s">
        <v>93</v>
      </c>
      <c r="AM304" t="s">
        <v>94</v>
      </c>
      <c r="AN304" t="s">
        <v>144</v>
      </c>
      <c r="AO304" t="s">
        <v>145</v>
      </c>
      <c r="AP304" t="s">
        <v>97</v>
      </c>
      <c r="AQ304">
        <v>39</v>
      </c>
      <c r="AR304" t="s">
        <v>80</v>
      </c>
      <c r="AS304">
        <v>1359</v>
      </c>
      <c r="AT304">
        <v>0.96879999999999999</v>
      </c>
      <c r="AU304">
        <v>172</v>
      </c>
      <c r="AV304">
        <v>0.94740000000000002</v>
      </c>
      <c r="AW304" t="s">
        <v>98</v>
      </c>
      <c r="AX304" t="s">
        <v>146</v>
      </c>
      <c r="AY304" t="s">
        <v>127</v>
      </c>
      <c r="AZ304" t="s">
        <v>101</v>
      </c>
      <c r="BA304" t="s">
        <v>128</v>
      </c>
      <c r="BB304" t="s">
        <v>103</v>
      </c>
      <c r="BC304" t="s">
        <v>104</v>
      </c>
      <c r="BD304" t="s">
        <v>105</v>
      </c>
      <c r="BE304">
        <v>7616</v>
      </c>
      <c r="BF304" t="s">
        <v>106</v>
      </c>
      <c r="BG304">
        <v>104</v>
      </c>
      <c r="BH304" t="s">
        <v>80</v>
      </c>
      <c r="BI304">
        <v>1</v>
      </c>
      <c r="BJ304">
        <v>1708</v>
      </c>
      <c r="BK304">
        <v>0</v>
      </c>
      <c r="BL304">
        <v>49</v>
      </c>
      <c r="BM304">
        <v>427</v>
      </c>
      <c r="BN304">
        <v>638</v>
      </c>
      <c r="BO304">
        <v>946</v>
      </c>
      <c r="BP304">
        <v>18</v>
      </c>
      <c r="BQ304" s="2">
        <v>421</v>
      </c>
      <c r="BR304">
        <f t="shared" si="68"/>
        <v>1709</v>
      </c>
      <c r="BS304">
        <f t="shared" si="69"/>
        <v>1</v>
      </c>
      <c r="BT304">
        <f t="shared" si="70"/>
        <v>50</v>
      </c>
      <c r="BU304">
        <f t="shared" si="71"/>
        <v>428</v>
      </c>
      <c r="BV304">
        <f t="shared" si="72"/>
        <v>639</v>
      </c>
      <c r="BW304">
        <f t="shared" si="73"/>
        <v>947</v>
      </c>
      <c r="BX304">
        <f t="shared" si="74"/>
        <v>19</v>
      </c>
      <c r="BY304" s="2">
        <f t="shared" si="75"/>
        <v>422</v>
      </c>
      <c r="BZ304">
        <f t="shared" si="76"/>
        <v>143.26301628869925</v>
      </c>
      <c r="CA304">
        <v>143.26301628869925</v>
      </c>
      <c r="CB304">
        <v>143.26301628869925</v>
      </c>
      <c r="CC304">
        <v>143.26301628869925</v>
      </c>
      <c r="CD304">
        <v>143.26301628869925</v>
      </c>
      <c r="CE304">
        <v>143.26301628869925</v>
      </c>
      <c r="CF304">
        <v>143.26301628869925</v>
      </c>
      <c r="CG304">
        <v>143.26301628869925</v>
      </c>
      <c r="CH304">
        <f t="shared" si="77"/>
        <v>1.0766079720774737</v>
      </c>
      <c r="CI304">
        <f t="shared" si="78"/>
        <v>-2.1561340906432629</v>
      </c>
      <c r="CJ304">
        <f t="shared" si="79"/>
        <v>-0.45716408630724426</v>
      </c>
      <c r="CK304">
        <f t="shared" si="80"/>
        <v>0.47530967836990895</v>
      </c>
      <c r="CL304">
        <f t="shared" si="81"/>
        <v>0.64936676751513711</v>
      </c>
      <c r="CM304">
        <f t="shared" si="82"/>
        <v>0.82021588836001036</v>
      </c>
      <c r="CN304">
        <f t="shared" si="83"/>
        <v>-0.87738048969043414</v>
      </c>
      <c r="CO304" s="2">
        <f t="shared" si="84"/>
        <v>0.46917836031841081</v>
      </c>
      <c r="CP304">
        <v>0.61644331148553599</v>
      </c>
      <c r="CQ304">
        <v>-2.2527165794045199</v>
      </c>
      <c r="CR304">
        <v>0.45259169387053499</v>
      </c>
      <c r="CS304">
        <v>-0.24489913121283599</v>
      </c>
      <c r="CT304">
        <v>-7.9808947153458903E-2</v>
      </c>
      <c r="CU304">
        <v>-5.8578944120707702E-2</v>
      </c>
      <c r="CV304">
        <v>0.32316805198134402</v>
      </c>
      <c r="CW304">
        <v>-0.19570127410478599</v>
      </c>
      <c r="CX304" t="s">
        <v>1827</v>
      </c>
    </row>
    <row r="305" spans="1:102" x14ac:dyDescent="0.35">
      <c r="A305" t="s">
        <v>983</v>
      </c>
      <c r="B305" t="s">
        <v>178</v>
      </c>
      <c r="C305" t="s">
        <v>393</v>
      </c>
      <c r="D305" t="s">
        <v>72</v>
      </c>
      <c r="E305" t="s">
        <v>72</v>
      </c>
      <c r="F305" t="s">
        <v>72</v>
      </c>
      <c r="G305" t="s">
        <v>73</v>
      </c>
      <c r="H305" t="s">
        <v>74</v>
      </c>
      <c r="I305" t="s">
        <v>75</v>
      </c>
      <c r="J305" t="s">
        <v>76</v>
      </c>
      <c r="K305" t="s">
        <v>77</v>
      </c>
      <c r="L305" t="s">
        <v>78</v>
      </c>
      <c r="M305" t="s">
        <v>79</v>
      </c>
      <c r="N305">
        <v>60</v>
      </c>
      <c r="O305" t="s">
        <v>80</v>
      </c>
      <c r="P305">
        <v>792</v>
      </c>
      <c r="Q305">
        <v>0.75</v>
      </c>
      <c r="R305">
        <v>177</v>
      </c>
      <c r="S305">
        <v>0.85419999999999996</v>
      </c>
      <c r="T305" t="s">
        <v>81</v>
      </c>
      <c r="U305" t="s">
        <v>82</v>
      </c>
      <c r="V305" t="s">
        <v>83</v>
      </c>
      <c r="W305" t="s">
        <v>84</v>
      </c>
      <c r="X305" t="s">
        <v>85</v>
      </c>
      <c r="Y305" t="s">
        <v>86</v>
      </c>
      <c r="Z305" t="s">
        <v>87</v>
      </c>
      <c r="AA305" t="s">
        <v>88</v>
      </c>
      <c r="AB305">
        <v>457</v>
      </c>
      <c r="AC305">
        <v>4</v>
      </c>
      <c r="AE305">
        <v>22</v>
      </c>
      <c r="AF305" t="s">
        <v>89</v>
      </c>
      <c r="AG305" t="s">
        <v>984</v>
      </c>
      <c r="AH305" t="s">
        <v>72</v>
      </c>
      <c r="AI305" t="s">
        <v>72</v>
      </c>
      <c r="AJ305" t="s">
        <v>91</v>
      </c>
      <c r="AK305" t="s">
        <v>92</v>
      </c>
      <c r="AL305" t="s">
        <v>93</v>
      </c>
      <c r="AM305" t="s">
        <v>94</v>
      </c>
      <c r="AN305" t="s">
        <v>144</v>
      </c>
      <c r="AO305" t="s">
        <v>145</v>
      </c>
      <c r="AP305" t="s">
        <v>97</v>
      </c>
      <c r="AQ305">
        <v>39</v>
      </c>
      <c r="AR305" t="s">
        <v>80</v>
      </c>
      <c r="AS305">
        <v>1359</v>
      </c>
      <c r="AT305">
        <v>0.96879999999999999</v>
      </c>
      <c r="AU305">
        <v>172</v>
      </c>
      <c r="AV305">
        <v>0.94740000000000002</v>
      </c>
      <c r="AW305" t="s">
        <v>98</v>
      </c>
      <c r="AX305" t="s">
        <v>146</v>
      </c>
      <c r="AY305" t="s">
        <v>127</v>
      </c>
      <c r="AZ305" t="s">
        <v>101</v>
      </c>
      <c r="BA305" t="s">
        <v>128</v>
      </c>
      <c r="BB305" t="s">
        <v>103</v>
      </c>
      <c r="BC305" t="s">
        <v>104</v>
      </c>
      <c r="BD305" t="s">
        <v>105</v>
      </c>
      <c r="BE305">
        <v>8322</v>
      </c>
      <c r="BF305" t="s">
        <v>106</v>
      </c>
      <c r="BG305">
        <v>113</v>
      </c>
      <c r="BH305" t="s">
        <v>80</v>
      </c>
      <c r="BI305">
        <v>1</v>
      </c>
      <c r="BJ305">
        <v>2313</v>
      </c>
      <c r="BK305">
        <v>4</v>
      </c>
      <c r="BL305">
        <v>43</v>
      </c>
      <c r="BM305">
        <v>523</v>
      </c>
      <c r="BN305">
        <v>696</v>
      </c>
      <c r="BO305">
        <v>1058</v>
      </c>
      <c r="BP305">
        <v>21</v>
      </c>
      <c r="BQ305" s="2">
        <v>535</v>
      </c>
      <c r="BR305">
        <f t="shared" si="68"/>
        <v>2314</v>
      </c>
      <c r="BS305">
        <f t="shared" si="69"/>
        <v>5</v>
      </c>
      <c r="BT305">
        <f t="shared" si="70"/>
        <v>44</v>
      </c>
      <c r="BU305">
        <f t="shared" si="71"/>
        <v>524</v>
      </c>
      <c r="BV305">
        <f t="shared" si="72"/>
        <v>697</v>
      </c>
      <c r="BW305">
        <f t="shared" si="73"/>
        <v>1059</v>
      </c>
      <c r="BX305">
        <f t="shared" si="74"/>
        <v>22</v>
      </c>
      <c r="BY305" s="2">
        <f t="shared" si="75"/>
        <v>536</v>
      </c>
      <c r="BZ305">
        <f t="shared" si="76"/>
        <v>197.57372654653707</v>
      </c>
      <c r="CA305">
        <v>197.57372654653707</v>
      </c>
      <c r="CB305">
        <v>197.57372654653707</v>
      </c>
      <c r="CC305">
        <v>197.57372654653707</v>
      </c>
      <c r="CD305">
        <v>197.57372654653707</v>
      </c>
      <c r="CE305">
        <v>197.57372654653707</v>
      </c>
      <c r="CF305">
        <v>197.57372654653707</v>
      </c>
      <c r="CG305">
        <v>197.57372654653707</v>
      </c>
      <c r="CH305">
        <f t="shared" si="77"/>
        <v>1.0686341632229639</v>
      </c>
      <c r="CI305">
        <f t="shared" si="78"/>
        <v>-1.5967591870567479</v>
      </c>
      <c r="CJ305">
        <f t="shared" si="79"/>
        <v>-0.65227651490657934</v>
      </c>
      <c r="CK305">
        <f t="shared" si="80"/>
        <v>0.42360209559095979</v>
      </c>
      <c r="CL305">
        <f t="shared" si="81"/>
        <v>0.54750358670524257</v>
      </c>
      <c r="CM305">
        <f t="shared" si="82"/>
        <v>0.72916676871471819</v>
      </c>
      <c r="CN305">
        <f t="shared" si="83"/>
        <v>-0.95330651057056059</v>
      </c>
      <c r="CO305" s="2">
        <f t="shared" si="84"/>
        <v>0.43343559830000322</v>
      </c>
      <c r="CP305">
        <v>0.60686331959530404</v>
      </c>
      <c r="CQ305">
        <v>8.21642999928833E-2</v>
      </c>
      <c r="CR305">
        <v>-0.41914673180661699</v>
      </c>
      <c r="CS305">
        <v>-0.39725293352109298</v>
      </c>
      <c r="CT305">
        <v>-0.36335683782700301</v>
      </c>
      <c r="CU305">
        <v>-0.32151004301304498</v>
      </c>
      <c r="CV305">
        <v>0.119536453823154</v>
      </c>
      <c r="CW305">
        <v>-0.29387425231337899</v>
      </c>
      <c r="CX305" t="s">
        <v>1827</v>
      </c>
    </row>
    <row r="306" spans="1:102" x14ac:dyDescent="0.35">
      <c r="A306" t="s">
        <v>615</v>
      </c>
      <c r="B306" t="s">
        <v>153</v>
      </c>
      <c r="C306" t="s">
        <v>492</v>
      </c>
      <c r="D306" t="s">
        <v>72</v>
      </c>
      <c r="E306" t="s">
        <v>72</v>
      </c>
      <c r="F306" t="s">
        <v>72</v>
      </c>
      <c r="G306" t="s">
        <v>73</v>
      </c>
      <c r="H306" t="s">
        <v>74</v>
      </c>
      <c r="I306" t="s">
        <v>75</v>
      </c>
      <c r="J306" t="s">
        <v>76</v>
      </c>
      <c r="K306" t="s">
        <v>77</v>
      </c>
      <c r="L306" t="s">
        <v>78</v>
      </c>
      <c r="M306" t="s">
        <v>79</v>
      </c>
      <c r="N306">
        <v>60</v>
      </c>
      <c r="O306" t="s">
        <v>80</v>
      </c>
      <c r="P306">
        <v>792</v>
      </c>
      <c r="Q306">
        <v>0.75</v>
      </c>
      <c r="R306">
        <v>177</v>
      </c>
      <c r="S306">
        <v>0.85419999999999996</v>
      </c>
      <c r="T306" t="s">
        <v>81</v>
      </c>
      <c r="U306" t="s">
        <v>82</v>
      </c>
      <c r="V306" t="s">
        <v>83</v>
      </c>
      <c r="W306" t="s">
        <v>84</v>
      </c>
      <c r="X306" t="s">
        <v>85</v>
      </c>
      <c r="Y306" t="s">
        <v>86</v>
      </c>
      <c r="Z306" t="s">
        <v>87</v>
      </c>
      <c r="AA306" t="s">
        <v>88</v>
      </c>
      <c r="AB306">
        <v>82</v>
      </c>
      <c r="AC306">
        <v>4</v>
      </c>
      <c r="AE306">
        <v>22</v>
      </c>
      <c r="AF306" t="s">
        <v>211</v>
      </c>
      <c r="AG306" t="s">
        <v>616</v>
      </c>
      <c r="AH306" t="s">
        <v>72</v>
      </c>
      <c r="AI306" t="s">
        <v>72</v>
      </c>
      <c r="AJ306" t="s">
        <v>91</v>
      </c>
      <c r="AK306" t="s">
        <v>92</v>
      </c>
      <c r="AL306" t="s">
        <v>93</v>
      </c>
      <c r="AM306" t="s">
        <v>94</v>
      </c>
      <c r="AN306" t="s">
        <v>144</v>
      </c>
      <c r="AO306" t="s">
        <v>145</v>
      </c>
      <c r="AP306" t="s">
        <v>97</v>
      </c>
      <c r="AQ306">
        <v>39</v>
      </c>
      <c r="AR306" t="s">
        <v>80</v>
      </c>
      <c r="AS306">
        <v>1359</v>
      </c>
      <c r="AT306">
        <v>0.96879999999999999</v>
      </c>
      <c r="AU306">
        <v>172</v>
      </c>
      <c r="AV306">
        <v>0.94740000000000002</v>
      </c>
      <c r="AW306" t="s">
        <v>98</v>
      </c>
      <c r="AX306" t="s">
        <v>146</v>
      </c>
      <c r="AY306" t="s">
        <v>127</v>
      </c>
      <c r="AZ306" t="s">
        <v>101</v>
      </c>
      <c r="BA306" t="s">
        <v>128</v>
      </c>
      <c r="BB306" t="s">
        <v>103</v>
      </c>
      <c r="BC306" t="s">
        <v>104</v>
      </c>
      <c r="BD306" t="s">
        <v>105</v>
      </c>
      <c r="BE306">
        <v>405</v>
      </c>
      <c r="BF306" t="s">
        <v>106</v>
      </c>
      <c r="BG306">
        <v>6</v>
      </c>
      <c r="BH306" t="s">
        <v>80</v>
      </c>
      <c r="BI306">
        <v>1</v>
      </c>
      <c r="BJ306">
        <v>1456</v>
      </c>
      <c r="BK306">
        <v>0</v>
      </c>
      <c r="BL306">
        <v>31</v>
      </c>
      <c r="BM306">
        <v>341</v>
      </c>
      <c r="BN306">
        <v>557</v>
      </c>
      <c r="BO306">
        <v>773</v>
      </c>
      <c r="BP306">
        <v>23</v>
      </c>
      <c r="BQ306" s="2">
        <v>367</v>
      </c>
      <c r="BR306">
        <f t="shared" si="68"/>
        <v>1457</v>
      </c>
      <c r="BS306">
        <f t="shared" si="69"/>
        <v>1</v>
      </c>
      <c r="BT306">
        <f t="shared" si="70"/>
        <v>32</v>
      </c>
      <c r="BU306">
        <f t="shared" si="71"/>
        <v>342</v>
      </c>
      <c r="BV306">
        <f t="shared" si="72"/>
        <v>558</v>
      </c>
      <c r="BW306">
        <f t="shared" si="73"/>
        <v>774</v>
      </c>
      <c r="BX306">
        <f t="shared" si="74"/>
        <v>24</v>
      </c>
      <c r="BY306" s="2">
        <f t="shared" si="75"/>
        <v>368</v>
      </c>
      <c r="BZ306">
        <f t="shared" si="76"/>
        <v>125.3166371122701</v>
      </c>
      <c r="CA306">
        <v>125.3166371122701</v>
      </c>
      <c r="CB306">
        <v>125.3166371122701</v>
      </c>
      <c r="CC306">
        <v>125.3166371122701</v>
      </c>
      <c r="CD306">
        <v>125.3166371122701</v>
      </c>
      <c r="CE306">
        <v>125.3166371122701</v>
      </c>
      <c r="CF306">
        <v>125.3166371122701</v>
      </c>
      <c r="CG306">
        <v>125.3166371122701</v>
      </c>
      <c r="CH306">
        <f t="shared" si="77"/>
        <v>1.0654508197510368</v>
      </c>
      <c r="CI306">
        <f t="shared" si="78"/>
        <v>-2.0980087320189531</v>
      </c>
      <c r="CJ306">
        <f t="shared" si="79"/>
        <v>-0.59285875369904728</v>
      </c>
      <c r="CK306">
        <f t="shared" si="80"/>
        <v>0.43601737403718177</v>
      </c>
      <c r="CL306">
        <f t="shared" si="81"/>
        <v>0.64862546691862544</v>
      </c>
      <c r="CM306">
        <f t="shared" si="82"/>
        <v>0.79073222866393933</v>
      </c>
      <c r="CN306">
        <f t="shared" si="83"/>
        <v>-0.7177974903073473</v>
      </c>
      <c r="CO306" s="2">
        <f t="shared" si="84"/>
        <v>0.46783908665456436</v>
      </c>
      <c r="CP306">
        <v>0.60303874777507105</v>
      </c>
      <c r="CQ306">
        <v>-2.2527165794045199</v>
      </c>
      <c r="CR306">
        <v>-0.15367545463503299</v>
      </c>
      <c r="CS306">
        <v>-0.36067193753673299</v>
      </c>
      <c r="CT306">
        <v>-8.1872442705283405E-2</v>
      </c>
      <c r="CU306">
        <v>-0.143721678871538</v>
      </c>
      <c r="CV306">
        <v>0.75116547403195999</v>
      </c>
      <c r="CW306">
        <v>-0.199379794644089</v>
      </c>
      <c r="CX306" t="s">
        <v>1827</v>
      </c>
    </row>
    <row r="307" spans="1:102" x14ac:dyDescent="0.35">
      <c r="A307" t="s">
        <v>1115</v>
      </c>
      <c r="B307" t="s">
        <v>159</v>
      </c>
      <c r="C307" t="s">
        <v>108</v>
      </c>
      <c r="D307" t="s">
        <v>72</v>
      </c>
      <c r="E307" t="s">
        <v>72</v>
      </c>
      <c r="F307" t="s">
        <v>72</v>
      </c>
      <c r="G307" t="s">
        <v>73</v>
      </c>
      <c r="H307" t="s">
        <v>109</v>
      </c>
      <c r="I307" t="s">
        <v>110</v>
      </c>
      <c r="J307" t="s">
        <v>111</v>
      </c>
      <c r="K307" t="s">
        <v>112</v>
      </c>
      <c r="L307" t="s">
        <v>113</v>
      </c>
      <c r="M307" t="s">
        <v>114</v>
      </c>
      <c r="N307">
        <v>48</v>
      </c>
      <c r="O307" t="s">
        <v>80</v>
      </c>
      <c r="P307">
        <v>621</v>
      </c>
      <c r="Q307">
        <v>0.68400000000000005</v>
      </c>
      <c r="R307">
        <v>175</v>
      </c>
      <c r="S307">
        <v>0.81130000000000002</v>
      </c>
      <c r="T307" t="s">
        <v>115</v>
      </c>
      <c r="U307" t="s">
        <v>116</v>
      </c>
      <c r="V307" t="s">
        <v>117</v>
      </c>
      <c r="W307" t="s">
        <v>118</v>
      </c>
      <c r="X307" t="s">
        <v>119</v>
      </c>
      <c r="Y307" t="s">
        <v>120</v>
      </c>
      <c r="Z307" t="s">
        <v>121</v>
      </c>
      <c r="AA307" t="s">
        <v>88</v>
      </c>
      <c r="AB307">
        <v>482</v>
      </c>
      <c r="AC307">
        <v>5</v>
      </c>
      <c r="AE307">
        <v>1</v>
      </c>
      <c r="AF307" t="s">
        <v>231</v>
      </c>
      <c r="AG307" t="s">
        <v>1116</v>
      </c>
      <c r="AH307" t="s">
        <v>72</v>
      </c>
      <c r="AI307" t="s">
        <v>72</v>
      </c>
      <c r="AJ307" t="s">
        <v>91</v>
      </c>
      <c r="AK307" t="s">
        <v>92</v>
      </c>
      <c r="AL307" t="s">
        <v>93</v>
      </c>
      <c r="AM307" t="s">
        <v>94</v>
      </c>
      <c r="AN307" t="s">
        <v>144</v>
      </c>
      <c r="AO307" t="s">
        <v>145</v>
      </c>
      <c r="AP307" t="s">
        <v>97</v>
      </c>
      <c r="AQ307">
        <v>39</v>
      </c>
      <c r="AR307" t="s">
        <v>80</v>
      </c>
      <c r="AS307">
        <v>1359</v>
      </c>
      <c r="AT307">
        <v>0.96879999999999999</v>
      </c>
      <c r="AU307">
        <v>172</v>
      </c>
      <c r="AV307">
        <v>0.94740000000000002</v>
      </c>
      <c r="AW307" t="s">
        <v>98</v>
      </c>
      <c r="AX307" t="s">
        <v>146</v>
      </c>
      <c r="AY307" t="s">
        <v>127</v>
      </c>
      <c r="AZ307" t="s">
        <v>101</v>
      </c>
      <c r="BA307" t="s">
        <v>128</v>
      </c>
      <c r="BB307" t="s">
        <v>103</v>
      </c>
      <c r="BC307" t="s">
        <v>104</v>
      </c>
      <c r="BD307" t="s">
        <v>105</v>
      </c>
      <c r="BE307">
        <v>7644</v>
      </c>
      <c r="BF307" t="s">
        <v>106</v>
      </c>
      <c r="BG307">
        <v>101</v>
      </c>
      <c r="BH307" t="s">
        <v>80</v>
      </c>
      <c r="BI307">
        <v>1</v>
      </c>
      <c r="BJ307">
        <v>1014</v>
      </c>
      <c r="BK307">
        <v>0</v>
      </c>
      <c r="BL307">
        <v>23</v>
      </c>
      <c r="BM307">
        <v>274</v>
      </c>
      <c r="BN307">
        <v>368</v>
      </c>
      <c r="BO307">
        <v>552</v>
      </c>
      <c r="BP307">
        <v>10</v>
      </c>
      <c r="BQ307" s="2">
        <v>254</v>
      </c>
      <c r="BR307">
        <f t="shared" si="68"/>
        <v>1015</v>
      </c>
      <c r="BS307">
        <f t="shared" si="69"/>
        <v>1</v>
      </c>
      <c r="BT307">
        <f t="shared" si="70"/>
        <v>24</v>
      </c>
      <c r="BU307">
        <f t="shared" si="71"/>
        <v>275</v>
      </c>
      <c r="BV307">
        <f t="shared" si="72"/>
        <v>369</v>
      </c>
      <c r="BW307">
        <f t="shared" si="73"/>
        <v>553</v>
      </c>
      <c r="BX307">
        <f t="shared" si="74"/>
        <v>11</v>
      </c>
      <c r="BY307" s="2">
        <f t="shared" si="75"/>
        <v>255</v>
      </c>
      <c r="BZ307">
        <f t="shared" si="76"/>
        <v>88.707796723231837</v>
      </c>
      <c r="CA307">
        <v>88.707796723231837</v>
      </c>
      <c r="CB307">
        <v>88.707796723231837</v>
      </c>
      <c r="CC307">
        <v>88.707796723231837</v>
      </c>
      <c r="CD307">
        <v>88.707796723231837</v>
      </c>
      <c r="CE307">
        <v>88.707796723231837</v>
      </c>
      <c r="CF307">
        <v>88.707796723231837</v>
      </c>
      <c r="CG307">
        <v>88.707796723231837</v>
      </c>
      <c r="CH307">
        <f t="shared" si="77"/>
        <v>1.0585042496433519</v>
      </c>
      <c r="CI307">
        <f t="shared" si="78"/>
        <v>-1.9479617926058799</v>
      </c>
      <c r="CJ307">
        <f t="shared" si="79"/>
        <v>-0.56775055089427384</v>
      </c>
      <c r="CK307">
        <f t="shared" si="80"/>
        <v>0.49137090122438276</v>
      </c>
      <c r="CL307">
        <f t="shared" si="81"/>
        <v>0.61906457355318045</v>
      </c>
      <c r="CM307">
        <f t="shared" si="82"/>
        <v>0.79476333869881832</v>
      </c>
      <c r="CN307">
        <f t="shared" si="83"/>
        <v>-0.90656910744765484</v>
      </c>
      <c r="CO307" s="2">
        <f t="shared" si="84"/>
        <v>0.45857838782807525</v>
      </c>
      <c r="CP307">
        <v>0.59469291374383304</v>
      </c>
      <c r="CQ307">
        <v>-2.2527165794045199</v>
      </c>
      <c r="CR307">
        <v>-4.1495080777032498E-2</v>
      </c>
      <c r="CS307">
        <v>-0.19757554267727601</v>
      </c>
      <c r="CT307">
        <v>-0.164158592554074</v>
      </c>
      <c r="CU307">
        <v>-0.13208066361124901</v>
      </c>
      <c r="CV307">
        <v>0.24488494412145101</v>
      </c>
      <c r="CW307">
        <v>-0.224815724402988</v>
      </c>
      <c r="CX307" t="s">
        <v>1827</v>
      </c>
    </row>
    <row r="308" spans="1:102" x14ac:dyDescent="0.35">
      <c r="A308" t="s">
        <v>946</v>
      </c>
      <c r="B308" t="s">
        <v>211</v>
      </c>
      <c r="C308" t="s">
        <v>301</v>
      </c>
      <c r="D308" t="s">
        <v>72</v>
      </c>
      <c r="E308" t="s">
        <v>72</v>
      </c>
      <c r="F308" t="s">
        <v>72</v>
      </c>
      <c r="G308" t="s">
        <v>73</v>
      </c>
      <c r="H308" t="s">
        <v>109</v>
      </c>
      <c r="I308" t="s">
        <v>110</v>
      </c>
      <c r="J308" t="s">
        <v>111</v>
      </c>
      <c r="K308" t="s">
        <v>112</v>
      </c>
      <c r="L308" t="s">
        <v>113</v>
      </c>
      <c r="M308" t="s">
        <v>114</v>
      </c>
      <c r="N308">
        <v>48</v>
      </c>
      <c r="O308" t="s">
        <v>80</v>
      </c>
      <c r="P308">
        <v>621</v>
      </c>
      <c r="Q308">
        <v>0.68400000000000005</v>
      </c>
      <c r="R308">
        <v>175</v>
      </c>
      <c r="S308">
        <v>0.81130000000000002</v>
      </c>
      <c r="T308" t="s">
        <v>115</v>
      </c>
      <c r="U308" t="s">
        <v>116</v>
      </c>
      <c r="V308" t="s">
        <v>117</v>
      </c>
      <c r="W308" t="s">
        <v>118</v>
      </c>
      <c r="X308" t="s">
        <v>119</v>
      </c>
      <c r="Y308" t="s">
        <v>120</v>
      </c>
      <c r="Z308" t="s">
        <v>121</v>
      </c>
      <c r="AA308" t="s">
        <v>88</v>
      </c>
      <c r="AB308">
        <v>89</v>
      </c>
      <c r="AC308">
        <v>1</v>
      </c>
      <c r="AE308">
        <v>1</v>
      </c>
      <c r="AF308" t="s">
        <v>89</v>
      </c>
      <c r="AG308" t="s">
        <v>411</v>
      </c>
      <c r="AH308" t="s">
        <v>72</v>
      </c>
      <c r="AI308" t="s">
        <v>72</v>
      </c>
      <c r="AJ308" t="s">
        <v>91</v>
      </c>
      <c r="AK308" t="s">
        <v>92</v>
      </c>
      <c r="AL308" t="s">
        <v>93</v>
      </c>
      <c r="AM308" t="s">
        <v>94</v>
      </c>
      <c r="AN308" t="s">
        <v>144</v>
      </c>
      <c r="AO308" t="s">
        <v>145</v>
      </c>
      <c r="AP308" t="s">
        <v>97</v>
      </c>
      <c r="AQ308">
        <v>39</v>
      </c>
      <c r="AR308" t="s">
        <v>80</v>
      </c>
      <c r="AS308">
        <v>1359</v>
      </c>
      <c r="AT308">
        <v>0.96879999999999999</v>
      </c>
      <c r="AU308">
        <v>172</v>
      </c>
      <c r="AV308">
        <v>0.94740000000000002</v>
      </c>
      <c r="AW308" t="s">
        <v>98</v>
      </c>
      <c r="AX308" t="s">
        <v>146</v>
      </c>
      <c r="AY308" t="s">
        <v>127</v>
      </c>
      <c r="AZ308" t="s">
        <v>101</v>
      </c>
      <c r="BA308" t="s">
        <v>128</v>
      </c>
      <c r="BB308" t="s">
        <v>103</v>
      </c>
      <c r="BC308" t="s">
        <v>104</v>
      </c>
      <c r="BD308" t="s">
        <v>105</v>
      </c>
      <c r="BE308">
        <v>4957</v>
      </c>
      <c r="BF308" t="s">
        <v>106</v>
      </c>
      <c r="BG308">
        <v>64</v>
      </c>
      <c r="BH308" t="s">
        <v>80</v>
      </c>
      <c r="BI308">
        <v>1</v>
      </c>
      <c r="BJ308">
        <v>1345</v>
      </c>
      <c r="BK308">
        <v>0</v>
      </c>
      <c r="BL308">
        <v>33</v>
      </c>
      <c r="BM308">
        <v>382</v>
      </c>
      <c r="BN308">
        <v>532</v>
      </c>
      <c r="BO308">
        <v>712</v>
      </c>
      <c r="BP308">
        <v>16</v>
      </c>
      <c r="BQ308" s="2">
        <v>349</v>
      </c>
      <c r="BR308">
        <f t="shared" si="68"/>
        <v>1346</v>
      </c>
      <c r="BS308">
        <f t="shared" si="69"/>
        <v>1</v>
      </c>
      <c r="BT308">
        <f t="shared" si="70"/>
        <v>34</v>
      </c>
      <c r="BU308">
        <f t="shared" si="71"/>
        <v>383</v>
      </c>
      <c r="BV308">
        <f t="shared" si="72"/>
        <v>533</v>
      </c>
      <c r="BW308">
        <f t="shared" si="73"/>
        <v>713</v>
      </c>
      <c r="BX308">
        <f t="shared" si="74"/>
        <v>17</v>
      </c>
      <c r="BY308" s="2">
        <f t="shared" si="75"/>
        <v>350</v>
      </c>
      <c r="BZ308">
        <f t="shared" si="76"/>
        <v>118.78375686917614</v>
      </c>
      <c r="CA308">
        <v>118.78375686917614</v>
      </c>
      <c r="CB308">
        <v>118.78375686917614</v>
      </c>
      <c r="CC308">
        <v>118.78375686917614</v>
      </c>
      <c r="CD308">
        <v>118.78375686917614</v>
      </c>
      <c r="CE308">
        <v>118.78375686917614</v>
      </c>
      <c r="CF308">
        <v>118.78375686917614</v>
      </c>
      <c r="CG308">
        <v>118.78375686917614</v>
      </c>
      <c r="CH308">
        <f t="shared" si="77"/>
        <v>1.0542880029497301</v>
      </c>
      <c r="CI308">
        <f t="shared" si="78"/>
        <v>-2.0747570569382279</v>
      </c>
      <c r="CJ308">
        <f t="shared" si="79"/>
        <v>-0.54327813989597284</v>
      </c>
      <c r="CK308">
        <f t="shared" si="80"/>
        <v>0.50844171703039487</v>
      </c>
      <c r="CL308">
        <f t="shared" si="81"/>
        <v>0.6519701520883443</v>
      </c>
      <c r="CM308">
        <f t="shared" si="82"/>
        <v>0.77833247291363772</v>
      </c>
      <c r="CN308">
        <f t="shared" si="83"/>
        <v>-0.84430813555995399</v>
      </c>
      <c r="CO308" s="2">
        <f t="shared" si="84"/>
        <v>0.46931098741204774</v>
      </c>
      <c r="CP308">
        <v>0.58962737858126602</v>
      </c>
      <c r="CQ308">
        <v>-2.2527165794045199</v>
      </c>
      <c r="CR308">
        <v>6.7844653187284706E-2</v>
      </c>
      <c r="CS308">
        <v>-0.147277239086712</v>
      </c>
      <c r="CT308">
        <v>-7.2562126482085598E-2</v>
      </c>
      <c r="CU308">
        <v>-0.17952961878490301</v>
      </c>
      <c r="CV308">
        <v>0.41186723901072803</v>
      </c>
      <c r="CW308">
        <v>-0.19533699344939701</v>
      </c>
      <c r="CX308" t="s">
        <v>1827</v>
      </c>
    </row>
    <row r="309" spans="1:102" x14ac:dyDescent="0.35">
      <c r="A309" t="s">
        <v>1573</v>
      </c>
      <c r="B309" t="s">
        <v>89</v>
      </c>
      <c r="C309" t="s">
        <v>149</v>
      </c>
      <c r="D309" t="s">
        <v>72</v>
      </c>
      <c r="E309" t="s">
        <v>72</v>
      </c>
      <c r="F309" t="s">
        <v>72</v>
      </c>
      <c r="G309" t="s">
        <v>73</v>
      </c>
      <c r="H309" t="s">
        <v>74</v>
      </c>
      <c r="I309" t="s">
        <v>75</v>
      </c>
      <c r="J309" t="s">
        <v>76</v>
      </c>
      <c r="K309" t="s">
        <v>77</v>
      </c>
      <c r="L309" t="s">
        <v>78</v>
      </c>
      <c r="M309" t="s">
        <v>79</v>
      </c>
      <c r="N309">
        <v>60</v>
      </c>
      <c r="O309" t="s">
        <v>80</v>
      </c>
      <c r="P309">
        <v>792</v>
      </c>
      <c r="Q309">
        <v>0.75</v>
      </c>
      <c r="R309">
        <v>177</v>
      </c>
      <c r="S309">
        <v>0.85419999999999996</v>
      </c>
      <c r="T309" t="s">
        <v>81</v>
      </c>
      <c r="U309" t="s">
        <v>82</v>
      </c>
      <c r="V309" t="s">
        <v>83</v>
      </c>
      <c r="W309" t="s">
        <v>84</v>
      </c>
      <c r="X309" t="s">
        <v>85</v>
      </c>
      <c r="Y309" t="s">
        <v>86</v>
      </c>
      <c r="Z309" t="s">
        <v>87</v>
      </c>
      <c r="AA309" t="s">
        <v>88</v>
      </c>
      <c r="AB309">
        <v>149</v>
      </c>
      <c r="AC309">
        <v>2</v>
      </c>
      <c r="AE309">
        <v>22</v>
      </c>
      <c r="AF309" t="s">
        <v>153</v>
      </c>
      <c r="AG309" t="s">
        <v>1574</v>
      </c>
      <c r="AH309" t="s">
        <v>72</v>
      </c>
      <c r="AI309" t="s">
        <v>72</v>
      </c>
      <c r="AJ309" t="s">
        <v>91</v>
      </c>
      <c r="AK309" t="s">
        <v>92</v>
      </c>
      <c r="AL309" t="s">
        <v>93</v>
      </c>
      <c r="AM309" t="s">
        <v>94</v>
      </c>
      <c r="AN309" t="s">
        <v>144</v>
      </c>
      <c r="AO309" t="s">
        <v>145</v>
      </c>
      <c r="AP309" t="s">
        <v>97</v>
      </c>
      <c r="AQ309">
        <v>39</v>
      </c>
      <c r="AR309" t="s">
        <v>80</v>
      </c>
      <c r="AS309">
        <v>1359</v>
      </c>
      <c r="AT309">
        <v>0.96879999999999999</v>
      </c>
      <c r="AU309">
        <v>172</v>
      </c>
      <c r="AV309">
        <v>0.94740000000000002</v>
      </c>
      <c r="AW309" t="s">
        <v>98</v>
      </c>
      <c r="AX309" t="s">
        <v>146</v>
      </c>
      <c r="AY309" t="s">
        <v>127</v>
      </c>
      <c r="AZ309" t="s">
        <v>101</v>
      </c>
      <c r="BA309" t="s">
        <v>128</v>
      </c>
      <c r="BB309" t="s">
        <v>103</v>
      </c>
      <c r="BC309" t="s">
        <v>104</v>
      </c>
      <c r="BD309" t="s">
        <v>105</v>
      </c>
      <c r="BE309">
        <v>2936</v>
      </c>
      <c r="BF309" t="s">
        <v>106</v>
      </c>
      <c r="BG309">
        <v>67</v>
      </c>
      <c r="BH309" t="s">
        <v>80</v>
      </c>
      <c r="BI309">
        <v>1</v>
      </c>
      <c r="BJ309">
        <v>1344</v>
      </c>
      <c r="BK309">
        <v>5</v>
      </c>
      <c r="BL309">
        <v>17</v>
      </c>
      <c r="BM309">
        <v>296</v>
      </c>
      <c r="BN309">
        <v>384</v>
      </c>
      <c r="BO309">
        <v>607</v>
      </c>
      <c r="BP309">
        <v>14</v>
      </c>
      <c r="BQ309" s="2">
        <v>266</v>
      </c>
      <c r="BR309">
        <f t="shared" si="68"/>
        <v>1345</v>
      </c>
      <c r="BS309">
        <f t="shared" si="69"/>
        <v>6</v>
      </c>
      <c r="BT309">
        <f t="shared" si="70"/>
        <v>18</v>
      </c>
      <c r="BU309">
        <f t="shared" si="71"/>
        <v>297</v>
      </c>
      <c r="BV309">
        <f t="shared" si="72"/>
        <v>385</v>
      </c>
      <c r="BW309">
        <f t="shared" si="73"/>
        <v>608</v>
      </c>
      <c r="BX309">
        <f t="shared" si="74"/>
        <v>15</v>
      </c>
      <c r="BY309" s="2">
        <f t="shared" si="75"/>
        <v>267</v>
      </c>
      <c r="BZ309">
        <f t="shared" si="76"/>
        <v>119.08543976620288</v>
      </c>
      <c r="CA309">
        <v>119.08543976620288</v>
      </c>
      <c r="CB309">
        <v>119.08543976620288</v>
      </c>
      <c r="CC309">
        <v>119.08543976620288</v>
      </c>
      <c r="CD309">
        <v>119.08543976620288</v>
      </c>
      <c r="CE309">
        <v>119.08543976620288</v>
      </c>
      <c r="CF309">
        <v>119.08543976620288</v>
      </c>
      <c r="CG309">
        <v>119.08543976620288</v>
      </c>
      <c r="CH309">
        <f t="shared" si="77"/>
        <v>1.0528636195454166</v>
      </c>
      <c r="CI309">
        <f t="shared" si="78"/>
        <v>-1.2977074144093665</v>
      </c>
      <c r="CJ309">
        <f t="shared" si="79"/>
        <v>-0.82058615968970405</v>
      </c>
      <c r="CK309">
        <f t="shared" si="80"/>
        <v>0.39689778452420227</v>
      </c>
      <c r="CL309">
        <f t="shared" si="81"/>
        <v>0.50960206471549052</v>
      </c>
      <c r="CM309">
        <f t="shared" si="82"/>
        <v>0.70804491447972473</v>
      </c>
      <c r="CN309">
        <f t="shared" si="83"/>
        <v>-0.89976740573732894</v>
      </c>
      <c r="CO309" s="2">
        <f t="shared" si="84"/>
        <v>0.35065259657156511</v>
      </c>
      <c r="CP309">
        <v>0.58791607828414505</v>
      </c>
      <c r="CQ309">
        <v>0.96562438959868002</v>
      </c>
      <c r="CR309">
        <v>-1.1711336032878601</v>
      </c>
      <c r="CS309">
        <v>-0.47593584829658903</v>
      </c>
      <c r="CT309">
        <v>-0.46886008765745801</v>
      </c>
      <c r="CU309">
        <v>-0.38250560635606501</v>
      </c>
      <c r="CV309">
        <v>0.26312692985195202</v>
      </c>
      <c r="CW309">
        <v>-0.521250464049408</v>
      </c>
      <c r="CX309" t="s">
        <v>1827</v>
      </c>
    </row>
    <row r="310" spans="1:102" x14ac:dyDescent="0.35">
      <c r="A310" t="s">
        <v>617</v>
      </c>
      <c r="B310" t="s">
        <v>70</v>
      </c>
      <c r="C310" t="s">
        <v>618</v>
      </c>
      <c r="D310" t="s">
        <v>72</v>
      </c>
      <c r="E310" t="s">
        <v>72</v>
      </c>
      <c r="F310" t="s">
        <v>72</v>
      </c>
      <c r="G310" t="s">
        <v>73</v>
      </c>
      <c r="H310" t="s">
        <v>74</v>
      </c>
      <c r="I310" t="s">
        <v>75</v>
      </c>
      <c r="J310" t="s">
        <v>76</v>
      </c>
      <c r="K310" t="s">
        <v>77</v>
      </c>
      <c r="L310" t="s">
        <v>78</v>
      </c>
      <c r="M310" t="s">
        <v>79</v>
      </c>
      <c r="N310">
        <v>60</v>
      </c>
      <c r="O310" t="s">
        <v>80</v>
      </c>
      <c r="P310">
        <v>792</v>
      </c>
      <c r="Q310">
        <v>0.75</v>
      </c>
      <c r="R310">
        <v>177</v>
      </c>
      <c r="S310">
        <v>0.85419999999999996</v>
      </c>
      <c r="T310" t="s">
        <v>81</v>
      </c>
      <c r="U310" t="s">
        <v>82</v>
      </c>
      <c r="V310" t="s">
        <v>83</v>
      </c>
      <c r="W310" t="s">
        <v>84</v>
      </c>
      <c r="X310" t="s">
        <v>85</v>
      </c>
      <c r="Y310" t="s">
        <v>86</v>
      </c>
      <c r="Z310" t="s">
        <v>87</v>
      </c>
      <c r="AA310" t="s">
        <v>88</v>
      </c>
      <c r="AB310">
        <v>130</v>
      </c>
      <c r="AC310">
        <v>2</v>
      </c>
      <c r="AE310">
        <v>22</v>
      </c>
      <c r="AF310" t="s">
        <v>89</v>
      </c>
      <c r="AG310" t="s">
        <v>384</v>
      </c>
      <c r="AH310" t="s">
        <v>72</v>
      </c>
      <c r="AI310" t="s">
        <v>72</v>
      </c>
      <c r="AJ310" t="s">
        <v>91</v>
      </c>
      <c r="AK310" t="s">
        <v>92</v>
      </c>
      <c r="AL310" t="s">
        <v>93</v>
      </c>
      <c r="AM310" t="s">
        <v>94</v>
      </c>
      <c r="AN310" t="s">
        <v>144</v>
      </c>
      <c r="AO310" t="s">
        <v>145</v>
      </c>
      <c r="AP310" t="s">
        <v>97</v>
      </c>
      <c r="AQ310">
        <v>39</v>
      </c>
      <c r="AR310" t="s">
        <v>80</v>
      </c>
      <c r="AS310">
        <v>1359</v>
      </c>
      <c r="AT310">
        <v>0.96879999999999999</v>
      </c>
      <c r="AU310">
        <v>172</v>
      </c>
      <c r="AV310">
        <v>0.94740000000000002</v>
      </c>
      <c r="AW310" t="s">
        <v>98</v>
      </c>
      <c r="AX310" t="s">
        <v>146</v>
      </c>
      <c r="AY310" t="s">
        <v>127</v>
      </c>
      <c r="AZ310" t="s">
        <v>101</v>
      </c>
      <c r="BA310" t="s">
        <v>128</v>
      </c>
      <c r="BB310" t="s">
        <v>103</v>
      </c>
      <c r="BC310" t="s">
        <v>104</v>
      </c>
      <c r="BD310" t="s">
        <v>105</v>
      </c>
      <c r="BE310">
        <v>5007</v>
      </c>
      <c r="BF310" t="s">
        <v>106</v>
      </c>
      <c r="BG310">
        <v>55</v>
      </c>
      <c r="BH310" t="s">
        <v>80</v>
      </c>
      <c r="BI310">
        <v>1</v>
      </c>
      <c r="BJ310">
        <v>680</v>
      </c>
      <c r="BK310">
        <v>0</v>
      </c>
      <c r="BL310">
        <v>21</v>
      </c>
      <c r="BM310">
        <v>160</v>
      </c>
      <c r="BN310">
        <v>245</v>
      </c>
      <c r="BO310">
        <v>373</v>
      </c>
      <c r="BP310">
        <v>4</v>
      </c>
      <c r="BQ310" s="2">
        <v>160</v>
      </c>
      <c r="BR310">
        <f t="shared" si="68"/>
        <v>681</v>
      </c>
      <c r="BS310">
        <f t="shared" si="69"/>
        <v>1</v>
      </c>
      <c r="BT310">
        <f t="shared" si="70"/>
        <v>22</v>
      </c>
      <c r="BU310">
        <f t="shared" si="71"/>
        <v>161</v>
      </c>
      <c r="BV310">
        <f t="shared" si="72"/>
        <v>246</v>
      </c>
      <c r="BW310">
        <f t="shared" si="73"/>
        <v>374</v>
      </c>
      <c r="BX310">
        <f t="shared" si="74"/>
        <v>5</v>
      </c>
      <c r="BY310" s="2">
        <f t="shared" si="75"/>
        <v>161</v>
      </c>
      <c r="BZ310">
        <f t="shared" si="76"/>
        <v>60.464404825979585</v>
      </c>
      <c r="CA310">
        <v>60.464404825979585</v>
      </c>
      <c r="CB310">
        <v>60.464404825979585</v>
      </c>
      <c r="CC310">
        <v>60.464404825979585</v>
      </c>
      <c r="CD310">
        <v>60.464404825979585</v>
      </c>
      <c r="CE310">
        <v>60.464404825979585</v>
      </c>
      <c r="CF310">
        <v>60.464404825979585</v>
      </c>
      <c r="CG310">
        <v>60.464404825979585</v>
      </c>
      <c r="CH310">
        <f t="shared" si="77"/>
        <v>1.051647329607964</v>
      </c>
      <c r="CI310">
        <f t="shared" si="78"/>
        <v>-1.7814997823048211</v>
      </c>
      <c r="CJ310">
        <f t="shared" si="79"/>
        <v>-0.43907710148261492</v>
      </c>
      <c r="CK310">
        <f t="shared" si="80"/>
        <v>0.42532609372702862</v>
      </c>
      <c r="CL310">
        <f t="shared" si="81"/>
        <v>0.609435324798558</v>
      </c>
      <c r="CM310">
        <f t="shared" si="82"/>
        <v>0.79137181989565908</v>
      </c>
      <c r="CN310">
        <f t="shared" si="83"/>
        <v>-1.0825297779688023</v>
      </c>
      <c r="CO310" s="2">
        <f t="shared" si="84"/>
        <v>0.42532609372702862</v>
      </c>
      <c r="CP310">
        <v>0.586454788209406</v>
      </c>
      <c r="CQ310">
        <v>-2.2527165794045199</v>
      </c>
      <c r="CR310">
        <v>0.53340212603755399</v>
      </c>
      <c r="CS310">
        <v>-0.39217325937880498</v>
      </c>
      <c r="CT310">
        <v>-0.19096271501947901</v>
      </c>
      <c r="CU310">
        <v>-0.14187467116785901</v>
      </c>
      <c r="CV310">
        <v>-0.22703696270123</v>
      </c>
      <c r="CW310">
        <v>-0.316148250481599</v>
      </c>
      <c r="CX310" t="s">
        <v>1827</v>
      </c>
    </row>
    <row r="311" spans="1:102" x14ac:dyDescent="0.35">
      <c r="A311" t="s">
        <v>1596</v>
      </c>
      <c r="B311" t="s">
        <v>89</v>
      </c>
      <c r="C311" t="s">
        <v>281</v>
      </c>
      <c r="D311" t="s">
        <v>72</v>
      </c>
      <c r="E311" t="s">
        <v>72</v>
      </c>
      <c r="F311" t="s">
        <v>72</v>
      </c>
      <c r="G311" t="s">
        <v>73</v>
      </c>
      <c r="H311" t="s">
        <v>74</v>
      </c>
      <c r="I311" t="s">
        <v>75</v>
      </c>
      <c r="J311" t="s">
        <v>76</v>
      </c>
      <c r="K311" t="s">
        <v>77</v>
      </c>
      <c r="L311" t="s">
        <v>78</v>
      </c>
      <c r="M311" t="s">
        <v>79</v>
      </c>
      <c r="N311">
        <v>60</v>
      </c>
      <c r="O311" t="s">
        <v>80</v>
      </c>
      <c r="P311">
        <v>792</v>
      </c>
      <c r="Q311">
        <v>0.75</v>
      </c>
      <c r="R311">
        <v>177</v>
      </c>
      <c r="S311">
        <v>0.85419999999999996</v>
      </c>
      <c r="T311" t="s">
        <v>81</v>
      </c>
      <c r="U311" t="s">
        <v>82</v>
      </c>
      <c r="V311" t="s">
        <v>83</v>
      </c>
      <c r="W311" t="s">
        <v>84</v>
      </c>
      <c r="X311" t="s">
        <v>85</v>
      </c>
      <c r="Y311" t="s">
        <v>86</v>
      </c>
      <c r="Z311" t="s">
        <v>87</v>
      </c>
      <c r="AA311" t="s">
        <v>88</v>
      </c>
      <c r="AB311">
        <v>593</v>
      </c>
      <c r="AC311">
        <v>6</v>
      </c>
      <c r="AE311">
        <v>22</v>
      </c>
      <c r="AF311" t="s">
        <v>142</v>
      </c>
      <c r="AG311" t="s">
        <v>384</v>
      </c>
      <c r="AH311" t="s">
        <v>72</v>
      </c>
      <c r="AI311" t="s">
        <v>72</v>
      </c>
      <c r="AJ311" t="s">
        <v>91</v>
      </c>
      <c r="AK311" t="s">
        <v>92</v>
      </c>
      <c r="AL311" t="s">
        <v>93</v>
      </c>
      <c r="AM311" t="s">
        <v>94</v>
      </c>
      <c r="AN311" t="s">
        <v>144</v>
      </c>
      <c r="AO311" t="s">
        <v>145</v>
      </c>
      <c r="AP311" t="s">
        <v>97</v>
      </c>
      <c r="AQ311">
        <v>39</v>
      </c>
      <c r="AR311" t="s">
        <v>80</v>
      </c>
      <c r="AS311">
        <v>1359</v>
      </c>
      <c r="AT311">
        <v>0.96879999999999999</v>
      </c>
      <c r="AU311">
        <v>172</v>
      </c>
      <c r="AV311">
        <v>0.94740000000000002</v>
      </c>
      <c r="AW311" t="s">
        <v>98</v>
      </c>
      <c r="AX311" t="s">
        <v>146</v>
      </c>
      <c r="AY311" t="s">
        <v>127</v>
      </c>
      <c r="AZ311" t="s">
        <v>101</v>
      </c>
      <c r="BA311" t="s">
        <v>128</v>
      </c>
      <c r="BB311" t="s">
        <v>103</v>
      </c>
      <c r="BC311" t="s">
        <v>104</v>
      </c>
      <c r="BD311" t="s">
        <v>105</v>
      </c>
      <c r="BE311">
        <v>8007</v>
      </c>
      <c r="BF311" t="s">
        <v>106</v>
      </c>
      <c r="BG311">
        <v>116</v>
      </c>
      <c r="BH311" t="s">
        <v>80</v>
      </c>
      <c r="BI311">
        <v>1</v>
      </c>
      <c r="BJ311">
        <v>3031</v>
      </c>
      <c r="BK311">
        <v>10</v>
      </c>
      <c r="BL311">
        <v>66</v>
      </c>
      <c r="BM311">
        <v>638</v>
      </c>
      <c r="BN311">
        <v>813</v>
      </c>
      <c r="BO311">
        <v>1275</v>
      </c>
      <c r="BP311">
        <v>31</v>
      </c>
      <c r="BQ311" s="2">
        <v>647</v>
      </c>
      <c r="BR311">
        <f t="shared" si="68"/>
        <v>3032</v>
      </c>
      <c r="BS311">
        <f t="shared" si="69"/>
        <v>11</v>
      </c>
      <c r="BT311">
        <f t="shared" si="70"/>
        <v>67</v>
      </c>
      <c r="BU311">
        <f t="shared" si="71"/>
        <v>639</v>
      </c>
      <c r="BV311">
        <f t="shared" si="72"/>
        <v>814</v>
      </c>
      <c r="BW311">
        <f t="shared" si="73"/>
        <v>1276</v>
      </c>
      <c r="BX311">
        <f t="shared" si="74"/>
        <v>32</v>
      </c>
      <c r="BY311" s="2">
        <f t="shared" si="75"/>
        <v>648</v>
      </c>
      <c r="BZ311">
        <f t="shared" si="76"/>
        <v>272.88973576477667</v>
      </c>
      <c r="CA311">
        <v>272.88973576477667</v>
      </c>
      <c r="CB311">
        <v>272.88973576477667</v>
      </c>
      <c r="CC311">
        <v>272.88973576477667</v>
      </c>
      <c r="CD311">
        <v>272.88973576477667</v>
      </c>
      <c r="CE311">
        <v>272.88973576477667</v>
      </c>
      <c r="CF311">
        <v>272.88973576477667</v>
      </c>
      <c r="CG311">
        <v>272.88973576477667</v>
      </c>
      <c r="CH311">
        <f t="shared" si="77"/>
        <v>1.045741996154727</v>
      </c>
      <c r="CI311">
        <f t="shared" si="78"/>
        <v>-1.3945945156470638</v>
      </c>
      <c r="CJ311">
        <f t="shared" si="79"/>
        <v>-0.60991239810446252</v>
      </c>
      <c r="CK311">
        <f t="shared" si="80"/>
        <v>0.3695136573531112</v>
      </c>
      <c r="CL311">
        <f t="shared" si="81"/>
        <v>0.4746372040839123</v>
      </c>
      <c r="CM311">
        <f t="shared" si="82"/>
        <v>0.66986347357985465</v>
      </c>
      <c r="CN311">
        <f t="shared" si="83"/>
        <v>-0.93083722248538292</v>
      </c>
      <c r="CO311" s="2">
        <f t="shared" si="84"/>
        <v>0.37558780506530437</v>
      </c>
      <c r="CP311">
        <v>0.57935992957617799</v>
      </c>
      <c r="CQ311">
        <v>0.67940008006405594</v>
      </c>
      <c r="CR311">
        <v>-0.22986904841455899</v>
      </c>
      <c r="CS311">
        <v>-0.55662180716734599</v>
      </c>
      <c r="CT311">
        <v>-0.56618880251745396</v>
      </c>
      <c r="CU311">
        <v>-0.49276574123936501</v>
      </c>
      <c r="CV311">
        <v>0.179798495600442</v>
      </c>
      <c r="CW311">
        <v>-0.452762089289173</v>
      </c>
      <c r="CX311" t="s">
        <v>1827</v>
      </c>
    </row>
    <row r="312" spans="1:102" x14ac:dyDescent="0.35">
      <c r="A312" t="s">
        <v>1701</v>
      </c>
      <c r="B312" t="s">
        <v>159</v>
      </c>
      <c r="C312" t="s">
        <v>849</v>
      </c>
      <c r="D312" t="s">
        <v>72</v>
      </c>
      <c r="E312" t="s">
        <v>72</v>
      </c>
      <c r="F312" t="s">
        <v>72</v>
      </c>
      <c r="G312" t="s">
        <v>73</v>
      </c>
      <c r="H312" t="s">
        <v>109</v>
      </c>
      <c r="I312" t="s">
        <v>110</v>
      </c>
      <c r="J312" t="s">
        <v>111</v>
      </c>
      <c r="K312" t="s">
        <v>112</v>
      </c>
      <c r="L312" t="s">
        <v>113</v>
      </c>
      <c r="M312" t="s">
        <v>114</v>
      </c>
      <c r="N312">
        <v>48</v>
      </c>
      <c r="O312" t="s">
        <v>80</v>
      </c>
      <c r="P312">
        <v>621</v>
      </c>
      <c r="Q312">
        <v>0.68400000000000005</v>
      </c>
      <c r="R312">
        <v>175</v>
      </c>
      <c r="S312">
        <v>0.81130000000000002</v>
      </c>
      <c r="T312" t="s">
        <v>115</v>
      </c>
      <c r="U312" t="s">
        <v>116</v>
      </c>
      <c r="V312" t="s">
        <v>117</v>
      </c>
      <c r="W312" t="s">
        <v>118</v>
      </c>
      <c r="X312" t="s">
        <v>119</v>
      </c>
      <c r="Y312" t="s">
        <v>120</v>
      </c>
      <c r="Z312" t="s">
        <v>121</v>
      </c>
      <c r="AA312" t="s">
        <v>88</v>
      </c>
      <c r="AB312">
        <v>799</v>
      </c>
      <c r="AC312">
        <v>5</v>
      </c>
      <c r="AE312">
        <v>1</v>
      </c>
      <c r="AF312" t="s">
        <v>153</v>
      </c>
      <c r="AG312" t="s">
        <v>1702</v>
      </c>
      <c r="AH312" t="s">
        <v>72</v>
      </c>
      <c r="AI312" t="s">
        <v>72</v>
      </c>
      <c r="AJ312" t="s">
        <v>91</v>
      </c>
      <c r="AK312" t="s">
        <v>92</v>
      </c>
      <c r="AL312" t="s">
        <v>93</v>
      </c>
      <c r="AM312" t="s">
        <v>94</v>
      </c>
      <c r="AN312" t="s">
        <v>1703</v>
      </c>
      <c r="AO312" t="s">
        <v>1704</v>
      </c>
      <c r="AP312" t="s">
        <v>1238</v>
      </c>
      <c r="AQ312">
        <v>39</v>
      </c>
      <c r="AR312" t="s">
        <v>80</v>
      </c>
      <c r="AS312">
        <v>1314</v>
      </c>
      <c r="AT312">
        <v>0.95140000000000002</v>
      </c>
      <c r="AU312">
        <v>163</v>
      </c>
      <c r="AV312">
        <v>0.92110000000000003</v>
      </c>
      <c r="AW312" t="s">
        <v>1705</v>
      </c>
      <c r="AX312" t="s">
        <v>1706</v>
      </c>
      <c r="AY312" t="s">
        <v>127</v>
      </c>
      <c r="AZ312" t="s">
        <v>136</v>
      </c>
      <c r="BA312" t="s">
        <v>1707</v>
      </c>
      <c r="BB312" t="s">
        <v>103</v>
      </c>
      <c r="BC312" t="s">
        <v>1241</v>
      </c>
      <c r="BD312" t="s">
        <v>105</v>
      </c>
      <c r="BE312">
        <v>4542</v>
      </c>
      <c r="BF312" t="s">
        <v>1242</v>
      </c>
      <c r="BG312">
        <v>44</v>
      </c>
      <c r="BH312" t="s">
        <v>80</v>
      </c>
      <c r="BI312">
        <v>1</v>
      </c>
      <c r="BJ312">
        <v>455</v>
      </c>
      <c r="BK312">
        <v>0</v>
      </c>
      <c r="BL312">
        <v>11</v>
      </c>
      <c r="BM312">
        <v>98</v>
      </c>
      <c r="BN312">
        <v>134</v>
      </c>
      <c r="BO312">
        <v>226</v>
      </c>
      <c r="BP312">
        <v>4</v>
      </c>
      <c r="BQ312" s="2">
        <v>97</v>
      </c>
      <c r="BR312">
        <f t="shared" si="68"/>
        <v>456</v>
      </c>
      <c r="BS312">
        <f t="shared" si="69"/>
        <v>1</v>
      </c>
      <c r="BT312">
        <f t="shared" si="70"/>
        <v>12</v>
      </c>
      <c r="BU312">
        <f t="shared" si="71"/>
        <v>99</v>
      </c>
      <c r="BV312">
        <f t="shared" si="72"/>
        <v>135</v>
      </c>
      <c r="BW312">
        <f t="shared" si="73"/>
        <v>227</v>
      </c>
      <c r="BX312">
        <f t="shared" si="74"/>
        <v>5</v>
      </c>
      <c r="BY312" s="2">
        <f t="shared" si="75"/>
        <v>98</v>
      </c>
      <c r="BZ312">
        <f t="shared" si="76"/>
        <v>41.095297013427853</v>
      </c>
      <c r="CA312">
        <v>41.095297013427853</v>
      </c>
      <c r="CB312">
        <v>41.095297013427853</v>
      </c>
      <c r="CC312">
        <v>41.095297013427853</v>
      </c>
      <c r="CD312">
        <v>41.095297013427853</v>
      </c>
      <c r="CE312">
        <v>41.095297013427853</v>
      </c>
      <c r="CF312">
        <v>41.095297013427853</v>
      </c>
      <c r="CG312">
        <v>41.095297013427853</v>
      </c>
      <c r="CH312">
        <f t="shared" si="77"/>
        <v>1.0451727190361535</v>
      </c>
      <c r="CI312">
        <f t="shared" si="78"/>
        <v>-1.6137921236282815</v>
      </c>
      <c r="CJ312">
        <f t="shared" si="79"/>
        <v>-0.53461087758065673</v>
      </c>
      <c r="CK312">
        <f t="shared" si="80"/>
        <v>0.38184307096926839</v>
      </c>
      <c r="CL312">
        <f t="shared" si="81"/>
        <v>0.5165416448667246</v>
      </c>
      <c r="CM312">
        <f t="shared" si="82"/>
        <v>0.74223373356484112</v>
      </c>
      <c r="CN312">
        <f t="shared" si="83"/>
        <v>-0.91482211929226276</v>
      </c>
      <c r="CO312" s="2">
        <f t="shared" si="84"/>
        <v>0.37743395206421332</v>
      </c>
      <c r="CP312">
        <v>0.578675981631258</v>
      </c>
      <c r="CQ312">
        <v>-2.2527165794045199</v>
      </c>
      <c r="CR312">
        <v>0.106568919293366</v>
      </c>
      <c r="CS312">
        <v>-0.52029380760327704</v>
      </c>
      <c r="CT312">
        <v>-0.44954296739479199</v>
      </c>
      <c r="CU312">
        <v>-0.283775340682971</v>
      </c>
      <c r="CV312">
        <v>0.22275058264622899</v>
      </c>
      <c r="CW312">
        <v>-0.44769136338946702</v>
      </c>
      <c r="CX312" t="s">
        <v>1827</v>
      </c>
    </row>
    <row r="313" spans="1:102" x14ac:dyDescent="0.35">
      <c r="A313" t="s">
        <v>1575</v>
      </c>
      <c r="B313" t="s">
        <v>142</v>
      </c>
      <c r="C313" t="s">
        <v>1210</v>
      </c>
      <c r="D313" t="s">
        <v>72</v>
      </c>
      <c r="E313" t="s">
        <v>72</v>
      </c>
      <c r="F313" t="s">
        <v>72</v>
      </c>
      <c r="G313" t="s">
        <v>73</v>
      </c>
      <c r="H313" t="s">
        <v>74</v>
      </c>
      <c r="I313" t="s">
        <v>75</v>
      </c>
      <c r="J313" t="s">
        <v>76</v>
      </c>
      <c r="K313" t="s">
        <v>77</v>
      </c>
      <c r="L313" t="s">
        <v>78</v>
      </c>
      <c r="M313" t="s">
        <v>79</v>
      </c>
      <c r="N313">
        <v>60</v>
      </c>
      <c r="O313" t="s">
        <v>80</v>
      </c>
      <c r="P313">
        <v>792</v>
      </c>
      <c r="Q313">
        <v>0.75</v>
      </c>
      <c r="R313">
        <v>177</v>
      </c>
      <c r="S313">
        <v>0.85419999999999996</v>
      </c>
      <c r="T313" t="s">
        <v>81</v>
      </c>
      <c r="U313" t="s">
        <v>82</v>
      </c>
      <c r="V313" t="s">
        <v>83</v>
      </c>
      <c r="W313" t="s">
        <v>84</v>
      </c>
      <c r="X313" t="s">
        <v>85</v>
      </c>
      <c r="Y313" t="s">
        <v>86</v>
      </c>
      <c r="Z313" t="s">
        <v>87</v>
      </c>
      <c r="AA313" t="s">
        <v>88</v>
      </c>
      <c r="AB313">
        <v>101</v>
      </c>
      <c r="AC313">
        <v>3</v>
      </c>
      <c r="AE313">
        <v>22</v>
      </c>
      <c r="AF313" t="s">
        <v>89</v>
      </c>
      <c r="AG313" t="s">
        <v>1576</v>
      </c>
      <c r="AH313" t="s">
        <v>72</v>
      </c>
      <c r="AI313" t="s">
        <v>72</v>
      </c>
      <c r="AJ313" t="s">
        <v>91</v>
      </c>
      <c r="AK313" t="s">
        <v>92</v>
      </c>
      <c r="AL313" t="s">
        <v>93</v>
      </c>
      <c r="AM313" t="s">
        <v>94</v>
      </c>
      <c r="AN313" t="s">
        <v>144</v>
      </c>
      <c r="AO313" t="s">
        <v>145</v>
      </c>
      <c r="AP313" t="s">
        <v>97</v>
      </c>
      <c r="AQ313">
        <v>39</v>
      </c>
      <c r="AR313" t="s">
        <v>80</v>
      </c>
      <c r="AS313">
        <v>1359</v>
      </c>
      <c r="AT313">
        <v>0.96879999999999999</v>
      </c>
      <c r="AU313">
        <v>172</v>
      </c>
      <c r="AV313">
        <v>0.94740000000000002</v>
      </c>
      <c r="AW313" t="s">
        <v>98</v>
      </c>
      <c r="AX313" t="s">
        <v>146</v>
      </c>
      <c r="AY313" t="s">
        <v>127</v>
      </c>
      <c r="AZ313" t="s">
        <v>101</v>
      </c>
      <c r="BA313" t="s">
        <v>128</v>
      </c>
      <c r="BB313" t="s">
        <v>103</v>
      </c>
      <c r="BC313" t="s">
        <v>104</v>
      </c>
      <c r="BD313" t="s">
        <v>105</v>
      </c>
      <c r="BE313">
        <v>4508</v>
      </c>
      <c r="BF313" t="s">
        <v>106</v>
      </c>
      <c r="BG313">
        <v>59</v>
      </c>
      <c r="BH313" t="s">
        <v>80</v>
      </c>
      <c r="BI313">
        <v>1</v>
      </c>
      <c r="BJ313">
        <v>1303</v>
      </c>
      <c r="BK313">
        <v>8</v>
      </c>
      <c r="BL313">
        <v>23</v>
      </c>
      <c r="BM313">
        <v>259</v>
      </c>
      <c r="BN313">
        <v>369</v>
      </c>
      <c r="BO313">
        <v>518</v>
      </c>
      <c r="BP313">
        <v>9</v>
      </c>
      <c r="BQ313" s="2">
        <v>287</v>
      </c>
      <c r="BR313">
        <f t="shared" si="68"/>
        <v>1304</v>
      </c>
      <c r="BS313">
        <f t="shared" si="69"/>
        <v>9</v>
      </c>
      <c r="BT313">
        <f t="shared" si="70"/>
        <v>24</v>
      </c>
      <c r="BU313">
        <f t="shared" si="71"/>
        <v>260</v>
      </c>
      <c r="BV313">
        <f t="shared" si="72"/>
        <v>370</v>
      </c>
      <c r="BW313">
        <f t="shared" si="73"/>
        <v>519</v>
      </c>
      <c r="BX313">
        <f t="shared" si="74"/>
        <v>10</v>
      </c>
      <c r="BY313" s="2">
        <f t="shared" si="75"/>
        <v>288</v>
      </c>
      <c r="BZ313">
        <f t="shared" si="76"/>
        <v>119.10590203106366</v>
      </c>
      <c r="CA313">
        <v>119.10590203106366</v>
      </c>
      <c r="CB313">
        <v>119.10590203106366</v>
      </c>
      <c r="CC313">
        <v>119.10590203106366</v>
      </c>
      <c r="CD313">
        <v>119.10590203106366</v>
      </c>
      <c r="CE313">
        <v>119.10590203106366</v>
      </c>
      <c r="CF313">
        <v>119.10590203106366</v>
      </c>
      <c r="CG313">
        <v>119.10590203106366</v>
      </c>
      <c r="CH313">
        <f t="shared" si="77"/>
        <v>1.0393443088718597</v>
      </c>
      <c r="CI313">
        <f t="shared" si="78"/>
        <v>-1.1216907730847168</v>
      </c>
      <c r="CJ313">
        <f t="shared" si="79"/>
        <v>-0.69572204081243572</v>
      </c>
      <c r="CK313">
        <f t="shared" si="80"/>
        <v>0.33904006544677623</v>
      </c>
      <c r="CL313">
        <f t="shared" si="81"/>
        <v>0.49226844154295324</v>
      </c>
      <c r="CM313">
        <f t="shared" si="82"/>
        <v>0.63923407532441612</v>
      </c>
      <c r="CN313">
        <f t="shared" si="83"/>
        <v>-1.0759332825240417</v>
      </c>
      <c r="CO313" s="2">
        <f t="shared" si="84"/>
        <v>0.38345920523518917</v>
      </c>
      <c r="CP313">
        <v>0.57167354112563895</v>
      </c>
      <c r="CQ313">
        <v>1.4856135417785099</v>
      </c>
      <c r="CR313">
        <v>-0.61325601857921797</v>
      </c>
      <c r="CS313">
        <v>-0.64641071911026504</v>
      </c>
      <c r="CT313">
        <v>-0.51711022327295197</v>
      </c>
      <c r="CU313">
        <v>-0.58121713289573596</v>
      </c>
      <c r="CV313">
        <v>-0.20934533479700199</v>
      </c>
      <c r="CW313">
        <v>-0.43114208138516003</v>
      </c>
      <c r="CX313" t="s">
        <v>1827</v>
      </c>
    </row>
    <row r="314" spans="1:102" x14ac:dyDescent="0.35">
      <c r="A314" t="s">
        <v>993</v>
      </c>
      <c r="B314" t="s">
        <v>148</v>
      </c>
      <c r="C314" t="s">
        <v>152</v>
      </c>
      <c r="D314" t="s">
        <v>72</v>
      </c>
      <c r="E314" t="s">
        <v>72</v>
      </c>
      <c r="F314" t="s">
        <v>72</v>
      </c>
      <c r="G314" t="s">
        <v>73</v>
      </c>
      <c r="H314" t="s">
        <v>109</v>
      </c>
      <c r="I314" t="s">
        <v>110</v>
      </c>
      <c r="J314" t="s">
        <v>111</v>
      </c>
      <c r="K314" t="s">
        <v>112</v>
      </c>
      <c r="L314" t="s">
        <v>113</v>
      </c>
      <c r="M314" t="s">
        <v>114</v>
      </c>
      <c r="N314">
        <v>48</v>
      </c>
      <c r="O314" t="s">
        <v>80</v>
      </c>
      <c r="P314">
        <v>621</v>
      </c>
      <c r="Q314">
        <v>0.68400000000000005</v>
      </c>
      <c r="R314">
        <v>175</v>
      </c>
      <c r="S314">
        <v>0.81130000000000002</v>
      </c>
      <c r="T314" t="s">
        <v>115</v>
      </c>
      <c r="U314" t="s">
        <v>116</v>
      </c>
      <c r="V314" t="s">
        <v>117</v>
      </c>
      <c r="W314" t="s">
        <v>118</v>
      </c>
      <c r="X314" t="s">
        <v>119</v>
      </c>
      <c r="Y314" t="s">
        <v>120</v>
      </c>
      <c r="Z314" t="s">
        <v>121</v>
      </c>
      <c r="AA314" t="s">
        <v>88</v>
      </c>
      <c r="AB314">
        <v>540</v>
      </c>
      <c r="AC314">
        <v>6</v>
      </c>
      <c r="AE314">
        <v>1</v>
      </c>
      <c r="AF314" t="s">
        <v>89</v>
      </c>
      <c r="AG314" t="s">
        <v>994</v>
      </c>
      <c r="AH314" t="s">
        <v>72</v>
      </c>
      <c r="AI314" t="s">
        <v>72</v>
      </c>
      <c r="AJ314" t="s">
        <v>91</v>
      </c>
      <c r="AK314" t="s">
        <v>92</v>
      </c>
      <c r="AL314" t="s">
        <v>93</v>
      </c>
      <c r="AM314" t="s">
        <v>94</v>
      </c>
      <c r="AN314" t="s">
        <v>144</v>
      </c>
      <c r="AO314" t="s">
        <v>145</v>
      </c>
      <c r="AP314" t="s">
        <v>97</v>
      </c>
      <c r="AQ314">
        <v>39</v>
      </c>
      <c r="AR314" t="s">
        <v>80</v>
      </c>
      <c r="AS314">
        <v>1359</v>
      </c>
      <c r="AT314">
        <v>0.96879999999999999</v>
      </c>
      <c r="AU314">
        <v>172</v>
      </c>
      <c r="AV314">
        <v>0.94740000000000002</v>
      </c>
      <c r="AW314" t="s">
        <v>98</v>
      </c>
      <c r="AX314" t="s">
        <v>146</v>
      </c>
      <c r="AY314" t="s">
        <v>127</v>
      </c>
      <c r="AZ314" t="s">
        <v>101</v>
      </c>
      <c r="BA314" t="s">
        <v>128</v>
      </c>
      <c r="BB314" t="s">
        <v>103</v>
      </c>
      <c r="BC314" t="s">
        <v>104</v>
      </c>
      <c r="BD314" t="s">
        <v>105</v>
      </c>
      <c r="BE314">
        <v>5454</v>
      </c>
      <c r="BF314" t="s">
        <v>106</v>
      </c>
      <c r="BG314">
        <v>85</v>
      </c>
      <c r="BH314" t="s">
        <v>80</v>
      </c>
      <c r="BI314">
        <v>1</v>
      </c>
      <c r="BJ314">
        <v>1440</v>
      </c>
      <c r="BK314">
        <v>4</v>
      </c>
      <c r="BL314">
        <v>41</v>
      </c>
      <c r="BM314">
        <v>294</v>
      </c>
      <c r="BN314">
        <v>349</v>
      </c>
      <c r="BO314">
        <v>634</v>
      </c>
      <c r="BP314">
        <v>14</v>
      </c>
      <c r="BQ314" s="2">
        <v>302</v>
      </c>
      <c r="BR314">
        <f t="shared" si="68"/>
        <v>1441</v>
      </c>
      <c r="BS314">
        <f t="shared" si="69"/>
        <v>5</v>
      </c>
      <c r="BT314">
        <f t="shared" si="70"/>
        <v>42</v>
      </c>
      <c r="BU314">
        <f t="shared" si="71"/>
        <v>295</v>
      </c>
      <c r="BV314">
        <f t="shared" si="72"/>
        <v>350</v>
      </c>
      <c r="BW314">
        <f t="shared" si="73"/>
        <v>635</v>
      </c>
      <c r="BX314">
        <f t="shared" si="74"/>
        <v>15</v>
      </c>
      <c r="BY314" s="2">
        <f t="shared" si="75"/>
        <v>303</v>
      </c>
      <c r="BZ314">
        <f t="shared" si="76"/>
        <v>131.63916491869534</v>
      </c>
      <c r="CA314">
        <v>131.63916491869534</v>
      </c>
      <c r="CB314">
        <v>131.63916491869534</v>
      </c>
      <c r="CC314">
        <v>131.63916491869534</v>
      </c>
      <c r="CD314">
        <v>131.63916491869534</v>
      </c>
      <c r="CE314">
        <v>131.63916491869534</v>
      </c>
      <c r="CF314">
        <v>131.63916491869534</v>
      </c>
      <c r="CG314">
        <v>131.63916491869534</v>
      </c>
      <c r="CH314">
        <f t="shared" si="77"/>
        <v>1.0392788622232008</v>
      </c>
      <c r="CI314">
        <f t="shared" si="78"/>
        <v>-1.4204151142547699</v>
      </c>
      <c r="CJ314">
        <f t="shared" si="79"/>
        <v>-0.49613582819288821</v>
      </c>
      <c r="CK314">
        <f t="shared" si="80"/>
        <v>0.35043689738737438</v>
      </c>
      <c r="CL314">
        <f t="shared" si="81"/>
        <v>0.42468292575948702</v>
      </c>
      <c r="CM314">
        <f t="shared" si="82"/>
        <v>0.68338860670118706</v>
      </c>
      <c r="CN314">
        <f t="shared" si="83"/>
        <v>-0.94329385953510736</v>
      </c>
      <c r="CO314" s="2">
        <f t="shared" si="84"/>
        <v>0.36205750991151642</v>
      </c>
      <c r="CP314">
        <v>0.57159491140490803</v>
      </c>
      <c r="CQ314">
        <v>0.60312075171332102</v>
      </c>
      <c r="CR314">
        <v>0.27847072596924499</v>
      </c>
      <c r="CS314">
        <v>-0.61283052473449595</v>
      </c>
      <c r="CT314">
        <v>-0.70524228716609005</v>
      </c>
      <c r="CU314">
        <v>-0.45370794333740599</v>
      </c>
      <c r="CV314">
        <v>0.146390121492221</v>
      </c>
      <c r="CW314">
        <v>-0.48992512024365198</v>
      </c>
      <c r="CX314" t="s">
        <v>1827</v>
      </c>
    </row>
    <row r="315" spans="1:102" x14ac:dyDescent="0.35">
      <c r="A315" t="s">
        <v>1739</v>
      </c>
      <c r="B315" t="s">
        <v>159</v>
      </c>
      <c r="C315" t="s">
        <v>1657</v>
      </c>
      <c r="D315" t="s">
        <v>72</v>
      </c>
      <c r="E315" t="s">
        <v>72</v>
      </c>
      <c r="F315" t="s">
        <v>72</v>
      </c>
      <c r="G315" t="s">
        <v>73</v>
      </c>
      <c r="H315" t="s">
        <v>74</v>
      </c>
      <c r="I315" t="s">
        <v>75</v>
      </c>
      <c r="J315" t="s">
        <v>76</v>
      </c>
      <c r="K315" t="s">
        <v>77</v>
      </c>
      <c r="L315" t="s">
        <v>78</v>
      </c>
      <c r="M315" t="s">
        <v>79</v>
      </c>
      <c r="N315">
        <v>60</v>
      </c>
      <c r="O315" t="s">
        <v>80</v>
      </c>
      <c r="P315">
        <v>792</v>
      </c>
      <c r="Q315">
        <v>0.75</v>
      </c>
      <c r="R315">
        <v>177</v>
      </c>
      <c r="S315">
        <v>0.85419999999999996</v>
      </c>
      <c r="T315" t="s">
        <v>81</v>
      </c>
      <c r="U315" t="s">
        <v>82</v>
      </c>
      <c r="V315" t="s">
        <v>83</v>
      </c>
      <c r="W315" t="s">
        <v>84</v>
      </c>
      <c r="X315" t="s">
        <v>85</v>
      </c>
      <c r="Y315" t="s">
        <v>86</v>
      </c>
      <c r="Z315" t="s">
        <v>87</v>
      </c>
      <c r="AA315" t="s">
        <v>88</v>
      </c>
      <c r="AB315">
        <v>377</v>
      </c>
      <c r="AC315">
        <v>2</v>
      </c>
      <c r="AE315">
        <v>22</v>
      </c>
      <c r="AF315" t="s">
        <v>142</v>
      </c>
      <c r="AG315" t="s">
        <v>384</v>
      </c>
      <c r="AH315" t="s">
        <v>72</v>
      </c>
      <c r="AI315" t="s">
        <v>72</v>
      </c>
      <c r="AJ315" t="s">
        <v>91</v>
      </c>
      <c r="AK315" t="s">
        <v>92</v>
      </c>
      <c r="AL315" t="s">
        <v>93</v>
      </c>
      <c r="AM315" t="s">
        <v>94</v>
      </c>
      <c r="AN315" t="s">
        <v>144</v>
      </c>
      <c r="AO315" t="s">
        <v>145</v>
      </c>
      <c r="AP315" t="s">
        <v>97</v>
      </c>
      <c r="AQ315">
        <v>39</v>
      </c>
      <c r="AR315" t="s">
        <v>80</v>
      </c>
      <c r="AS315">
        <v>1359</v>
      </c>
      <c r="AT315">
        <v>0.96879999999999999</v>
      </c>
      <c r="AU315">
        <v>172</v>
      </c>
      <c r="AV315">
        <v>0.94740000000000002</v>
      </c>
      <c r="AW315" t="s">
        <v>98</v>
      </c>
      <c r="AX315" t="s">
        <v>146</v>
      </c>
      <c r="AY315" t="s">
        <v>127</v>
      </c>
      <c r="AZ315" t="s">
        <v>101</v>
      </c>
      <c r="BA315" t="s">
        <v>128</v>
      </c>
      <c r="BB315" t="s">
        <v>103</v>
      </c>
      <c r="BC315" t="s">
        <v>104</v>
      </c>
      <c r="BD315" t="s">
        <v>105</v>
      </c>
      <c r="BE315">
        <v>5834</v>
      </c>
      <c r="BF315" t="s">
        <v>106</v>
      </c>
      <c r="BG315">
        <v>70</v>
      </c>
      <c r="BH315" t="s">
        <v>80</v>
      </c>
      <c r="BI315">
        <v>1</v>
      </c>
      <c r="BJ315">
        <v>933</v>
      </c>
      <c r="BK315">
        <v>0</v>
      </c>
      <c r="BL315">
        <v>24</v>
      </c>
      <c r="BM315">
        <v>253</v>
      </c>
      <c r="BN315">
        <v>321</v>
      </c>
      <c r="BO315">
        <v>510</v>
      </c>
      <c r="BP315">
        <v>12</v>
      </c>
      <c r="BQ315" s="2">
        <v>238</v>
      </c>
      <c r="BR315">
        <f t="shared" si="68"/>
        <v>934</v>
      </c>
      <c r="BS315">
        <f t="shared" si="69"/>
        <v>1</v>
      </c>
      <c r="BT315">
        <f t="shared" si="70"/>
        <v>25</v>
      </c>
      <c r="BU315">
        <f t="shared" si="71"/>
        <v>254</v>
      </c>
      <c r="BV315">
        <f t="shared" si="72"/>
        <v>322</v>
      </c>
      <c r="BW315">
        <f t="shared" si="73"/>
        <v>511</v>
      </c>
      <c r="BX315">
        <f t="shared" si="74"/>
        <v>13</v>
      </c>
      <c r="BY315" s="2">
        <f t="shared" si="75"/>
        <v>239</v>
      </c>
      <c r="BZ315">
        <f t="shared" si="76"/>
        <v>86.142471588553946</v>
      </c>
      <c r="CA315">
        <v>86.142471588553946</v>
      </c>
      <c r="CB315">
        <v>86.142471588553946</v>
      </c>
      <c r="CC315">
        <v>86.142471588553946</v>
      </c>
      <c r="CD315">
        <v>86.142471588553946</v>
      </c>
      <c r="CE315">
        <v>86.142471588553946</v>
      </c>
      <c r="CF315">
        <v>86.142471588553946</v>
      </c>
      <c r="CG315">
        <v>86.142471588553946</v>
      </c>
      <c r="CH315">
        <f t="shared" si="77"/>
        <v>1.0351295479041449</v>
      </c>
      <c r="CI315">
        <f t="shared" si="78"/>
        <v>-1.9352173283259484</v>
      </c>
      <c r="CJ315">
        <f t="shared" si="79"/>
        <v>-0.53727731965391079</v>
      </c>
      <c r="CK315">
        <f t="shared" si="80"/>
        <v>0.46961638829398966</v>
      </c>
      <c r="CL315">
        <f t="shared" si="81"/>
        <v>0.57263854336988251</v>
      </c>
      <c r="CM315">
        <f t="shared" si="82"/>
        <v>0.77320357180876442</v>
      </c>
      <c r="CN315">
        <f t="shared" si="83"/>
        <v>-0.82127397601911156</v>
      </c>
      <c r="CO315" s="2">
        <f t="shared" si="84"/>
        <v>0.44318057262218929</v>
      </c>
      <c r="CP315">
        <v>0.56660979096223596</v>
      </c>
      <c r="CQ315">
        <v>-2.2527165794045199</v>
      </c>
      <c r="CR315">
        <v>9.4655582804325802E-2</v>
      </c>
      <c r="CS315">
        <v>-0.261674125209718</v>
      </c>
      <c r="CT315">
        <v>-0.29339079231610798</v>
      </c>
      <c r="CU315">
        <v>-0.194340828479934</v>
      </c>
      <c r="CV315">
        <v>0.47364425122815901</v>
      </c>
      <c r="CW315">
        <v>-0.26710818562601502</v>
      </c>
      <c r="CX315" t="s">
        <v>1827</v>
      </c>
    </row>
    <row r="316" spans="1:102" x14ac:dyDescent="0.35">
      <c r="A316" t="s">
        <v>1361</v>
      </c>
      <c r="B316" t="s">
        <v>153</v>
      </c>
      <c r="C316" t="s">
        <v>618</v>
      </c>
      <c r="D316" t="s">
        <v>72</v>
      </c>
      <c r="E316" t="s">
        <v>72</v>
      </c>
      <c r="F316" t="s">
        <v>72</v>
      </c>
      <c r="G316" t="s">
        <v>73</v>
      </c>
      <c r="H316" t="s">
        <v>74</v>
      </c>
      <c r="I316" t="s">
        <v>75</v>
      </c>
      <c r="J316" t="s">
        <v>76</v>
      </c>
      <c r="K316" t="s">
        <v>77</v>
      </c>
      <c r="L316" t="s">
        <v>78</v>
      </c>
      <c r="M316" t="s">
        <v>79</v>
      </c>
      <c r="N316">
        <v>60</v>
      </c>
      <c r="O316" t="s">
        <v>80</v>
      </c>
      <c r="P316">
        <v>792</v>
      </c>
      <c r="Q316">
        <v>0.75</v>
      </c>
      <c r="R316">
        <v>177</v>
      </c>
      <c r="S316">
        <v>0.85419999999999996</v>
      </c>
      <c r="T316" t="s">
        <v>81</v>
      </c>
      <c r="U316" t="s">
        <v>82</v>
      </c>
      <c r="V316" t="s">
        <v>83</v>
      </c>
      <c r="W316" t="s">
        <v>84</v>
      </c>
      <c r="X316" t="s">
        <v>85</v>
      </c>
      <c r="Y316" t="s">
        <v>86</v>
      </c>
      <c r="Z316" t="s">
        <v>87</v>
      </c>
      <c r="AA316" t="s">
        <v>88</v>
      </c>
      <c r="AB316">
        <v>131</v>
      </c>
      <c r="AC316">
        <v>5</v>
      </c>
      <c r="AE316">
        <v>22</v>
      </c>
      <c r="AF316" t="s">
        <v>142</v>
      </c>
      <c r="AG316" t="s">
        <v>346</v>
      </c>
      <c r="AH316" t="s">
        <v>72</v>
      </c>
      <c r="AI316" t="s">
        <v>72</v>
      </c>
      <c r="AJ316" t="s">
        <v>91</v>
      </c>
      <c r="AK316" t="s">
        <v>92</v>
      </c>
      <c r="AL316" t="s">
        <v>93</v>
      </c>
      <c r="AM316" t="s">
        <v>94</v>
      </c>
      <c r="AN316" t="s">
        <v>144</v>
      </c>
      <c r="AO316" t="s">
        <v>145</v>
      </c>
      <c r="AP316" t="s">
        <v>97</v>
      </c>
      <c r="AQ316">
        <v>39</v>
      </c>
      <c r="AR316" t="s">
        <v>80</v>
      </c>
      <c r="AS316">
        <v>1359</v>
      </c>
      <c r="AT316">
        <v>0.96879999999999999</v>
      </c>
      <c r="AU316">
        <v>172</v>
      </c>
      <c r="AV316">
        <v>0.94740000000000002</v>
      </c>
      <c r="AW316" t="s">
        <v>98</v>
      </c>
      <c r="AX316" t="s">
        <v>146</v>
      </c>
      <c r="AY316" t="s">
        <v>127</v>
      </c>
      <c r="AZ316" t="s">
        <v>101</v>
      </c>
      <c r="BA316" t="s">
        <v>128</v>
      </c>
      <c r="BB316" t="s">
        <v>103</v>
      </c>
      <c r="BC316" t="s">
        <v>104</v>
      </c>
      <c r="BD316" t="s">
        <v>105</v>
      </c>
      <c r="BE316">
        <v>5710</v>
      </c>
      <c r="BF316" t="s">
        <v>106</v>
      </c>
      <c r="BG316">
        <v>81</v>
      </c>
      <c r="BH316" t="s">
        <v>80</v>
      </c>
      <c r="BI316">
        <v>1</v>
      </c>
      <c r="BJ316">
        <v>1765</v>
      </c>
      <c r="BK316">
        <v>4</v>
      </c>
      <c r="BL316">
        <v>23</v>
      </c>
      <c r="BM316">
        <v>488</v>
      </c>
      <c r="BN316">
        <v>595</v>
      </c>
      <c r="BO316">
        <v>961</v>
      </c>
      <c r="BP316">
        <v>16</v>
      </c>
      <c r="BQ316" s="2">
        <v>492</v>
      </c>
      <c r="BR316">
        <f t="shared" si="68"/>
        <v>1766</v>
      </c>
      <c r="BS316">
        <f t="shared" si="69"/>
        <v>5</v>
      </c>
      <c r="BT316">
        <f t="shared" si="70"/>
        <v>24</v>
      </c>
      <c r="BU316">
        <f t="shared" si="71"/>
        <v>489</v>
      </c>
      <c r="BV316">
        <f t="shared" si="72"/>
        <v>596</v>
      </c>
      <c r="BW316">
        <f t="shared" si="73"/>
        <v>962</v>
      </c>
      <c r="BX316">
        <f t="shared" si="74"/>
        <v>17</v>
      </c>
      <c r="BY316" s="2">
        <f t="shared" si="75"/>
        <v>493</v>
      </c>
      <c r="BZ316">
        <f t="shared" si="76"/>
        <v>162.98579196624615</v>
      </c>
      <c r="CA316">
        <v>162.98579196624615</v>
      </c>
      <c r="CB316">
        <v>162.98579196624615</v>
      </c>
      <c r="CC316">
        <v>162.98579196624615</v>
      </c>
      <c r="CD316">
        <v>162.98579196624615</v>
      </c>
      <c r="CE316">
        <v>162.98579196624615</v>
      </c>
      <c r="CF316">
        <v>162.98579196624615</v>
      </c>
      <c r="CG316">
        <v>162.98579196624615</v>
      </c>
      <c r="CH316">
        <f t="shared" si="77"/>
        <v>1.0348409521357562</v>
      </c>
      <c r="CI316">
        <f t="shared" si="78"/>
        <v>-1.5131797427697746</v>
      </c>
      <c r="CJ316">
        <f t="shared" si="79"/>
        <v>-0.83193850539418746</v>
      </c>
      <c r="CK316">
        <f t="shared" si="80"/>
        <v>0.47715911201782674</v>
      </c>
      <c r="CL316">
        <f t="shared" si="81"/>
        <v>0.56309651263444294</v>
      </c>
      <c r="CM316">
        <f t="shared" si="82"/>
        <v>0.77102532493201947</v>
      </c>
      <c r="CN316">
        <f t="shared" si="83"/>
        <v>-0.9817008257275196</v>
      </c>
      <c r="CO316" s="2">
        <f t="shared" si="84"/>
        <v>0.48069717217143648</v>
      </c>
      <c r="CP316">
        <v>0.56626306267075499</v>
      </c>
      <c r="CQ316">
        <v>0.32907506960747201</v>
      </c>
      <c r="CR316">
        <v>-1.22185449299854</v>
      </c>
      <c r="CS316">
        <v>-0.239449867618719</v>
      </c>
      <c r="CT316">
        <v>-0.319952133384236</v>
      </c>
      <c r="CU316">
        <v>-0.20063115668071799</v>
      </c>
      <c r="CV316">
        <v>4.3383644720361401E-2</v>
      </c>
      <c r="CW316">
        <v>-0.164063090562798</v>
      </c>
      <c r="CX316" t="s">
        <v>1827</v>
      </c>
    </row>
    <row r="317" spans="1:102" x14ac:dyDescent="0.35">
      <c r="A317" t="s">
        <v>409</v>
      </c>
      <c r="B317" t="s">
        <v>211</v>
      </c>
      <c r="C317" t="s">
        <v>410</v>
      </c>
      <c r="D317" t="s">
        <v>72</v>
      </c>
      <c r="E317" t="s">
        <v>72</v>
      </c>
      <c r="F317" t="s">
        <v>72</v>
      </c>
      <c r="G317" t="s">
        <v>73</v>
      </c>
      <c r="H317" t="s">
        <v>74</v>
      </c>
      <c r="I317" t="s">
        <v>75</v>
      </c>
      <c r="J317" t="s">
        <v>76</v>
      </c>
      <c r="K317" t="s">
        <v>139</v>
      </c>
      <c r="L317" t="s">
        <v>140</v>
      </c>
      <c r="M317" t="s">
        <v>79</v>
      </c>
      <c r="N317">
        <v>60</v>
      </c>
      <c r="O317" t="s">
        <v>80</v>
      </c>
      <c r="P317">
        <v>783</v>
      </c>
      <c r="Q317">
        <v>0.74650000000000005</v>
      </c>
      <c r="R317">
        <v>177</v>
      </c>
      <c r="S317">
        <v>0.85419999999999996</v>
      </c>
      <c r="T317" t="s">
        <v>81</v>
      </c>
      <c r="U317" t="s">
        <v>82</v>
      </c>
      <c r="V317" t="s">
        <v>141</v>
      </c>
      <c r="W317" t="s">
        <v>84</v>
      </c>
      <c r="X317" t="s">
        <v>85</v>
      </c>
      <c r="Y317" t="s">
        <v>86</v>
      </c>
      <c r="Z317" t="s">
        <v>87</v>
      </c>
      <c r="AA317" t="s">
        <v>88</v>
      </c>
      <c r="AB317">
        <v>368</v>
      </c>
      <c r="AC317">
        <v>7</v>
      </c>
      <c r="AE317">
        <v>22</v>
      </c>
      <c r="AF317" t="s">
        <v>89</v>
      </c>
      <c r="AG317" t="s">
        <v>411</v>
      </c>
      <c r="AH317" t="s">
        <v>72</v>
      </c>
      <c r="AI317" t="s">
        <v>72</v>
      </c>
      <c r="AJ317" t="s">
        <v>91</v>
      </c>
      <c r="AK317" t="s">
        <v>92</v>
      </c>
      <c r="AL317" t="s">
        <v>93</v>
      </c>
      <c r="AM317" t="s">
        <v>94</v>
      </c>
      <c r="AN317" t="s">
        <v>144</v>
      </c>
      <c r="AO317" t="s">
        <v>145</v>
      </c>
      <c r="AP317" t="s">
        <v>97</v>
      </c>
      <c r="AQ317">
        <v>39</v>
      </c>
      <c r="AR317" t="s">
        <v>80</v>
      </c>
      <c r="AS317">
        <v>1359</v>
      </c>
      <c r="AT317">
        <v>0.96879999999999999</v>
      </c>
      <c r="AU317">
        <v>172</v>
      </c>
      <c r="AV317">
        <v>0.94740000000000002</v>
      </c>
      <c r="AW317" t="s">
        <v>98</v>
      </c>
      <c r="AX317" t="s">
        <v>146</v>
      </c>
      <c r="AY317" t="s">
        <v>127</v>
      </c>
      <c r="AZ317" t="s">
        <v>101</v>
      </c>
      <c r="BA317" t="s">
        <v>128</v>
      </c>
      <c r="BB317" t="s">
        <v>103</v>
      </c>
      <c r="BC317" t="s">
        <v>104</v>
      </c>
      <c r="BD317" t="s">
        <v>105</v>
      </c>
      <c r="BE317">
        <v>3912</v>
      </c>
      <c r="BF317" t="s">
        <v>106</v>
      </c>
      <c r="BG317">
        <v>47</v>
      </c>
      <c r="BH317" t="s">
        <v>80</v>
      </c>
      <c r="BI317">
        <v>1</v>
      </c>
      <c r="BJ317">
        <v>1253</v>
      </c>
      <c r="BK317">
        <v>4</v>
      </c>
      <c r="BL317">
        <v>28</v>
      </c>
      <c r="BM317">
        <v>232</v>
      </c>
      <c r="BN317">
        <v>356</v>
      </c>
      <c r="BO317">
        <v>524</v>
      </c>
      <c r="BP317">
        <v>15</v>
      </c>
      <c r="BQ317" s="2">
        <v>255</v>
      </c>
      <c r="BR317">
        <f t="shared" si="68"/>
        <v>1254</v>
      </c>
      <c r="BS317">
        <f t="shared" si="69"/>
        <v>5</v>
      </c>
      <c r="BT317">
        <f t="shared" si="70"/>
        <v>29</v>
      </c>
      <c r="BU317">
        <f t="shared" si="71"/>
        <v>233</v>
      </c>
      <c r="BV317">
        <f t="shared" si="72"/>
        <v>357</v>
      </c>
      <c r="BW317">
        <f t="shared" si="73"/>
        <v>525</v>
      </c>
      <c r="BX317">
        <f t="shared" si="74"/>
        <v>16</v>
      </c>
      <c r="BY317" s="2">
        <f t="shared" si="75"/>
        <v>256</v>
      </c>
      <c r="BZ317">
        <f t="shared" si="76"/>
        <v>115.88470402767703</v>
      </c>
      <c r="CA317">
        <v>115.88470402767703</v>
      </c>
      <c r="CB317">
        <v>115.88470402767703</v>
      </c>
      <c r="CC317">
        <v>115.88470402767703</v>
      </c>
      <c r="CD317">
        <v>115.88470402767703</v>
      </c>
      <c r="CE317">
        <v>115.88470402767703</v>
      </c>
      <c r="CF317">
        <v>115.88470402767703</v>
      </c>
      <c r="CG317">
        <v>115.88470402767703</v>
      </c>
      <c r="CH317">
        <f t="shared" si="77"/>
        <v>1.0342714205894956</v>
      </c>
      <c r="CI317">
        <f t="shared" si="78"/>
        <v>-1.3650561115691833</v>
      </c>
      <c r="CJ317">
        <f t="shared" si="79"/>
        <v>-0.60162811800624583</v>
      </c>
      <c r="CK317">
        <f t="shared" si="80"/>
        <v>0.30332980512081698</v>
      </c>
      <c r="CL317">
        <f t="shared" si="81"/>
        <v>0.48864210020699123</v>
      </c>
      <c r="CM317">
        <f t="shared" si="82"/>
        <v>0.65613318750075489</v>
      </c>
      <c r="CN317">
        <f t="shared" si="83"/>
        <v>-0.85990613324927723</v>
      </c>
      <c r="CO317" s="2">
        <f t="shared" si="84"/>
        <v>0.34421384940664757</v>
      </c>
      <c r="CP317">
        <v>0.56557880904818103</v>
      </c>
      <c r="CQ317">
        <v>0.76666256602907701</v>
      </c>
      <c r="CR317">
        <v>-0.192855899931241</v>
      </c>
      <c r="CS317">
        <v>-0.75162921221477197</v>
      </c>
      <c r="CT317">
        <v>-0.527204561860251</v>
      </c>
      <c r="CU317">
        <v>-0.53241597861615797</v>
      </c>
      <c r="CV317">
        <v>0.37003381799477097</v>
      </c>
      <c r="CW317">
        <v>-0.53893547073094406</v>
      </c>
      <c r="CX317" t="s">
        <v>1827</v>
      </c>
    </row>
    <row r="318" spans="1:102" x14ac:dyDescent="0.35">
      <c r="A318" t="s">
        <v>427</v>
      </c>
      <c r="B318" t="s">
        <v>159</v>
      </c>
      <c r="C318" t="s">
        <v>428</v>
      </c>
      <c r="D318" t="s">
        <v>72</v>
      </c>
      <c r="E318" t="s">
        <v>72</v>
      </c>
      <c r="F318" t="s">
        <v>72</v>
      </c>
      <c r="G318" t="s">
        <v>73</v>
      </c>
      <c r="H318" t="s">
        <v>74</v>
      </c>
      <c r="I318" t="s">
        <v>75</v>
      </c>
      <c r="J318" t="s">
        <v>76</v>
      </c>
      <c r="K318" t="s">
        <v>77</v>
      </c>
      <c r="L318" t="s">
        <v>78</v>
      </c>
      <c r="M318" t="s">
        <v>79</v>
      </c>
      <c r="N318">
        <v>60</v>
      </c>
      <c r="O318" t="s">
        <v>80</v>
      </c>
      <c r="P318">
        <v>792</v>
      </c>
      <c r="Q318">
        <v>0.75</v>
      </c>
      <c r="R318">
        <v>177</v>
      </c>
      <c r="S318">
        <v>0.85419999999999996</v>
      </c>
      <c r="T318" t="s">
        <v>81</v>
      </c>
      <c r="U318" t="s">
        <v>82</v>
      </c>
      <c r="V318" t="s">
        <v>83</v>
      </c>
      <c r="W318" t="s">
        <v>84</v>
      </c>
      <c r="X318" t="s">
        <v>85</v>
      </c>
      <c r="Y318" t="s">
        <v>86</v>
      </c>
      <c r="Z318" t="s">
        <v>87</v>
      </c>
      <c r="AA318" t="s">
        <v>88</v>
      </c>
      <c r="AB318">
        <v>732</v>
      </c>
      <c r="AC318">
        <v>7</v>
      </c>
      <c r="AE318">
        <v>22</v>
      </c>
      <c r="AF318" t="s">
        <v>142</v>
      </c>
      <c r="AG318" t="s">
        <v>429</v>
      </c>
      <c r="AH318" t="s">
        <v>72</v>
      </c>
      <c r="AI318" t="s">
        <v>72</v>
      </c>
      <c r="AJ318" t="s">
        <v>91</v>
      </c>
      <c r="AK318" t="s">
        <v>92</v>
      </c>
      <c r="AL318" t="s">
        <v>93</v>
      </c>
      <c r="AM318" t="s">
        <v>94</v>
      </c>
      <c r="AN318" t="s">
        <v>144</v>
      </c>
      <c r="AO318" t="s">
        <v>145</v>
      </c>
      <c r="AP318" t="s">
        <v>97</v>
      </c>
      <c r="AQ318">
        <v>39</v>
      </c>
      <c r="AR318" t="s">
        <v>80</v>
      </c>
      <c r="AS318">
        <v>1359</v>
      </c>
      <c r="AT318">
        <v>0.96879999999999999</v>
      </c>
      <c r="AU318">
        <v>172</v>
      </c>
      <c r="AV318">
        <v>0.94740000000000002</v>
      </c>
      <c r="AW318" t="s">
        <v>98</v>
      </c>
      <c r="AX318" t="s">
        <v>146</v>
      </c>
      <c r="AY318" t="s">
        <v>127</v>
      </c>
      <c r="AZ318" t="s">
        <v>101</v>
      </c>
      <c r="BA318" t="s">
        <v>128</v>
      </c>
      <c r="BB318" t="s">
        <v>103</v>
      </c>
      <c r="BC318" t="s">
        <v>104</v>
      </c>
      <c r="BD318" t="s">
        <v>105</v>
      </c>
      <c r="BE318">
        <v>4201</v>
      </c>
      <c r="BF318" t="s">
        <v>106</v>
      </c>
      <c r="BG318">
        <v>56</v>
      </c>
      <c r="BH318" t="s">
        <v>80</v>
      </c>
      <c r="BI318">
        <v>1</v>
      </c>
      <c r="BJ318">
        <v>802</v>
      </c>
      <c r="BK318">
        <v>0</v>
      </c>
      <c r="BL318">
        <v>15</v>
      </c>
      <c r="BM318">
        <v>236</v>
      </c>
      <c r="BN318">
        <v>277</v>
      </c>
      <c r="BO318">
        <v>398</v>
      </c>
      <c r="BP318">
        <v>13</v>
      </c>
      <c r="BQ318" s="2">
        <v>194</v>
      </c>
      <c r="BR318">
        <f t="shared" si="68"/>
        <v>803</v>
      </c>
      <c r="BS318">
        <f t="shared" si="69"/>
        <v>1</v>
      </c>
      <c r="BT318">
        <f t="shared" si="70"/>
        <v>16</v>
      </c>
      <c r="BU318">
        <f t="shared" si="71"/>
        <v>237</v>
      </c>
      <c r="BV318">
        <f t="shared" si="72"/>
        <v>278</v>
      </c>
      <c r="BW318">
        <f t="shared" si="73"/>
        <v>399</v>
      </c>
      <c r="BX318">
        <f t="shared" si="74"/>
        <v>14</v>
      </c>
      <c r="BY318" s="2">
        <f t="shared" si="75"/>
        <v>195</v>
      </c>
      <c r="BZ318">
        <f t="shared" si="76"/>
        <v>74.232746069441646</v>
      </c>
      <c r="CA318">
        <v>74.232746069441646</v>
      </c>
      <c r="CB318">
        <v>74.232746069441646</v>
      </c>
      <c r="CC318">
        <v>74.232746069441646</v>
      </c>
      <c r="CD318">
        <v>74.232746069441646</v>
      </c>
      <c r="CE318">
        <v>74.232746069441646</v>
      </c>
      <c r="CF318">
        <v>74.232746069441646</v>
      </c>
      <c r="CG318">
        <v>74.232746069441646</v>
      </c>
      <c r="CH318">
        <f t="shared" si="77"/>
        <v>1.0341200187048947</v>
      </c>
      <c r="CI318">
        <f t="shared" si="78"/>
        <v>-1.8705955265737864</v>
      </c>
      <c r="CJ318">
        <f t="shared" si="79"/>
        <v>-0.66647554391786146</v>
      </c>
      <c r="CK318">
        <f t="shared" si="80"/>
        <v>0.50415281943631762</v>
      </c>
      <c r="CL318">
        <f t="shared" si="81"/>
        <v>0.57344926934428997</v>
      </c>
      <c r="CM318">
        <f t="shared" si="82"/>
        <v>0.73037736911296203</v>
      </c>
      <c r="CN318">
        <f t="shared" si="83"/>
        <v>-0.72446749089554829</v>
      </c>
      <c r="CO318" s="2">
        <f t="shared" si="84"/>
        <v>0.41943908478873171</v>
      </c>
      <c r="CP318">
        <v>0.565396909926556</v>
      </c>
      <c r="CQ318">
        <v>-2.2527165794045199</v>
      </c>
      <c r="CR318">
        <v>-0.48258625375453601</v>
      </c>
      <c r="CS318">
        <v>-0.15991426099047801</v>
      </c>
      <c r="CT318">
        <v>-0.29113404323238801</v>
      </c>
      <c r="CU318">
        <v>-0.318014078480167</v>
      </c>
      <c r="CV318">
        <v>0.73327670725942196</v>
      </c>
      <c r="CW318">
        <v>-0.33231782349656602</v>
      </c>
      <c r="CX318" t="s">
        <v>1827</v>
      </c>
    </row>
    <row r="319" spans="1:102" x14ac:dyDescent="0.35">
      <c r="A319" t="s">
        <v>1298</v>
      </c>
      <c r="B319" t="s">
        <v>159</v>
      </c>
      <c r="C319" t="s">
        <v>410</v>
      </c>
      <c r="D319" t="s">
        <v>72</v>
      </c>
      <c r="E319" t="s">
        <v>72</v>
      </c>
      <c r="F319" t="s">
        <v>72</v>
      </c>
      <c r="G319" t="s">
        <v>73</v>
      </c>
      <c r="H319" t="s">
        <v>74</v>
      </c>
      <c r="I319" t="s">
        <v>75</v>
      </c>
      <c r="J319" t="s">
        <v>76</v>
      </c>
      <c r="K319" t="s">
        <v>139</v>
      </c>
      <c r="L319" t="s">
        <v>140</v>
      </c>
      <c r="M319" t="s">
        <v>79</v>
      </c>
      <c r="N319">
        <v>60</v>
      </c>
      <c r="O319" t="s">
        <v>80</v>
      </c>
      <c r="P319">
        <v>783</v>
      </c>
      <c r="Q319">
        <v>0.74650000000000005</v>
      </c>
      <c r="R319">
        <v>177</v>
      </c>
      <c r="S319">
        <v>0.85419999999999996</v>
      </c>
      <c r="T319" t="s">
        <v>81</v>
      </c>
      <c r="U319" t="s">
        <v>82</v>
      </c>
      <c r="V319" t="s">
        <v>141</v>
      </c>
      <c r="W319" t="s">
        <v>84</v>
      </c>
      <c r="X319" t="s">
        <v>85</v>
      </c>
      <c r="Y319" t="s">
        <v>86</v>
      </c>
      <c r="Z319" t="s">
        <v>87</v>
      </c>
      <c r="AA319" t="s">
        <v>88</v>
      </c>
      <c r="AB319">
        <v>205</v>
      </c>
      <c r="AC319">
        <v>4</v>
      </c>
      <c r="AE319">
        <v>22</v>
      </c>
      <c r="AF319" t="s">
        <v>153</v>
      </c>
      <c r="AG319" t="s">
        <v>411</v>
      </c>
      <c r="AH319" t="s">
        <v>72</v>
      </c>
      <c r="AI319" t="s">
        <v>72</v>
      </c>
      <c r="AJ319" t="s">
        <v>91</v>
      </c>
      <c r="AK319" t="s">
        <v>92</v>
      </c>
      <c r="AL319" t="s">
        <v>93</v>
      </c>
      <c r="AM319" t="s">
        <v>94</v>
      </c>
      <c r="AN319" t="s">
        <v>144</v>
      </c>
      <c r="AO319" t="s">
        <v>145</v>
      </c>
      <c r="AP319" t="s">
        <v>97</v>
      </c>
      <c r="AQ319">
        <v>39</v>
      </c>
      <c r="AR319" t="s">
        <v>80</v>
      </c>
      <c r="AS319">
        <v>1359</v>
      </c>
      <c r="AT319">
        <v>0.96879999999999999</v>
      </c>
      <c r="AU319">
        <v>172</v>
      </c>
      <c r="AV319">
        <v>0.94740000000000002</v>
      </c>
      <c r="AW319" t="s">
        <v>98</v>
      </c>
      <c r="AX319" t="s">
        <v>146</v>
      </c>
      <c r="AY319" t="s">
        <v>127</v>
      </c>
      <c r="AZ319" t="s">
        <v>101</v>
      </c>
      <c r="BA319" t="s">
        <v>128</v>
      </c>
      <c r="BB319" t="s">
        <v>103</v>
      </c>
      <c r="BC319" t="s">
        <v>104</v>
      </c>
      <c r="BD319" t="s">
        <v>105</v>
      </c>
      <c r="BE319">
        <v>4609</v>
      </c>
      <c r="BF319" t="s">
        <v>106</v>
      </c>
      <c r="BG319">
        <v>53</v>
      </c>
      <c r="BH319" t="s">
        <v>80</v>
      </c>
      <c r="BI319">
        <v>1</v>
      </c>
      <c r="BJ319">
        <v>878</v>
      </c>
      <c r="BK319">
        <v>0</v>
      </c>
      <c r="BL319">
        <v>33</v>
      </c>
      <c r="BM319">
        <v>195</v>
      </c>
      <c r="BN319">
        <v>273</v>
      </c>
      <c r="BO319">
        <v>404</v>
      </c>
      <c r="BP319">
        <v>15</v>
      </c>
      <c r="BQ319" s="2">
        <v>190</v>
      </c>
      <c r="BR319">
        <f t="shared" si="68"/>
        <v>879</v>
      </c>
      <c r="BS319">
        <f t="shared" si="69"/>
        <v>1</v>
      </c>
      <c r="BT319">
        <f t="shared" si="70"/>
        <v>34</v>
      </c>
      <c r="BU319">
        <f t="shared" si="71"/>
        <v>196</v>
      </c>
      <c r="BV319">
        <f t="shared" si="72"/>
        <v>274</v>
      </c>
      <c r="BW319">
        <f t="shared" si="73"/>
        <v>405</v>
      </c>
      <c r="BX319">
        <f t="shared" si="74"/>
        <v>16</v>
      </c>
      <c r="BY319" s="2">
        <f t="shared" si="75"/>
        <v>191</v>
      </c>
      <c r="BZ319">
        <f t="shared" si="76"/>
        <v>81.707204116911555</v>
      </c>
      <c r="CA319">
        <v>81.707204116911555</v>
      </c>
      <c r="CB319">
        <v>81.707204116911555</v>
      </c>
      <c r="CC319">
        <v>81.707204116911555</v>
      </c>
      <c r="CD319">
        <v>81.707204116911555</v>
      </c>
      <c r="CE319">
        <v>81.707204116911555</v>
      </c>
      <c r="CF319">
        <v>81.707204116911555</v>
      </c>
      <c r="CG319">
        <v>81.707204116911555</v>
      </c>
      <c r="CH319">
        <f t="shared" si="77"/>
        <v>1.0317285251473705</v>
      </c>
      <c r="CI319">
        <f t="shared" si="78"/>
        <v>-1.9122603499264015</v>
      </c>
      <c r="CJ319">
        <f t="shared" si="79"/>
        <v>-0.3807814328841464</v>
      </c>
      <c r="CK319">
        <f t="shared" si="80"/>
        <v>0.37999572143007454</v>
      </c>
      <c r="CL319">
        <f t="shared" si="81"/>
        <v>0.52549021289398645</v>
      </c>
      <c r="CM319">
        <f t="shared" si="82"/>
        <v>0.69519467328826712</v>
      </c>
      <c r="CN319">
        <f t="shared" si="83"/>
        <v>-0.7081403672704768</v>
      </c>
      <c r="CO319" s="2">
        <f t="shared" si="84"/>
        <v>0.36877301732132606</v>
      </c>
      <c r="CP319">
        <v>0.56252369220781595</v>
      </c>
      <c r="CQ319">
        <v>-2.2527165794045199</v>
      </c>
      <c r="CR319">
        <v>0.79386003091137503</v>
      </c>
      <c r="CS319">
        <v>-0.52573693047544401</v>
      </c>
      <c r="CT319">
        <v>-0.42463359809663298</v>
      </c>
      <c r="CU319">
        <v>-0.41961445541099601</v>
      </c>
      <c r="CV319">
        <v>0.77706562492638098</v>
      </c>
      <c r="CW319">
        <v>-0.471479949099258</v>
      </c>
      <c r="CX319" t="s">
        <v>1827</v>
      </c>
    </row>
    <row r="320" spans="1:102" x14ac:dyDescent="0.35">
      <c r="A320" t="s">
        <v>1316</v>
      </c>
      <c r="B320" t="s">
        <v>211</v>
      </c>
      <c r="C320" t="s">
        <v>108</v>
      </c>
      <c r="D320" t="s">
        <v>72</v>
      </c>
      <c r="E320" t="s">
        <v>72</v>
      </c>
      <c r="F320" t="s">
        <v>72</v>
      </c>
      <c r="G320" t="s">
        <v>73</v>
      </c>
      <c r="H320" t="s">
        <v>109</v>
      </c>
      <c r="I320" t="s">
        <v>110</v>
      </c>
      <c r="J320" t="s">
        <v>111</v>
      </c>
      <c r="K320" t="s">
        <v>112</v>
      </c>
      <c r="L320" t="s">
        <v>113</v>
      </c>
      <c r="M320" t="s">
        <v>114</v>
      </c>
      <c r="N320">
        <v>48</v>
      </c>
      <c r="O320" t="s">
        <v>80</v>
      </c>
      <c r="P320">
        <v>621</v>
      </c>
      <c r="Q320">
        <v>0.68400000000000005</v>
      </c>
      <c r="R320">
        <v>175</v>
      </c>
      <c r="S320">
        <v>0.81130000000000002</v>
      </c>
      <c r="T320" t="s">
        <v>115</v>
      </c>
      <c r="U320" t="s">
        <v>116</v>
      </c>
      <c r="V320" t="s">
        <v>117</v>
      </c>
      <c r="W320" t="s">
        <v>118</v>
      </c>
      <c r="X320" t="s">
        <v>119</v>
      </c>
      <c r="Y320" t="s">
        <v>120</v>
      </c>
      <c r="Z320" t="s">
        <v>121</v>
      </c>
      <c r="AA320" t="s">
        <v>88</v>
      </c>
      <c r="AB320">
        <v>442</v>
      </c>
      <c r="AC320">
        <v>5</v>
      </c>
      <c r="AE320">
        <v>1</v>
      </c>
      <c r="AF320" t="s">
        <v>89</v>
      </c>
      <c r="AG320" t="s">
        <v>279</v>
      </c>
      <c r="AH320" t="s">
        <v>72</v>
      </c>
      <c r="AI320" t="s">
        <v>72</v>
      </c>
      <c r="AJ320" t="s">
        <v>91</v>
      </c>
      <c r="AK320" t="s">
        <v>92</v>
      </c>
      <c r="AL320" t="s">
        <v>93</v>
      </c>
      <c r="AM320" t="s">
        <v>94</v>
      </c>
      <c r="AN320" t="s">
        <v>144</v>
      </c>
      <c r="AO320" t="s">
        <v>145</v>
      </c>
      <c r="AP320" t="s">
        <v>97</v>
      </c>
      <c r="AQ320">
        <v>39</v>
      </c>
      <c r="AR320" t="s">
        <v>80</v>
      </c>
      <c r="AS320">
        <v>1359</v>
      </c>
      <c r="AT320">
        <v>0.96879999999999999</v>
      </c>
      <c r="AU320">
        <v>172</v>
      </c>
      <c r="AV320">
        <v>0.94740000000000002</v>
      </c>
      <c r="AW320" t="s">
        <v>98</v>
      </c>
      <c r="AX320" t="s">
        <v>146</v>
      </c>
      <c r="AY320" t="s">
        <v>127</v>
      </c>
      <c r="AZ320" t="s">
        <v>101</v>
      </c>
      <c r="BA320" t="s">
        <v>128</v>
      </c>
      <c r="BB320" t="s">
        <v>103</v>
      </c>
      <c r="BC320" t="s">
        <v>104</v>
      </c>
      <c r="BD320" t="s">
        <v>105</v>
      </c>
      <c r="BE320">
        <v>11734</v>
      </c>
      <c r="BF320" t="s">
        <v>106</v>
      </c>
      <c r="BG320">
        <v>145</v>
      </c>
      <c r="BH320" t="s">
        <v>80</v>
      </c>
      <c r="BI320">
        <v>1</v>
      </c>
      <c r="BJ320">
        <v>7326</v>
      </c>
      <c r="BK320">
        <v>15</v>
      </c>
      <c r="BL320">
        <v>166</v>
      </c>
      <c r="BM320">
        <v>1872</v>
      </c>
      <c r="BN320">
        <v>2493</v>
      </c>
      <c r="BO320">
        <v>3585</v>
      </c>
      <c r="BP320">
        <v>82</v>
      </c>
      <c r="BQ320" s="2">
        <v>1801</v>
      </c>
      <c r="BR320">
        <f t="shared" si="68"/>
        <v>7327</v>
      </c>
      <c r="BS320">
        <f t="shared" si="69"/>
        <v>16</v>
      </c>
      <c r="BT320">
        <f t="shared" si="70"/>
        <v>167</v>
      </c>
      <c r="BU320">
        <f t="shared" si="71"/>
        <v>1873</v>
      </c>
      <c r="BV320">
        <f t="shared" si="72"/>
        <v>2494</v>
      </c>
      <c r="BW320">
        <f t="shared" si="73"/>
        <v>3586</v>
      </c>
      <c r="BX320">
        <f t="shared" si="74"/>
        <v>83</v>
      </c>
      <c r="BY320" s="2">
        <f t="shared" si="75"/>
        <v>1802</v>
      </c>
      <c r="BZ320">
        <f t="shared" si="76"/>
        <v>686.00930186492474</v>
      </c>
      <c r="CA320">
        <v>686.00930186492474</v>
      </c>
      <c r="CB320">
        <v>686.00930186492474</v>
      </c>
      <c r="CC320">
        <v>686.00930186492474</v>
      </c>
      <c r="CD320">
        <v>686.00930186492474</v>
      </c>
      <c r="CE320">
        <v>686.00930186492474</v>
      </c>
      <c r="CF320">
        <v>686.00930186492474</v>
      </c>
      <c r="CG320">
        <v>686.00930186492474</v>
      </c>
      <c r="CH320">
        <f t="shared" si="77"/>
        <v>1.0285961870258109</v>
      </c>
      <c r="CI320">
        <f t="shared" si="78"/>
        <v>-1.6322100218572699</v>
      </c>
      <c r="CJ320">
        <f t="shared" si="79"/>
        <v>-0.61361353336561131</v>
      </c>
      <c r="CK320">
        <f t="shared" si="80"/>
        <v>0.43620777286204276</v>
      </c>
      <c r="CL320">
        <f t="shared" si="81"/>
        <v>0.56056644462932925</v>
      </c>
      <c r="CM320">
        <f t="shared" si="82"/>
        <v>0.71828028071296945</v>
      </c>
      <c r="CN320">
        <f t="shared" si="83"/>
        <v>-0.91725191213712065</v>
      </c>
      <c r="CO320" s="2">
        <f t="shared" si="84"/>
        <v>0.41942478212984957</v>
      </c>
      <c r="CP320">
        <v>0.55876039986540704</v>
      </c>
      <c r="CQ320">
        <v>-2.25647153619217E-2</v>
      </c>
      <c r="CR320">
        <v>-0.24640526729581499</v>
      </c>
      <c r="CS320">
        <v>-0.36011093693752499</v>
      </c>
      <c r="CT320">
        <v>-0.32699486894782998</v>
      </c>
      <c r="CU320">
        <v>-0.35294797744370499</v>
      </c>
      <c r="CV320">
        <v>0.21623394191547199</v>
      </c>
      <c r="CW320">
        <v>-0.33235710794296802</v>
      </c>
      <c r="CX320" t="s">
        <v>1827</v>
      </c>
    </row>
    <row r="321" spans="1:102" x14ac:dyDescent="0.35">
      <c r="A321" t="s">
        <v>491</v>
      </c>
      <c r="B321" t="s">
        <v>178</v>
      </c>
      <c r="C321" t="s">
        <v>492</v>
      </c>
      <c r="D321" t="s">
        <v>72</v>
      </c>
      <c r="E321" t="s">
        <v>72</v>
      </c>
      <c r="F321" t="s">
        <v>72</v>
      </c>
      <c r="G321" t="s">
        <v>73</v>
      </c>
      <c r="H321" t="s">
        <v>74</v>
      </c>
      <c r="I321" t="s">
        <v>75</v>
      </c>
      <c r="J321" t="s">
        <v>76</v>
      </c>
      <c r="K321" t="s">
        <v>77</v>
      </c>
      <c r="L321" t="s">
        <v>78</v>
      </c>
      <c r="M321" t="s">
        <v>79</v>
      </c>
      <c r="N321">
        <v>60</v>
      </c>
      <c r="O321" t="s">
        <v>80</v>
      </c>
      <c r="P321">
        <v>792</v>
      </c>
      <c r="Q321">
        <v>0.75</v>
      </c>
      <c r="R321">
        <v>177</v>
      </c>
      <c r="S321">
        <v>0.85419999999999996</v>
      </c>
      <c r="T321" t="s">
        <v>81</v>
      </c>
      <c r="U321" t="s">
        <v>82</v>
      </c>
      <c r="V321" t="s">
        <v>83</v>
      </c>
      <c r="W321" t="s">
        <v>84</v>
      </c>
      <c r="X321" t="s">
        <v>85</v>
      </c>
      <c r="Y321" t="s">
        <v>86</v>
      </c>
      <c r="Z321" t="s">
        <v>87</v>
      </c>
      <c r="AA321" t="s">
        <v>88</v>
      </c>
      <c r="AB321">
        <v>88</v>
      </c>
      <c r="AC321">
        <v>1</v>
      </c>
      <c r="AE321">
        <v>22</v>
      </c>
      <c r="AF321" t="s">
        <v>89</v>
      </c>
      <c r="AG321" t="s">
        <v>493</v>
      </c>
      <c r="AH321" t="s">
        <v>72</v>
      </c>
      <c r="AI321" t="s">
        <v>72</v>
      </c>
      <c r="AJ321" t="s">
        <v>91</v>
      </c>
      <c r="AK321" t="s">
        <v>92</v>
      </c>
      <c r="AL321" t="s">
        <v>93</v>
      </c>
      <c r="AM321" t="s">
        <v>94</v>
      </c>
      <c r="AN321" t="s">
        <v>483</v>
      </c>
      <c r="AO321" t="s">
        <v>484</v>
      </c>
      <c r="AP321" t="s">
        <v>243</v>
      </c>
      <c r="AQ321">
        <v>39</v>
      </c>
      <c r="AR321" t="s">
        <v>80</v>
      </c>
      <c r="AS321">
        <v>1377</v>
      </c>
      <c r="AT321">
        <v>0.97570000000000001</v>
      </c>
      <c r="AU321">
        <v>172</v>
      </c>
      <c r="AV321">
        <v>0.94740000000000002</v>
      </c>
      <c r="AW321" t="s">
        <v>98</v>
      </c>
      <c r="AX321" t="s">
        <v>146</v>
      </c>
      <c r="AY321" t="s">
        <v>100</v>
      </c>
      <c r="AZ321" t="s">
        <v>101</v>
      </c>
      <c r="BA321" t="s">
        <v>102</v>
      </c>
      <c r="BB321" t="s">
        <v>103</v>
      </c>
      <c r="BC321" t="s">
        <v>246</v>
      </c>
      <c r="BD321" t="s">
        <v>105</v>
      </c>
      <c r="BE321">
        <v>4516</v>
      </c>
      <c r="BF321" t="s">
        <v>247</v>
      </c>
      <c r="BG321">
        <v>52</v>
      </c>
      <c r="BH321" t="s">
        <v>80</v>
      </c>
      <c r="BI321">
        <v>1</v>
      </c>
      <c r="BJ321">
        <v>280</v>
      </c>
      <c r="BK321">
        <v>0</v>
      </c>
      <c r="BL321">
        <v>6</v>
      </c>
      <c r="BM321">
        <v>96</v>
      </c>
      <c r="BN321">
        <v>112</v>
      </c>
      <c r="BO321">
        <v>146</v>
      </c>
      <c r="BP321">
        <v>0</v>
      </c>
      <c r="BQ321" s="2">
        <v>74</v>
      </c>
      <c r="BR321">
        <f t="shared" si="68"/>
        <v>281</v>
      </c>
      <c r="BS321">
        <f t="shared" si="69"/>
        <v>1</v>
      </c>
      <c r="BT321">
        <f t="shared" si="70"/>
        <v>7</v>
      </c>
      <c r="BU321">
        <f t="shared" si="71"/>
        <v>97</v>
      </c>
      <c r="BV321">
        <f t="shared" si="72"/>
        <v>113</v>
      </c>
      <c r="BW321">
        <f t="shared" si="73"/>
        <v>147</v>
      </c>
      <c r="BX321">
        <f t="shared" si="74"/>
        <v>1</v>
      </c>
      <c r="BY321" s="2">
        <f t="shared" si="75"/>
        <v>75</v>
      </c>
      <c r="BZ321">
        <f t="shared" si="76"/>
        <v>26.424339587615059</v>
      </c>
      <c r="CA321">
        <v>26.424339587615059</v>
      </c>
      <c r="CB321">
        <v>26.424339587615059</v>
      </c>
      <c r="CC321">
        <v>26.424339587615059</v>
      </c>
      <c r="CD321">
        <v>26.424339587615059</v>
      </c>
      <c r="CE321">
        <v>26.424339587615059</v>
      </c>
      <c r="CF321">
        <v>26.424339587615059</v>
      </c>
      <c r="CG321">
        <v>26.424339587615059</v>
      </c>
      <c r="CH321">
        <f t="shared" si="77"/>
        <v>1.0267021779289702</v>
      </c>
      <c r="CI321">
        <f t="shared" si="78"/>
        <v>-1.4220041419761096</v>
      </c>
      <c r="CJ321">
        <f t="shared" si="79"/>
        <v>-0.57690610196185288</v>
      </c>
      <c r="CK321">
        <f t="shared" si="80"/>
        <v>0.56476759229013518</v>
      </c>
      <c r="CL321">
        <f t="shared" si="81"/>
        <v>0.63107430150731003</v>
      </c>
      <c r="CM321">
        <f t="shared" si="82"/>
        <v>0.74531319277206642</v>
      </c>
      <c r="CN321">
        <f t="shared" si="83"/>
        <v>-1.4220041419761096</v>
      </c>
      <c r="CO321" s="2">
        <f t="shared" si="84"/>
        <v>0.4530571214155904</v>
      </c>
      <c r="CP321">
        <v>0.55648487607008901</v>
      </c>
      <c r="CQ321">
        <v>-2.2527165794045199</v>
      </c>
      <c r="CR321">
        <v>-8.2400961202761899E-2</v>
      </c>
      <c r="CS321">
        <v>1.86841306576047E-2</v>
      </c>
      <c r="CT321">
        <v>-0.13072813218673299</v>
      </c>
      <c r="CU321">
        <v>-0.27488249694648897</v>
      </c>
      <c r="CV321">
        <v>-2.6172399890044602</v>
      </c>
      <c r="CW321">
        <v>-0.23998072947219801</v>
      </c>
      <c r="CX321" t="s">
        <v>1827</v>
      </c>
    </row>
    <row r="322" spans="1:102" x14ac:dyDescent="0.35">
      <c r="A322" t="s">
        <v>195</v>
      </c>
      <c r="B322" t="s">
        <v>196</v>
      </c>
      <c r="C322" t="s">
        <v>149</v>
      </c>
      <c r="D322" t="s">
        <v>72</v>
      </c>
      <c r="E322" t="s">
        <v>72</v>
      </c>
      <c r="F322" t="s">
        <v>72</v>
      </c>
      <c r="G322" t="s">
        <v>73</v>
      </c>
      <c r="H322" t="s">
        <v>74</v>
      </c>
      <c r="I322" t="s">
        <v>75</v>
      </c>
      <c r="J322" t="s">
        <v>76</v>
      </c>
      <c r="K322" t="s">
        <v>77</v>
      </c>
      <c r="L322" t="s">
        <v>78</v>
      </c>
      <c r="M322" t="s">
        <v>79</v>
      </c>
      <c r="N322">
        <v>60</v>
      </c>
      <c r="O322" t="s">
        <v>80</v>
      </c>
      <c r="P322">
        <v>792</v>
      </c>
      <c r="Q322">
        <v>0.75</v>
      </c>
      <c r="R322">
        <v>177</v>
      </c>
      <c r="S322">
        <v>0.85419999999999996</v>
      </c>
      <c r="T322" t="s">
        <v>81</v>
      </c>
      <c r="U322" t="s">
        <v>82</v>
      </c>
      <c r="V322" t="s">
        <v>83</v>
      </c>
      <c r="W322" t="s">
        <v>84</v>
      </c>
      <c r="X322" t="s">
        <v>85</v>
      </c>
      <c r="Y322" t="s">
        <v>86</v>
      </c>
      <c r="Z322" t="s">
        <v>87</v>
      </c>
      <c r="AA322" t="s">
        <v>88</v>
      </c>
      <c r="AB322">
        <v>1530</v>
      </c>
      <c r="AC322">
        <v>19</v>
      </c>
      <c r="AE322">
        <v>22</v>
      </c>
      <c r="AF322" t="s">
        <v>89</v>
      </c>
      <c r="AG322" t="s">
        <v>197</v>
      </c>
      <c r="AH322" t="s">
        <v>72</v>
      </c>
      <c r="AI322" t="s">
        <v>72</v>
      </c>
      <c r="AJ322" t="s">
        <v>91</v>
      </c>
      <c r="AK322" t="s">
        <v>92</v>
      </c>
      <c r="AL322" t="s">
        <v>93</v>
      </c>
      <c r="AM322" t="s">
        <v>94</v>
      </c>
      <c r="AN322" t="s">
        <v>144</v>
      </c>
      <c r="AO322" t="s">
        <v>145</v>
      </c>
      <c r="AP322" t="s">
        <v>97</v>
      </c>
      <c r="AQ322">
        <v>39</v>
      </c>
      <c r="AR322" t="s">
        <v>80</v>
      </c>
      <c r="AS322">
        <v>1359</v>
      </c>
      <c r="AT322">
        <v>0.96879999999999999</v>
      </c>
      <c r="AU322">
        <v>172</v>
      </c>
      <c r="AV322">
        <v>0.94740000000000002</v>
      </c>
      <c r="AW322" t="s">
        <v>98</v>
      </c>
      <c r="AX322" t="s">
        <v>146</v>
      </c>
      <c r="AY322" t="s">
        <v>127</v>
      </c>
      <c r="AZ322" t="s">
        <v>101</v>
      </c>
      <c r="BA322" t="s">
        <v>128</v>
      </c>
      <c r="BB322" t="s">
        <v>103</v>
      </c>
      <c r="BC322" t="s">
        <v>104</v>
      </c>
      <c r="BD322" t="s">
        <v>105</v>
      </c>
      <c r="BE322">
        <v>45109</v>
      </c>
      <c r="BF322" t="s">
        <v>106</v>
      </c>
      <c r="BG322">
        <v>537</v>
      </c>
      <c r="BH322" t="s">
        <v>80</v>
      </c>
      <c r="BI322">
        <v>1</v>
      </c>
      <c r="BJ322">
        <v>7836</v>
      </c>
      <c r="BK322">
        <v>11</v>
      </c>
      <c r="BL322">
        <v>221</v>
      </c>
      <c r="BM322">
        <v>2119</v>
      </c>
      <c r="BN322">
        <v>2897</v>
      </c>
      <c r="BO322">
        <v>4168</v>
      </c>
      <c r="BP322">
        <v>83</v>
      </c>
      <c r="BQ322" s="2">
        <v>2191</v>
      </c>
      <c r="BR322">
        <f t="shared" ref="BR322:BR381" si="85">BJ322+1</f>
        <v>7837</v>
      </c>
      <c r="BS322">
        <f t="shared" ref="BS322:BS381" si="86">BK322+1</f>
        <v>12</v>
      </c>
      <c r="BT322">
        <f t="shared" ref="BT322:BT381" si="87">BL322+1</f>
        <v>222</v>
      </c>
      <c r="BU322">
        <f t="shared" ref="BU322:BU381" si="88">BM322+1</f>
        <v>2120</v>
      </c>
      <c r="BV322">
        <f t="shared" ref="BV322:BV381" si="89">BN322+1</f>
        <v>2898</v>
      </c>
      <c r="BW322">
        <f t="shared" ref="BW322:BW381" si="90">BO322+1</f>
        <v>4169</v>
      </c>
      <c r="BX322">
        <f t="shared" ref="BX322:BX381" si="91">BP322+1</f>
        <v>84</v>
      </c>
      <c r="BY322" s="2">
        <f t="shared" ref="BY322:BY381" si="92">BQ322+1</f>
        <v>2192</v>
      </c>
      <c r="BZ322">
        <f t="shared" ref="BZ322:BZ381" si="93">GEOMEAN(BR322:BY322)</f>
        <v>748.4430416142859</v>
      </c>
      <c r="CA322">
        <v>748.4430416142859</v>
      </c>
      <c r="CB322">
        <v>748.4430416142859</v>
      </c>
      <c r="CC322">
        <v>748.4430416142859</v>
      </c>
      <c r="CD322">
        <v>748.4430416142859</v>
      </c>
      <c r="CE322">
        <v>748.4430416142859</v>
      </c>
      <c r="CF322">
        <v>748.4430416142859</v>
      </c>
      <c r="CG322">
        <v>748.4430416142859</v>
      </c>
      <c r="CH322">
        <f t="shared" ref="CH322:CH381" si="94">LOG(BR322/BZ322)</f>
        <v>1.0199910917265966</v>
      </c>
      <c r="CI322">
        <f t="shared" ref="CI322:CI381" si="95">LOG(BS322/CA322)</f>
        <v>-1.7949775089937006</v>
      </c>
      <c r="CJ322">
        <f t="shared" ref="CJ322:CJ381" si="96">LOG(BT322/CB322)</f>
        <v>-0.52780578059068683</v>
      </c>
      <c r="CK322">
        <f t="shared" ref="CK322:CK381" si="97">LOG(BU322/CC322)</f>
        <v>0.45217710588742605</v>
      </c>
      <c r="CL322">
        <f t="shared" ref="CL322:CL381" si="98">LOG(BV322/CD322)</f>
        <v>0.58793962609383044</v>
      </c>
      <c r="CM322">
        <f t="shared" ref="CM322:CM381" si="99">LOG(BW322/CE322)</f>
        <v>0.74587314008497196</v>
      </c>
      <c r="CN322">
        <f t="shared" ref="CN322:CN381" si="100">LOG(BX322/CF322)</f>
        <v>-0.94987946897944375</v>
      </c>
      <c r="CO322" s="2">
        <f t="shared" ref="CO322:CO381" si="101">LOG(BY322/CG322)</f>
        <v>0.46668179477100613</v>
      </c>
      <c r="CP322">
        <v>0.54842196001999799</v>
      </c>
      <c r="CQ322">
        <v>-0.50341315674540599</v>
      </c>
      <c r="CR322">
        <v>0.13697325887953801</v>
      </c>
      <c r="CS322">
        <v>-0.31305809718005601</v>
      </c>
      <c r="CT322">
        <v>-0.250798467033297</v>
      </c>
      <c r="CU322">
        <v>-0.27326548447149002</v>
      </c>
      <c r="CV322">
        <v>0.128727689555835</v>
      </c>
      <c r="CW322">
        <v>-0.202558474310955</v>
      </c>
      <c r="CX322" t="s">
        <v>1827</v>
      </c>
    </row>
    <row r="323" spans="1:102" x14ac:dyDescent="0.35">
      <c r="A323" t="s">
        <v>1030</v>
      </c>
      <c r="B323" t="s">
        <v>89</v>
      </c>
      <c r="C323" t="s">
        <v>131</v>
      </c>
      <c r="D323" t="s">
        <v>72</v>
      </c>
      <c r="E323" t="s">
        <v>72</v>
      </c>
      <c r="F323" t="s">
        <v>72</v>
      </c>
      <c r="G323" t="s">
        <v>73</v>
      </c>
      <c r="H323" t="s">
        <v>109</v>
      </c>
      <c r="I323" t="s">
        <v>110</v>
      </c>
      <c r="J323" t="s">
        <v>111</v>
      </c>
      <c r="K323" t="s">
        <v>112</v>
      </c>
      <c r="L323" t="s">
        <v>113</v>
      </c>
      <c r="M323" t="s">
        <v>114</v>
      </c>
      <c r="N323">
        <v>48</v>
      </c>
      <c r="O323" t="s">
        <v>80</v>
      </c>
      <c r="P323">
        <v>621</v>
      </c>
      <c r="Q323">
        <v>0.68400000000000005</v>
      </c>
      <c r="R323">
        <v>175</v>
      </c>
      <c r="S323">
        <v>0.81130000000000002</v>
      </c>
      <c r="T323" t="s">
        <v>115</v>
      </c>
      <c r="U323" t="s">
        <v>116</v>
      </c>
      <c r="V323" t="s">
        <v>117</v>
      </c>
      <c r="W323" t="s">
        <v>118</v>
      </c>
      <c r="X323" t="s">
        <v>119</v>
      </c>
      <c r="Y323" t="s">
        <v>120</v>
      </c>
      <c r="Z323" t="s">
        <v>121</v>
      </c>
      <c r="AA323" t="s">
        <v>88</v>
      </c>
      <c r="AB323">
        <v>964</v>
      </c>
      <c r="AC323">
        <v>8</v>
      </c>
      <c r="AE323">
        <v>1</v>
      </c>
      <c r="AF323" t="s">
        <v>231</v>
      </c>
      <c r="AG323" t="s">
        <v>1031</v>
      </c>
      <c r="AH323" t="s">
        <v>72</v>
      </c>
      <c r="AI323" t="s">
        <v>72</v>
      </c>
      <c r="AJ323" t="s">
        <v>91</v>
      </c>
      <c r="AK323" t="s">
        <v>92</v>
      </c>
      <c r="AL323" t="s">
        <v>93</v>
      </c>
      <c r="AM323" t="s">
        <v>94</v>
      </c>
      <c r="AN323" t="s">
        <v>144</v>
      </c>
      <c r="AO323" t="s">
        <v>145</v>
      </c>
      <c r="AP323" t="s">
        <v>97</v>
      </c>
      <c r="AQ323">
        <v>39</v>
      </c>
      <c r="AR323" t="s">
        <v>80</v>
      </c>
      <c r="AS323">
        <v>1359</v>
      </c>
      <c r="AT323">
        <v>0.96879999999999999</v>
      </c>
      <c r="AU323">
        <v>172</v>
      </c>
      <c r="AV323">
        <v>0.94740000000000002</v>
      </c>
      <c r="AW323" t="s">
        <v>98</v>
      </c>
      <c r="AX323" t="s">
        <v>146</v>
      </c>
      <c r="AY323" t="s">
        <v>127</v>
      </c>
      <c r="AZ323" t="s">
        <v>101</v>
      </c>
      <c r="BA323" t="s">
        <v>128</v>
      </c>
      <c r="BB323" t="s">
        <v>103</v>
      </c>
      <c r="BC323" t="s">
        <v>104</v>
      </c>
      <c r="BD323" t="s">
        <v>105</v>
      </c>
      <c r="BE323">
        <v>6742</v>
      </c>
      <c r="BF323" t="s">
        <v>106</v>
      </c>
      <c r="BG323">
        <v>99</v>
      </c>
      <c r="BH323" t="s">
        <v>80</v>
      </c>
      <c r="BI323">
        <v>1</v>
      </c>
      <c r="BJ323">
        <v>1426</v>
      </c>
      <c r="BK323">
        <v>4</v>
      </c>
      <c r="BL323">
        <v>26</v>
      </c>
      <c r="BM323">
        <v>377</v>
      </c>
      <c r="BN323">
        <v>484</v>
      </c>
      <c r="BO323">
        <v>727</v>
      </c>
      <c r="BP323">
        <v>12</v>
      </c>
      <c r="BQ323" s="2">
        <v>412</v>
      </c>
      <c r="BR323">
        <f t="shared" si="85"/>
        <v>1427</v>
      </c>
      <c r="BS323">
        <f t="shared" si="86"/>
        <v>5</v>
      </c>
      <c r="BT323">
        <f t="shared" si="87"/>
        <v>27</v>
      </c>
      <c r="BU323">
        <f t="shared" si="88"/>
        <v>378</v>
      </c>
      <c r="BV323">
        <f t="shared" si="89"/>
        <v>485</v>
      </c>
      <c r="BW323">
        <f t="shared" si="90"/>
        <v>728</v>
      </c>
      <c r="BX323">
        <f t="shared" si="91"/>
        <v>13</v>
      </c>
      <c r="BY323" s="2">
        <f t="shared" si="92"/>
        <v>413</v>
      </c>
      <c r="BZ323">
        <f t="shared" si="93"/>
        <v>138.83597288520042</v>
      </c>
      <c r="CA323">
        <v>138.83597288520042</v>
      </c>
      <c r="CB323">
        <v>138.83597288520042</v>
      </c>
      <c r="CC323">
        <v>138.83597288520042</v>
      </c>
      <c r="CD323">
        <v>138.83597288520042</v>
      </c>
      <c r="CE323">
        <v>138.83597288520042</v>
      </c>
      <c r="CF323">
        <v>138.83597288520042</v>
      </c>
      <c r="CG323">
        <v>138.83597288520042</v>
      </c>
      <c r="CH323">
        <f t="shared" si="94"/>
        <v>1.0119219651989697</v>
      </c>
      <c r="CI323">
        <f t="shared" si="95"/>
        <v>-1.4435320035796584</v>
      </c>
      <c r="CJ323">
        <f t="shared" si="96"/>
        <v>-0.71113824375668988</v>
      </c>
      <c r="CK323">
        <f t="shared" si="97"/>
        <v>0.43498979192154819</v>
      </c>
      <c r="CL323">
        <f t="shared" si="98"/>
        <v>0.54323973068658649</v>
      </c>
      <c r="CM323">
        <f t="shared" si="99"/>
        <v>0.71962937139736005</v>
      </c>
      <c r="CN323">
        <f t="shared" si="100"/>
        <v>-1.0285586556088404</v>
      </c>
      <c r="CO323" s="2">
        <f t="shared" si="101"/>
        <v>0.47344804374072391</v>
      </c>
      <c r="CP323">
        <v>0.53872745039399805</v>
      </c>
      <c r="CQ323">
        <v>0.53482873346651905</v>
      </c>
      <c r="CR323">
        <v>-0.68213372453069498</v>
      </c>
      <c r="CS323">
        <v>-0.363699656762558</v>
      </c>
      <c r="CT323">
        <v>-0.37522577192677298</v>
      </c>
      <c r="CU323">
        <v>-0.34905208149727401</v>
      </c>
      <c r="CV323">
        <v>-8.2287826987903406E-2</v>
      </c>
      <c r="CW323">
        <v>-0.18397393368939</v>
      </c>
      <c r="CX323" t="s">
        <v>1827</v>
      </c>
    </row>
    <row r="324" spans="1:102" x14ac:dyDescent="0.35">
      <c r="A324" t="s">
        <v>1121</v>
      </c>
      <c r="B324" t="s">
        <v>300</v>
      </c>
      <c r="C324" t="s">
        <v>1122</v>
      </c>
      <c r="D324" t="s">
        <v>72</v>
      </c>
      <c r="E324" t="s">
        <v>72</v>
      </c>
      <c r="F324" t="s">
        <v>72</v>
      </c>
      <c r="G324" t="s">
        <v>73</v>
      </c>
      <c r="H324" t="s">
        <v>74</v>
      </c>
      <c r="I324" t="s">
        <v>75</v>
      </c>
      <c r="J324" t="s">
        <v>76</v>
      </c>
      <c r="K324" t="s">
        <v>77</v>
      </c>
      <c r="L324" t="s">
        <v>78</v>
      </c>
      <c r="M324" t="s">
        <v>79</v>
      </c>
      <c r="N324">
        <v>60</v>
      </c>
      <c r="O324" t="s">
        <v>80</v>
      </c>
      <c r="P324">
        <v>792</v>
      </c>
      <c r="Q324">
        <v>0.75</v>
      </c>
      <c r="R324">
        <v>177</v>
      </c>
      <c r="S324">
        <v>0.85419999999999996</v>
      </c>
      <c r="T324" t="s">
        <v>81</v>
      </c>
      <c r="U324" t="s">
        <v>82</v>
      </c>
      <c r="V324" t="s">
        <v>83</v>
      </c>
      <c r="W324" t="s">
        <v>84</v>
      </c>
      <c r="X324" t="s">
        <v>85</v>
      </c>
      <c r="Y324" t="s">
        <v>86</v>
      </c>
      <c r="Z324" t="s">
        <v>87</v>
      </c>
      <c r="AA324" t="s">
        <v>88</v>
      </c>
      <c r="AB324">
        <v>963</v>
      </c>
      <c r="AC324">
        <v>22</v>
      </c>
      <c r="AE324">
        <v>22</v>
      </c>
      <c r="AF324" t="s">
        <v>89</v>
      </c>
      <c r="AG324" t="s">
        <v>1123</v>
      </c>
      <c r="AH324" t="s">
        <v>72</v>
      </c>
      <c r="AI324" t="s">
        <v>72</v>
      </c>
      <c r="AJ324" t="s">
        <v>91</v>
      </c>
      <c r="AK324" t="s">
        <v>92</v>
      </c>
      <c r="AL324" t="s">
        <v>93</v>
      </c>
      <c r="AM324" t="s">
        <v>94</v>
      </c>
      <c r="AN324" t="s">
        <v>144</v>
      </c>
      <c r="AO324" t="s">
        <v>145</v>
      </c>
      <c r="AP324" t="s">
        <v>97</v>
      </c>
      <c r="AQ324">
        <v>39</v>
      </c>
      <c r="AR324" t="s">
        <v>80</v>
      </c>
      <c r="AS324">
        <v>1359</v>
      </c>
      <c r="AT324">
        <v>0.96879999999999999</v>
      </c>
      <c r="AU324">
        <v>172</v>
      </c>
      <c r="AV324">
        <v>0.94740000000000002</v>
      </c>
      <c r="AW324" t="s">
        <v>98</v>
      </c>
      <c r="AX324" t="s">
        <v>146</v>
      </c>
      <c r="AY324" t="s">
        <v>127</v>
      </c>
      <c r="AZ324" t="s">
        <v>101</v>
      </c>
      <c r="BA324" t="s">
        <v>128</v>
      </c>
      <c r="BB324" t="s">
        <v>103</v>
      </c>
      <c r="BC324" t="s">
        <v>104</v>
      </c>
      <c r="BD324" t="s">
        <v>105</v>
      </c>
      <c r="BE324">
        <v>16200</v>
      </c>
      <c r="BF324" t="s">
        <v>106</v>
      </c>
      <c r="BG324">
        <v>494</v>
      </c>
      <c r="BH324" t="s">
        <v>80</v>
      </c>
      <c r="BI324">
        <v>1</v>
      </c>
      <c r="BJ324">
        <v>7551</v>
      </c>
      <c r="BK324">
        <v>17</v>
      </c>
      <c r="BL324">
        <v>159</v>
      </c>
      <c r="BM324">
        <v>2145</v>
      </c>
      <c r="BN324">
        <v>2724</v>
      </c>
      <c r="BO324">
        <v>3959</v>
      </c>
      <c r="BP324">
        <v>86</v>
      </c>
      <c r="BQ324" s="2">
        <v>1951</v>
      </c>
      <c r="BR324">
        <f t="shared" si="85"/>
        <v>7552</v>
      </c>
      <c r="BS324">
        <f t="shared" si="86"/>
        <v>18</v>
      </c>
      <c r="BT324">
        <f t="shared" si="87"/>
        <v>160</v>
      </c>
      <c r="BU324">
        <f t="shared" si="88"/>
        <v>2146</v>
      </c>
      <c r="BV324">
        <f t="shared" si="89"/>
        <v>2725</v>
      </c>
      <c r="BW324">
        <f t="shared" si="90"/>
        <v>3960</v>
      </c>
      <c r="BX324">
        <f t="shared" si="91"/>
        <v>87</v>
      </c>
      <c r="BY324" s="2">
        <f t="shared" si="92"/>
        <v>1952</v>
      </c>
      <c r="BZ324">
        <f t="shared" si="93"/>
        <v>735.39067428461965</v>
      </c>
      <c r="CA324">
        <v>735.39067428461965</v>
      </c>
      <c r="CB324">
        <v>735.39067428461965</v>
      </c>
      <c r="CC324">
        <v>735.39067428461965</v>
      </c>
      <c r="CD324">
        <v>735.39067428461965</v>
      </c>
      <c r="CE324">
        <v>735.39067428461965</v>
      </c>
      <c r="CF324">
        <v>735.39067428461965</v>
      </c>
      <c r="CG324">
        <v>735.39067428461965</v>
      </c>
      <c r="CH324">
        <f t="shared" si="94"/>
        <v>1.0115438631441824</v>
      </c>
      <c r="CI324">
        <f t="shared" si="95"/>
        <v>-1.6112456130425241</v>
      </c>
      <c r="CJ324">
        <f t="shared" si="96"/>
        <v>-0.66239813548990534</v>
      </c>
      <c r="CK324">
        <f t="shared" si="97"/>
        <v>0.46511159948410213</v>
      </c>
      <c r="CL324">
        <f t="shared" si="98"/>
        <v>0.56884838846683117</v>
      </c>
      <c r="CM324">
        <f t="shared" si="99"/>
        <v>0.73117706777968217</v>
      </c>
      <c r="CN324">
        <f t="shared" si="100"/>
        <v>-0.92699886552721156</v>
      </c>
      <c r="CO324" s="2">
        <f t="shared" si="101"/>
        <v>0.42396169518484289</v>
      </c>
      <c r="CP324">
        <v>0.53827318635473798</v>
      </c>
      <c r="CQ324">
        <v>3.93684352963979E-2</v>
      </c>
      <c r="CR324">
        <v>-0.464368892465223</v>
      </c>
      <c r="CS324">
        <v>-0.27494725976555501</v>
      </c>
      <c r="CT324">
        <v>-0.30394112482626101</v>
      </c>
      <c r="CU324">
        <v>-0.315704713490778</v>
      </c>
      <c r="CV324">
        <v>0.190092868367956</v>
      </c>
      <c r="CW324">
        <v>-0.31989578035298599</v>
      </c>
      <c r="CX324" t="s">
        <v>1827</v>
      </c>
    </row>
    <row r="325" spans="1:102" x14ac:dyDescent="0.35">
      <c r="A325" t="s">
        <v>1428</v>
      </c>
      <c r="B325" t="s">
        <v>148</v>
      </c>
      <c r="C325" t="s">
        <v>1277</v>
      </c>
      <c r="D325" t="s">
        <v>72</v>
      </c>
      <c r="E325" t="s">
        <v>72</v>
      </c>
      <c r="F325" t="s">
        <v>72</v>
      </c>
      <c r="G325" t="s">
        <v>73</v>
      </c>
      <c r="H325" t="s">
        <v>74</v>
      </c>
      <c r="I325" t="s">
        <v>75</v>
      </c>
      <c r="J325" t="s">
        <v>76</v>
      </c>
      <c r="K325" t="s">
        <v>77</v>
      </c>
      <c r="L325" t="s">
        <v>78</v>
      </c>
      <c r="M325" t="s">
        <v>79</v>
      </c>
      <c r="N325">
        <v>60</v>
      </c>
      <c r="O325" t="s">
        <v>80</v>
      </c>
      <c r="P325">
        <v>792</v>
      </c>
      <c r="Q325">
        <v>0.75</v>
      </c>
      <c r="R325">
        <v>177</v>
      </c>
      <c r="S325">
        <v>0.85419999999999996</v>
      </c>
      <c r="T325" t="s">
        <v>81</v>
      </c>
      <c r="U325" t="s">
        <v>82</v>
      </c>
      <c r="V325" t="s">
        <v>83</v>
      </c>
      <c r="W325" t="s">
        <v>84</v>
      </c>
      <c r="X325" t="s">
        <v>85</v>
      </c>
      <c r="Y325" t="s">
        <v>86</v>
      </c>
      <c r="Z325" t="s">
        <v>87</v>
      </c>
      <c r="AA325" t="s">
        <v>88</v>
      </c>
      <c r="AB325">
        <v>309</v>
      </c>
      <c r="AC325">
        <v>4</v>
      </c>
      <c r="AE325">
        <v>22</v>
      </c>
      <c r="AF325" t="s">
        <v>89</v>
      </c>
      <c r="AG325" t="s">
        <v>1429</v>
      </c>
      <c r="AH325" t="s">
        <v>72</v>
      </c>
      <c r="AI325" t="s">
        <v>72</v>
      </c>
      <c r="AJ325" t="s">
        <v>91</v>
      </c>
      <c r="AK325" t="s">
        <v>92</v>
      </c>
      <c r="AL325" t="s">
        <v>93</v>
      </c>
      <c r="AM325" t="s">
        <v>94</v>
      </c>
      <c r="AN325" t="s">
        <v>144</v>
      </c>
      <c r="AO325" t="s">
        <v>145</v>
      </c>
      <c r="AP325" t="s">
        <v>97</v>
      </c>
      <c r="AQ325">
        <v>39</v>
      </c>
      <c r="AR325" t="s">
        <v>80</v>
      </c>
      <c r="AS325">
        <v>1359</v>
      </c>
      <c r="AT325">
        <v>0.96879999999999999</v>
      </c>
      <c r="AU325">
        <v>172</v>
      </c>
      <c r="AV325">
        <v>0.94740000000000002</v>
      </c>
      <c r="AW325" t="s">
        <v>98</v>
      </c>
      <c r="AX325" t="s">
        <v>146</v>
      </c>
      <c r="AY325" t="s">
        <v>127</v>
      </c>
      <c r="AZ325" t="s">
        <v>101</v>
      </c>
      <c r="BA325" t="s">
        <v>128</v>
      </c>
      <c r="BB325" t="s">
        <v>103</v>
      </c>
      <c r="BC325" t="s">
        <v>104</v>
      </c>
      <c r="BD325" t="s">
        <v>105</v>
      </c>
      <c r="BE325">
        <v>4894</v>
      </c>
      <c r="BF325" t="s">
        <v>106</v>
      </c>
      <c r="BG325">
        <v>62</v>
      </c>
      <c r="BH325" t="s">
        <v>80</v>
      </c>
      <c r="BI325">
        <v>1</v>
      </c>
      <c r="BJ325">
        <v>800</v>
      </c>
      <c r="BK325">
        <v>0</v>
      </c>
      <c r="BL325">
        <v>28</v>
      </c>
      <c r="BM325">
        <v>206</v>
      </c>
      <c r="BN325">
        <v>292</v>
      </c>
      <c r="BO325">
        <v>447</v>
      </c>
      <c r="BP325">
        <v>9</v>
      </c>
      <c r="BQ325" s="2">
        <v>227</v>
      </c>
      <c r="BR325">
        <f t="shared" si="85"/>
        <v>801</v>
      </c>
      <c r="BS325">
        <f t="shared" si="86"/>
        <v>1</v>
      </c>
      <c r="BT325">
        <f t="shared" si="87"/>
        <v>29</v>
      </c>
      <c r="BU325">
        <f t="shared" si="88"/>
        <v>207</v>
      </c>
      <c r="BV325">
        <f t="shared" si="89"/>
        <v>293</v>
      </c>
      <c r="BW325">
        <f t="shared" si="90"/>
        <v>448</v>
      </c>
      <c r="BX325">
        <f t="shared" si="91"/>
        <v>10</v>
      </c>
      <c r="BY325" s="2">
        <f t="shared" si="92"/>
        <v>228</v>
      </c>
      <c r="BZ325">
        <f t="shared" si="93"/>
        <v>78.48021201051283</v>
      </c>
      <c r="CA325">
        <v>78.48021201051283</v>
      </c>
      <c r="CB325">
        <v>78.48021201051283</v>
      </c>
      <c r="CC325">
        <v>78.48021201051283</v>
      </c>
      <c r="CD325">
        <v>78.48021201051283</v>
      </c>
      <c r="CE325">
        <v>78.48021201051283</v>
      </c>
      <c r="CF325">
        <v>78.48021201051283</v>
      </c>
      <c r="CG325">
        <v>78.48021201051283</v>
      </c>
      <c r="CH325">
        <f t="shared" si="94"/>
        <v>1.0088723484851354</v>
      </c>
      <c r="CI325">
        <f t="shared" si="95"/>
        <v>-1.8947601675991024</v>
      </c>
      <c r="CJ325">
        <f t="shared" si="96"/>
        <v>-0.43236216970014624</v>
      </c>
      <c r="CK325">
        <f t="shared" si="97"/>
        <v>0.42121017785781539</v>
      </c>
      <c r="CL325">
        <f t="shared" si="98"/>
        <v>0.57210745275500707</v>
      </c>
      <c r="CM325">
        <f t="shared" si="99"/>
        <v>0.75651784639904163</v>
      </c>
      <c r="CN325">
        <f t="shared" si="100"/>
        <v>-0.89476016759910237</v>
      </c>
      <c r="CO325" s="2">
        <f t="shared" si="101"/>
        <v>0.46317467940135143</v>
      </c>
      <c r="CP325">
        <v>0.53506354222665797</v>
      </c>
      <c r="CQ325">
        <v>-2.2527165794045199</v>
      </c>
      <c r="CR325">
        <v>0.56340361852371001</v>
      </c>
      <c r="CS325">
        <v>-0.40430059929597501</v>
      </c>
      <c r="CT325">
        <v>-0.29486914418385002</v>
      </c>
      <c r="CU325">
        <v>-0.24252576574111501</v>
      </c>
      <c r="CV325">
        <v>0.27655621131074898</v>
      </c>
      <c r="CW325">
        <v>-0.21219130460489899</v>
      </c>
      <c r="CX325" t="s">
        <v>1827</v>
      </c>
    </row>
    <row r="326" spans="1:102" x14ac:dyDescent="0.35">
      <c r="A326" t="s">
        <v>1292</v>
      </c>
      <c r="B326" t="s">
        <v>199</v>
      </c>
      <c r="C326" t="s">
        <v>1277</v>
      </c>
      <c r="D326" t="s">
        <v>72</v>
      </c>
      <c r="E326" t="s">
        <v>72</v>
      </c>
      <c r="F326" t="s">
        <v>72</v>
      </c>
      <c r="G326" t="s">
        <v>73</v>
      </c>
      <c r="H326" t="s">
        <v>74</v>
      </c>
      <c r="I326" t="s">
        <v>75</v>
      </c>
      <c r="J326" t="s">
        <v>76</v>
      </c>
      <c r="K326" t="s">
        <v>77</v>
      </c>
      <c r="L326" t="s">
        <v>78</v>
      </c>
      <c r="M326" t="s">
        <v>79</v>
      </c>
      <c r="N326">
        <v>60</v>
      </c>
      <c r="O326" t="s">
        <v>80</v>
      </c>
      <c r="P326">
        <v>792</v>
      </c>
      <c r="Q326">
        <v>0.75</v>
      </c>
      <c r="R326">
        <v>177</v>
      </c>
      <c r="S326">
        <v>0.85419999999999996</v>
      </c>
      <c r="T326" t="s">
        <v>81</v>
      </c>
      <c r="U326" t="s">
        <v>82</v>
      </c>
      <c r="V326" t="s">
        <v>83</v>
      </c>
      <c r="W326" t="s">
        <v>84</v>
      </c>
      <c r="X326" t="s">
        <v>85</v>
      </c>
      <c r="Y326" t="s">
        <v>86</v>
      </c>
      <c r="Z326" t="s">
        <v>87</v>
      </c>
      <c r="AA326" t="s">
        <v>88</v>
      </c>
      <c r="AB326">
        <v>1358</v>
      </c>
      <c r="AC326">
        <v>12</v>
      </c>
      <c r="AE326">
        <v>22</v>
      </c>
      <c r="AF326" t="s">
        <v>89</v>
      </c>
      <c r="AG326" t="s">
        <v>229</v>
      </c>
      <c r="AH326" t="s">
        <v>72</v>
      </c>
      <c r="AI326" t="s">
        <v>72</v>
      </c>
      <c r="AJ326" t="s">
        <v>91</v>
      </c>
      <c r="AK326" t="s">
        <v>92</v>
      </c>
      <c r="AL326" t="s">
        <v>93</v>
      </c>
      <c r="AM326" t="s">
        <v>94</v>
      </c>
      <c r="AN326" t="s">
        <v>144</v>
      </c>
      <c r="AO326" t="s">
        <v>145</v>
      </c>
      <c r="AP326" t="s">
        <v>97</v>
      </c>
      <c r="AQ326">
        <v>39</v>
      </c>
      <c r="AR326" t="s">
        <v>80</v>
      </c>
      <c r="AS326">
        <v>1359</v>
      </c>
      <c r="AT326">
        <v>0.96879999999999999</v>
      </c>
      <c r="AU326">
        <v>172</v>
      </c>
      <c r="AV326">
        <v>0.94740000000000002</v>
      </c>
      <c r="AW326" t="s">
        <v>98</v>
      </c>
      <c r="AX326" t="s">
        <v>146</v>
      </c>
      <c r="AY326" t="s">
        <v>127</v>
      </c>
      <c r="AZ326" t="s">
        <v>101</v>
      </c>
      <c r="BA326" t="s">
        <v>128</v>
      </c>
      <c r="BB326" t="s">
        <v>103</v>
      </c>
      <c r="BC326" t="s">
        <v>104</v>
      </c>
      <c r="BD326" t="s">
        <v>105</v>
      </c>
      <c r="BE326">
        <v>12901</v>
      </c>
      <c r="BF326" t="s">
        <v>106</v>
      </c>
      <c r="BG326">
        <v>159</v>
      </c>
      <c r="BH326" t="s">
        <v>80</v>
      </c>
      <c r="BI326">
        <v>1</v>
      </c>
      <c r="BJ326">
        <v>2172</v>
      </c>
      <c r="BK326">
        <v>8</v>
      </c>
      <c r="BL326">
        <v>46</v>
      </c>
      <c r="BM326">
        <v>580</v>
      </c>
      <c r="BN326">
        <v>800</v>
      </c>
      <c r="BO326">
        <v>1116</v>
      </c>
      <c r="BP326">
        <v>14</v>
      </c>
      <c r="BQ326" s="2">
        <v>637</v>
      </c>
      <c r="BR326">
        <f t="shared" si="85"/>
        <v>2173</v>
      </c>
      <c r="BS326">
        <f t="shared" si="86"/>
        <v>9</v>
      </c>
      <c r="BT326">
        <f t="shared" si="87"/>
        <v>47</v>
      </c>
      <c r="BU326">
        <f t="shared" si="88"/>
        <v>581</v>
      </c>
      <c r="BV326">
        <f t="shared" si="89"/>
        <v>801</v>
      </c>
      <c r="BW326">
        <f t="shared" si="90"/>
        <v>1117</v>
      </c>
      <c r="BX326">
        <f t="shared" si="91"/>
        <v>15</v>
      </c>
      <c r="BY326" s="2">
        <f t="shared" si="92"/>
        <v>638</v>
      </c>
      <c r="BZ326">
        <f t="shared" si="93"/>
        <v>215.04122809858387</v>
      </c>
      <c r="CA326">
        <v>215.04122809858387</v>
      </c>
      <c r="CB326">
        <v>215.04122809858387</v>
      </c>
      <c r="CC326">
        <v>215.04122809858387</v>
      </c>
      <c r="CD326">
        <v>215.04122809858387</v>
      </c>
      <c r="CE326">
        <v>215.04122809858387</v>
      </c>
      <c r="CF326">
        <v>215.04122809858387</v>
      </c>
      <c r="CG326">
        <v>215.04122809858387</v>
      </c>
      <c r="CH326">
        <f t="shared" si="94"/>
        <v>1.0045379946877011</v>
      </c>
      <c r="CI326">
        <f t="shared" si="95"/>
        <v>-1.3782792221934987</v>
      </c>
      <c r="CJ326">
        <f t="shared" si="96"/>
        <v>-0.66042387369710609</v>
      </c>
      <c r="CK326">
        <f t="shared" si="97"/>
        <v>0.43165440075750722</v>
      </c>
      <c r="CL326">
        <f t="shared" si="98"/>
        <v>0.57111078445141417</v>
      </c>
      <c r="CM326">
        <f t="shared" si="99"/>
        <v>0.71553144148278558</v>
      </c>
      <c r="CN326">
        <f t="shared" si="100"/>
        <v>-1.1564304725771422</v>
      </c>
      <c r="CO326" s="2">
        <f t="shared" si="101"/>
        <v>0.47229894708833881</v>
      </c>
      <c r="CP326">
        <v>0.52985610936910599</v>
      </c>
      <c r="CQ326">
        <v>0.72759879324616294</v>
      </c>
      <c r="CR326">
        <v>-0.45554813266286498</v>
      </c>
      <c r="CS326">
        <v>-0.37352721973720698</v>
      </c>
      <c r="CT326">
        <v>-0.29764348514726802</v>
      </c>
      <c r="CU326">
        <v>-0.36088605880337499</v>
      </c>
      <c r="CV326">
        <v>-0.42523668887752297</v>
      </c>
      <c r="CW326">
        <v>-0.18713010389683199</v>
      </c>
      <c r="CX326" t="s">
        <v>1827</v>
      </c>
    </row>
    <row r="327" spans="1:102" x14ac:dyDescent="0.35">
      <c r="A327" t="s">
        <v>1607</v>
      </c>
      <c r="B327" t="s">
        <v>89</v>
      </c>
      <c r="C327" t="s">
        <v>131</v>
      </c>
      <c r="D327" t="s">
        <v>72</v>
      </c>
      <c r="E327" t="s">
        <v>72</v>
      </c>
      <c r="F327" t="s">
        <v>72</v>
      </c>
      <c r="G327" t="s">
        <v>73</v>
      </c>
      <c r="H327" t="s">
        <v>109</v>
      </c>
      <c r="I327" t="s">
        <v>110</v>
      </c>
      <c r="J327" t="s">
        <v>111</v>
      </c>
      <c r="K327" t="s">
        <v>112</v>
      </c>
      <c r="L327" t="s">
        <v>113</v>
      </c>
      <c r="M327" t="s">
        <v>114</v>
      </c>
      <c r="N327">
        <v>48</v>
      </c>
      <c r="O327" t="s">
        <v>80</v>
      </c>
      <c r="P327">
        <v>621</v>
      </c>
      <c r="Q327">
        <v>0.68400000000000005</v>
      </c>
      <c r="R327">
        <v>175</v>
      </c>
      <c r="S327">
        <v>0.81130000000000002</v>
      </c>
      <c r="T327" t="s">
        <v>115</v>
      </c>
      <c r="U327" t="s">
        <v>116</v>
      </c>
      <c r="V327" t="s">
        <v>117</v>
      </c>
      <c r="W327" t="s">
        <v>118</v>
      </c>
      <c r="X327" t="s">
        <v>119</v>
      </c>
      <c r="Y327" t="s">
        <v>120</v>
      </c>
      <c r="Z327" t="s">
        <v>121</v>
      </c>
      <c r="AA327" t="s">
        <v>88</v>
      </c>
      <c r="AB327">
        <v>470</v>
      </c>
      <c r="AC327">
        <v>5</v>
      </c>
      <c r="AE327">
        <v>1</v>
      </c>
      <c r="AF327" t="s">
        <v>211</v>
      </c>
      <c r="AG327" t="s">
        <v>384</v>
      </c>
      <c r="AH327" t="s">
        <v>72</v>
      </c>
      <c r="AI327" t="s">
        <v>72</v>
      </c>
      <c r="AJ327" t="s">
        <v>91</v>
      </c>
      <c r="AK327" t="s">
        <v>92</v>
      </c>
      <c r="AL327" t="s">
        <v>93</v>
      </c>
      <c r="AM327" t="s">
        <v>94</v>
      </c>
      <c r="AN327" t="s">
        <v>144</v>
      </c>
      <c r="AO327" t="s">
        <v>145</v>
      </c>
      <c r="AP327" t="s">
        <v>97</v>
      </c>
      <c r="AQ327">
        <v>39</v>
      </c>
      <c r="AR327" t="s">
        <v>80</v>
      </c>
      <c r="AS327">
        <v>1359</v>
      </c>
      <c r="AT327">
        <v>0.96879999999999999</v>
      </c>
      <c r="AU327">
        <v>172</v>
      </c>
      <c r="AV327">
        <v>0.94740000000000002</v>
      </c>
      <c r="AW327" t="s">
        <v>98</v>
      </c>
      <c r="AX327" t="s">
        <v>146</v>
      </c>
      <c r="AY327" t="s">
        <v>127</v>
      </c>
      <c r="AZ327" t="s">
        <v>101</v>
      </c>
      <c r="BA327" t="s">
        <v>128</v>
      </c>
      <c r="BB327" t="s">
        <v>103</v>
      </c>
      <c r="BC327" t="s">
        <v>104</v>
      </c>
      <c r="BD327" t="s">
        <v>105</v>
      </c>
      <c r="BE327">
        <v>7392</v>
      </c>
      <c r="BF327" t="s">
        <v>106</v>
      </c>
      <c r="BG327">
        <v>93</v>
      </c>
      <c r="BH327" t="s">
        <v>80</v>
      </c>
      <c r="BI327">
        <v>1</v>
      </c>
      <c r="BJ327">
        <v>1989</v>
      </c>
      <c r="BK327">
        <v>8</v>
      </c>
      <c r="BL327">
        <v>48</v>
      </c>
      <c r="BM327">
        <v>538</v>
      </c>
      <c r="BN327">
        <v>710</v>
      </c>
      <c r="BO327">
        <v>957</v>
      </c>
      <c r="BP327">
        <v>14</v>
      </c>
      <c r="BQ327" s="2">
        <v>507</v>
      </c>
      <c r="BR327">
        <f t="shared" si="85"/>
        <v>1990</v>
      </c>
      <c r="BS327">
        <f t="shared" si="86"/>
        <v>9</v>
      </c>
      <c r="BT327">
        <f t="shared" si="87"/>
        <v>49</v>
      </c>
      <c r="BU327">
        <f t="shared" si="88"/>
        <v>539</v>
      </c>
      <c r="BV327">
        <f t="shared" si="89"/>
        <v>711</v>
      </c>
      <c r="BW327">
        <f t="shared" si="90"/>
        <v>958</v>
      </c>
      <c r="BX327">
        <f t="shared" si="91"/>
        <v>15</v>
      </c>
      <c r="BY327" s="2">
        <f t="shared" si="92"/>
        <v>508</v>
      </c>
      <c r="BZ327">
        <f t="shared" si="93"/>
        <v>198.95681230254229</v>
      </c>
      <c r="CA327">
        <v>198.95681230254229</v>
      </c>
      <c r="CB327">
        <v>198.95681230254229</v>
      </c>
      <c r="CC327">
        <v>198.95681230254229</v>
      </c>
      <c r="CD327">
        <v>198.95681230254229</v>
      </c>
      <c r="CE327">
        <v>198.95681230254229</v>
      </c>
      <c r="CF327">
        <v>198.95681230254229</v>
      </c>
      <c r="CG327">
        <v>198.95681230254229</v>
      </c>
      <c r="CH327">
        <f t="shared" si="94"/>
        <v>1.0000942623831823</v>
      </c>
      <c r="CI327">
        <f t="shared" si="95"/>
        <v>-1.3445163045871995</v>
      </c>
      <c r="CJ327">
        <f t="shared" si="96"/>
        <v>-0.60856273399801075</v>
      </c>
      <c r="CK327">
        <f t="shared" si="97"/>
        <v>0.43282995116021433</v>
      </c>
      <c r="CL327">
        <f t="shared" si="98"/>
        <v>0.55311078670324187</v>
      </c>
      <c r="CM327">
        <f t="shared" si="99"/>
        <v>0.68260669505201998</v>
      </c>
      <c r="CN327">
        <f t="shared" si="100"/>
        <v>-1.1226675549708431</v>
      </c>
      <c r="CO327" s="2">
        <f t="shared" si="101"/>
        <v>0.40710489825739482</v>
      </c>
      <c r="CP327">
        <v>0.52451726563502599</v>
      </c>
      <c r="CQ327">
        <v>0.82734135604643499</v>
      </c>
      <c r="CR327">
        <v>-0.22383891454867799</v>
      </c>
      <c r="CS327">
        <v>-0.370063519366159</v>
      </c>
      <c r="CT327">
        <v>-0.34774855110969899</v>
      </c>
      <c r="CU327">
        <v>-0.45596594308471999</v>
      </c>
      <c r="CV327">
        <v>-0.334685428704035</v>
      </c>
      <c r="CW327">
        <v>-0.36619555865698999</v>
      </c>
      <c r="CX327" t="s">
        <v>1827</v>
      </c>
    </row>
    <row r="328" spans="1:102" x14ac:dyDescent="0.35">
      <c r="A328" t="s">
        <v>1276</v>
      </c>
      <c r="B328" t="s">
        <v>199</v>
      </c>
      <c r="C328" t="s">
        <v>1277</v>
      </c>
      <c r="D328" t="s">
        <v>72</v>
      </c>
      <c r="E328" t="s">
        <v>72</v>
      </c>
      <c r="F328" t="s">
        <v>72</v>
      </c>
      <c r="G328" t="s">
        <v>73</v>
      </c>
      <c r="H328" t="s">
        <v>74</v>
      </c>
      <c r="I328" t="s">
        <v>75</v>
      </c>
      <c r="J328" t="s">
        <v>76</v>
      </c>
      <c r="K328" t="s">
        <v>77</v>
      </c>
      <c r="L328" t="s">
        <v>78</v>
      </c>
      <c r="M328" t="s">
        <v>79</v>
      </c>
      <c r="N328">
        <v>60</v>
      </c>
      <c r="O328" t="s">
        <v>80</v>
      </c>
      <c r="P328">
        <v>792</v>
      </c>
      <c r="Q328">
        <v>0.75</v>
      </c>
      <c r="R328">
        <v>177</v>
      </c>
      <c r="S328">
        <v>0.85419999999999996</v>
      </c>
      <c r="T328" t="s">
        <v>81</v>
      </c>
      <c r="U328" t="s">
        <v>82</v>
      </c>
      <c r="V328" t="s">
        <v>83</v>
      </c>
      <c r="W328" t="s">
        <v>84</v>
      </c>
      <c r="X328" t="s">
        <v>85</v>
      </c>
      <c r="Y328" t="s">
        <v>86</v>
      </c>
      <c r="Z328" t="s">
        <v>87</v>
      </c>
      <c r="AA328" t="s">
        <v>88</v>
      </c>
      <c r="AB328">
        <v>724</v>
      </c>
      <c r="AC328">
        <v>9</v>
      </c>
      <c r="AE328">
        <v>22</v>
      </c>
      <c r="AF328" t="s">
        <v>89</v>
      </c>
      <c r="AG328" t="s">
        <v>384</v>
      </c>
      <c r="AH328" t="s">
        <v>72</v>
      </c>
      <c r="AI328" t="s">
        <v>72</v>
      </c>
      <c r="AJ328" t="s">
        <v>91</v>
      </c>
      <c r="AK328" t="s">
        <v>92</v>
      </c>
      <c r="AL328" t="s">
        <v>93</v>
      </c>
      <c r="AM328" t="s">
        <v>94</v>
      </c>
      <c r="AN328" t="s">
        <v>144</v>
      </c>
      <c r="AO328" t="s">
        <v>145</v>
      </c>
      <c r="AP328" t="s">
        <v>97</v>
      </c>
      <c r="AQ328">
        <v>39</v>
      </c>
      <c r="AR328" t="s">
        <v>80</v>
      </c>
      <c r="AS328">
        <v>1359</v>
      </c>
      <c r="AT328">
        <v>0.96879999999999999</v>
      </c>
      <c r="AU328">
        <v>172</v>
      </c>
      <c r="AV328">
        <v>0.94740000000000002</v>
      </c>
      <c r="AW328" t="s">
        <v>98</v>
      </c>
      <c r="AX328" t="s">
        <v>146</v>
      </c>
      <c r="AY328" t="s">
        <v>127</v>
      </c>
      <c r="AZ328" t="s">
        <v>101</v>
      </c>
      <c r="BA328" t="s">
        <v>128</v>
      </c>
      <c r="BB328" t="s">
        <v>103</v>
      </c>
      <c r="BC328" t="s">
        <v>104</v>
      </c>
      <c r="BD328" t="s">
        <v>105</v>
      </c>
      <c r="BE328">
        <v>15103</v>
      </c>
      <c r="BF328" t="s">
        <v>106</v>
      </c>
      <c r="BG328">
        <v>199</v>
      </c>
      <c r="BH328" t="s">
        <v>80</v>
      </c>
      <c r="BI328">
        <v>1</v>
      </c>
      <c r="BJ328">
        <v>3188</v>
      </c>
      <c r="BK328">
        <v>10</v>
      </c>
      <c r="BL328">
        <v>76</v>
      </c>
      <c r="BM328">
        <v>821</v>
      </c>
      <c r="BN328">
        <v>1026</v>
      </c>
      <c r="BO328">
        <v>1602</v>
      </c>
      <c r="BP328">
        <v>36</v>
      </c>
      <c r="BQ328" s="2">
        <v>846</v>
      </c>
      <c r="BR328">
        <f t="shared" si="85"/>
        <v>3189</v>
      </c>
      <c r="BS328">
        <f t="shared" si="86"/>
        <v>11</v>
      </c>
      <c r="BT328">
        <f t="shared" si="87"/>
        <v>77</v>
      </c>
      <c r="BU328">
        <f t="shared" si="88"/>
        <v>822</v>
      </c>
      <c r="BV328">
        <f t="shared" si="89"/>
        <v>1027</v>
      </c>
      <c r="BW328">
        <f t="shared" si="90"/>
        <v>1603</v>
      </c>
      <c r="BX328">
        <f t="shared" si="91"/>
        <v>37</v>
      </c>
      <c r="BY328" s="2">
        <f t="shared" si="92"/>
        <v>847</v>
      </c>
      <c r="BZ328">
        <f t="shared" si="93"/>
        <v>321.64355675953755</v>
      </c>
      <c r="CA328">
        <v>321.64355675953755</v>
      </c>
      <c r="CB328">
        <v>321.64355675953755</v>
      </c>
      <c r="CC328">
        <v>321.64355675953755</v>
      </c>
      <c r="CD328">
        <v>321.64355675953755</v>
      </c>
      <c r="CE328">
        <v>321.64355675953755</v>
      </c>
      <c r="CF328">
        <v>321.64355675953755</v>
      </c>
      <c r="CG328">
        <v>321.64355675953755</v>
      </c>
      <c r="CH328">
        <f t="shared" si="94"/>
        <v>0.99627966331010398</v>
      </c>
      <c r="CI328">
        <f t="shared" si="95"/>
        <v>-1.4659821707746301</v>
      </c>
      <c r="CJ328">
        <f t="shared" si="96"/>
        <v>-0.6208841307603733</v>
      </c>
      <c r="CK328">
        <f t="shared" si="97"/>
        <v>0.40749696160719523</v>
      </c>
      <c r="CL328">
        <f t="shared" si="98"/>
        <v>0.50419558766442296</v>
      </c>
      <c r="CM328">
        <f t="shared" si="99"/>
        <v>0.69755866642128961</v>
      </c>
      <c r="CN328">
        <f t="shared" si="100"/>
        <v>-0.93917313186586016</v>
      </c>
      <c r="CO328" s="2">
        <f t="shared" si="101"/>
        <v>0.42050855439785167</v>
      </c>
      <c r="CP328">
        <v>0.51993428291605703</v>
      </c>
      <c r="CQ328">
        <v>0.46850634872974201</v>
      </c>
      <c r="CR328">
        <v>-0.27888940565717801</v>
      </c>
      <c r="CS328">
        <v>-0.44470590399932902</v>
      </c>
      <c r="CT328">
        <v>-0.48390963894396399</v>
      </c>
      <c r="CU328">
        <v>-0.412787730290961</v>
      </c>
      <c r="CV328">
        <v>0.15744180510656799</v>
      </c>
      <c r="CW328">
        <v>-0.32938036117687097</v>
      </c>
      <c r="CX328" t="s">
        <v>1827</v>
      </c>
    </row>
    <row r="329" spans="1:102" x14ac:dyDescent="0.35">
      <c r="A329" t="s">
        <v>924</v>
      </c>
      <c r="B329" t="s">
        <v>89</v>
      </c>
      <c r="C329" t="s">
        <v>925</v>
      </c>
      <c r="D329" t="s">
        <v>72</v>
      </c>
      <c r="E329" t="s">
        <v>72</v>
      </c>
      <c r="F329" t="s">
        <v>72</v>
      </c>
      <c r="G329" t="s">
        <v>73</v>
      </c>
      <c r="H329" t="s">
        <v>74</v>
      </c>
      <c r="I329" t="s">
        <v>75</v>
      </c>
      <c r="J329" t="s">
        <v>76</v>
      </c>
      <c r="K329" t="s">
        <v>77</v>
      </c>
      <c r="L329" t="s">
        <v>78</v>
      </c>
      <c r="M329" t="s">
        <v>79</v>
      </c>
      <c r="N329">
        <v>60</v>
      </c>
      <c r="O329" t="s">
        <v>80</v>
      </c>
      <c r="P329">
        <v>792</v>
      </c>
      <c r="Q329">
        <v>0.75</v>
      </c>
      <c r="R329">
        <v>177</v>
      </c>
      <c r="S329">
        <v>0.85419999999999996</v>
      </c>
      <c r="T329" t="s">
        <v>81</v>
      </c>
      <c r="U329" t="s">
        <v>82</v>
      </c>
      <c r="V329" t="s">
        <v>83</v>
      </c>
      <c r="W329" t="s">
        <v>84</v>
      </c>
      <c r="X329" t="s">
        <v>85</v>
      </c>
      <c r="Y329" t="s">
        <v>86</v>
      </c>
      <c r="Z329" t="s">
        <v>87</v>
      </c>
      <c r="AA329" t="s">
        <v>88</v>
      </c>
      <c r="AB329">
        <v>2020</v>
      </c>
      <c r="AC329">
        <v>21</v>
      </c>
      <c r="AE329">
        <v>22</v>
      </c>
      <c r="AF329" t="s">
        <v>231</v>
      </c>
      <c r="AG329" t="s">
        <v>384</v>
      </c>
      <c r="AH329" t="s">
        <v>72</v>
      </c>
      <c r="AI329" t="s">
        <v>72</v>
      </c>
      <c r="AJ329" t="s">
        <v>91</v>
      </c>
      <c r="AK329" t="s">
        <v>92</v>
      </c>
      <c r="AL329" t="s">
        <v>93</v>
      </c>
      <c r="AM329" t="s">
        <v>94</v>
      </c>
      <c r="AN329" t="s">
        <v>144</v>
      </c>
      <c r="AO329" t="s">
        <v>145</v>
      </c>
      <c r="AP329" t="s">
        <v>97</v>
      </c>
      <c r="AQ329">
        <v>39</v>
      </c>
      <c r="AR329" t="s">
        <v>80</v>
      </c>
      <c r="AS329">
        <v>1359</v>
      </c>
      <c r="AT329">
        <v>0.96879999999999999</v>
      </c>
      <c r="AU329">
        <v>172</v>
      </c>
      <c r="AV329">
        <v>0.94740000000000002</v>
      </c>
      <c r="AW329" t="s">
        <v>98</v>
      </c>
      <c r="AX329" t="s">
        <v>146</v>
      </c>
      <c r="AY329" t="s">
        <v>127</v>
      </c>
      <c r="AZ329" t="s">
        <v>101</v>
      </c>
      <c r="BA329" t="s">
        <v>128</v>
      </c>
      <c r="BB329" t="s">
        <v>103</v>
      </c>
      <c r="BC329" t="s">
        <v>104</v>
      </c>
      <c r="BD329" t="s">
        <v>105</v>
      </c>
      <c r="BE329">
        <v>29216</v>
      </c>
      <c r="BF329" t="s">
        <v>106</v>
      </c>
      <c r="BG329">
        <v>376</v>
      </c>
      <c r="BH329" t="s">
        <v>80</v>
      </c>
      <c r="BI329">
        <v>1</v>
      </c>
      <c r="BJ329">
        <v>6760</v>
      </c>
      <c r="BK329">
        <v>20</v>
      </c>
      <c r="BL329">
        <v>147</v>
      </c>
      <c r="BM329">
        <v>1779</v>
      </c>
      <c r="BN329">
        <v>2416</v>
      </c>
      <c r="BO329">
        <v>3407</v>
      </c>
      <c r="BP329">
        <v>81</v>
      </c>
      <c r="BQ329" s="2">
        <v>1938</v>
      </c>
      <c r="BR329">
        <f t="shared" si="85"/>
        <v>6761</v>
      </c>
      <c r="BS329">
        <f t="shared" si="86"/>
        <v>21</v>
      </c>
      <c r="BT329">
        <f t="shared" si="87"/>
        <v>148</v>
      </c>
      <c r="BU329">
        <f t="shared" si="88"/>
        <v>1780</v>
      </c>
      <c r="BV329">
        <f t="shared" si="89"/>
        <v>2417</v>
      </c>
      <c r="BW329">
        <f t="shared" si="90"/>
        <v>3408</v>
      </c>
      <c r="BX329">
        <f t="shared" si="91"/>
        <v>82</v>
      </c>
      <c r="BY329" s="2">
        <f t="shared" si="92"/>
        <v>1939</v>
      </c>
      <c r="BZ329">
        <f t="shared" si="93"/>
        <v>685.89870167670028</v>
      </c>
      <c r="CA329">
        <v>685.89870167670028</v>
      </c>
      <c r="CB329">
        <v>685.89870167670028</v>
      </c>
      <c r="CC329">
        <v>685.89870167670028</v>
      </c>
      <c r="CD329">
        <v>685.89870167670028</v>
      </c>
      <c r="CE329">
        <v>685.89870167670028</v>
      </c>
      <c r="CF329">
        <v>685.89870167670028</v>
      </c>
      <c r="CG329">
        <v>685.89870167670028</v>
      </c>
      <c r="CH329">
        <f t="shared" si="94"/>
        <v>0.99375095514378997</v>
      </c>
      <c r="CI329">
        <f t="shared" si="95"/>
        <v>-1.5140406860584086</v>
      </c>
      <c r="CJ329">
        <f t="shared" si="96"/>
        <v>-0.6659982653973705</v>
      </c>
      <c r="CK329">
        <f t="shared" si="97"/>
        <v>0.41416002151656606</v>
      </c>
      <c r="CL329">
        <f t="shared" si="98"/>
        <v>0.54701666961532247</v>
      </c>
      <c r="CM329">
        <f t="shared" si="99"/>
        <v>0.69623960530233464</v>
      </c>
      <c r="CN329">
        <f t="shared" si="100"/>
        <v>-0.92244612840861118</v>
      </c>
      <c r="CO329" s="2">
        <f t="shared" si="101"/>
        <v>0.45131782828637751</v>
      </c>
      <c r="CP329">
        <v>0.51689621112777395</v>
      </c>
      <c r="CQ329">
        <v>0.32653166707824299</v>
      </c>
      <c r="CR329">
        <v>-0.480453831801464</v>
      </c>
      <c r="CS329">
        <v>-0.42507353176989998</v>
      </c>
      <c r="CT329">
        <v>-0.36471222760260202</v>
      </c>
      <c r="CU329">
        <v>-0.41659690703933799</v>
      </c>
      <c r="CV329">
        <v>0.20230319000351801</v>
      </c>
      <c r="CW329">
        <v>-0.24475796482923701</v>
      </c>
      <c r="CX329" t="s">
        <v>1827</v>
      </c>
    </row>
    <row r="330" spans="1:102" x14ac:dyDescent="0.35">
      <c r="A330" t="s">
        <v>660</v>
      </c>
      <c r="B330" t="s">
        <v>300</v>
      </c>
      <c r="C330" t="s">
        <v>661</v>
      </c>
      <c r="D330" t="s">
        <v>72</v>
      </c>
      <c r="E330" t="s">
        <v>72</v>
      </c>
      <c r="F330" t="s">
        <v>72</v>
      </c>
      <c r="G330" t="s">
        <v>73</v>
      </c>
      <c r="H330" t="s">
        <v>74</v>
      </c>
      <c r="I330" t="s">
        <v>75</v>
      </c>
      <c r="J330" t="s">
        <v>76</v>
      </c>
      <c r="K330" t="s">
        <v>77</v>
      </c>
      <c r="L330" t="s">
        <v>78</v>
      </c>
      <c r="M330" t="s">
        <v>79</v>
      </c>
      <c r="N330">
        <v>60</v>
      </c>
      <c r="O330" t="s">
        <v>80</v>
      </c>
      <c r="P330">
        <v>792</v>
      </c>
      <c r="Q330">
        <v>0.75</v>
      </c>
      <c r="R330">
        <v>177</v>
      </c>
      <c r="S330">
        <v>0.85419999999999996</v>
      </c>
      <c r="T330" t="s">
        <v>81</v>
      </c>
      <c r="U330" t="s">
        <v>82</v>
      </c>
      <c r="V330" t="s">
        <v>83</v>
      </c>
      <c r="W330" t="s">
        <v>84</v>
      </c>
      <c r="X330" t="s">
        <v>85</v>
      </c>
      <c r="Y330" t="s">
        <v>86</v>
      </c>
      <c r="Z330" t="s">
        <v>87</v>
      </c>
      <c r="AA330" t="s">
        <v>88</v>
      </c>
      <c r="AB330">
        <v>3097</v>
      </c>
      <c r="AC330">
        <v>39</v>
      </c>
      <c r="AE330">
        <v>22</v>
      </c>
      <c r="AF330" t="s">
        <v>89</v>
      </c>
      <c r="AG330" t="s">
        <v>229</v>
      </c>
      <c r="AH330" t="s">
        <v>72</v>
      </c>
      <c r="AI330" t="s">
        <v>72</v>
      </c>
      <c r="AJ330" t="s">
        <v>91</v>
      </c>
      <c r="AK330" t="s">
        <v>92</v>
      </c>
      <c r="AL330" t="s">
        <v>93</v>
      </c>
      <c r="AM330" t="s">
        <v>94</v>
      </c>
      <c r="AN330" t="s">
        <v>144</v>
      </c>
      <c r="AO330" t="s">
        <v>145</v>
      </c>
      <c r="AP330" t="s">
        <v>97</v>
      </c>
      <c r="AQ330">
        <v>39</v>
      </c>
      <c r="AR330" t="s">
        <v>80</v>
      </c>
      <c r="AS330">
        <v>1359</v>
      </c>
      <c r="AT330">
        <v>0.96879999999999999</v>
      </c>
      <c r="AU330">
        <v>172</v>
      </c>
      <c r="AV330">
        <v>0.94740000000000002</v>
      </c>
      <c r="AW330" t="s">
        <v>98</v>
      </c>
      <c r="AX330" t="s">
        <v>146</v>
      </c>
      <c r="AY330" t="s">
        <v>127</v>
      </c>
      <c r="AZ330" t="s">
        <v>101</v>
      </c>
      <c r="BA330" t="s">
        <v>128</v>
      </c>
      <c r="BB330" t="s">
        <v>103</v>
      </c>
      <c r="BC330" t="s">
        <v>104</v>
      </c>
      <c r="BD330" t="s">
        <v>105</v>
      </c>
      <c r="BE330">
        <v>46621</v>
      </c>
      <c r="BF330" t="s">
        <v>106</v>
      </c>
      <c r="BG330">
        <v>573</v>
      </c>
      <c r="BH330" t="s">
        <v>80</v>
      </c>
      <c r="BI330">
        <v>1</v>
      </c>
      <c r="BJ330">
        <v>16267</v>
      </c>
      <c r="BK330">
        <v>39</v>
      </c>
      <c r="BL330">
        <v>408</v>
      </c>
      <c r="BM330">
        <v>5054</v>
      </c>
      <c r="BN330">
        <v>6361</v>
      </c>
      <c r="BO330">
        <v>8790</v>
      </c>
      <c r="BP330">
        <v>154</v>
      </c>
      <c r="BQ330" s="2">
        <v>4947</v>
      </c>
      <c r="BR330">
        <f t="shared" si="85"/>
        <v>16268</v>
      </c>
      <c r="BS330">
        <f t="shared" si="86"/>
        <v>40</v>
      </c>
      <c r="BT330">
        <f t="shared" si="87"/>
        <v>409</v>
      </c>
      <c r="BU330">
        <f t="shared" si="88"/>
        <v>5055</v>
      </c>
      <c r="BV330">
        <f t="shared" si="89"/>
        <v>6362</v>
      </c>
      <c r="BW330">
        <f t="shared" si="90"/>
        <v>8791</v>
      </c>
      <c r="BX330">
        <f t="shared" si="91"/>
        <v>155</v>
      </c>
      <c r="BY330" s="2">
        <f t="shared" si="92"/>
        <v>4948</v>
      </c>
      <c r="BZ330">
        <f t="shared" si="93"/>
        <v>1660.1754775874742</v>
      </c>
      <c r="CA330">
        <v>1660.1754775874742</v>
      </c>
      <c r="CB330">
        <v>1660.1754775874742</v>
      </c>
      <c r="CC330">
        <v>1660.1754775874742</v>
      </c>
      <c r="CD330">
        <v>1660.1754775874742</v>
      </c>
      <c r="CE330">
        <v>1660.1754775874742</v>
      </c>
      <c r="CF330">
        <v>1660.1754775874742</v>
      </c>
      <c r="CG330">
        <v>1660.1754775874742</v>
      </c>
      <c r="CH330">
        <f t="shared" si="94"/>
        <v>0.9911801691140486</v>
      </c>
      <c r="CI330">
        <f t="shared" si="95"/>
        <v>-1.6180940032905391</v>
      </c>
      <c r="CJ330">
        <f t="shared" si="96"/>
        <v>-0.60843068661115962</v>
      </c>
      <c r="CK330">
        <f t="shared" si="97"/>
        <v>0.4835671653085184</v>
      </c>
      <c r="CL330">
        <f t="shared" si="98"/>
        <v>0.58343967015284315</v>
      </c>
      <c r="CM330">
        <f t="shared" si="99"/>
        <v>0.72388428543591687</v>
      </c>
      <c r="CN330">
        <f t="shared" si="100"/>
        <v>-1.02982229644821</v>
      </c>
      <c r="CO330" s="2">
        <f t="shared" si="101"/>
        <v>0.47427569633858163</v>
      </c>
      <c r="CP330">
        <v>0.51380758563325701</v>
      </c>
      <c r="CQ330">
        <v>1.91368900739564E-2</v>
      </c>
      <c r="CR330">
        <v>-0.22324894300276099</v>
      </c>
      <c r="CS330">
        <v>-0.22056885961638201</v>
      </c>
      <c r="CT330">
        <v>-0.26332461244762601</v>
      </c>
      <c r="CU330">
        <v>-0.336764766384195</v>
      </c>
      <c r="CV330">
        <v>-8.5676878602039902E-2</v>
      </c>
      <c r="CW330">
        <v>-0.18170065888169801</v>
      </c>
      <c r="CX330" t="s">
        <v>1827</v>
      </c>
    </row>
    <row r="331" spans="1:102" x14ac:dyDescent="0.35">
      <c r="A331" t="s">
        <v>1643</v>
      </c>
      <c r="B331" t="s">
        <v>89</v>
      </c>
      <c r="C331" t="s">
        <v>281</v>
      </c>
      <c r="D331" t="s">
        <v>72</v>
      </c>
      <c r="E331" t="s">
        <v>72</v>
      </c>
      <c r="F331" t="s">
        <v>72</v>
      </c>
      <c r="G331" t="s">
        <v>73</v>
      </c>
      <c r="H331" t="s">
        <v>74</v>
      </c>
      <c r="I331" t="s">
        <v>75</v>
      </c>
      <c r="J331" t="s">
        <v>76</v>
      </c>
      <c r="K331" t="s">
        <v>77</v>
      </c>
      <c r="L331" t="s">
        <v>78</v>
      </c>
      <c r="M331" t="s">
        <v>79</v>
      </c>
      <c r="N331">
        <v>60</v>
      </c>
      <c r="O331" t="s">
        <v>80</v>
      </c>
      <c r="P331">
        <v>792</v>
      </c>
      <c r="Q331">
        <v>0.75</v>
      </c>
      <c r="R331">
        <v>177</v>
      </c>
      <c r="S331">
        <v>0.85419999999999996</v>
      </c>
      <c r="T331" t="s">
        <v>81</v>
      </c>
      <c r="U331" t="s">
        <v>82</v>
      </c>
      <c r="V331" t="s">
        <v>83</v>
      </c>
      <c r="W331" t="s">
        <v>84</v>
      </c>
      <c r="X331" t="s">
        <v>85</v>
      </c>
      <c r="Y331" t="s">
        <v>86</v>
      </c>
      <c r="Z331" t="s">
        <v>87</v>
      </c>
      <c r="AA331" t="s">
        <v>88</v>
      </c>
      <c r="AB331">
        <v>152</v>
      </c>
      <c r="AC331">
        <v>2</v>
      </c>
      <c r="AE331">
        <v>22</v>
      </c>
      <c r="AF331" t="s">
        <v>142</v>
      </c>
      <c r="AG331" t="s">
        <v>1427</v>
      </c>
      <c r="AH331" t="s">
        <v>72</v>
      </c>
      <c r="AI331" t="s">
        <v>72</v>
      </c>
      <c r="AJ331" t="s">
        <v>91</v>
      </c>
      <c r="AK331" t="s">
        <v>92</v>
      </c>
      <c r="AL331" t="s">
        <v>93</v>
      </c>
      <c r="AM331" t="s">
        <v>94</v>
      </c>
      <c r="AN331" t="s">
        <v>144</v>
      </c>
      <c r="AO331" t="s">
        <v>145</v>
      </c>
      <c r="AP331" t="s">
        <v>97</v>
      </c>
      <c r="AQ331">
        <v>39</v>
      </c>
      <c r="AR331" t="s">
        <v>80</v>
      </c>
      <c r="AS331">
        <v>1359</v>
      </c>
      <c r="AT331">
        <v>0.96879999999999999</v>
      </c>
      <c r="AU331">
        <v>172</v>
      </c>
      <c r="AV331">
        <v>0.94740000000000002</v>
      </c>
      <c r="AW331" t="s">
        <v>98</v>
      </c>
      <c r="AX331" t="s">
        <v>146</v>
      </c>
      <c r="AY331" t="s">
        <v>127</v>
      </c>
      <c r="AZ331" t="s">
        <v>101</v>
      </c>
      <c r="BA331" t="s">
        <v>128</v>
      </c>
      <c r="BB331" t="s">
        <v>103</v>
      </c>
      <c r="BC331" t="s">
        <v>104</v>
      </c>
      <c r="BD331" t="s">
        <v>105</v>
      </c>
      <c r="BE331">
        <v>4143</v>
      </c>
      <c r="BF331" t="s">
        <v>106</v>
      </c>
      <c r="BG331">
        <v>55</v>
      </c>
      <c r="BH331" t="s">
        <v>80</v>
      </c>
      <c r="BI331">
        <v>1</v>
      </c>
      <c r="BJ331">
        <v>626</v>
      </c>
      <c r="BK331">
        <v>0</v>
      </c>
      <c r="BL331">
        <v>20</v>
      </c>
      <c r="BM331">
        <v>162</v>
      </c>
      <c r="BN331">
        <v>204</v>
      </c>
      <c r="BO331">
        <v>339</v>
      </c>
      <c r="BP331">
        <v>10</v>
      </c>
      <c r="BQ331" s="2">
        <v>182</v>
      </c>
      <c r="BR331">
        <f t="shared" si="85"/>
        <v>627</v>
      </c>
      <c r="BS331">
        <f t="shared" si="86"/>
        <v>1</v>
      </c>
      <c r="BT331">
        <f t="shared" si="87"/>
        <v>21</v>
      </c>
      <c r="BU331">
        <f t="shared" si="88"/>
        <v>163</v>
      </c>
      <c r="BV331">
        <f t="shared" si="89"/>
        <v>205</v>
      </c>
      <c r="BW331">
        <f t="shared" si="90"/>
        <v>340</v>
      </c>
      <c r="BX331">
        <f t="shared" si="91"/>
        <v>11</v>
      </c>
      <c r="BY331" s="2">
        <f t="shared" si="92"/>
        <v>183</v>
      </c>
      <c r="BZ331">
        <f t="shared" si="93"/>
        <v>64.542216249366959</v>
      </c>
      <c r="CA331">
        <v>64.542216249366959</v>
      </c>
      <c r="CB331">
        <v>64.542216249366959</v>
      </c>
      <c r="CC331">
        <v>64.542216249366959</v>
      </c>
      <c r="CD331">
        <v>64.542216249366959</v>
      </c>
      <c r="CE331">
        <v>64.542216249366959</v>
      </c>
      <c r="CF331">
        <v>64.542216249366959</v>
      </c>
      <c r="CG331">
        <v>64.542216249366959</v>
      </c>
      <c r="CH331">
        <f t="shared" si="94"/>
        <v>0.98742366671130921</v>
      </c>
      <c r="CI331">
        <f t="shared" si="95"/>
        <v>-1.8098438741194072</v>
      </c>
      <c r="CJ331">
        <f t="shared" si="96"/>
        <v>-0.48762457938548792</v>
      </c>
      <c r="CK331">
        <f t="shared" si="97"/>
        <v>0.40234373028455062</v>
      </c>
      <c r="CL331">
        <f t="shared" si="98"/>
        <v>0.50190998693634714</v>
      </c>
      <c r="CM331">
        <f t="shared" si="99"/>
        <v>0.72163504292284797</v>
      </c>
      <c r="CN331">
        <f t="shared" si="100"/>
        <v>-0.76845118896118214</v>
      </c>
      <c r="CO331" s="2">
        <f t="shared" si="101"/>
        <v>0.4526072156110223</v>
      </c>
      <c r="CP331">
        <v>0.50929440213331301</v>
      </c>
      <c r="CQ331">
        <v>-2.2527165794045199</v>
      </c>
      <c r="CR331">
        <v>0.31649794283683702</v>
      </c>
      <c r="CS331">
        <v>-0.45988964193454301</v>
      </c>
      <c r="CT331">
        <v>-0.49027187169788999</v>
      </c>
      <c r="CU331">
        <v>-0.34326011535561302</v>
      </c>
      <c r="CV331">
        <v>0.615313581756599</v>
      </c>
      <c r="CW331">
        <v>-0.241216464772258</v>
      </c>
      <c r="CX331" t="s">
        <v>1827</v>
      </c>
    </row>
    <row r="332" spans="1:102" x14ac:dyDescent="0.35">
      <c r="A332" t="s">
        <v>162</v>
      </c>
      <c r="B332" t="s">
        <v>159</v>
      </c>
      <c r="C332" t="s">
        <v>163</v>
      </c>
      <c r="D332" t="s">
        <v>72</v>
      </c>
      <c r="E332" t="s">
        <v>72</v>
      </c>
      <c r="F332" t="s">
        <v>72</v>
      </c>
      <c r="G332" t="s">
        <v>73</v>
      </c>
      <c r="H332" t="s">
        <v>74</v>
      </c>
      <c r="I332" t="s">
        <v>75</v>
      </c>
      <c r="J332" t="s">
        <v>76</v>
      </c>
      <c r="K332" t="s">
        <v>77</v>
      </c>
      <c r="L332" t="s">
        <v>78</v>
      </c>
      <c r="M332" t="s">
        <v>79</v>
      </c>
      <c r="N332">
        <v>60</v>
      </c>
      <c r="O332" t="s">
        <v>80</v>
      </c>
      <c r="P332">
        <v>792</v>
      </c>
      <c r="Q332">
        <v>0.75</v>
      </c>
      <c r="R332">
        <v>177</v>
      </c>
      <c r="S332">
        <v>0.85419999999999996</v>
      </c>
      <c r="T332" t="s">
        <v>81</v>
      </c>
      <c r="U332" t="s">
        <v>82</v>
      </c>
      <c r="V332" t="s">
        <v>83</v>
      </c>
      <c r="W332" t="s">
        <v>84</v>
      </c>
      <c r="X332" t="s">
        <v>85</v>
      </c>
      <c r="Y332" t="s">
        <v>86</v>
      </c>
      <c r="Z332" t="s">
        <v>87</v>
      </c>
      <c r="AA332" t="s">
        <v>88</v>
      </c>
      <c r="AB332">
        <v>2170</v>
      </c>
      <c r="AC332">
        <v>24</v>
      </c>
      <c r="AE332">
        <v>22</v>
      </c>
      <c r="AF332" t="s">
        <v>142</v>
      </c>
      <c r="AG332" t="s">
        <v>164</v>
      </c>
      <c r="AH332" t="s">
        <v>72</v>
      </c>
      <c r="AI332" t="s">
        <v>72</v>
      </c>
      <c r="AJ332" t="s">
        <v>91</v>
      </c>
      <c r="AK332" t="s">
        <v>92</v>
      </c>
      <c r="AL332" t="s">
        <v>93</v>
      </c>
      <c r="AM332" t="s">
        <v>94</v>
      </c>
      <c r="AN332" t="s">
        <v>144</v>
      </c>
      <c r="AO332" t="s">
        <v>145</v>
      </c>
      <c r="AP332" t="s">
        <v>97</v>
      </c>
      <c r="AQ332">
        <v>39</v>
      </c>
      <c r="AR332" t="s">
        <v>80</v>
      </c>
      <c r="AS332">
        <v>1359</v>
      </c>
      <c r="AT332">
        <v>0.96879999999999999</v>
      </c>
      <c r="AU332">
        <v>172</v>
      </c>
      <c r="AV332">
        <v>0.94740000000000002</v>
      </c>
      <c r="AW332" t="s">
        <v>98</v>
      </c>
      <c r="AX332" t="s">
        <v>146</v>
      </c>
      <c r="AY332" t="s">
        <v>127</v>
      </c>
      <c r="AZ332" t="s">
        <v>101</v>
      </c>
      <c r="BA332" t="s">
        <v>128</v>
      </c>
      <c r="BB332" t="s">
        <v>103</v>
      </c>
      <c r="BC332" t="s">
        <v>104</v>
      </c>
      <c r="BD332" t="s">
        <v>105</v>
      </c>
      <c r="BE332">
        <v>26017</v>
      </c>
      <c r="BF332" t="s">
        <v>106</v>
      </c>
      <c r="BG332">
        <v>320</v>
      </c>
      <c r="BH332" t="s">
        <v>80</v>
      </c>
      <c r="BI332">
        <v>1</v>
      </c>
      <c r="BJ332">
        <v>4333</v>
      </c>
      <c r="BK332">
        <v>16</v>
      </c>
      <c r="BL332">
        <v>84</v>
      </c>
      <c r="BM332">
        <v>1231</v>
      </c>
      <c r="BN332">
        <v>1606</v>
      </c>
      <c r="BO332">
        <v>2332</v>
      </c>
      <c r="BP332">
        <v>42</v>
      </c>
      <c r="BQ332" s="2">
        <v>1265</v>
      </c>
      <c r="BR332">
        <f t="shared" si="85"/>
        <v>4334</v>
      </c>
      <c r="BS332">
        <f t="shared" si="86"/>
        <v>17</v>
      </c>
      <c r="BT332">
        <f t="shared" si="87"/>
        <v>85</v>
      </c>
      <c r="BU332">
        <f t="shared" si="88"/>
        <v>1232</v>
      </c>
      <c r="BV332">
        <f t="shared" si="89"/>
        <v>1607</v>
      </c>
      <c r="BW332">
        <f t="shared" si="90"/>
        <v>2333</v>
      </c>
      <c r="BX332">
        <f t="shared" si="91"/>
        <v>43</v>
      </c>
      <c r="BY332" s="2">
        <f t="shared" si="92"/>
        <v>1266</v>
      </c>
      <c r="BZ332">
        <f t="shared" si="93"/>
        <v>446.32378339227637</v>
      </c>
      <c r="CA332">
        <v>446.32378339227637</v>
      </c>
      <c r="CB332">
        <v>446.32378339227637</v>
      </c>
      <c r="CC332">
        <v>446.32378339227637</v>
      </c>
      <c r="CD332">
        <v>446.32378339227637</v>
      </c>
      <c r="CE332">
        <v>446.32378339227637</v>
      </c>
      <c r="CF332">
        <v>446.32378339227637</v>
      </c>
      <c r="CG332">
        <v>446.32378339227637</v>
      </c>
      <c r="CH332">
        <f t="shared" si="94"/>
        <v>0.98723887714345004</v>
      </c>
      <c r="CI332">
        <f t="shared" si="95"/>
        <v>-1.419201108462075</v>
      </c>
      <c r="CJ332">
        <f t="shared" si="96"/>
        <v>-0.72023110412605629</v>
      </c>
      <c r="CK332">
        <f t="shared" si="97"/>
        <v>0.4409606779880576</v>
      </c>
      <c r="CL332">
        <f t="shared" si="98"/>
        <v>0.55636584692299551</v>
      </c>
      <c r="CM332">
        <f t="shared" si="99"/>
        <v>0.71826470895340355</v>
      </c>
      <c r="CN332">
        <f t="shared" si="100"/>
        <v>-1.0161815742607625</v>
      </c>
      <c r="CO332" s="2">
        <f t="shared" si="101"/>
        <v>0.45278367584098728</v>
      </c>
      <c r="CP332">
        <v>0.50907238996901505</v>
      </c>
      <c r="CQ332">
        <v>0.60670717307742605</v>
      </c>
      <c r="CR332">
        <v>-0.72275951059771704</v>
      </c>
      <c r="CS332">
        <v>-0.34610674008588699</v>
      </c>
      <c r="CT332">
        <v>-0.33868771625270599</v>
      </c>
      <c r="CU332">
        <v>-0.35299294547711701</v>
      </c>
      <c r="CV332">
        <v>-4.90928191865301E-2</v>
      </c>
      <c r="CW332">
        <v>-0.240731789684695</v>
      </c>
      <c r="CX332" t="s">
        <v>1827</v>
      </c>
    </row>
    <row r="333" spans="1:102" x14ac:dyDescent="0.35">
      <c r="A333" t="s">
        <v>1249</v>
      </c>
      <c r="B333" t="s">
        <v>148</v>
      </c>
      <c r="C333" t="s">
        <v>444</v>
      </c>
      <c r="D333" t="s">
        <v>72</v>
      </c>
      <c r="E333" t="s">
        <v>72</v>
      </c>
      <c r="F333" t="s">
        <v>72</v>
      </c>
      <c r="G333" t="s">
        <v>73</v>
      </c>
      <c r="H333" t="s">
        <v>74</v>
      </c>
      <c r="I333" t="s">
        <v>75</v>
      </c>
      <c r="J333" t="s">
        <v>76</v>
      </c>
      <c r="K333" t="s">
        <v>77</v>
      </c>
      <c r="L333" t="s">
        <v>78</v>
      </c>
      <c r="M333" t="s">
        <v>79</v>
      </c>
      <c r="N333">
        <v>60</v>
      </c>
      <c r="O333" t="s">
        <v>80</v>
      </c>
      <c r="P333">
        <v>792</v>
      </c>
      <c r="Q333">
        <v>0.75</v>
      </c>
      <c r="R333">
        <v>177</v>
      </c>
      <c r="S333">
        <v>0.85419999999999996</v>
      </c>
      <c r="T333" t="s">
        <v>81</v>
      </c>
      <c r="U333" t="s">
        <v>82</v>
      </c>
      <c r="V333" t="s">
        <v>83</v>
      </c>
      <c r="W333" t="s">
        <v>84</v>
      </c>
      <c r="X333" t="s">
        <v>85</v>
      </c>
      <c r="Y333" t="s">
        <v>86</v>
      </c>
      <c r="Z333" t="s">
        <v>87</v>
      </c>
      <c r="AA333" t="s">
        <v>88</v>
      </c>
      <c r="AB333">
        <v>351</v>
      </c>
      <c r="AC333">
        <v>4</v>
      </c>
      <c r="AE333">
        <v>22</v>
      </c>
      <c r="AF333" t="s">
        <v>142</v>
      </c>
      <c r="AG333" t="s">
        <v>1250</v>
      </c>
      <c r="AH333" t="s">
        <v>72</v>
      </c>
      <c r="AI333" t="s">
        <v>72</v>
      </c>
      <c r="AJ333" t="s">
        <v>91</v>
      </c>
      <c r="AK333" t="s">
        <v>92</v>
      </c>
      <c r="AL333" t="s">
        <v>93</v>
      </c>
      <c r="AM333" t="s">
        <v>94</v>
      </c>
      <c r="AN333" t="s">
        <v>144</v>
      </c>
      <c r="AO333" t="s">
        <v>145</v>
      </c>
      <c r="AP333" t="s">
        <v>97</v>
      </c>
      <c r="AQ333">
        <v>39</v>
      </c>
      <c r="AR333" t="s">
        <v>80</v>
      </c>
      <c r="AS333">
        <v>1359</v>
      </c>
      <c r="AT333">
        <v>0.96879999999999999</v>
      </c>
      <c r="AU333">
        <v>172</v>
      </c>
      <c r="AV333">
        <v>0.94740000000000002</v>
      </c>
      <c r="AW333" t="s">
        <v>98</v>
      </c>
      <c r="AX333" t="s">
        <v>146</v>
      </c>
      <c r="AY333" t="s">
        <v>127</v>
      </c>
      <c r="AZ333" t="s">
        <v>101</v>
      </c>
      <c r="BA333" t="s">
        <v>128</v>
      </c>
      <c r="BB333" t="s">
        <v>103</v>
      </c>
      <c r="BC333" t="s">
        <v>104</v>
      </c>
      <c r="BD333" t="s">
        <v>105</v>
      </c>
      <c r="BE333">
        <v>211</v>
      </c>
      <c r="BF333" t="s">
        <v>106</v>
      </c>
      <c r="BG333">
        <v>3</v>
      </c>
      <c r="BH333" t="s">
        <v>80</v>
      </c>
      <c r="BI333">
        <v>1</v>
      </c>
      <c r="BJ333">
        <v>596</v>
      </c>
      <c r="BK333">
        <v>0</v>
      </c>
      <c r="BL333">
        <v>11</v>
      </c>
      <c r="BM333">
        <v>159</v>
      </c>
      <c r="BN333">
        <v>229</v>
      </c>
      <c r="BO333">
        <v>391</v>
      </c>
      <c r="BP333">
        <v>12</v>
      </c>
      <c r="BQ333" s="2">
        <v>168</v>
      </c>
      <c r="BR333">
        <f t="shared" si="85"/>
        <v>597</v>
      </c>
      <c r="BS333">
        <f t="shared" si="86"/>
        <v>1</v>
      </c>
      <c r="BT333">
        <f t="shared" si="87"/>
        <v>12</v>
      </c>
      <c r="BU333">
        <f t="shared" si="88"/>
        <v>160</v>
      </c>
      <c r="BV333">
        <f t="shared" si="89"/>
        <v>230</v>
      </c>
      <c r="BW333">
        <f t="shared" si="90"/>
        <v>392</v>
      </c>
      <c r="BX333">
        <f t="shared" si="91"/>
        <v>13</v>
      </c>
      <c r="BY333" s="2">
        <f t="shared" si="92"/>
        <v>169</v>
      </c>
      <c r="BZ333">
        <f t="shared" si="93"/>
        <v>62.303857993726098</v>
      </c>
      <c r="CA333">
        <v>62.303857993726098</v>
      </c>
      <c r="CB333">
        <v>62.303857993726098</v>
      </c>
      <c r="CC333">
        <v>62.303857993726098</v>
      </c>
      <c r="CD333">
        <v>62.303857993726098</v>
      </c>
      <c r="CE333">
        <v>62.303857993726098</v>
      </c>
      <c r="CF333">
        <v>62.303857993726098</v>
      </c>
      <c r="CG333">
        <v>62.303857993726098</v>
      </c>
      <c r="CH333">
        <f t="shared" si="94"/>
        <v>0.98145939115543412</v>
      </c>
      <c r="CI333">
        <f t="shared" si="95"/>
        <v>-1.7945149399739349</v>
      </c>
      <c r="CJ333">
        <f t="shared" si="96"/>
        <v>-0.71533369392631008</v>
      </c>
      <c r="CK333">
        <f t="shared" si="97"/>
        <v>0.40960504268198988</v>
      </c>
      <c r="CL333">
        <f t="shared" si="98"/>
        <v>0.56721289604365799</v>
      </c>
      <c r="CM333">
        <f t="shared" si="99"/>
        <v>0.79877112704652231</v>
      </c>
      <c r="CN333">
        <f t="shared" si="100"/>
        <v>-0.68057158766709813</v>
      </c>
      <c r="CO333" s="2">
        <f t="shared" si="101"/>
        <v>0.43337176463973864</v>
      </c>
      <c r="CP333">
        <v>0.50212872855134905</v>
      </c>
      <c r="CQ333">
        <v>-2.2527165794045199</v>
      </c>
      <c r="CR333">
        <v>-0.70087848185920998</v>
      </c>
      <c r="CS333">
        <v>-0.438494548719156</v>
      </c>
      <c r="CT333">
        <v>-0.30849370627047001</v>
      </c>
      <c r="CU333">
        <v>-0.120506996578608</v>
      </c>
      <c r="CV333">
        <v>0.85100436930981405</v>
      </c>
      <c r="CW333">
        <v>-0.29404958125228198</v>
      </c>
      <c r="CX333" t="s">
        <v>1827</v>
      </c>
    </row>
    <row r="334" spans="1:102" x14ac:dyDescent="0.35">
      <c r="A334" t="s">
        <v>703</v>
      </c>
      <c r="B334" t="s">
        <v>159</v>
      </c>
      <c r="C334" t="s">
        <v>149</v>
      </c>
      <c r="D334" t="s">
        <v>72</v>
      </c>
      <c r="E334" t="s">
        <v>72</v>
      </c>
      <c r="F334" t="s">
        <v>72</v>
      </c>
      <c r="G334" t="s">
        <v>73</v>
      </c>
      <c r="H334" t="s">
        <v>74</v>
      </c>
      <c r="I334" t="s">
        <v>75</v>
      </c>
      <c r="J334" t="s">
        <v>76</v>
      </c>
      <c r="K334" t="s">
        <v>77</v>
      </c>
      <c r="L334" t="s">
        <v>78</v>
      </c>
      <c r="M334" t="s">
        <v>79</v>
      </c>
      <c r="N334">
        <v>60</v>
      </c>
      <c r="O334" t="s">
        <v>80</v>
      </c>
      <c r="P334">
        <v>792</v>
      </c>
      <c r="Q334">
        <v>0.75</v>
      </c>
      <c r="R334">
        <v>177</v>
      </c>
      <c r="S334">
        <v>0.85419999999999996</v>
      </c>
      <c r="T334" t="s">
        <v>81</v>
      </c>
      <c r="U334" t="s">
        <v>82</v>
      </c>
      <c r="V334" t="s">
        <v>83</v>
      </c>
      <c r="W334" t="s">
        <v>84</v>
      </c>
      <c r="X334" t="s">
        <v>85</v>
      </c>
      <c r="Y334" t="s">
        <v>86</v>
      </c>
      <c r="Z334" t="s">
        <v>87</v>
      </c>
      <c r="AA334" t="s">
        <v>88</v>
      </c>
      <c r="AB334">
        <v>156</v>
      </c>
      <c r="AC334">
        <v>3</v>
      </c>
      <c r="AE334">
        <v>22</v>
      </c>
      <c r="AF334" t="s">
        <v>153</v>
      </c>
      <c r="AG334" t="s">
        <v>704</v>
      </c>
      <c r="AH334" t="s">
        <v>72</v>
      </c>
      <c r="AI334" t="s">
        <v>72</v>
      </c>
      <c r="AJ334" t="s">
        <v>91</v>
      </c>
      <c r="AK334" t="s">
        <v>92</v>
      </c>
      <c r="AL334" t="s">
        <v>93</v>
      </c>
      <c r="AM334" t="s">
        <v>94</v>
      </c>
      <c r="AN334" t="s">
        <v>144</v>
      </c>
      <c r="AO334" t="s">
        <v>145</v>
      </c>
      <c r="AP334" t="s">
        <v>97</v>
      </c>
      <c r="AQ334">
        <v>39</v>
      </c>
      <c r="AR334" t="s">
        <v>80</v>
      </c>
      <c r="AS334">
        <v>1359</v>
      </c>
      <c r="AT334">
        <v>0.96879999999999999</v>
      </c>
      <c r="AU334">
        <v>172</v>
      </c>
      <c r="AV334">
        <v>0.94740000000000002</v>
      </c>
      <c r="AW334" t="s">
        <v>98</v>
      </c>
      <c r="AX334" t="s">
        <v>146</v>
      </c>
      <c r="AY334" t="s">
        <v>127</v>
      </c>
      <c r="AZ334" t="s">
        <v>101</v>
      </c>
      <c r="BA334" t="s">
        <v>128</v>
      </c>
      <c r="BB334" t="s">
        <v>103</v>
      </c>
      <c r="BC334" t="s">
        <v>104</v>
      </c>
      <c r="BD334" t="s">
        <v>105</v>
      </c>
      <c r="BE334">
        <v>4159</v>
      </c>
      <c r="BF334" t="s">
        <v>106</v>
      </c>
      <c r="BG334">
        <v>48</v>
      </c>
      <c r="BH334" t="s">
        <v>80</v>
      </c>
      <c r="BI334">
        <v>1</v>
      </c>
      <c r="BJ334">
        <v>1025</v>
      </c>
      <c r="BK334">
        <v>4</v>
      </c>
      <c r="BL334">
        <v>48</v>
      </c>
      <c r="BM334">
        <v>269</v>
      </c>
      <c r="BN334">
        <v>298</v>
      </c>
      <c r="BO334">
        <v>474</v>
      </c>
      <c r="BP334">
        <v>8</v>
      </c>
      <c r="BQ334" s="2">
        <v>223</v>
      </c>
      <c r="BR334">
        <f t="shared" si="85"/>
        <v>1026</v>
      </c>
      <c r="BS334">
        <f t="shared" si="86"/>
        <v>5</v>
      </c>
      <c r="BT334">
        <f t="shared" si="87"/>
        <v>49</v>
      </c>
      <c r="BU334">
        <f t="shared" si="88"/>
        <v>270</v>
      </c>
      <c r="BV334">
        <f t="shared" si="89"/>
        <v>299</v>
      </c>
      <c r="BW334">
        <f t="shared" si="90"/>
        <v>475</v>
      </c>
      <c r="BX334">
        <f t="shared" si="91"/>
        <v>9</v>
      </c>
      <c r="BY334" s="2">
        <f t="shared" si="92"/>
        <v>224</v>
      </c>
      <c r="BZ334">
        <f t="shared" si="93"/>
        <v>108.65921592453915</v>
      </c>
      <c r="CA334">
        <v>108.65921592453915</v>
      </c>
      <c r="CB334">
        <v>108.65921592453915</v>
      </c>
      <c r="CC334">
        <v>108.65921592453915</v>
      </c>
      <c r="CD334">
        <v>108.65921592453915</v>
      </c>
      <c r="CE334">
        <v>108.65921592453915</v>
      </c>
      <c r="CF334">
        <v>108.65921592453915</v>
      </c>
      <c r="CG334">
        <v>108.65921592453915</v>
      </c>
      <c r="CH334">
        <f t="shared" si="94"/>
        <v>0.97508079389803481</v>
      </c>
      <c r="CI334">
        <f t="shared" si="95"/>
        <v>-1.3370965625417439</v>
      </c>
      <c r="CJ334">
        <f t="shared" si="96"/>
        <v>-0.34587048684924893</v>
      </c>
      <c r="CK334">
        <f t="shared" si="97"/>
        <v>0.3952971972812247</v>
      </c>
      <c r="CL334">
        <f t="shared" si="98"/>
        <v>0.43960462144666707</v>
      </c>
      <c r="CM334">
        <f t="shared" si="99"/>
        <v>0.64062704274710403</v>
      </c>
      <c r="CN334">
        <f t="shared" si="100"/>
        <v>-1.0818240574384377</v>
      </c>
      <c r="CO334" s="2">
        <f t="shared" si="101"/>
        <v>0.31418145145640025</v>
      </c>
      <c r="CP334">
        <v>0.49446527547492097</v>
      </c>
      <c r="CQ334">
        <v>0.84926079131445198</v>
      </c>
      <c r="CR334">
        <v>0.94983786048294105</v>
      </c>
      <c r="CS334">
        <v>-0.480651898424792</v>
      </c>
      <c r="CT334">
        <v>-0.66370602937664702</v>
      </c>
      <c r="CU334">
        <v>-0.57719452996892695</v>
      </c>
      <c r="CV334">
        <v>-0.225144238734066</v>
      </c>
      <c r="CW334">
        <v>-0.62142405815468704</v>
      </c>
      <c r="CX334" t="s">
        <v>1827</v>
      </c>
    </row>
    <row r="335" spans="1:102" x14ac:dyDescent="0.35">
      <c r="A335" t="s">
        <v>943</v>
      </c>
      <c r="B335" t="s">
        <v>686</v>
      </c>
      <c r="C335" t="s">
        <v>944</v>
      </c>
      <c r="D335" t="s">
        <v>72</v>
      </c>
      <c r="E335" t="s">
        <v>72</v>
      </c>
      <c r="F335" t="s">
        <v>72</v>
      </c>
      <c r="G335" t="s">
        <v>73</v>
      </c>
      <c r="H335" t="s">
        <v>74</v>
      </c>
      <c r="I335" t="s">
        <v>75</v>
      </c>
      <c r="J335" t="s">
        <v>76</v>
      </c>
      <c r="K335" t="s">
        <v>77</v>
      </c>
      <c r="L335" t="s">
        <v>78</v>
      </c>
      <c r="M335" t="s">
        <v>79</v>
      </c>
      <c r="N335">
        <v>60</v>
      </c>
      <c r="O335" t="s">
        <v>80</v>
      </c>
      <c r="P335">
        <v>792</v>
      </c>
      <c r="Q335">
        <v>0.75</v>
      </c>
      <c r="R335">
        <v>177</v>
      </c>
      <c r="S335">
        <v>0.85419999999999996</v>
      </c>
      <c r="T335" t="s">
        <v>81</v>
      </c>
      <c r="U335" t="s">
        <v>82</v>
      </c>
      <c r="V335" t="s">
        <v>83</v>
      </c>
      <c r="W335" t="s">
        <v>84</v>
      </c>
      <c r="X335" t="s">
        <v>85</v>
      </c>
      <c r="Y335" t="s">
        <v>86</v>
      </c>
      <c r="Z335" t="s">
        <v>87</v>
      </c>
      <c r="AA335" t="s">
        <v>88</v>
      </c>
      <c r="AB335">
        <v>1560</v>
      </c>
      <c r="AC335">
        <v>24</v>
      </c>
      <c r="AE335">
        <v>22</v>
      </c>
      <c r="AF335" t="s">
        <v>89</v>
      </c>
      <c r="AG335" t="s">
        <v>945</v>
      </c>
      <c r="AH335" t="s">
        <v>72</v>
      </c>
      <c r="AI335" t="s">
        <v>72</v>
      </c>
      <c r="AJ335" t="s">
        <v>91</v>
      </c>
      <c r="AK335" t="s">
        <v>92</v>
      </c>
      <c r="AL335" t="s">
        <v>93</v>
      </c>
      <c r="AM335" t="s">
        <v>94</v>
      </c>
      <c r="AN335" t="s">
        <v>144</v>
      </c>
      <c r="AO335" t="s">
        <v>145</v>
      </c>
      <c r="AP335" t="s">
        <v>97</v>
      </c>
      <c r="AQ335">
        <v>39</v>
      </c>
      <c r="AR335" t="s">
        <v>80</v>
      </c>
      <c r="AS335">
        <v>1359</v>
      </c>
      <c r="AT335">
        <v>0.96879999999999999</v>
      </c>
      <c r="AU335">
        <v>172</v>
      </c>
      <c r="AV335">
        <v>0.94740000000000002</v>
      </c>
      <c r="AW335" t="s">
        <v>98</v>
      </c>
      <c r="AX335" t="s">
        <v>146</v>
      </c>
      <c r="AY335" t="s">
        <v>127</v>
      </c>
      <c r="AZ335" t="s">
        <v>101</v>
      </c>
      <c r="BA335" t="s">
        <v>128</v>
      </c>
      <c r="BB335" t="s">
        <v>103</v>
      </c>
      <c r="BC335" t="s">
        <v>104</v>
      </c>
      <c r="BD335" t="s">
        <v>105</v>
      </c>
      <c r="BE335">
        <v>36298</v>
      </c>
      <c r="BF335" t="s">
        <v>106</v>
      </c>
      <c r="BG335">
        <v>510</v>
      </c>
      <c r="BH335" t="s">
        <v>80</v>
      </c>
      <c r="BI335">
        <v>1</v>
      </c>
      <c r="BJ335">
        <v>7186</v>
      </c>
      <c r="BK335">
        <v>22</v>
      </c>
      <c r="BL335">
        <v>170</v>
      </c>
      <c r="BM335">
        <v>2246</v>
      </c>
      <c r="BN335">
        <v>2845</v>
      </c>
      <c r="BO335">
        <v>3804</v>
      </c>
      <c r="BP335">
        <v>76</v>
      </c>
      <c r="BQ335" s="2">
        <v>2191</v>
      </c>
      <c r="BR335">
        <f t="shared" si="85"/>
        <v>7187</v>
      </c>
      <c r="BS335">
        <f t="shared" si="86"/>
        <v>23</v>
      </c>
      <c r="BT335">
        <f t="shared" si="87"/>
        <v>171</v>
      </c>
      <c r="BU335">
        <f t="shared" si="88"/>
        <v>2247</v>
      </c>
      <c r="BV335">
        <f t="shared" si="89"/>
        <v>2846</v>
      </c>
      <c r="BW335">
        <f t="shared" si="90"/>
        <v>3805</v>
      </c>
      <c r="BX335">
        <f t="shared" si="91"/>
        <v>77</v>
      </c>
      <c r="BY335" s="2">
        <f t="shared" si="92"/>
        <v>2192</v>
      </c>
      <c r="BZ335">
        <f t="shared" si="93"/>
        <v>764.01069298259551</v>
      </c>
      <c r="CA335">
        <v>764.01069298259551</v>
      </c>
      <c r="CB335">
        <v>764.01069298259551</v>
      </c>
      <c r="CC335">
        <v>764.01069298259551</v>
      </c>
      <c r="CD335">
        <v>764.01069298259551</v>
      </c>
      <c r="CE335">
        <v>764.01069298259551</v>
      </c>
      <c r="CF335">
        <v>764.01069298259551</v>
      </c>
      <c r="CG335">
        <v>764.01069298259551</v>
      </c>
      <c r="CH335">
        <f t="shared" si="94"/>
        <v>0.97344820791608611</v>
      </c>
      <c r="CI335">
        <f t="shared" si="95"/>
        <v>-1.5213716009230689</v>
      </c>
      <c r="CJ335">
        <f t="shared" si="96"/>
        <v>-0.65010332654850789</v>
      </c>
      <c r="CK335">
        <f t="shared" si="97"/>
        <v>0.46850363547846718</v>
      </c>
      <c r="CL335">
        <f t="shared" si="98"/>
        <v>0.57113545880760375</v>
      </c>
      <c r="CM335">
        <f t="shared" si="99"/>
        <v>0.69725522416592989</v>
      </c>
      <c r="CN335">
        <f t="shared" si="100"/>
        <v>-0.99660871176817989</v>
      </c>
      <c r="CO335" s="2">
        <f t="shared" si="101"/>
        <v>0.4577411128716698</v>
      </c>
      <c r="CP335">
        <v>0.492503833866206</v>
      </c>
      <c r="CQ335">
        <v>0.30487464546659698</v>
      </c>
      <c r="CR335">
        <v>-0.40943719248323801</v>
      </c>
      <c r="CS335">
        <v>-0.26495279563604301</v>
      </c>
      <c r="CT335">
        <v>-0.297574801236205</v>
      </c>
      <c r="CU335">
        <v>-0.41366400900692202</v>
      </c>
      <c r="CV335">
        <v>3.4010850599171202E-3</v>
      </c>
      <c r="CW335">
        <v>-0.227115428494336</v>
      </c>
      <c r="CX335" t="s">
        <v>1827</v>
      </c>
    </row>
    <row r="336" spans="1:102" x14ac:dyDescent="0.35">
      <c r="A336" t="s">
        <v>844</v>
      </c>
      <c r="B336" t="s">
        <v>148</v>
      </c>
      <c r="C336" t="s">
        <v>845</v>
      </c>
      <c r="D336" t="s">
        <v>72</v>
      </c>
      <c r="E336" t="s">
        <v>72</v>
      </c>
      <c r="F336" t="s">
        <v>72</v>
      </c>
      <c r="G336" t="s">
        <v>73</v>
      </c>
      <c r="H336" t="s">
        <v>74</v>
      </c>
      <c r="I336" t="s">
        <v>75</v>
      </c>
      <c r="J336" t="s">
        <v>76</v>
      </c>
      <c r="K336" t="s">
        <v>77</v>
      </c>
      <c r="L336" t="s">
        <v>78</v>
      </c>
      <c r="M336" t="s">
        <v>79</v>
      </c>
      <c r="N336">
        <v>60</v>
      </c>
      <c r="O336" t="s">
        <v>80</v>
      </c>
      <c r="P336">
        <v>792</v>
      </c>
      <c r="Q336">
        <v>0.75</v>
      </c>
      <c r="R336">
        <v>177</v>
      </c>
      <c r="S336">
        <v>0.85419999999999996</v>
      </c>
      <c r="T336" t="s">
        <v>81</v>
      </c>
      <c r="U336" t="s">
        <v>82</v>
      </c>
      <c r="V336" t="s">
        <v>83</v>
      </c>
      <c r="W336" t="s">
        <v>84</v>
      </c>
      <c r="X336" t="s">
        <v>85</v>
      </c>
      <c r="Y336" t="s">
        <v>86</v>
      </c>
      <c r="Z336" t="s">
        <v>87</v>
      </c>
      <c r="AA336" t="s">
        <v>88</v>
      </c>
      <c r="AB336">
        <v>777</v>
      </c>
      <c r="AC336">
        <v>10</v>
      </c>
      <c r="AE336">
        <v>22</v>
      </c>
      <c r="AF336" t="s">
        <v>89</v>
      </c>
      <c r="AG336" t="s">
        <v>846</v>
      </c>
      <c r="AH336" t="s">
        <v>72</v>
      </c>
      <c r="AI336" t="s">
        <v>72</v>
      </c>
      <c r="AJ336" t="s">
        <v>91</v>
      </c>
      <c r="AK336" t="s">
        <v>92</v>
      </c>
      <c r="AL336" t="s">
        <v>93</v>
      </c>
      <c r="AM336" t="s">
        <v>94</v>
      </c>
      <c r="AN336" t="s">
        <v>144</v>
      </c>
      <c r="AO336" t="s">
        <v>145</v>
      </c>
      <c r="AP336" t="s">
        <v>97</v>
      </c>
      <c r="AQ336">
        <v>39</v>
      </c>
      <c r="AR336" t="s">
        <v>80</v>
      </c>
      <c r="AS336">
        <v>1359</v>
      </c>
      <c r="AT336">
        <v>0.96879999999999999</v>
      </c>
      <c r="AU336">
        <v>172</v>
      </c>
      <c r="AV336">
        <v>0.94740000000000002</v>
      </c>
      <c r="AW336" t="s">
        <v>98</v>
      </c>
      <c r="AX336" t="s">
        <v>146</v>
      </c>
      <c r="AY336" t="s">
        <v>127</v>
      </c>
      <c r="AZ336" t="s">
        <v>101</v>
      </c>
      <c r="BA336" t="s">
        <v>128</v>
      </c>
      <c r="BB336" t="s">
        <v>103</v>
      </c>
      <c r="BC336" t="s">
        <v>104</v>
      </c>
      <c r="BD336" t="s">
        <v>105</v>
      </c>
      <c r="BE336">
        <v>5499</v>
      </c>
      <c r="BF336" t="s">
        <v>106</v>
      </c>
      <c r="BG336">
        <v>86</v>
      </c>
      <c r="BH336" t="s">
        <v>80</v>
      </c>
      <c r="BI336">
        <v>1</v>
      </c>
      <c r="BJ336">
        <v>526</v>
      </c>
      <c r="BK336">
        <v>0</v>
      </c>
      <c r="BL336">
        <v>22</v>
      </c>
      <c r="BM336">
        <v>140</v>
      </c>
      <c r="BN336">
        <v>220</v>
      </c>
      <c r="BO336">
        <v>282</v>
      </c>
      <c r="BP336">
        <v>6</v>
      </c>
      <c r="BQ336" s="2">
        <v>135</v>
      </c>
      <c r="BR336">
        <f t="shared" si="85"/>
        <v>527</v>
      </c>
      <c r="BS336">
        <f t="shared" si="86"/>
        <v>1</v>
      </c>
      <c r="BT336">
        <f t="shared" si="87"/>
        <v>23</v>
      </c>
      <c r="BU336">
        <f t="shared" si="88"/>
        <v>141</v>
      </c>
      <c r="BV336">
        <f t="shared" si="89"/>
        <v>221</v>
      </c>
      <c r="BW336">
        <f t="shared" si="90"/>
        <v>283</v>
      </c>
      <c r="BX336">
        <f t="shared" si="91"/>
        <v>7</v>
      </c>
      <c r="BY336" s="2">
        <f t="shared" si="92"/>
        <v>136</v>
      </c>
      <c r="BZ336">
        <f t="shared" si="93"/>
        <v>56.356842467018161</v>
      </c>
      <c r="CA336">
        <v>56.356842467018161</v>
      </c>
      <c r="CB336">
        <v>56.356842467018161</v>
      </c>
      <c r="CC336">
        <v>56.356842467018161</v>
      </c>
      <c r="CD336">
        <v>56.356842467018161</v>
      </c>
      <c r="CE336">
        <v>56.356842467018161</v>
      </c>
      <c r="CF336">
        <v>56.356842467018161</v>
      </c>
      <c r="CG336">
        <v>56.356842467018161</v>
      </c>
      <c r="CH336">
        <f t="shared" si="94"/>
        <v>0.9708639625276223</v>
      </c>
      <c r="CI336">
        <f t="shared" si="95"/>
        <v>-1.7509466526849244</v>
      </c>
      <c r="CJ336">
        <f t="shared" si="96"/>
        <v>-0.38921881666733144</v>
      </c>
      <c r="CK336">
        <f t="shared" si="97"/>
        <v>0.39827245997045557</v>
      </c>
      <c r="CL336">
        <f t="shared" si="98"/>
        <v>0.59344562100018639</v>
      </c>
      <c r="CM336">
        <f t="shared" si="99"/>
        <v>0.70083978283936599</v>
      </c>
      <c r="CN336">
        <f t="shared" si="100"/>
        <v>-0.90584861267066752</v>
      </c>
      <c r="CO336" s="2">
        <f t="shared" si="101"/>
        <v>0.3825922556852932</v>
      </c>
      <c r="CP336">
        <v>0.48939903786274402</v>
      </c>
      <c r="CQ336">
        <v>-2.2527165794045199</v>
      </c>
      <c r="CR336">
        <v>0.75616283392198402</v>
      </c>
      <c r="CS336">
        <v>-0.471885435960127</v>
      </c>
      <c r="CT336">
        <v>-0.235471896339709</v>
      </c>
      <c r="CU336">
        <v>-0.40331254207651801</v>
      </c>
      <c r="CV336">
        <v>0.24681729223085899</v>
      </c>
      <c r="CW336">
        <v>-0.433523291299102</v>
      </c>
      <c r="CX336" t="s">
        <v>1827</v>
      </c>
    </row>
    <row r="337" spans="1:102" x14ac:dyDescent="0.35">
      <c r="A337" t="s">
        <v>158</v>
      </c>
      <c r="B337" t="s">
        <v>159</v>
      </c>
      <c r="C337" t="s">
        <v>160</v>
      </c>
      <c r="D337" t="s">
        <v>72</v>
      </c>
      <c r="E337" t="s">
        <v>72</v>
      </c>
      <c r="F337" t="s">
        <v>72</v>
      </c>
      <c r="G337" t="s">
        <v>73</v>
      </c>
      <c r="H337" t="s">
        <v>74</v>
      </c>
      <c r="I337" t="s">
        <v>75</v>
      </c>
      <c r="J337" t="s">
        <v>76</v>
      </c>
      <c r="K337" t="s">
        <v>77</v>
      </c>
      <c r="L337" t="s">
        <v>78</v>
      </c>
      <c r="M337" t="s">
        <v>79</v>
      </c>
      <c r="N337">
        <v>60</v>
      </c>
      <c r="O337" t="s">
        <v>80</v>
      </c>
      <c r="P337">
        <v>792</v>
      </c>
      <c r="Q337">
        <v>0.75</v>
      </c>
      <c r="R337">
        <v>177</v>
      </c>
      <c r="S337">
        <v>0.85419999999999996</v>
      </c>
      <c r="T337" t="s">
        <v>81</v>
      </c>
      <c r="U337" t="s">
        <v>82</v>
      </c>
      <c r="V337" t="s">
        <v>83</v>
      </c>
      <c r="W337" t="s">
        <v>84</v>
      </c>
      <c r="X337" t="s">
        <v>85</v>
      </c>
      <c r="Y337" t="s">
        <v>86</v>
      </c>
      <c r="Z337" t="s">
        <v>87</v>
      </c>
      <c r="AA337" t="s">
        <v>88</v>
      </c>
      <c r="AB337">
        <v>195</v>
      </c>
      <c r="AC337">
        <v>2</v>
      </c>
      <c r="AE337">
        <v>22</v>
      </c>
      <c r="AF337" t="s">
        <v>153</v>
      </c>
      <c r="AG337" t="s">
        <v>161</v>
      </c>
      <c r="AH337" t="s">
        <v>72</v>
      </c>
      <c r="AI337" t="s">
        <v>72</v>
      </c>
      <c r="AJ337" t="s">
        <v>91</v>
      </c>
      <c r="AK337" t="s">
        <v>92</v>
      </c>
      <c r="AL337" t="s">
        <v>93</v>
      </c>
      <c r="AM337" t="s">
        <v>94</v>
      </c>
      <c r="AN337" t="s">
        <v>144</v>
      </c>
      <c r="AO337" t="s">
        <v>145</v>
      </c>
      <c r="AP337" t="s">
        <v>97</v>
      </c>
      <c r="AQ337">
        <v>39</v>
      </c>
      <c r="AR337" t="s">
        <v>80</v>
      </c>
      <c r="AS337">
        <v>1359</v>
      </c>
      <c r="AT337">
        <v>0.96879999999999999</v>
      </c>
      <c r="AU337">
        <v>172</v>
      </c>
      <c r="AV337">
        <v>0.94740000000000002</v>
      </c>
      <c r="AW337" t="s">
        <v>98</v>
      </c>
      <c r="AX337" t="s">
        <v>146</v>
      </c>
      <c r="AY337" t="s">
        <v>127</v>
      </c>
      <c r="AZ337" t="s">
        <v>101</v>
      </c>
      <c r="BA337" t="s">
        <v>128</v>
      </c>
      <c r="BB337" t="s">
        <v>103</v>
      </c>
      <c r="BC337" t="s">
        <v>104</v>
      </c>
      <c r="BD337" t="s">
        <v>105</v>
      </c>
      <c r="BE337">
        <v>3781</v>
      </c>
      <c r="BF337" t="s">
        <v>106</v>
      </c>
      <c r="BG337">
        <v>48</v>
      </c>
      <c r="BH337" t="s">
        <v>80</v>
      </c>
      <c r="BI337">
        <v>1</v>
      </c>
      <c r="BJ337">
        <v>761</v>
      </c>
      <c r="BK337">
        <v>0</v>
      </c>
      <c r="BL337">
        <v>28</v>
      </c>
      <c r="BM337">
        <v>260</v>
      </c>
      <c r="BN337">
        <v>350</v>
      </c>
      <c r="BO337">
        <v>516</v>
      </c>
      <c r="BP337">
        <v>7</v>
      </c>
      <c r="BQ337" s="2">
        <v>233</v>
      </c>
      <c r="BR337">
        <f t="shared" si="85"/>
        <v>762</v>
      </c>
      <c r="BS337">
        <f t="shared" si="86"/>
        <v>1</v>
      </c>
      <c r="BT337">
        <f t="shared" si="87"/>
        <v>29</v>
      </c>
      <c r="BU337">
        <f t="shared" si="88"/>
        <v>261</v>
      </c>
      <c r="BV337">
        <f t="shared" si="89"/>
        <v>351</v>
      </c>
      <c r="BW337">
        <f t="shared" si="90"/>
        <v>517</v>
      </c>
      <c r="BX337">
        <f t="shared" si="91"/>
        <v>8</v>
      </c>
      <c r="BY337" s="2">
        <f t="shared" si="92"/>
        <v>234</v>
      </c>
      <c r="BZ337">
        <f t="shared" si="93"/>
        <v>81.566555468572972</v>
      </c>
      <c r="CA337">
        <v>81.566555468572972</v>
      </c>
      <c r="CB337">
        <v>81.566555468572972</v>
      </c>
      <c r="CC337">
        <v>81.566555468572972</v>
      </c>
      <c r="CD337">
        <v>81.566555468572972</v>
      </c>
      <c r="CE337">
        <v>81.566555468572972</v>
      </c>
      <c r="CF337">
        <v>81.566555468572972</v>
      </c>
      <c r="CG337">
        <v>81.566555468572972</v>
      </c>
      <c r="CH337">
        <f t="shared" si="94"/>
        <v>0.97044284877226417</v>
      </c>
      <c r="CI337">
        <f t="shared" si="95"/>
        <v>-1.9115121225673364</v>
      </c>
      <c r="CJ337">
        <f t="shared" si="96"/>
        <v>-0.44911412466838019</v>
      </c>
      <c r="CK337">
        <f t="shared" si="97"/>
        <v>0.50512838477094468</v>
      </c>
      <c r="CL337">
        <f t="shared" si="98"/>
        <v>0.63379499389848781</v>
      </c>
      <c r="CM337">
        <f t="shared" si="99"/>
        <v>0.80197842052660617</v>
      </c>
      <c r="CN337">
        <f t="shared" si="100"/>
        <v>-1.0084221355753928</v>
      </c>
      <c r="CO337" s="2">
        <f t="shared" si="101"/>
        <v>0.45770373484280652</v>
      </c>
      <c r="CP337">
        <v>0.48889309817509802</v>
      </c>
      <c r="CQ337">
        <v>-2.2527165794045199</v>
      </c>
      <c r="CR337">
        <v>0.48855793618631899</v>
      </c>
      <c r="CS337">
        <v>-0.15703980660405001</v>
      </c>
      <c r="CT337">
        <v>-0.12315477169910199</v>
      </c>
      <c r="CU337">
        <v>-0.111244993799515</v>
      </c>
      <c r="CV337">
        <v>-2.82822079889938E-2</v>
      </c>
      <c r="CW337">
        <v>-0.227218092983756</v>
      </c>
      <c r="CX337" t="s">
        <v>1827</v>
      </c>
    </row>
    <row r="338" spans="1:102" x14ac:dyDescent="0.35">
      <c r="A338" t="s">
        <v>383</v>
      </c>
      <c r="B338" t="s">
        <v>178</v>
      </c>
      <c r="C338" t="s">
        <v>281</v>
      </c>
      <c r="D338" t="s">
        <v>72</v>
      </c>
      <c r="E338" t="s">
        <v>72</v>
      </c>
      <c r="F338" t="s">
        <v>72</v>
      </c>
      <c r="G338" t="s">
        <v>73</v>
      </c>
      <c r="H338" t="s">
        <v>74</v>
      </c>
      <c r="I338" t="s">
        <v>75</v>
      </c>
      <c r="J338" t="s">
        <v>76</v>
      </c>
      <c r="K338" t="s">
        <v>77</v>
      </c>
      <c r="L338" t="s">
        <v>78</v>
      </c>
      <c r="M338" t="s">
        <v>79</v>
      </c>
      <c r="N338">
        <v>60</v>
      </c>
      <c r="O338" t="s">
        <v>80</v>
      </c>
      <c r="P338">
        <v>792</v>
      </c>
      <c r="Q338">
        <v>0.75</v>
      </c>
      <c r="R338">
        <v>177</v>
      </c>
      <c r="S338">
        <v>0.85419999999999996</v>
      </c>
      <c r="T338" t="s">
        <v>81</v>
      </c>
      <c r="U338" t="s">
        <v>82</v>
      </c>
      <c r="V338" t="s">
        <v>83</v>
      </c>
      <c r="W338" t="s">
        <v>84</v>
      </c>
      <c r="X338" t="s">
        <v>85</v>
      </c>
      <c r="Y338" t="s">
        <v>86</v>
      </c>
      <c r="Z338" t="s">
        <v>87</v>
      </c>
      <c r="AA338" t="s">
        <v>88</v>
      </c>
      <c r="AB338">
        <v>175</v>
      </c>
      <c r="AC338">
        <v>2</v>
      </c>
      <c r="AE338">
        <v>22</v>
      </c>
      <c r="AF338" t="s">
        <v>89</v>
      </c>
      <c r="AG338" t="s">
        <v>384</v>
      </c>
      <c r="AH338" t="s">
        <v>72</v>
      </c>
      <c r="AI338" t="s">
        <v>72</v>
      </c>
      <c r="AJ338" t="s">
        <v>91</v>
      </c>
      <c r="AK338" t="s">
        <v>92</v>
      </c>
      <c r="AL338" t="s">
        <v>93</v>
      </c>
      <c r="AM338" t="s">
        <v>94</v>
      </c>
      <c r="AN338" t="s">
        <v>144</v>
      </c>
      <c r="AO338" t="s">
        <v>145</v>
      </c>
      <c r="AP338" t="s">
        <v>97</v>
      </c>
      <c r="AQ338">
        <v>39</v>
      </c>
      <c r="AR338" t="s">
        <v>80</v>
      </c>
      <c r="AS338">
        <v>1359</v>
      </c>
      <c r="AT338">
        <v>0.96879999999999999</v>
      </c>
      <c r="AU338">
        <v>172</v>
      </c>
      <c r="AV338">
        <v>0.94740000000000002</v>
      </c>
      <c r="AW338" t="s">
        <v>98</v>
      </c>
      <c r="AX338" t="s">
        <v>146</v>
      </c>
      <c r="AY338" t="s">
        <v>127</v>
      </c>
      <c r="AZ338" t="s">
        <v>101</v>
      </c>
      <c r="BA338" t="s">
        <v>128</v>
      </c>
      <c r="BB338" t="s">
        <v>103</v>
      </c>
      <c r="BC338" t="s">
        <v>104</v>
      </c>
      <c r="BD338" t="s">
        <v>105</v>
      </c>
      <c r="BE338">
        <v>4612</v>
      </c>
      <c r="BF338" t="s">
        <v>106</v>
      </c>
      <c r="BG338">
        <v>59</v>
      </c>
      <c r="BH338" t="s">
        <v>80</v>
      </c>
      <c r="BI338">
        <v>1</v>
      </c>
      <c r="BJ338">
        <v>625</v>
      </c>
      <c r="BK338">
        <v>0</v>
      </c>
      <c r="BL338">
        <v>14</v>
      </c>
      <c r="BM338">
        <v>186</v>
      </c>
      <c r="BN338">
        <v>261</v>
      </c>
      <c r="BO338">
        <v>418</v>
      </c>
      <c r="BP338">
        <v>10</v>
      </c>
      <c r="BQ338" s="2">
        <v>200</v>
      </c>
      <c r="BR338">
        <f t="shared" si="85"/>
        <v>626</v>
      </c>
      <c r="BS338">
        <f t="shared" si="86"/>
        <v>1</v>
      </c>
      <c r="BT338">
        <f t="shared" si="87"/>
        <v>15</v>
      </c>
      <c r="BU338">
        <f t="shared" si="88"/>
        <v>187</v>
      </c>
      <c r="BV338">
        <f t="shared" si="89"/>
        <v>262</v>
      </c>
      <c r="BW338">
        <f t="shared" si="90"/>
        <v>419</v>
      </c>
      <c r="BX338">
        <f t="shared" si="91"/>
        <v>11</v>
      </c>
      <c r="BY338" s="2">
        <f t="shared" si="92"/>
        <v>201</v>
      </c>
      <c r="BZ338">
        <f t="shared" si="93"/>
        <v>67.406442486254406</v>
      </c>
      <c r="CA338">
        <v>67.406442486254406</v>
      </c>
      <c r="CB338">
        <v>67.406442486254406</v>
      </c>
      <c r="CC338">
        <v>67.406442486254406</v>
      </c>
      <c r="CD338">
        <v>67.406442486254406</v>
      </c>
      <c r="CE338">
        <v>67.406442486254406</v>
      </c>
      <c r="CF338">
        <v>67.406442486254406</v>
      </c>
      <c r="CG338">
        <v>67.406442486254406</v>
      </c>
      <c r="CH338">
        <f t="shared" si="94"/>
        <v>0.96787292625200905</v>
      </c>
      <c r="CI338">
        <f t="shared" si="95"/>
        <v>-1.8287014069584206</v>
      </c>
      <c r="CJ338">
        <f t="shared" si="96"/>
        <v>-0.6526101479027393</v>
      </c>
      <c r="CK338">
        <f t="shared" si="97"/>
        <v>0.44314019957807838</v>
      </c>
      <c r="CL338">
        <f t="shared" si="98"/>
        <v>0.58959988436132482</v>
      </c>
      <c r="CM338">
        <f t="shared" si="99"/>
        <v>0.7935126160078747</v>
      </c>
      <c r="CN338">
        <f t="shared" si="100"/>
        <v>-0.78730872180019551</v>
      </c>
      <c r="CO338" s="2">
        <f t="shared" si="101"/>
        <v>0.47449465046206829</v>
      </c>
      <c r="CP338">
        <v>0.48580551012881101</v>
      </c>
      <c r="CQ338">
        <v>-2.2527165794045199</v>
      </c>
      <c r="CR338">
        <v>-0.420637363156523</v>
      </c>
      <c r="CS338">
        <v>-0.33968488890649301</v>
      </c>
      <c r="CT338">
        <v>-0.24617694701027701</v>
      </c>
      <c r="CU338">
        <v>-0.13569249305914</v>
      </c>
      <c r="CV338">
        <v>0.56473817289391803</v>
      </c>
      <c r="CW338">
        <v>-0.18109926779774499</v>
      </c>
      <c r="CX338" t="s">
        <v>1827</v>
      </c>
    </row>
    <row r="339" spans="1:102" x14ac:dyDescent="0.35">
      <c r="A339" t="s">
        <v>355</v>
      </c>
      <c r="B339" t="s">
        <v>300</v>
      </c>
      <c r="C339" t="s">
        <v>356</v>
      </c>
      <c r="D339" t="s">
        <v>72</v>
      </c>
      <c r="E339" t="s">
        <v>72</v>
      </c>
      <c r="F339" t="s">
        <v>72</v>
      </c>
      <c r="G339" t="s">
        <v>73</v>
      </c>
      <c r="H339" t="s">
        <v>74</v>
      </c>
      <c r="I339" t="s">
        <v>75</v>
      </c>
      <c r="J339" t="s">
        <v>76</v>
      </c>
      <c r="K339" t="s">
        <v>77</v>
      </c>
      <c r="L339" t="s">
        <v>78</v>
      </c>
      <c r="M339" t="s">
        <v>79</v>
      </c>
      <c r="N339">
        <v>60</v>
      </c>
      <c r="O339" t="s">
        <v>80</v>
      </c>
      <c r="P339">
        <v>792</v>
      </c>
      <c r="Q339">
        <v>0.75</v>
      </c>
      <c r="R339">
        <v>177</v>
      </c>
      <c r="S339">
        <v>0.85419999999999996</v>
      </c>
      <c r="T339" t="s">
        <v>81</v>
      </c>
      <c r="U339" t="s">
        <v>82</v>
      </c>
      <c r="V339" t="s">
        <v>83</v>
      </c>
      <c r="W339" t="s">
        <v>84</v>
      </c>
      <c r="X339" t="s">
        <v>85</v>
      </c>
      <c r="Y339" t="s">
        <v>86</v>
      </c>
      <c r="Z339" t="s">
        <v>87</v>
      </c>
      <c r="AA339" t="s">
        <v>88</v>
      </c>
      <c r="AB339">
        <v>1145</v>
      </c>
      <c r="AC339">
        <v>12</v>
      </c>
      <c r="AE339">
        <v>22</v>
      </c>
      <c r="AF339" t="s">
        <v>89</v>
      </c>
      <c r="AG339" t="s">
        <v>357</v>
      </c>
      <c r="AH339" t="s">
        <v>72</v>
      </c>
      <c r="AI339" t="s">
        <v>72</v>
      </c>
      <c r="AJ339" t="s">
        <v>91</v>
      </c>
      <c r="AK339" t="s">
        <v>92</v>
      </c>
      <c r="AL339" t="s">
        <v>93</v>
      </c>
      <c r="AM339" t="s">
        <v>94</v>
      </c>
      <c r="AN339" t="s">
        <v>144</v>
      </c>
      <c r="AO339" t="s">
        <v>145</v>
      </c>
      <c r="AP339" t="s">
        <v>97</v>
      </c>
      <c r="AQ339">
        <v>39</v>
      </c>
      <c r="AR339" t="s">
        <v>80</v>
      </c>
      <c r="AS339">
        <v>1359</v>
      </c>
      <c r="AT339">
        <v>0.96879999999999999</v>
      </c>
      <c r="AU339">
        <v>172</v>
      </c>
      <c r="AV339">
        <v>0.94740000000000002</v>
      </c>
      <c r="AW339" t="s">
        <v>98</v>
      </c>
      <c r="AX339" t="s">
        <v>146</v>
      </c>
      <c r="AY339" t="s">
        <v>127</v>
      </c>
      <c r="AZ339" t="s">
        <v>101</v>
      </c>
      <c r="BA339" t="s">
        <v>128</v>
      </c>
      <c r="BB339" t="s">
        <v>103</v>
      </c>
      <c r="BC339" t="s">
        <v>104</v>
      </c>
      <c r="BD339" t="s">
        <v>105</v>
      </c>
      <c r="BE339">
        <v>28421</v>
      </c>
      <c r="BF339" t="s">
        <v>106</v>
      </c>
      <c r="BG339">
        <v>348</v>
      </c>
      <c r="BH339" t="s">
        <v>80</v>
      </c>
      <c r="BI339">
        <v>1</v>
      </c>
      <c r="BJ339">
        <v>3428</v>
      </c>
      <c r="BK339">
        <v>10</v>
      </c>
      <c r="BL339">
        <v>93</v>
      </c>
      <c r="BM339">
        <v>946</v>
      </c>
      <c r="BN339">
        <v>1352</v>
      </c>
      <c r="BO339">
        <v>1846</v>
      </c>
      <c r="BP339">
        <v>47</v>
      </c>
      <c r="BQ339" s="2">
        <v>895</v>
      </c>
      <c r="BR339">
        <f t="shared" si="85"/>
        <v>3429</v>
      </c>
      <c r="BS339">
        <f t="shared" si="86"/>
        <v>11</v>
      </c>
      <c r="BT339">
        <f t="shared" si="87"/>
        <v>94</v>
      </c>
      <c r="BU339">
        <f t="shared" si="88"/>
        <v>947</v>
      </c>
      <c r="BV339">
        <f t="shared" si="89"/>
        <v>1353</v>
      </c>
      <c r="BW339">
        <f t="shared" si="90"/>
        <v>1847</v>
      </c>
      <c r="BX339">
        <f t="shared" si="91"/>
        <v>48</v>
      </c>
      <c r="BY339" s="2">
        <f t="shared" si="92"/>
        <v>896</v>
      </c>
      <c r="BZ339">
        <f t="shared" si="93"/>
        <v>371.25216309604843</v>
      </c>
      <c r="CA339">
        <v>371.25216309604843</v>
      </c>
      <c r="CB339">
        <v>371.25216309604843</v>
      </c>
      <c r="CC339">
        <v>371.25216309604843</v>
      </c>
      <c r="CD339">
        <v>371.25216309604843</v>
      </c>
      <c r="CE339">
        <v>371.25216309604843</v>
      </c>
      <c r="CF339">
        <v>371.25216309604843</v>
      </c>
      <c r="CG339">
        <v>371.25216309604843</v>
      </c>
      <c r="CH339">
        <f t="shared" si="94"/>
        <v>0.9654984923709794</v>
      </c>
      <c r="CI339">
        <f t="shared" si="95"/>
        <v>-1.5282763075857397</v>
      </c>
      <c r="CJ339">
        <f t="shared" si="96"/>
        <v>-0.5965411391442661</v>
      </c>
      <c r="CK339">
        <f t="shared" si="97"/>
        <v>0.40668098625930865</v>
      </c>
      <c r="CL339">
        <f t="shared" si="98"/>
        <v>0.56162880385365821</v>
      </c>
      <c r="CM339">
        <f t="shared" si="99"/>
        <v>0.69679790269627662</v>
      </c>
      <c r="CN339">
        <f t="shared" si="100"/>
        <v>-0.88842775536837748</v>
      </c>
      <c r="CO339" s="2">
        <f t="shared" si="101"/>
        <v>0.38263901691816044</v>
      </c>
      <c r="CP339">
        <v>0.48295278845724798</v>
      </c>
      <c r="CQ339">
        <v>0.28447673003909801</v>
      </c>
      <c r="CR339">
        <v>-0.17012790163595401</v>
      </c>
      <c r="CS339">
        <v>-0.44711013448466802</v>
      </c>
      <c r="CT339">
        <v>-0.32403766974394599</v>
      </c>
      <c r="CU339">
        <v>-0.41498465919037703</v>
      </c>
      <c r="CV339">
        <v>0.29353957495593203</v>
      </c>
      <c r="CW339">
        <v>-0.433394854400663</v>
      </c>
      <c r="CX339" t="s">
        <v>1827</v>
      </c>
    </row>
    <row r="340" spans="1:102" x14ac:dyDescent="0.35">
      <c r="A340" t="s">
        <v>534</v>
      </c>
      <c r="B340" t="s">
        <v>159</v>
      </c>
      <c r="C340" t="s">
        <v>535</v>
      </c>
      <c r="D340" t="s">
        <v>72</v>
      </c>
      <c r="E340" t="s">
        <v>72</v>
      </c>
      <c r="F340" t="s">
        <v>72</v>
      </c>
      <c r="G340" t="s">
        <v>73</v>
      </c>
      <c r="H340" t="s">
        <v>74</v>
      </c>
      <c r="I340" t="s">
        <v>75</v>
      </c>
      <c r="J340" t="s">
        <v>76</v>
      </c>
      <c r="K340" t="s">
        <v>77</v>
      </c>
      <c r="L340" t="s">
        <v>78</v>
      </c>
      <c r="M340" t="s">
        <v>79</v>
      </c>
      <c r="N340">
        <v>60</v>
      </c>
      <c r="O340" t="s">
        <v>80</v>
      </c>
      <c r="P340">
        <v>792</v>
      </c>
      <c r="Q340">
        <v>0.75</v>
      </c>
      <c r="R340">
        <v>177</v>
      </c>
      <c r="S340">
        <v>0.85419999999999996</v>
      </c>
      <c r="T340" t="s">
        <v>81</v>
      </c>
      <c r="U340" t="s">
        <v>82</v>
      </c>
      <c r="V340" t="s">
        <v>83</v>
      </c>
      <c r="W340" t="s">
        <v>84</v>
      </c>
      <c r="X340" t="s">
        <v>85</v>
      </c>
      <c r="Y340" t="s">
        <v>86</v>
      </c>
      <c r="Z340" t="s">
        <v>87</v>
      </c>
      <c r="AA340" t="s">
        <v>88</v>
      </c>
      <c r="AB340">
        <v>515</v>
      </c>
      <c r="AC340">
        <v>8</v>
      </c>
      <c r="AE340">
        <v>22</v>
      </c>
      <c r="AF340" t="s">
        <v>231</v>
      </c>
      <c r="AG340" t="s">
        <v>536</v>
      </c>
      <c r="AH340" t="s">
        <v>72</v>
      </c>
      <c r="AI340" t="s">
        <v>72</v>
      </c>
      <c r="AJ340" t="s">
        <v>91</v>
      </c>
      <c r="AK340" t="s">
        <v>92</v>
      </c>
      <c r="AL340" t="s">
        <v>93</v>
      </c>
      <c r="AM340" t="s">
        <v>94</v>
      </c>
      <c r="AN340" t="s">
        <v>144</v>
      </c>
      <c r="AO340" t="s">
        <v>145</v>
      </c>
      <c r="AP340" t="s">
        <v>97</v>
      </c>
      <c r="AQ340">
        <v>39</v>
      </c>
      <c r="AR340" t="s">
        <v>80</v>
      </c>
      <c r="AS340">
        <v>1359</v>
      </c>
      <c r="AT340">
        <v>0.96879999999999999</v>
      </c>
      <c r="AU340">
        <v>172</v>
      </c>
      <c r="AV340">
        <v>0.94740000000000002</v>
      </c>
      <c r="AW340" t="s">
        <v>98</v>
      </c>
      <c r="AX340" t="s">
        <v>146</v>
      </c>
      <c r="AY340" t="s">
        <v>127</v>
      </c>
      <c r="AZ340" t="s">
        <v>101</v>
      </c>
      <c r="BA340" t="s">
        <v>128</v>
      </c>
      <c r="BB340" t="s">
        <v>103</v>
      </c>
      <c r="BC340" t="s">
        <v>104</v>
      </c>
      <c r="BD340" t="s">
        <v>105</v>
      </c>
      <c r="BE340">
        <v>11559</v>
      </c>
      <c r="BF340" t="s">
        <v>106</v>
      </c>
      <c r="BG340">
        <v>140</v>
      </c>
      <c r="BH340" t="s">
        <v>80</v>
      </c>
      <c r="BI340">
        <v>1</v>
      </c>
      <c r="BJ340">
        <v>1418</v>
      </c>
      <c r="BK340">
        <v>4</v>
      </c>
      <c r="BL340">
        <v>33</v>
      </c>
      <c r="BM340">
        <v>435</v>
      </c>
      <c r="BN340">
        <v>588</v>
      </c>
      <c r="BO340">
        <v>952</v>
      </c>
      <c r="BP340">
        <v>12</v>
      </c>
      <c r="BQ340" s="2">
        <v>413</v>
      </c>
      <c r="BR340">
        <f t="shared" si="85"/>
        <v>1419</v>
      </c>
      <c r="BS340">
        <f t="shared" si="86"/>
        <v>5</v>
      </c>
      <c r="BT340">
        <f t="shared" si="87"/>
        <v>34</v>
      </c>
      <c r="BU340">
        <f t="shared" si="88"/>
        <v>436</v>
      </c>
      <c r="BV340">
        <f t="shared" si="89"/>
        <v>589</v>
      </c>
      <c r="BW340">
        <f t="shared" si="90"/>
        <v>953</v>
      </c>
      <c r="BX340">
        <f t="shared" si="91"/>
        <v>13</v>
      </c>
      <c r="BY340" s="2">
        <f t="shared" si="92"/>
        <v>414</v>
      </c>
      <c r="BZ340">
        <f t="shared" si="93"/>
        <v>154.08441429640376</v>
      </c>
      <c r="CA340">
        <v>154.08441429640376</v>
      </c>
      <c r="CB340">
        <v>154.08441429640376</v>
      </c>
      <c r="CC340">
        <v>154.08441429640376</v>
      </c>
      <c r="CD340">
        <v>154.08441429640376</v>
      </c>
      <c r="CE340">
        <v>154.08441429640376</v>
      </c>
      <c r="CF340">
        <v>154.08441429640376</v>
      </c>
      <c r="CG340">
        <v>154.08441429640376</v>
      </c>
      <c r="CH340">
        <f t="shared" si="94"/>
        <v>0.96422368358778676</v>
      </c>
      <c r="CI340">
        <f t="shared" si="95"/>
        <v>-1.4887887075336683</v>
      </c>
      <c r="CJ340">
        <f t="shared" si="96"/>
        <v>-0.65627979482743204</v>
      </c>
      <c r="CK340">
        <f t="shared" si="97"/>
        <v>0.45172777739889886</v>
      </c>
      <c r="CL340">
        <f t="shared" si="98"/>
        <v>0.58235658291741443</v>
      </c>
      <c r="CM340">
        <f t="shared" si="99"/>
        <v>0.79133418876863926</v>
      </c>
      <c r="CN340">
        <f t="shared" si="100"/>
        <v>-1.0738153595628503</v>
      </c>
      <c r="CO340" s="2">
        <f t="shared" si="101"/>
        <v>0.42924162925121179</v>
      </c>
      <c r="CP340">
        <v>0.48142119194830102</v>
      </c>
      <c r="CQ340">
        <v>0.40113117542657101</v>
      </c>
      <c r="CR340">
        <v>-0.43703289600846501</v>
      </c>
      <c r="CS340">
        <v>-0.31438202106188201</v>
      </c>
      <c r="CT340">
        <v>-0.26633951045669502</v>
      </c>
      <c r="CU340">
        <v>-0.14198334210963701</v>
      </c>
      <c r="CV340">
        <v>-0.203665120920863</v>
      </c>
      <c r="CW340">
        <v>-0.30539363158861499</v>
      </c>
      <c r="CX340" t="s">
        <v>1827</v>
      </c>
    </row>
    <row r="341" spans="1:102" x14ac:dyDescent="0.35">
      <c r="A341" t="s">
        <v>1098</v>
      </c>
      <c r="B341" t="s">
        <v>70</v>
      </c>
      <c r="C341" t="s">
        <v>1099</v>
      </c>
      <c r="D341" t="s">
        <v>72</v>
      </c>
      <c r="E341" t="s">
        <v>72</v>
      </c>
      <c r="F341" t="s">
        <v>72</v>
      </c>
      <c r="G341" t="s">
        <v>73</v>
      </c>
      <c r="H341" t="s">
        <v>74</v>
      </c>
      <c r="I341" t="s">
        <v>75</v>
      </c>
      <c r="J341" t="s">
        <v>76</v>
      </c>
      <c r="K341" t="s">
        <v>77</v>
      </c>
      <c r="L341" t="s">
        <v>78</v>
      </c>
      <c r="M341" t="s">
        <v>79</v>
      </c>
      <c r="N341">
        <v>60</v>
      </c>
      <c r="O341" t="s">
        <v>80</v>
      </c>
      <c r="P341">
        <v>792</v>
      </c>
      <c r="Q341">
        <v>0.75</v>
      </c>
      <c r="R341">
        <v>177</v>
      </c>
      <c r="S341">
        <v>0.85419999999999996</v>
      </c>
      <c r="T341" t="s">
        <v>81</v>
      </c>
      <c r="U341" t="s">
        <v>82</v>
      </c>
      <c r="V341" t="s">
        <v>83</v>
      </c>
      <c r="W341" t="s">
        <v>84</v>
      </c>
      <c r="X341" t="s">
        <v>85</v>
      </c>
      <c r="Y341" t="s">
        <v>86</v>
      </c>
      <c r="Z341" t="s">
        <v>87</v>
      </c>
      <c r="AA341" t="s">
        <v>88</v>
      </c>
      <c r="AB341">
        <v>304</v>
      </c>
      <c r="AC341">
        <v>6</v>
      </c>
      <c r="AE341">
        <v>22</v>
      </c>
      <c r="AF341" t="s">
        <v>89</v>
      </c>
      <c r="AG341" t="s">
        <v>384</v>
      </c>
      <c r="AH341" t="s">
        <v>72</v>
      </c>
      <c r="AI341" t="s">
        <v>72</v>
      </c>
      <c r="AJ341" t="s">
        <v>91</v>
      </c>
      <c r="AK341" t="s">
        <v>92</v>
      </c>
      <c r="AL341" t="s">
        <v>93</v>
      </c>
      <c r="AM341" t="s">
        <v>94</v>
      </c>
      <c r="AN341" t="s">
        <v>144</v>
      </c>
      <c r="AO341" t="s">
        <v>145</v>
      </c>
      <c r="AP341" t="s">
        <v>97</v>
      </c>
      <c r="AQ341">
        <v>39</v>
      </c>
      <c r="AR341" t="s">
        <v>80</v>
      </c>
      <c r="AS341">
        <v>1359</v>
      </c>
      <c r="AT341">
        <v>0.96879999999999999</v>
      </c>
      <c r="AU341">
        <v>172</v>
      </c>
      <c r="AV341">
        <v>0.94740000000000002</v>
      </c>
      <c r="AW341" t="s">
        <v>98</v>
      </c>
      <c r="AX341" t="s">
        <v>146</v>
      </c>
      <c r="AY341" t="s">
        <v>127</v>
      </c>
      <c r="AZ341" t="s">
        <v>101</v>
      </c>
      <c r="BA341" t="s">
        <v>128</v>
      </c>
      <c r="BB341" t="s">
        <v>103</v>
      </c>
      <c r="BC341" t="s">
        <v>104</v>
      </c>
      <c r="BD341" t="s">
        <v>105</v>
      </c>
      <c r="BE341">
        <v>8360</v>
      </c>
      <c r="BF341" t="s">
        <v>106</v>
      </c>
      <c r="BG341">
        <v>107</v>
      </c>
      <c r="BH341" t="s">
        <v>80</v>
      </c>
      <c r="BI341">
        <v>1</v>
      </c>
      <c r="BJ341">
        <v>1867</v>
      </c>
      <c r="BK341">
        <v>6</v>
      </c>
      <c r="BL341">
        <v>39</v>
      </c>
      <c r="BM341">
        <v>564</v>
      </c>
      <c r="BN341">
        <v>822</v>
      </c>
      <c r="BO341">
        <v>1122</v>
      </c>
      <c r="BP341">
        <v>19</v>
      </c>
      <c r="BQ341" s="2">
        <v>557</v>
      </c>
      <c r="BR341">
        <f t="shared" si="85"/>
        <v>1868</v>
      </c>
      <c r="BS341">
        <f t="shared" si="86"/>
        <v>7</v>
      </c>
      <c r="BT341">
        <f t="shared" si="87"/>
        <v>40</v>
      </c>
      <c r="BU341">
        <f t="shared" si="88"/>
        <v>565</v>
      </c>
      <c r="BV341">
        <f t="shared" si="89"/>
        <v>823</v>
      </c>
      <c r="BW341">
        <f t="shared" si="90"/>
        <v>1123</v>
      </c>
      <c r="BX341">
        <f t="shared" si="91"/>
        <v>20</v>
      </c>
      <c r="BY341" s="2">
        <f t="shared" si="92"/>
        <v>558</v>
      </c>
      <c r="BZ341">
        <f t="shared" si="93"/>
        <v>204.41059018260773</v>
      </c>
      <c r="CA341">
        <v>204.41059018260773</v>
      </c>
      <c r="CB341">
        <v>204.41059018260773</v>
      </c>
      <c r="CC341">
        <v>204.41059018260773</v>
      </c>
      <c r="CD341">
        <v>204.41059018260773</v>
      </c>
      <c r="CE341">
        <v>204.41059018260773</v>
      </c>
      <c r="CF341">
        <v>204.41059018260773</v>
      </c>
      <c r="CG341">
        <v>204.41059018260773</v>
      </c>
      <c r="CH341">
        <f t="shared" si="94"/>
        <v>0.96087347975269699</v>
      </c>
      <c r="CI341">
        <f t="shared" si="95"/>
        <v>-1.4654053521271206</v>
      </c>
      <c r="CJ341">
        <f t="shared" si="96"/>
        <v>-0.70844340081341506</v>
      </c>
      <c r="CK341">
        <f t="shared" si="97"/>
        <v>0.44154505567806102</v>
      </c>
      <c r="CL341">
        <f t="shared" si="98"/>
        <v>0.6048964430708923</v>
      </c>
      <c r="CM341">
        <f t="shared" si="99"/>
        <v>0.73987636412008029</v>
      </c>
      <c r="CN341">
        <f t="shared" si="100"/>
        <v>-1.0094733964773963</v>
      </c>
      <c r="CO341" s="2">
        <f t="shared" si="101"/>
        <v>0.43613080679620125</v>
      </c>
      <c r="CP341">
        <v>0.47739614869025598</v>
      </c>
      <c r="CQ341">
        <v>0.470210388968339</v>
      </c>
      <c r="CR341">
        <v>-0.67009349643409499</v>
      </c>
      <c r="CS341">
        <v>-0.34438490049735399</v>
      </c>
      <c r="CT341">
        <v>-0.20359721484231699</v>
      </c>
      <c r="CU341">
        <v>-0.29058293795597001</v>
      </c>
      <c r="CV341">
        <v>-3.11016621770932E-2</v>
      </c>
      <c r="CW341">
        <v>-0.28647144877993702</v>
      </c>
      <c r="CX341" t="s">
        <v>1827</v>
      </c>
    </row>
    <row r="342" spans="1:102" x14ac:dyDescent="0.35">
      <c r="A342" t="s">
        <v>309</v>
      </c>
      <c r="B342" t="s">
        <v>159</v>
      </c>
      <c r="C342" t="s">
        <v>310</v>
      </c>
      <c r="D342" t="s">
        <v>72</v>
      </c>
      <c r="E342" t="s">
        <v>72</v>
      </c>
      <c r="F342" t="s">
        <v>72</v>
      </c>
      <c r="G342" t="s">
        <v>73</v>
      </c>
      <c r="H342" t="s">
        <v>74</v>
      </c>
      <c r="I342" t="s">
        <v>75</v>
      </c>
      <c r="J342" t="s">
        <v>76</v>
      </c>
      <c r="K342" t="s">
        <v>311</v>
      </c>
      <c r="L342" t="s">
        <v>312</v>
      </c>
      <c r="M342" t="s">
        <v>79</v>
      </c>
      <c r="N342">
        <v>60</v>
      </c>
      <c r="O342" t="s">
        <v>80</v>
      </c>
      <c r="P342">
        <v>783</v>
      </c>
      <c r="Q342">
        <v>0.74650000000000005</v>
      </c>
      <c r="R342">
        <v>177</v>
      </c>
      <c r="S342">
        <v>0.85419999999999996</v>
      </c>
      <c r="T342" t="s">
        <v>81</v>
      </c>
      <c r="U342" t="s">
        <v>313</v>
      </c>
      <c r="V342" t="s">
        <v>83</v>
      </c>
      <c r="W342" t="s">
        <v>84</v>
      </c>
      <c r="X342" t="s">
        <v>85</v>
      </c>
      <c r="Y342" t="s">
        <v>86</v>
      </c>
      <c r="Z342" t="s">
        <v>87</v>
      </c>
      <c r="AA342" t="s">
        <v>88</v>
      </c>
      <c r="AB342">
        <v>276</v>
      </c>
      <c r="AC342">
        <v>2</v>
      </c>
      <c r="AE342">
        <v>22</v>
      </c>
      <c r="AF342" t="s">
        <v>153</v>
      </c>
      <c r="AG342" t="s">
        <v>314</v>
      </c>
      <c r="AH342" t="s">
        <v>72</v>
      </c>
      <c r="AI342" t="s">
        <v>72</v>
      </c>
      <c r="AJ342" t="s">
        <v>91</v>
      </c>
      <c r="AK342" t="s">
        <v>92</v>
      </c>
      <c r="AL342" t="s">
        <v>93</v>
      </c>
      <c r="AM342" t="s">
        <v>94</v>
      </c>
      <c r="AN342" t="s">
        <v>315</v>
      </c>
      <c r="AO342" t="s">
        <v>316</v>
      </c>
      <c r="AP342" t="s">
        <v>97</v>
      </c>
      <c r="AQ342">
        <v>39</v>
      </c>
      <c r="AR342" t="s">
        <v>80</v>
      </c>
      <c r="AS342">
        <v>1341</v>
      </c>
      <c r="AT342">
        <v>0.96179999999999999</v>
      </c>
      <c r="AU342">
        <v>172</v>
      </c>
      <c r="AV342">
        <v>0.94740000000000002</v>
      </c>
      <c r="AW342" t="s">
        <v>98</v>
      </c>
      <c r="AX342" t="s">
        <v>146</v>
      </c>
      <c r="AY342" t="s">
        <v>317</v>
      </c>
      <c r="AZ342" t="s">
        <v>101</v>
      </c>
      <c r="BA342" t="s">
        <v>128</v>
      </c>
      <c r="BB342" t="s">
        <v>103</v>
      </c>
      <c r="BC342" t="s">
        <v>104</v>
      </c>
      <c r="BD342" t="s">
        <v>105</v>
      </c>
      <c r="BE342">
        <v>4074</v>
      </c>
      <c r="BF342" t="s">
        <v>106</v>
      </c>
      <c r="BG342">
        <v>50</v>
      </c>
      <c r="BH342" t="s">
        <v>80</v>
      </c>
      <c r="BI342">
        <v>1</v>
      </c>
      <c r="BJ342">
        <v>656</v>
      </c>
      <c r="BK342">
        <v>0</v>
      </c>
      <c r="BL342">
        <v>19</v>
      </c>
      <c r="BM342">
        <v>259</v>
      </c>
      <c r="BN342">
        <v>320</v>
      </c>
      <c r="BO342">
        <v>511</v>
      </c>
      <c r="BP342">
        <v>5</v>
      </c>
      <c r="BQ342" s="2">
        <v>216</v>
      </c>
      <c r="BR342">
        <f t="shared" si="85"/>
        <v>657</v>
      </c>
      <c r="BS342">
        <f t="shared" si="86"/>
        <v>1</v>
      </c>
      <c r="BT342">
        <f t="shared" si="87"/>
        <v>20</v>
      </c>
      <c r="BU342">
        <f t="shared" si="88"/>
        <v>260</v>
      </c>
      <c r="BV342">
        <f t="shared" si="89"/>
        <v>321</v>
      </c>
      <c r="BW342">
        <f t="shared" si="90"/>
        <v>512</v>
      </c>
      <c r="BX342">
        <f t="shared" si="91"/>
        <v>6</v>
      </c>
      <c r="BY342" s="2">
        <f t="shared" si="92"/>
        <v>217</v>
      </c>
      <c r="BZ342">
        <f t="shared" si="93"/>
        <v>72.109807525712512</v>
      </c>
      <c r="CA342">
        <v>72.109807525712512</v>
      </c>
      <c r="CB342">
        <v>72.109807525712512</v>
      </c>
      <c r="CC342">
        <v>72.109807525712512</v>
      </c>
      <c r="CD342">
        <v>72.109807525712512</v>
      </c>
      <c r="CE342">
        <v>72.109807525712512</v>
      </c>
      <c r="CF342">
        <v>72.109807525712512</v>
      </c>
      <c r="CG342">
        <v>72.109807525712512</v>
      </c>
      <c r="CH342">
        <f t="shared" si="94"/>
        <v>0.95957103320884873</v>
      </c>
      <c r="CI342">
        <f t="shared" si="95"/>
        <v>-1.8579943363509319</v>
      </c>
      <c r="CJ342">
        <f t="shared" si="96"/>
        <v>-0.55696434068695078</v>
      </c>
      <c r="CK342">
        <f t="shared" si="97"/>
        <v>0.55697901161988594</v>
      </c>
      <c r="CL342">
        <f t="shared" si="98"/>
        <v>0.64851069605394018</v>
      </c>
      <c r="CM342">
        <f t="shared" si="99"/>
        <v>0.85127562462489881</v>
      </c>
      <c r="CN342">
        <f t="shared" si="100"/>
        <v>-1.0798430859672883</v>
      </c>
      <c r="CO342" s="2">
        <f t="shared" si="101"/>
        <v>0.47846539749759753</v>
      </c>
      <c r="CP342">
        <v>0.475831347281645</v>
      </c>
      <c r="CQ342">
        <v>-2.2527165794045199</v>
      </c>
      <c r="CR342">
        <v>6.6963848956298798E-3</v>
      </c>
      <c r="CS342">
        <v>-4.26453210951553E-3</v>
      </c>
      <c r="CT342">
        <v>-8.2191920620007394E-2</v>
      </c>
      <c r="CU342">
        <v>3.11151750453918E-2</v>
      </c>
      <c r="CV342">
        <v>-0.219831325165043</v>
      </c>
      <c r="CW342">
        <v>-0.17019300202035201</v>
      </c>
      <c r="CX342" t="s">
        <v>1827</v>
      </c>
    </row>
    <row r="343" spans="1:102" x14ac:dyDescent="0.35">
      <c r="A343" t="s">
        <v>226</v>
      </c>
      <c r="B343" t="s">
        <v>227</v>
      </c>
      <c r="C343" t="s">
        <v>228</v>
      </c>
      <c r="D343" t="s">
        <v>72</v>
      </c>
      <c r="E343" t="s">
        <v>72</v>
      </c>
      <c r="F343" t="s">
        <v>72</v>
      </c>
      <c r="G343" t="s">
        <v>73</v>
      </c>
      <c r="H343" t="s">
        <v>74</v>
      </c>
      <c r="I343" t="s">
        <v>75</v>
      </c>
      <c r="J343" t="s">
        <v>76</v>
      </c>
      <c r="K343" t="s">
        <v>77</v>
      </c>
      <c r="L343" t="s">
        <v>78</v>
      </c>
      <c r="M343" t="s">
        <v>79</v>
      </c>
      <c r="N343">
        <v>60</v>
      </c>
      <c r="O343" t="s">
        <v>80</v>
      </c>
      <c r="P343">
        <v>792</v>
      </c>
      <c r="Q343">
        <v>0.75</v>
      </c>
      <c r="R343">
        <v>177</v>
      </c>
      <c r="S343">
        <v>0.85419999999999996</v>
      </c>
      <c r="T343" t="s">
        <v>81</v>
      </c>
      <c r="U343" t="s">
        <v>82</v>
      </c>
      <c r="V343" t="s">
        <v>83</v>
      </c>
      <c r="W343" t="s">
        <v>84</v>
      </c>
      <c r="X343" t="s">
        <v>85</v>
      </c>
      <c r="Y343" t="s">
        <v>86</v>
      </c>
      <c r="Z343" t="s">
        <v>87</v>
      </c>
      <c r="AA343" t="s">
        <v>88</v>
      </c>
      <c r="AB343">
        <v>2236</v>
      </c>
      <c r="AC343">
        <v>24</v>
      </c>
      <c r="AE343">
        <v>22</v>
      </c>
      <c r="AF343" t="s">
        <v>89</v>
      </c>
      <c r="AG343" t="s">
        <v>229</v>
      </c>
      <c r="AH343" t="s">
        <v>72</v>
      </c>
      <c r="AI343" t="s">
        <v>72</v>
      </c>
      <c r="AJ343" t="s">
        <v>91</v>
      </c>
      <c r="AK343" t="s">
        <v>92</v>
      </c>
      <c r="AL343" t="s">
        <v>93</v>
      </c>
      <c r="AM343" t="s">
        <v>94</v>
      </c>
      <c r="AN343" t="s">
        <v>144</v>
      </c>
      <c r="AO343" t="s">
        <v>145</v>
      </c>
      <c r="AP343" t="s">
        <v>97</v>
      </c>
      <c r="AQ343">
        <v>39</v>
      </c>
      <c r="AR343" t="s">
        <v>80</v>
      </c>
      <c r="AS343">
        <v>1359</v>
      </c>
      <c r="AT343">
        <v>0.96879999999999999</v>
      </c>
      <c r="AU343">
        <v>172</v>
      </c>
      <c r="AV343">
        <v>0.94740000000000002</v>
      </c>
      <c r="AW343" t="s">
        <v>98</v>
      </c>
      <c r="AX343" t="s">
        <v>146</v>
      </c>
      <c r="AY343" t="s">
        <v>127</v>
      </c>
      <c r="AZ343" t="s">
        <v>101</v>
      </c>
      <c r="BA343" t="s">
        <v>128</v>
      </c>
      <c r="BB343" t="s">
        <v>103</v>
      </c>
      <c r="BC343" t="s">
        <v>104</v>
      </c>
      <c r="BD343" t="s">
        <v>105</v>
      </c>
      <c r="BE343">
        <v>47686</v>
      </c>
      <c r="BF343" t="s">
        <v>106</v>
      </c>
      <c r="BG343">
        <v>565</v>
      </c>
      <c r="BH343" t="s">
        <v>80</v>
      </c>
      <c r="BI343">
        <v>1</v>
      </c>
      <c r="BJ343">
        <v>9003</v>
      </c>
      <c r="BK343">
        <v>22</v>
      </c>
      <c r="BL343">
        <v>185</v>
      </c>
      <c r="BM343">
        <v>2919</v>
      </c>
      <c r="BN343">
        <v>3896</v>
      </c>
      <c r="BO343">
        <v>5684</v>
      </c>
      <c r="BP343">
        <v>126</v>
      </c>
      <c r="BQ343" s="2">
        <v>3016</v>
      </c>
      <c r="BR343">
        <f t="shared" si="85"/>
        <v>9004</v>
      </c>
      <c r="BS343">
        <f t="shared" si="86"/>
        <v>23</v>
      </c>
      <c r="BT343">
        <f t="shared" si="87"/>
        <v>186</v>
      </c>
      <c r="BU343">
        <f t="shared" si="88"/>
        <v>2920</v>
      </c>
      <c r="BV343">
        <f t="shared" si="89"/>
        <v>3897</v>
      </c>
      <c r="BW343">
        <f t="shared" si="90"/>
        <v>5685</v>
      </c>
      <c r="BX343">
        <f t="shared" si="91"/>
        <v>127</v>
      </c>
      <c r="BY343" s="2">
        <f t="shared" si="92"/>
        <v>3017</v>
      </c>
      <c r="BZ343">
        <f t="shared" si="93"/>
        <v>994.23117795310156</v>
      </c>
      <c r="CA343">
        <v>994.23117795310156</v>
      </c>
      <c r="CB343">
        <v>994.23117795310156</v>
      </c>
      <c r="CC343">
        <v>994.23117795310156</v>
      </c>
      <c r="CD343">
        <v>994.23117795310156</v>
      </c>
      <c r="CE343">
        <v>994.23117795310156</v>
      </c>
      <c r="CF343">
        <v>994.23117795310156</v>
      </c>
      <c r="CG343">
        <v>994.23117795310156</v>
      </c>
      <c r="CH343">
        <f t="shared" si="94"/>
        <v>0.95694810833350752</v>
      </c>
      <c r="CI343">
        <f t="shared" si="95"/>
        <v>-1.635759541977382</v>
      </c>
      <c r="CJ343">
        <f t="shared" si="96"/>
        <v>-0.7279744337770585</v>
      </c>
      <c r="CK343">
        <f t="shared" si="97"/>
        <v>0.46789547345344346</v>
      </c>
      <c r="CL343">
        <f t="shared" si="98"/>
        <v>0.59324302779771543</v>
      </c>
      <c r="CM343">
        <f t="shared" si="99"/>
        <v>0.75724309102877874</v>
      </c>
      <c r="CN343">
        <f t="shared" si="100"/>
        <v>-0.89368365703901798</v>
      </c>
      <c r="CO343" s="2">
        <f t="shared" si="101"/>
        <v>0.48208793218001361</v>
      </c>
      <c r="CP343">
        <v>0.47268008049146598</v>
      </c>
      <c r="CQ343">
        <v>-3.3050723639390003E-2</v>
      </c>
      <c r="CR343">
        <v>-0.75735575876048999</v>
      </c>
      <c r="CS343">
        <v>-0.26674471457621002</v>
      </c>
      <c r="CT343">
        <v>-0.23603583784211199</v>
      </c>
      <c r="CU343">
        <v>-0.24043140867093801</v>
      </c>
      <c r="CV343">
        <v>0.27944338442008698</v>
      </c>
      <c r="CW343">
        <v>-0.160243154880572</v>
      </c>
      <c r="CX343" t="s">
        <v>1827</v>
      </c>
    </row>
    <row r="344" spans="1:102" x14ac:dyDescent="0.35">
      <c r="A344" t="s">
        <v>1795</v>
      </c>
      <c r="B344" t="s">
        <v>159</v>
      </c>
      <c r="C344" t="s">
        <v>492</v>
      </c>
      <c r="D344" t="s">
        <v>72</v>
      </c>
      <c r="E344" t="s">
        <v>72</v>
      </c>
      <c r="F344" t="s">
        <v>72</v>
      </c>
      <c r="G344" t="s">
        <v>73</v>
      </c>
      <c r="H344" t="s">
        <v>74</v>
      </c>
      <c r="I344" t="s">
        <v>75</v>
      </c>
      <c r="J344" t="s">
        <v>76</v>
      </c>
      <c r="K344" t="s">
        <v>77</v>
      </c>
      <c r="L344" t="s">
        <v>78</v>
      </c>
      <c r="M344" t="s">
        <v>79</v>
      </c>
      <c r="N344">
        <v>60</v>
      </c>
      <c r="O344" t="s">
        <v>80</v>
      </c>
      <c r="P344">
        <v>792</v>
      </c>
      <c r="Q344">
        <v>0.75</v>
      </c>
      <c r="R344">
        <v>177</v>
      </c>
      <c r="S344">
        <v>0.85419999999999996</v>
      </c>
      <c r="T344" t="s">
        <v>81</v>
      </c>
      <c r="U344" t="s">
        <v>82</v>
      </c>
      <c r="V344" t="s">
        <v>83</v>
      </c>
      <c r="W344" t="s">
        <v>84</v>
      </c>
      <c r="X344" t="s">
        <v>85</v>
      </c>
      <c r="Y344" t="s">
        <v>86</v>
      </c>
      <c r="Z344" t="s">
        <v>87</v>
      </c>
      <c r="AA344" t="s">
        <v>88</v>
      </c>
      <c r="AB344">
        <v>200</v>
      </c>
      <c r="AC344">
        <v>2</v>
      </c>
      <c r="AE344">
        <v>22</v>
      </c>
      <c r="AF344" t="s">
        <v>153</v>
      </c>
      <c r="AG344" t="s">
        <v>1796</v>
      </c>
      <c r="AH344" t="s">
        <v>72</v>
      </c>
      <c r="AI344" t="s">
        <v>72</v>
      </c>
      <c r="AJ344" t="s">
        <v>91</v>
      </c>
      <c r="AK344" t="s">
        <v>92</v>
      </c>
      <c r="AL344" t="s">
        <v>93</v>
      </c>
      <c r="AM344" t="s">
        <v>94</v>
      </c>
      <c r="AN344" t="s">
        <v>144</v>
      </c>
      <c r="AO344" t="s">
        <v>145</v>
      </c>
      <c r="AP344" t="s">
        <v>97</v>
      </c>
      <c r="AQ344">
        <v>39</v>
      </c>
      <c r="AR344" t="s">
        <v>80</v>
      </c>
      <c r="AS344">
        <v>1359</v>
      </c>
      <c r="AT344">
        <v>0.96879999999999999</v>
      </c>
      <c r="AU344">
        <v>172</v>
      </c>
      <c r="AV344">
        <v>0.94740000000000002</v>
      </c>
      <c r="AW344" t="s">
        <v>98</v>
      </c>
      <c r="AX344" t="s">
        <v>146</v>
      </c>
      <c r="AY344" t="s">
        <v>127</v>
      </c>
      <c r="AZ344" t="s">
        <v>101</v>
      </c>
      <c r="BA344" t="s">
        <v>128</v>
      </c>
      <c r="BB344" t="s">
        <v>103</v>
      </c>
      <c r="BC344" t="s">
        <v>104</v>
      </c>
      <c r="BD344" t="s">
        <v>105</v>
      </c>
      <c r="BE344">
        <v>4627</v>
      </c>
      <c r="BF344" t="s">
        <v>106</v>
      </c>
      <c r="BG344">
        <v>56</v>
      </c>
      <c r="BH344" t="s">
        <v>80</v>
      </c>
      <c r="BI344">
        <v>1</v>
      </c>
      <c r="BJ344">
        <v>1401</v>
      </c>
      <c r="BK344">
        <v>4</v>
      </c>
      <c r="BL344">
        <v>36</v>
      </c>
      <c r="BM344">
        <v>386</v>
      </c>
      <c r="BN344">
        <v>532</v>
      </c>
      <c r="BO344">
        <v>807</v>
      </c>
      <c r="BP344">
        <v>18</v>
      </c>
      <c r="BQ344" s="2">
        <v>411</v>
      </c>
      <c r="BR344">
        <f t="shared" si="85"/>
        <v>1402</v>
      </c>
      <c r="BS344">
        <f t="shared" si="86"/>
        <v>5</v>
      </c>
      <c r="BT344">
        <f t="shared" si="87"/>
        <v>37</v>
      </c>
      <c r="BU344">
        <f t="shared" si="88"/>
        <v>387</v>
      </c>
      <c r="BV344">
        <f t="shared" si="89"/>
        <v>533</v>
      </c>
      <c r="BW344">
        <f t="shared" si="90"/>
        <v>808</v>
      </c>
      <c r="BX344">
        <f t="shared" si="91"/>
        <v>19</v>
      </c>
      <c r="BY344" s="2">
        <f t="shared" si="92"/>
        <v>412</v>
      </c>
      <c r="BZ344">
        <f t="shared" si="93"/>
        <v>155.3021655895121</v>
      </c>
      <c r="CA344">
        <v>155.3021655895121</v>
      </c>
      <c r="CB344">
        <v>155.3021655895121</v>
      </c>
      <c r="CC344">
        <v>155.3021655895121</v>
      </c>
      <c r="CD344">
        <v>155.3021655895121</v>
      </c>
      <c r="CE344">
        <v>155.3021655895121</v>
      </c>
      <c r="CF344">
        <v>155.3021655895121</v>
      </c>
      <c r="CG344">
        <v>155.3021655895121</v>
      </c>
      <c r="CH344">
        <f t="shared" si="94"/>
        <v>0.95557050190067905</v>
      </c>
      <c r="CI344">
        <f t="shared" si="95"/>
        <v>-1.492207507393942</v>
      </c>
      <c r="CJ344">
        <f t="shared" si="96"/>
        <v>-0.62297578766296591</v>
      </c>
      <c r="CK344">
        <f t="shared" si="97"/>
        <v>0.39653345328895057</v>
      </c>
      <c r="CL344">
        <f t="shared" si="98"/>
        <v>0.53554969729661139</v>
      </c>
      <c r="CM344">
        <f t="shared" si="99"/>
        <v>0.71623384904462528</v>
      </c>
      <c r="CN344">
        <f t="shared" si="100"/>
        <v>-0.91242391077713192</v>
      </c>
      <c r="CO344" s="2">
        <f t="shared" si="101"/>
        <v>0.42371970430317374</v>
      </c>
      <c r="CP344">
        <v>0.47102497956100298</v>
      </c>
      <c r="CQ344">
        <v>0.39103134152769897</v>
      </c>
      <c r="CR344">
        <v>-0.28823467242676498</v>
      </c>
      <c r="CS344">
        <v>-0.477009332029672</v>
      </c>
      <c r="CT344">
        <v>-0.39663186517459698</v>
      </c>
      <c r="CU344">
        <v>-0.35885765048021601</v>
      </c>
      <c r="CV344">
        <v>0.229182515032409</v>
      </c>
      <c r="CW344">
        <v>-0.32056044542673001</v>
      </c>
      <c r="CX344" t="s">
        <v>1827</v>
      </c>
    </row>
    <row r="345" spans="1:102" x14ac:dyDescent="0.35">
      <c r="A345" t="s">
        <v>1581</v>
      </c>
      <c r="B345" t="s">
        <v>142</v>
      </c>
      <c r="C345" t="s">
        <v>149</v>
      </c>
      <c r="D345" t="s">
        <v>72</v>
      </c>
      <c r="E345" t="s">
        <v>72</v>
      </c>
      <c r="F345" t="s">
        <v>72</v>
      </c>
      <c r="G345" t="s">
        <v>73</v>
      </c>
      <c r="H345" t="s">
        <v>74</v>
      </c>
      <c r="I345" t="s">
        <v>75</v>
      </c>
      <c r="J345" t="s">
        <v>76</v>
      </c>
      <c r="K345" t="s">
        <v>77</v>
      </c>
      <c r="L345" t="s">
        <v>78</v>
      </c>
      <c r="M345" t="s">
        <v>79</v>
      </c>
      <c r="N345">
        <v>60</v>
      </c>
      <c r="O345" t="s">
        <v>80</v>
      </c>
      <c r="P345">
        <v>792</v>
      </c>
      <c r="Q345">
        <v>0.75</v>
      </c>
      <c r="R345">
        <v>177</v>
      </c>
      <c r="S345">
        <v>0.85419999999999996</v>
      </c>
      <c r="T345" t="s">
        <v>81</v>
      </c>
      <c r="U345" t="s">
        <v>82</v>
      </c>
      <c r="V345" t="s">
        <v>83</v>
      </c>
      <c r="W345" t="s">
        <v>84</v>
      </c>
      <c r="X345" t="s">
        <v>85</v>
      </c>
      <c r="Y345" t="s">
        <v>86</v>
      </c>
      <c r="Z345" t="s">
        <v>87</v>
      </c>
      <c r="AA345" t="s">
        <v>88</v>
      </c>
      <c r="AB345">
        <v>693</v>
      </c>
      <c r="AC345">
        <v>5</v>
      </c>
      <c r="AE345">
        <v>22</v>
      </c>
      <c r="AF345" t="s">
        <v>89</v>
      </c>
      <c r="AG345" t="s">
        <v>346</v>
      </c>
      <c r="AH345" t="s">
        <v>72</v>
      </c>
      <c r="AI345" t="s">
        <v>72</v>
      </c>
      <c r="AJ345" t="s">
        <v>91</v>
      </c>
      <c r="AK345" t="s">
        <v>92</v>
      </c>
      <c r="AL345" t="s">
        <v>93</v>
      </c>
      <c r="AM345" t="s">
        <v>94</v>
      </c>
      <c r="AN345" t="s">
        <v>144</v>
      </c>
      <c r="AO345" t="s">
        <v>145</v>
      </c>
      <c r="AP345" t="s">
        <v>97</v>
      </c>
      <c r="AQ345">
        <v>39</v>
      </c>
      <c r="AR345" t="s">
        <v>80</v>
      </c>
      <c r="AS345">
        <v>1359</v>
      </c>
      <c r="AT345">
        <v>0.96879999999999999</v>
      </c>
      <c r="AU345">
        <v>172</v>
      </c>
      <c r="AV345">
        <v>0.94740000000000002</v>
      </c>
      <c r="AW345" t="s">
        <v>98</v>
      </c>
      <c r="AX345" t="s">
        <v>146</v>
      </c>
      <c r="AY345" t="s">
        <v>127</v>
      </c>
      <c r="AZ345" t="s">
        <v>101</v>
      </c>
      <c r="BA345" t="s">
        <v>128</v>
      </c>
      <c r="BB345" t="s">
        <v>103</v>
      </c>
      <c r="BC345" t="s">
        <v>104</v>
      </c>
      <c r="BD345" t="s">
        <v>105</v>
      </c>
      <c r="BE345">
        <v>6932</v>
      </c>
      <c r="BF345" t="s">
        <v>106</v>
      </c>
      <c r="BG345">
        <v>87</v>
      </c>
      <c r="BH345" t="s">
        <v>80</v>
      </c>
      <c r="BI345">
        <v>1</v>
      </c>
      <c r="BJ345">
        <v>1525</v>
      </c>
      <c r="BK345">
        <v>8</v>
      </c>
      <c r="BL345">
        <v>46</v>
      </c>
      <c r="BM345">
        <v>379</v>
      </c>
      <c r="BN345">
        <v>534</v>
      </c>
      <c r="BO345">
        <v>822</v>
      </c>
      <c r="BP345">
        <v>15</v>
      </c>
      <c r="BQ345" s="2">
        <v>392</v>
      </c>
      <c r="BR345">
        <f t="shared" si="85"/>
        <v>1526</v>
      </c>
      <c r="BS345">
        <f t="shared" si="86"/>
        <v>9</v>
      </c>
      <c r="BT345">
        <f t="shared" si="87"/>
        <v>47</v>
      </c>
      <c r="BU345">
        <f t="shared" si="88"/>
        <v>380</v>
      </c>
      <c r="BV345">
        <f t="shared" si="89"/>
        <v>535</v>
      </c>
      <c r="BW345">
        <f t="shared" si="90"/>
        <v>823</v>
      </c>
      <c r="BX345">
        <f t="shared" si="91"/>
        <v>16</v>
      </c>
      <c r="BY345" s="2">
        <f t="shared" si="92"/>
        <v>393</v>
      </c>
      <c r="BZ345">
        <f t="shared" si="93"/>
        <v>169.43108071128503</v>
      </c>
      <c r="CA345">
        <v>169.43108071128503</v>
      </c>
      <c r="CB345">
        <v>169.43108071128503</v>
      </c>
      <c r="CC345">
        <v>169.43108071128503</v>
      </c>
      <c r="CD345">
        <v>169.43108071128503</v>
      </c>
      <c r="CE345">
        <v>169.43108071128503</v>
      </c>
      <c r="CF345">
        <v>169.43108071128503</v>
      </c>
      <c r="CG345">
        <v>169.43108071128503</v>
      </c>
      <c r="CH345">
        <f t="shared" si="94"/>
        <v>0.95456145263441616</v>
      </c>
      <c r="CI345">
        <f t="shared" si="95"/>
        <v>-1.2747505715451206</v>
      </c>
      <c r="CJ345">
        <f t="shared" si="96"/>
        <v>-0.55689522304872796</v>
      </c>
      <c r="CK345">
        <f t="shared" si="97"/>
        <v>0.35079051563236469</v>
      </c>
      <c r="CL345">
        <f t="shared" si="98"/>
        <v>0.49936070103678293</v>
      </c>
      <c r="CM345">
        <f t="shared" si="99"/>
        <v>0.68640675422782438</v>
      </c>
      <c r="CN345">
        <f t="shared" si="100"/>
        <v>-1.0248730983285208</v>
      </c>
      <c r="CO345" s="2">
        <f t="shared" si="101"/>
        <v>0.36539946939098122</v>
      </c>
      <c r="CP345">
        <v>0.46981267513233899</v>
      </c>
      <c r="CQ345">
        <v>1.0334435978727801</v>
      </c>
      <c r="CR345">
        <v>7.0051940348702197E-3</v>
      </c>
      <c r="CS345">
        <v>-0.611788606290538</v>
      </c>
      <c r="CT345">
        <v>-0.49736810248312602</v>
      </c>
      <c r="CU345">
        <v>-0.44499215510255602</v>
      </c>
      <c r="CV345">
        <v>-7.2403258951867805E-2</v>
      </c>
      <c r="CW345">
        <v>-0.48074591593418903</v>
      </c>
      <c r="CX345" t="s">
        <v>1827</v>
      </c>
    </row>
    <row r="346" spans="1:102" x14ac:dyDescent="0.35">
      <c r="A346" t="s">
        <v>1113</v>
      </c>
      <c r="B346" t="s">
        <v>89</v>
      </c>
      <c r="C346" t="s">
        <v>1114</v>
      </c>
      <c r="D346" t="s">
        <v>72</v>
      </c>
      <c r="E346" t="s">
        <v>72</v>
      </c>
      <c r="F346" t="s">
        <v>72</v>
      </c>
      <c r="G346" t="s">
        <v>73</v>
      </c>
      <c r="H346" t="s">
        <v>109</v>
      </c>
      <c r="I346" t="s">
        <v>110</v>
      </c>
      <c r="J346" t="s">
        <v>111</v>
      </c>
      <c r="K346" t="s">
        <v>112</v>
      </c>
      <c r="L346" t="s">
        <v>113</v>
      </c>
      <c r="M346" t="s">
        <v>114</v>
      </c>
      <c r="N346">
        <v>48</v>
      </c>
      <c r="O346" t="s">
        <v>80</v>
      </c>
      <c r="P346">
        <v>621</v>
      </c>
      <c r="Q346">
        <v>0.68400000000000005</v>
      </c>
      <c r="R346">
        <v>175</v>
      </c>
      <c r="S346">
        <v>0.81130000000000002</v>
      </c>
      <c r="T346" t="s">
        <v>115</v>
      </c>
      <c r="U346" t="s">
        <v>116</v>
      </c>
      <c r="V346" t="s">
        <v>117</v>
      </c>
      <c r="W346" t="s">
        <v>118</v>
      </c>
      <c r="X346" t="s">
        <v>119</v>
      </c>
      <c r="Y346" t="s">
        <v>120</v>
      </c>
      <c r="Z346" t="s">
        <v>121</v>
      </c>
      <c r="AA346" t="s">
        <v>88</v>
      </c>
      <c r="AB346">
        <v>528</v>
      </c>
      <c r="AC346">
        <v>2</v>
      </c>
      <c r="AE346">
        <v>1</v>
      </c>
      <c r="AF346" t="s">
        <v>142</v>
      </c>
      <c r="AG346" t="s">
        <v>161</v>
      </c>
      <c r="AH346" t="s">
        <v>72</v>
      </c>
      <c r="AI346" t="s">
        <v>72</v>
      </c>
      <c r="AJ346" t="s">
        <v>91</v>
      </c>
      <c r="AK346" t="s">
        <v>92</v>
      </c>
      <c r="AL346" t="s">
        <v>93</v>
      </c>
      <c r="AM346" t="s">
        <v>94</v>
      </c>
      <c r="AN346" t="s">
        <v>144</v>
      </c>
      <c r="AO346" t="s">
        <v>145</v>
      </c>
      <c r="AP346" t="s">
        <v>97</v>
      </c>
      <c r="AQ346">
        <v>39</v>
      </c>
      <c r="AR346" t="s">
        <v>80</v>
      </c>
      <c r="AS346">
        <v>1359</v>
      </c>
      <c r="AT346">
        <v>0.96879999999999999</v>
      </c>
      <c r="AU346">
        <v>172</v>
      </c>
      <c r="AV346">
        <v>0.94740000000000002</v>
      </c>
      <c r="AW346" t="s">
        <v>98</v>
      </c>
      <c r="AX346" t="s">
        <v>146</v>
      </c>
      <c r="AY346" t="s">
        <v>127</v>
      </c>
      <c r="AZ346" t="s">
        <v>101</v>
      </c>
      <c r="BA346" t="s">
        <v>128</v>
      </c>
      <c r="BB346" t="s">
        <v>103</v>
      </c>
      <c r="BC346" t="s">
        <v>104</v>
      </c>
      <c r="BD346" t="s">
        <v>105</v>
      </c>
      <c r="BE346">
        <v>2979</v>
      </c>
      <c r="BF346" t="s">
        <v>106</v>
      </c>
      <c r="BG346">
        <v>40</v>
      </c>
      <c r="BH346" t="s">
        <v>80</v>
      </c>
      <c r="BI346">
        <v>1</v>
      </c>
      <c r="BJ346">
        <v>691</v>
      </c>
      <c r="BK346">
        <v>0</v>
      </c>
      <c r="BL346">
        <v>23</v>
      </c>
      <c r="BM346">
        <v>220</v>
      </c>
      <c r="BN346">
        <v>291</v>
      </c>
      <c r="BO346">
        <v>408</v>
      </c>
      <c r="BP346">
        <v>11</v>
      </c>
      <c r="BQ346" s="2">
        <v>236</v>
      </c>
      <c r="BR346">
        <f t="shared" si="85"/>
        <v>692</v>
      </c>
      <c r="BS346">
        <f t="shared" si="86"/>
        <v>1</v>
      </c>
      <c r="BT346">
        <f t="shared" si="87"/>
        <v>24</v>
      </c>
      <c r="BU346">
        <f t="shared" si="88"/>
        <v>221</v>
      </c>
      <c r="BV346">
        <f t="shared" si="89"/>
        <v>292</v>
      </c>
      <c r="BW346">
        <f t="shared" si="90"/>
        <v>409</v>
      </c>
      <c r="BX346">
        <f t="shared" si="91"/>
        <v>12</v>
      </c>
      <c r="BY346" s="2">
        <f t="shared" si="92"/>
        <v>237</v>
      </c>
      <c r="BZ346">
        <f t="shared" si="93"/>
        <v>77.084697093345156</v>
      </c>
      <c r="CA346">
        <v>77.084697093345156</v>
      </c>
      <c r="CB346">
        <v>77.084697093345156</v>
      </c>
      <c r="CC346">
        <v>77.084697093345156</v>
      </c>
      <c r="CD346">
        <v>77.084697093345156</v>
      </c>
      <c r="CE346">
        <v>77.084697093345156</v>
      </c>
      <c r="CF346">
        <v>77.084697093345156</v>
      </c>
      <c r="CG346">
        <v>77.084697093345156</v>
      </c>
      <c r="CH346">
        <f t="shared" si="94"/>
        <v>0.95313792428588739</v>
      </c>
      <c r="CI346">
        <f t="shared" si="95"/>
        <v>-1.8869681701708705</v>
      </c>
      <c r="CJ346">
        <f t="shared" si="96"/>
        <v>-0.50675692845926434</v>
      </c>
      <c r="CK346">
        <f t="shared" si="97"/>
        <v>0.45742410351424023</v>
      </c>
      <c r="CL346">
        <f t="shared" si="98"/>
        <v>0.57841468127754792</v>
      </c>
      <c r="CM346">
        <f t="shared" si="99"/>
        <v>0.72475513783647139</v>
      </c>
      <c r="CN346">
        <f t="shared" si="100"/>
        <v>-0.8077869241232456</v>
      </c>
      <c r="CO346" s="2">
        <f t="shared" si="101"/>
        <v>0.48778017583923344</v>
      </c>
      <c r="CP346">
        <v>0.46810240212689802</v>
      </c>
      <c r="CQ346">
        <v>-2.2527165794045199</v>
      </c>
      <c r="CR346">
        <v>0.23101695128335301</v>
      </c>
      <c r="CS346">
        <v>-0.29759808152693601</v>
      </c>
      <c r="CT346">
        <v>-0.27731224747845301</v>
      </c>
      <c r="CU346">
        <v>-0.33424992407113502</v>
      </c>
      <c r="CV346">
        <v>0.50981617094898402</v>
      </c>
      <c r="CW346">
        <v>-0.144608534578235</v>
      </c>
      <c r="CX346" t="s">
        <v>1827</v>
      </c>
    </row>
    <row r="347" spans="1:102" x14ac:dyDescent="0.35">
      <c r="A347" t="s">
        <v>648</v>
      </c>
      <c r="B347" t="s">
        <v>159</v>
      </c>
      <c r="C347" t="s">
        <v>539</v>
      </c>
      <c r="D347" t="s">
        <v>72</v>
      </c>
      <c r="E347" t="s">
        <v>72</v>
      </c>
      <c r="F347" t="s">
        <v>72</v>
      </c>
      <c r="G347" t="s">
        <v>73</v>
      </c>
      <c r="H347" t="s">
        <v>109</v>
      </c>
      <c r="I347" t="s">
        <v>110</v>
      </c>
      <c r="J347" t="s">
        <v>111</v>
      </c>
      <c r="K347" t="s">
        <v>112</v>
      </c>
      <c r="L347" t="s">
        <v>113</v>
      </c>
      <c r="M347" t="s">
        <v>114</v>
      </c>
      <c r="N347">
        <v>48</v>
      </c>
      <c r="O347" t="s">
        <v>80</v>
      </c>
      <c r="P347">
        <v>621</v>
      </c>
      <c r="Q347">
        <v>0.68400000000000005</v>
      </c>
      <c r="R347">
        <v>175</v>
      </c>
      <c r="S347">
        <v>0.81130000000000002</v>
      </c>
      <c r="T347" t="s">
        <v>115</v>
      </c>
      <c r="U347" t="s">
        <v>116</v>
      </c>
      <c r="V347" t="s">
        <v>117</v>
      </c>
      <c r="W347" t="s">
        <v>118</v>
      </c>
      <c r="X347" t="s">
        <v>119</v>
      </c>
      <c r="Y347" t="s">
        <v>120</v>
      </c>
      <c r="Z347" t="s">
        <v>121</v>
      </c>
      <c r="AA347" t="s">
        <v>88</v>
      </c>
      <c r="AB347">
        <v>149</v>
      </c>
      <c r="AC347">
        <v>2</v>
      </c>
      <c r="AE347">
        <v>1</v>
      </c>
      <c r="AF347" t="s">
        <v>142</v>
      </c>
      <c r="AG347" t="s">
        <v>649</v>
      </c>
      <c r="AH347" t="s">
        <v>72</v>
      </c>
      <c r="AI347" t="s">
        <v>72</v>
      </c>
      <c r="AJ347" t="s">
        <v>91</v>
      </c>
      <c r="AK347" t="s">
        <v>92</v>
      </c>
      <c r="AL347" t="s">
        <v>93</v>
      </c>
      <c r="AM347" t="s">
        <v>94</v>
      </c>
      <c r="AN347" t="s">
        <v>144</v>
      </c>
      <c r="AO347" t="s">
        <v>145</v>
      </c>
      <c r="AP347" t="s">
        <v>97</v>
      </c>
      <c r="AQ347">
        <v>39</v>
      </c>
      <c r="AR347" t="s">
        <v>80</v>
      </c>
      <c r="AS347">
        <v>1359</v>
      </c>
      <c r="AT347">
        <v>0.96879999999999999</v>
      </c>
      <c r="AU347">
        <v>172</v>
      </c>
      <c r="AV347">
        <v>0.94740000000000002</v>
      </c>
      <c r="AW347" t="s">
        <v>98</v>
      </c>
      <c r="AX347" t="s">
        <v>146</v>
      </c>
      <c r="AY347" t="s">
        <v>127</v>
      </c>
      <c r="AZ347" t="s">
        <v>101</v>
      </c>
      <c r="BA347" t="s">
        <v>128</v>
      </c>
      <c r="BB347" t="s">
        <v>103</v>
      </c>
      <c r="BC347" t="s">
        <v>104</v>
      </c>
      <c r="BD347" t="s">
        <v>105</v>
      </c>
      <c r="BE347">
        <v>4290</v>
      </c>
      <c r="BF347" t="s">
        <v>106</v>
      </c>
      <c r="BG347">
        <v>54</v>
      </c>
      <c r="BH347" t="s">
        <v>80</v>
      </c>
      <c r="BI347">
        <v>1</v>
      </c>
      <c r="BJ347">
        <v>680</v>
      </c>
      <c r="BK347">
        <v>0</v>
      </c>
      <c r="BL347">
        <v>16</v>
      </c>
      <c r="BM347">
        <v>206</v>
      </c>
      <c r="BN347">
        <v>300</v>
      </c>
      <c r="BO347">
        <v>400</v>
      </c>
      <c r="BP347">
        <v>17</v>
      </c>
      <c r="BQ347" s="2">
        <v>224</v>
      </c>
      <c r="BR347">
        <f t="shared" si="85"/>
        <v>681</v>
      </c>
      <c r="BS347">
        <f t="shared" si="86"/>
        <v>1</v>
      </c>
      <c r="BT347">
        <f t="shared" si="87"/>
        <v>17</v>
      </c>
      <c r="BU347">
        <f t="shared" si="88"/>
        <v>207</v>
      </c>
      <c r="BV347">
        <f t="shared" si="89"/>
        <v>301</v>
      </c>
      <c r="BW347">
        <f t="shared" si="90"/>
        <v>401</v>
      </c>
      <c r="BX347">
        <f t="shared" si="91"/>
        <v>18</v>
      </c>
      <c r="BY347" s="2">
        <f t="shared" si="92"/>
        <v>225</v>
      </c>
      <c r="BZ347">
        <f t="shared" si="93"/>
        <v>76.487688019106031</v>
      </c>
      <c r="CA347">
        <v>76.487688019106031</v>
      </c>
      <c r="CB347">
        <v>76.487688019106031</v>
      </c>
      <c r="CC347">
        <v>76.487688019106031</v>
      </c>
      <c r="CD347">
        <v>76.487688019106031</v>
      </c>
      <c r="CE347">
        <v>76.487688019106031</v>
      </c>
      <c r="CF347">
        <v>76.487688019106031</v>
      </c>
      <c r="CG347">
        <v>76.487688019106031</v>
      </c>
      <c r="CH347">
        <f t="shared" si="94"/>
        <v>0.94955557814070124</v>
      </c>
      <c r="CI347">
        <f t="shared" si="95"/>
        <v>-1.8835915337720839</v>
      </c>
      <c r="CJ347">
        <f t="shared" si="96"/>
        <v>-0.65314261239381</v>
      </c>
      <c r="CK347">
        <f t="shared" si="97"/>
        <v>0.43237881168483389</v>
      </c>
      <c r="CL347">
        <f t="shared" si="98"/>
        <v>0.59497496182175946</v>
      </c>
      <c r="CM347">
        <f t="shared" si="99"/>
        <v>0.7195528388480984</v>
      </c>
      <c r="CN347">
        <f t="shared" si="100"/>
        <v>-0.62831902866877787</v>
      </c>
      <c r="CO347" s="2">
        <f t="shared" si="101"/>
        <v>0.46859098433927859</v>
      </c>
      <c r="CP347">
        <v>0.46379845558829003</v>
      </c>
      <c r="CQ347">
        <v>-2.2527165794045199</v>
      </c>
      <c r="CR347">
        <v>-0.42301634926472198</v>
      </c>
      <c r="CS347">
        <v>-0.37139277923002501</v>
      </c>
      <c r="CT347">
        <v>-0.231214800099143</v>
      </c>
      <c r="CU347">
        <v>-0.349273091731714</v>
      </c>
      <c r="CV347">
        <v>0.99114436312671805</v>
      </c>
      <c r="CW347">
        <v>-0.19731459232484699</v>
      </c>
      <c r="CX347" t="s">
        <v>1827</v>
      </c>
    </row>
    <row r="348" spans="1:102" x14ac:dyDescent="0.35">
      <c r="A348" t="s">
        <v>537</v>
      </c>
      <c r="B348" t="s">
        <v>159</v>
      </c>
      <c r="C348" t="s">
        <v>410</v>
      </c>
      <c r="D348" t="s">
        <v>72</v>
      </c>
      <c r="E348" t="s">
        <v>72</v>
      </c>
      <c r="F348" t="s">
        <v>72</v>
      </c>
      <c r="G348" t="s">
        <v>73</v>
      </c>
      <c r="H348" t="s">
        <v>74</v>
      </c>
      <c r="I348" t="s">
        <v>75</v>
      </c>
      <c r="J348" t="s">
        <v>76</v>
      </c>
      <c r="K348" t="s">
        <v>139</v>
      </c>
      <c r="L348" t="s">
        <v>140</v>
      </c>
      <c r="M348" t="s">
        <v>79</v>
      </c>
      <c r="N348">
        <v>60</v>
      </c>
      <c r="O348" t="s">
        <v>80</v>
      </c>
      <c r="P348">
        <v>783</v>
      </c>
      <c r="Q348">
        <v>0.74650000000000005</v>
      </c>
      <c r="R348">
        <v>177</v>
      </c>
      <c r="S348">
        <v>0.85419999999999996</v>
      </c>
      <c r="T348" t="s">
        <v>81</v>
      </c>
      <c r="U348" t="s">
        <v>82</v>
      </c>
      <c r="V348" t="s">
        <v>141</v>
      </c>
      <c r="W348" t="s">
        <v>84</v>
      </c>
      <c r="X348" t="s">
        <v>85</v>
      </c>
      <c r="Y348" t="s">
        <v>86</v>
      </c>
      <c r="Z348" t="s">
        <v>87</v>
      </c>
      <c r="AA348" t="s">
        <v>88</v>
      </c>
      <c r="AB348">
        <v>295</v>
      </c>
      <c r="AC348">
        <v>3</v>
      </c>
      <c r="AE348">
        <v>22</v>
      </c>
      <c r="AF348" t="s">
        <v>231</v>
      </c>
      <c r="AG348" t="s">
        <v>279</v>
      </c>
      <c r="AH348" t="s">
        <v>72</v>
      </c>
      <c r="AI348" t="s">
        <v>72</v>
      </c>
      <c r="AJ348" t="s">
        <v>91</v>
      </c>
      <c r="AK348" t="s">
        <v>92</v>
      </c>
      <c r="AL348" t="s">
        <v>93</v>
      </c>
      <c r="AM348" t="s">
        <v>94</v>
      </c>
      <c r="AN348" t="s">
        <v>144</v>
      </c>
      <c r="AO348" t="s">
        <v>145</v>
      </c>
      <c r="AP348" t="s">
        <v>97</v>
      </c>
      <c r="AQ348">
        <v>39</v>
      </c>
      <c r="AR348" t="s">
        <v>80</v>
      </c>
      <c r="AS348">
        <v>1359</v>
      </c>
      <c r="AT348">
        <v>0.96879999999999999</v>
      </c>
      <c r="AU348">
        <v>172</v>
      </c>
      <c r="AV348">
        <v>0.94740000000000002</v>
      </c>
      <c r="AW348" t="s">
        <v>98</v>
      </c>
      <c r="AX348" t="s">
        <v>146</v>
      </c>
      <c r="AY348" t="s">
        <v>127</v>
      </c>
      <c r="AZ348" t="s">
        <v>101</v>
      </c>
      <c r="BA348" t="s">
        <v>128</v>
      </c>
      <c r="BB348" t="s">
        <v>103</v>
      </c>
      <c r="BC348" t="s">
        <v>104</v>
      </c>
      <c r="BD348" t="s">
        <v>105</v>
      </c>
      <c r="BE348">
        <v>10684</v>
      </c>
      <c r="BF348" t="s">
        <v>106</v>
      </c>
      <c r="BG348">
        <v>120</v>
      </c>
      <c r="BH348" t="s">
        <v>80</v>
      </c>
      <c r="BI348">
        <v>1</v>
      </c>
      <c r="BJ348">
        <v>1308</v>
      </c>
      <c r="BK348">
        <v>5</v>
      </c>
      <c r="BL348">
        <v>31</v>
      </c>
      <c r="BM348">
        <v>389</v>
      </c>
      <c r="BN348">
        <v>558</v>
      </c>
      <c r="BO348">
        <v>809</v>
      </c>
      <c r="BP348">
        <v>11</v>
      </c>
      <c r="BQ348" s="2">
        <v>409</v>
      </c>
      <c r="BR348">
        <f t="shared" si="85"/>
        <v>1309</v>
      </c>
      <c r="BS348">
        <f t="shared" si="86"/>
        <v>6</v>
      </c>
      <c r="BT348">
        <f t="shared" si="87"/>
        <v>32</v>
      </c>
      <c r="BU348">
        <f t="shared" si="88"/>
        <v>390</v>
      </c>
      <c r="BV348">
        <f t="shared" si="89"/>
        <v>559</v>
      </c>
      <c r="BW348">
        <f t="shared" si="90"/>
        <v>810</v>
      </c>
      <c r="BX348">
        <f t="shared" si="91"/>
        <v>12</v>
      </c>
      <c r="BY348" s="2">
        <f t="shared" si="92"/>
        <v>410</v>
      </c>
      <c r="BZ348">
        <f t="shared" si="93"/>
        <v>147.02660413606159</v>
      </c>
      <c r="CA348">
        <v>147.02660413606159</v>
      </c>
      <c r="CB348">
        <v>147.02660413606159</v>
      </c>
      <c r="CC348">
        <v>147.02660413606159</v>
      </c>
      <c r="CD348">
        <v>147.02660413606159</v>
      </c>
      <c r="CE348">
        <v>147.02660413606159</v>
      </c>
      <c r="CF348">
        <v>147.02660413606159</v>
      </c>
      <c r="CG348">
        <v>147.02660413606159</v>
      </c>
      <c r="CH348">
        <f t="shared" si="94"/>
        <v>0.94954372007410104</v>
      </c>
      <c r="CI348">
        <f t="shared" si="95"/>
        <v>-1.3892446760930111</v>
      </c>
      <c r="CJ348">
        <f t="shared" si="96"/>
        <v>-0.66224594815674875</v>
      </c>
      <c r="CK348">
        <f t="shared" si="97"/>
        <v>0.42366868054984441</v>
      </c>
      <c r="CL348">
        <f t="shared" si="98"/>
        <v>0.58001588140976856</v>
      </c>
      <c r="CM348">
        <f t="shared" si="99"/>
        <v>0.74108909240199494</v>
      </c>
      <c r="CN348">
        <f t="shared" si="100"/>
        <v>-1.08821468042903</v>
      </c>
      <c r="CO348" s="2">
        <f t="shared" si="101"/>
        <v>0.44538793024308071</v>
      </c>
      <c r="CP348">
        <v>0.46378420892349798</v>
      </c>
      <c r="CQ348">
        <v>0.69520460009735796</v>
      </c>
      <c r="CR348">
        <v>-0.46368893810677297</v>
      </c>
      <c r="CS348">
        <v>-0.39705674427538801</v>
      </c>
      <c r="CT348">
        <v>-0.27285512257397299</v>
      </c>
      <c r="CU348">
        <v>-0.28708082853345301</v>
      </c>
      <c r="CV348">
        <v>-0.242283722111646</v>
      </c>
      <c r="CW348">
        <v>-0.261045339349538</v>
      </c>
      <c r="CX348" t="s">
        <v>1827</v>
      </c>
    </row>
    <row r="349" spans="1:102" x14ac:dyDescent="0.35">
      <c r="A349" t="s">
        <v>519</v>
      </c>
      <c r="B349" t="s">
        <v>89</v>
      </c>
      <c r="C349" t="s">
        <v>431</v>
      </c>
      <c r="D349" t="s">
        <v>72</v>
      </c>
      <c r="E349" t="s">
        <v>72</v>
      </c>
      <c r="F349" t="s">
        <v>72</v>
      </c>
      <c r="G349" t="s">
        <v>73</v>
      </c>
      <c r="H349" t="s">
        <v>74</v>
      </c>
      <c r="I349" t="s">
        <v>75</v>
      </c>
      <c r="J349" t="s">
        <v>76</v>
      </c>
      <c r="K349" t="s">
        <v>77</v>
      </c>
      <c r="L349" t="s">
        <v>78</v>
      </c>
      <c r="M349" t="s">
        <v>79</v>
      </c>
      <c r="N349">
        <v>60</v>
      </c>
      <c r="O349" t="s">
        <v>80</v>
      </c>
      <c r="P349">
        <v>792</v>
      </c>
      <c r="Q349">
        <v>0.75</v>
      </c>
      <c r="R349">
        <v>177</v>
      </c>
      <c r="S349">
        <v>0.85419999999999996</v>
      </c>
      <c r="T349" t="s">
        <v>81</v>
      </c>
      <c r="U349" t="s">
        <v>82</v>
      </c>
      <c r="V349" t="s">
        <v>83</v>
      </c>
      <c r="W349" t="s">
        <v>84</v>
      </c>
      <c r="X349" t="s">
        <v>85</v>
      </c>
      <c r="Y349" t="s">
        <v>86</v>
      </c>
      <c r="Z349" t="s">
        <v>87</v>
      </c>
      <c r="AA349" t="s">
        <v>88</v>
      </c>
      <c r="AB349">
        <v>2036</v>
      </c>
      <c r="AC349">
        <v>22</v>
      </c>
      <c r="AE349">
        <v>22</v>
      </c>
      <c r="AF349" t="s">
        <v>211</v>
      </c>
      <c r="AG349" t="s">
        <v>520</v>
      </c>
      <c r="AH349" t="s">
        <v>72</v>
      </c>
      <c r="AI349" t="s">
        <v>72</v>
      </c>
      <c r="AJ349" t="s">
        <v>91</v>
      </c>
      <c r="AK349" t="s">
        <v>92</v>
      </c>
      <c r="AL349" t="s">
        <v>93</v>
      </c>
      <c r="AM349" t="s">
        <v>94</v>
      </c>
      <c r="AN349" t="s">
        <v>144</v>
      </c>
      <c r="AO349" t="s">
        <v>145</v>
      </c>
      <c r="AP349" t="s">
        <v>97</v>
      </c>
      <c r="AQ349">
        <v>39</v>
      </c>
      <c r="AR349" t="s">
        <v>80</v>
      </c>
      <c r="AS349">
        <v>1359</v>
      </c>
      <c r="AT349">
        <v>0.96879999999999999</v>
      </c>
      <c r="AU349">
        <v>172</v>
      </c>
      <c r="AV349">
        <v>0.94740000000000002</v>
      </c>
      <c r="AW349" t="s">
        <v>98</v>
      </c>
      <c r="AX349" t="s">
        <v>146</v>
      </c>
      <c r="AY349" t="s">
        <v>127</v>
      </c>
      <c r="AZ349" t="s">
        <v>101</v>
      </c>
      <c r="BA349" t="s">
        <v>128</v>
      </c>
      <c r="BB349" t="s">
        <v>103</v>
      </c>
      <c r="BC349" t="s">
        <v>104</v>
      </c>
      <c r="BD349" t="s">
        <v>105</v>
      </c>
      <c r="BE349">
        <v>40449</v>
      </c>
      <c r="BF349" t="s">
        <v>106</v>
      </c>
      <c r="BG349">
        <v>491</v>
      </c>
      <c r="BH349" t="s">
        <v>80</v>
      </c>
      <c r="BI349">
        <v>1</v>
      </c>
      <c r="BJ349">
        <v>7174</v>
      </c>
      <c r="BK349">
        <v>22</v>
      </c>
      <c r="BL349">
        <v>177</v>
      </c>
      <c r="BM349">
        <v>2370</v>
      </c>
      <c r="BN349">
        <v>3194</v>
      </c>
      <c r="BO349">
        <v>4435</v>
      </c>
      <c r="BP349">
        <v>86</v>
      </c>
      <c r="BQ349" s="2">
        <v>2504</v>
      </c>
      <c r="BR349">
        <f t="shared" si="85"/>
        <v>7175</v>
      </c>
      <c r="BS349">
        <f t="shared" si="86"/>
        <v>23</v>
      </c>
      <c r="BT349">
        <f t="shared" si="87"/>
        <v>178</v>
      </c>
      <c r="BU349">
        <f t="shared" si="88"/>
        <v>2371</v>
      </c>
      <c r="BV349">
        <f t="shared" si="89"/>
        <v>3195</v>
      </c>
      <c r="BW349">
        <f t="shared" si="90"/>
        <v>4436</v>
      </c>
      <c r="BX349">
        <f t="shared" si="91"/>
        <v>87</v>
      </c>
      <c r="BY349" s="2">
        <f t="shared" si="92"/>
        <v>2505</v>
      </c>
      <c r="BZ349">
        <f t="shared" si="93"/>
        <v>825.25152408378244</v>
      </c>
      <c r="CA349">
        <v>825.25152408378244</v>
      </c>
      <c r="CB349">
        <v>825.25152408378244</v>
      </c>
      <c r="CC349">
        <v>825.25152408378244</v>
      </c>
      <c r="CD349">
        <v>825.25152408378244</v>
      </c>
      <c r="CE349">
        <v>825.25152408378244</v>
      </c>
      <c r="CF349">
        <v>825.25152408378244</v>
      </c>
      <c r="CG349">
        <v>825.25152408378244</v>
      </c>
      <c r="CH349">
        <f t="shared" si="94"/>
        <v>0.93923557034301375</v>
      </c>
      <c r="CI349">
        <f t="shared" si="95"/>
        <v>-1.5548584990454233</v>
      </c>
      <c r="CJ349">
        <f t="shared" si="96"/>
        <v>-0.66616633275412218</v>
      </c>
      <c r="CK349">
        <f t="shared" si="97"/>
        <v>0.45834521891517199</v>
      </c>
      <c r="CL349">
        <f t="shared" si="98"/>
        <v>0.58788452743140274</v>
      </c>
      <c r="CM349">
        <f t="shared" si="99"/>
        <v>0.73040520241410634</v>
      </c>
      <c r="CN349">
        <f t="shared" si="100"/>
        <v>-0.97706708244439766</v>
      </c>
      <c r="CO349" s="2">
        <f t="shared" si="101"/>
        <v>0.48222139514024837</v>
      </c>
      <c r="CP349">
        <v>0.45139966439415902</v>
      </c>
      <c r="CQ349">
        <v>0.20594750066522199</v>
      </c>
      <c r="CR349">
        <v>-0.48120473615970599</v>
      </c>
      <c r="CS349">
        <v>-0.29488406114241</v>
      </c>
      <c r="CT349">
        <v>-0.25095184050333902</v>
      </c>
      <c r="CU349">
        <v>-0.31793370164089402</v>
      </c>
      <c r="CV349">
        <v>5.5811222766189002E-2</v>
      </c>
      <c r="CW349">
        <v>-0.159876578389364</v>
      </c>
      <c r="CX349" t="s">
        <v>1827</v>
      </c>
    </row>
    <row r="350" spans="1:102" x14ac:dyDescent="0.35">
      <c r="A350" t="s">
        <v>1359</v>
      </c>
      <c r="B350" t="s">
        <v>159</v>
      </c>
      <c r="C350" t="s">
        <v>444</v>
      </c>
      <c r="D350" t="s">
        <v>72</v>
      </c>
      <c r="E350" t="s">
        <v>72</v>
      </c>
      <c r="F350" t="s">
        <v>72</v>
      </c>
      <c r="G350" t="s">
        <v>73</v>
      </c>
      <c r="H350" t="s">
        <v>74</v>
      </c>
      <c r="I350" t="s">
        <v>75</v>
      </c>
      <c r="J350" t="s">
        <v>76</v>
      </c>
      <c r="K350" t="s">
        <v>77</v>
      </c>
      <c r="L350" t="s">
        <v>78</v>
      </c>
      <c r="M350" t="s">
        <v>79</v>
      </c>
      <c r="N350">
        <v>60</v>
      </c>
      <c r="O350" t="s">
        <v>80</v>
      </c>
      <c r="P350">
        <v>792</v>
      </c>
      <c r="Q350">
        <v>0.75</v>
      </c>
      <c r="R350">
        <v>177</v>
      </c>
      <c r="S350">
        <v>0.85419999999999996</v>
      </c>
      <c r="T350" t="s">
        <v>81</v>
      </c>
      <c r="U350" t="s">
        <v>82</v>
      </c>
      <c r="V350" t="s">
        <v>83</v>
      </c>
      <c r="W350" t="s">
        <v>84</v>
      </c>
      <c r="X350" t="s">
        <v>85</v>
      </c>
      <c r="Y350" t="s">
        <v>86</v>
      </c>
      <c r="Z350" t="s">
        <v>87</v>
      </c>
      <c r="AA350" t="s">
        <v>88</v>
      </c>
      <c r="AB350">
        <v>408</v>
      </c>
      <c r="AC350">
        <v>2</v>
      </c>
      <c r="AE350">
        <v>22</v>
      </c>
      <c r="AF350" t="s">
        <v>231</v>
      </c>
      <c r="AG350" t="s">
        <v>346</v>
      </c>
      <c r="AH350" t="s">
        <v>72</v>
      </c>
      <c r="AI350" t="s">
        <v>72</v>
      </c>
      <c r="AJ350" t="s">
        <v>91</v>
      </c>
      <c r="AK350" t="s">
        <v>92</v>
      </c>
      <c r="AL350" t="s">
        <v>93</v>
      </c>
      <c r="AM350" t="s">
        <v>94</v>
      </c>
      <c r="AN350" t="s">
        <v>144</v>
      </c>
      <c r="AO350" t="s">
        <v>145</v>
      </c>
      <c r="AP350" t="s">
        <v>97</v>
      </c>
      <c r="AQ350">
        <v>39</v>
      </c>
      <c r="AR350" t="s">
        <v>80</v>
      </c>
      <c r="AS350">
        <v>1359</v>
      </c>
      <c r="AT350">
        <v>0.96879999999999999</v>
      </c>
      <c r="AU350">
        <v>172</v>
      </c>
      <c r="AV350">
        <v>0.94740000000000002</v>
      </c>
      <c r="AW350" t="s">
        <v>98</v>
      </c>
      <c r="AX350" t="s">
        <v>146</v>
      </c>
      <c r="AY350" t="s">
        <v>127</v>
      </c>
      <c r="AZ350" t="s">
        <v>101</v>
      </c>
      <c r="BA350" t="s">
        <v>128</v>
      </c>
      <c r="BB350" t="s">
        <v>103</v>
      </c>
      <c r="BC350" t="s">
        <v>104</v>
      </c>
      <c r="BD350" t="s">
        <v>105</v>
      </c>
      <c r="BE350">
        <v>4054</v>
      </c>
      <c r="BF350" t="s">
        <v>106</v>
      </c>
      <c r="BG350">
        <v>47</v>
      </c>
      <c r="BH350" t="s">
        <v>80</v>
      </c>
      <c r="BI350">
        <v>1</v>
      </c>
      <c r="BJ350">
        <v>605</v>
      </c>
      <c r="BK350">
        <v>0</v>
      </c>
      <c r="BL350">
        <v>20</v>
      </c>
      <c r="BM350">
        <v>168</v>
      </c>
      <c r="BN350">
        <v>283</v>
      </c>
      <c r="BO350">
        <v>370</v>
      </c>
      <c r="BP350">
        <v>11</v>
      </c>
      <c r="BQ350" s="2">
        <v>212</v>
      </c>
      <c r="BR350">
        <f t="shared" si="85"/>
        <v>606</v>
      </c>
      <c r="BS350">
        <f t="shared" si="86"/>
        <v>1</v>
      </c>
      <c r="BT350">
        <f t="shared" si="87"/>
        <v>21</v>
      </c>
      <c r="BU350">
        <f t="shared" si="88"/>
        <v>169</v>
      </c>
      <c r="BV350">
        <f t="shared" si="89"/>
        <v>284</v>
      </c>
      <c r="BW350">
        <f t="shared" si="90"/>
        <v>371</v>
      </c>
      <c r="BX350">
        <f t="shared" si="91"/>
        <v>12</v>
      </c>
      <c r="BY350" s="2">
        <f t="shared" si="92"/>
        <v>213</v>
      </c>
      <c r="BZ350">
        <f t="shared" si="93"/>
        <v>70.041262444211455</v>
      </c>
      <c r="CA350">
        <v>70.041262444211455</v>
      </c>
      <c r="CB350">
        <v>70.041262444211455</v>
      </c>
      <c r="CC350">
        <v>70.041262444211455</v>
      </c>
      <c r="CD350">
        <v>70.041262444211455</v>
      </c>
      <c r="CE350">
        <v>70.041262444211455</v>
      </c>
      <c r="CF350">
        <v>70.041262444211455</v>
      </c>
      <c r="CG350">
        <v>70.041262444211455</v>
      </c>
      <c r="CH350">
        <f t="shared" si="94"/>
        <v>0.93711865883349554</v>
      </c>
      <c r="CI350">
        <f t="shared" si="95"/>
        <v>-1.8453539653327906</v>
      </c>
      <c r="CJ350">
        <f t="shared" si="96"/>
        <v>-0.52313467059887142</v>
      </c>
      <c r="CK350">
        <f t="shared" si="97"/>
        <v>0.38253273928088288</v>
      </c>
      <c r="CL350">
        <f t="shared" si="98"/>
        <v>0.60796437471424702</v>
      </c>
      <c r="CM350">
        <f t="shared" si="99"/>
        <v>0.72401994428225525</v>
      </c>
      <c r="CN350">
        <f t="shared" si="100"/>
        <v>-0.76617271928516584</v>
      </c>
      <c r="CO350" s="2">
        <f t="shared" si="101"/>
        <v>0.48302563810594706</v>
      </c>
      <c r="CP350">
        <v>0.44885633842992401</v>
      </c>
      <c r="CQ350">
        <v>-2.2527165794045199</v>
      </c>
      <c r="CR350">
        <v>0.15784320601546201</v>
      </c>
      <c r="CS350">
        <v>-0.51826173447281998</v>
      </c>
      <c r="CT350">
        <v>-0.19505727392070599</v>
      </c>
      <c r="CU350">
        <v>-0.33637301158545302</v>
      </c>
      <c r="CV350">
        <v>0.621424377714347</v>
      </c>
      <c r="CW350">
        <v>-0.15766760172703201</v>
      </c>
      <c r="CX350" t="s">
        <v>1827</v>
      </c>
    </row>
    <row r="351" spans="1:102" x14ac:dyDescent="0.35">
      <c r="A351" t="s">
        <v>1534</v>
      </c>
      <c r="B351" t="s">
        <v>300</v>
      </c>
      <c r="C351" t="s">
        <v>492</v>
      </c>
      <c r="D351" t="s">
        <v>72</v>
      </c>
      <c r="E351" t="s">
        <v>72</v>
      </c>
      <c r="F351" t="s">
        <v>72</v>
      </c>
      <c r="G351" t="s">
        <v>73</v>
      </c>
      <c r="H351" t="s">
        <v>74</v>
      </c>
      <c r="I351" t="s">
        <v>75</v>
      </c>
      <c r="J351" t="s">
        <v>76</v>
      </c>
      <c r="K351" t="s">
        <v>77</v>
      </c>
      <c r="L351" t="s">
        <v>78</v>
      </c>
      <c r="M351" t="s">
        <v>79</v>
      </c>
      <c r="N351">
        <v>60</v>
      </c>
      <c r="O351" t="s">
        <v>80</v>
      </c>
      <c r="P351">
        <v>792</v>
      </c>
      <c r="Q351">
        <v>0.75</v>
      </c>
      <c r="R351">
        <v>177</v>
      </c>
      <c r="S351">
        <v>0.85419999999999996</v>
      </c>
      <c r="T351" t="s">
        <v>81</v>
      </c>
      <c r="U351" t="s">
        <v>82</v>
      </c>
      <c r="V351" t="s">
        <v>83</v>
      </c>
      <c r="W351" t="s">
        <v>84</v>
      </c>
      <c r="X351" t="s">
        <v>85</v>
      </c>
      <c r="Y351" t="s">
        <v>86</v>
      </c>
      <c r="Z351" t="s">
        <v>87</v>
      </c>
      <c r="AA351" t="s">
        <v>88</v>
      </c>
      <c r="AB351">
        <v>130</v>
      </c>
      <c r="AC351">
        <v>3</v>
      </c>
      <c r="AE351">
        <v>22</v>
      </c>
      <c r="AF351" t="s">
        <v>89</v>
      </c>
      <c r="AG351" t="s">
        <v>984</v>
      </c>
      <c r="AH351" t="s">
        <v>72</v>
      </c>
      <c r="AI351" t="s">
        <v>72</v>
      </c>
      <c r="AJ351" t="s">
        <v>91</v>
      </c>
      <c r="AK351" t="s">
        <v>92</v>
      </c>
      <c r="AL351" t="s">
        <v>93</v>
      </c>
      <c r="AM351" t="s">
        <v>94</v>
      </c>
      <c r="AN351" t="s">
        <v>144</v>
      </c>
      <c r="AO351" t="s">
        <v>145</v>
      </c>
      <c r="AP351" t="s">
        <v>97</v>
      </c>
      <c r="AQ351">
        <v>39</v>
      </c>
      <c r="AR351" t="s">
        <v>80</v>
      </c>
      <c r="AS351">
        <v>1359</v>
      </c>
      <c r="AT351">
        <v>0.96879999999999999</v>
      </c>
      <c r="AU351">
        <v>172</v>
      </c>
      <c r="AV351">
        <v>0.94740000000000002</v>
      </c>
      <c r="AW351" t="s">
        <v>98</v>
      </c>
      <c r="AX351" t="s">
        <v>146</v>
      </c>
      <c r="AY351" t="s">
        <v>127</v>
      </c>
      <c r="AZ351" t="s">
        <v>101</v>
      </c>
      <c r="BA351" t="s">
        <v>128</v>
      </c>
      <c r="BB351" t="s">
        <v>103</v>
      </c>
      <c r="BC351" t="s">
        <v>104</v>
      </c>
      <c r="BD351" t="s">
        <v>105</v>
      </c>
      <c r="BE351">
        <v>6566</v>
      </c>
      <c r="BF351" t="s">
        <v>106</v>
      </c>
      <c r="BG351">
        <v>94</v>
      </c>
      <c r="BH351" t="s">
        <v>80</v>
      </c>
      <c r="BI351">
        <v>1</v>
      </c>
      <c r="BJ351">
        <v>937</v>
      </c>
      <c r="BK351">
        <v>0</v>
      </c>
      <c r="BL351">
        <v>24</v>
      </c>
      <c r="BM351">
        <v>357</v>
      </c>
      <c r="BN351">
        <v>533</v>
      </c>
      <c r="BO351">
        <v>794</v>
      </c>
      <c r="BP351">
        <v>17</v>
      </c>
      <c r="BQ351" s="2">
        <v>303</v>
      </c>
      <c r="BR351">
        <f t="shared" si="85"/>
        <v>938</v>
      </c>
      <c r="BS351">
        <f t="shared" si="86"/>
        <v>1</v>
      </c>
      <c r="BT351">
        <f t="shared" si="87"/>
        <v>25</v>
      </c>
      <c r="BU351">
        <f t="shared" si="88"/>
        <v>358</v>
      </c>
      <c r="BV351">
        <f t="shared" si="89"/>
        <v>534</v>
      </c>
      <c r="BW351">
        <f t="shared" si="90"/>
        <v>795</v>
      </c>
      <c r="BX351">
        <f t="shared" si="91"/>
        <v>18</v>
      </c>
      <c r="BY351" s="2">
        <f t="shared" si="92"/>
        <v>304</v>
      </c>
      <c r="BZ351">
        <f t="shared" si="93"/>
        <v>108.70763399967943</v>
      </c>
      <c r="CA351">
        <v>108.70763399967943</v>
      </c>
      <c r="CB351">
        <v>108.70763399967943</v>
      </c>
      <c r="CC351">
        <v>108.70763399967943</v>
      </c>
      <c r="CD351">
        <v>108.70763399967943</v>
      </c>
      <c r="CE351">
        <v>108.70763399967943</v>
      </c>
      <c r="CF351">
        <v>108.70763399967943</v>
      </c>
      <c r="CG351">
        <v>108.70763399967943</v>
      </c>
      <c r="CH351">
        <f t="shared" si="94"/>
        <v>0.9359427948675566</v>
      </c>
      <c r="CI351">
        <f t="shared" si="95"/>
        <v>-2.0362600435115077</v>
      </c>
      <c r="CJ351">
        <f t="shared" si="96"/>
        <v>-0.6383200348394702</v>
      </c>
      <c r="CK351">
        <f t="shared" si="97"/>
        <v>0.51762298313236654</v>
      </c>
      <c r="CL351">
        <f t="shared" si="98"/>
        <v>0.69128121351704852</v>
      </c>
      <c r="CM351">
        <f t="shared" si="99"/>
        <v>0.86410708514496237</v>
      </c>
      <c r="CN351">
        <f t="shared" si="100"/>
        <v>-0.78098753840820179</v>
      </c>
      <c r="CO351" s="2">
        <f t="shared" si="101"/>
        <v>0.44661354009724585</v>
      </c>
      <c r="CP351">
        <v>0.44744361742503802</v>
      </c>
      <c r="CQ351">
        <v>-2.2527165794045199</v>
      </c>
      <c r="CR351">
        <v>-0.356790888824005</v>
      </c>
      <c r="CS351">
        <v>-0.120225098463175</v>
      </c>
      <c r="CT351">
        <v>3.6864738648405497E-2</v>
      </c>
      <c r="CU351">
        <v>6.8169789390676305E-2</v>
      </c>
      <c r="CV351">
        <v>0.58169142108790595</v>
      </c>
      <c r="CW351">
        <v>-0.25767901389759801</v>
      </c>
      <c r="CX351" t="s">
        <v>1827</v>
      </c>
    </row>
    <row r="352" spans="1:102" x14ac:dyDescent="0.35">
      <c r="A352" t="s">
        <v>1119</v>
      </c>
      <c r="B352" t="s">
        <v>89</v>
      </c>
      <c r="C352" t="s">
        <v>131</v>
      </c>
      <c r="D352" t="s">
        <v>72</v>
      </c>
      <c r="E352" t="s">
        <v>72</v>
      </c>
      <c r="F352" t="s">
        <v>72</v>
      </c>
      <c r="G352" t="s">
        <v>73</v>
      </c>
      <c r="H352" t="s">
        <v>109</v>
      </c>
      <c r="I352" t="s">
        <v>110</v>
      </c>
      <c r="J352" t="s">
        <v>111</v>
      </c>
      <c r="K352" t="s">
        <v>112</v>
      </c>
      <c r="L352" t="s">
        <v>113</v>
      </c>
      <c r="M352" t="s">
        <v>114</v>
      </c>
      <c r="N352">
        <v>48</v>
      </c>
      <c r="O352" t="s">
        <v>80</v>
      </c>
      <c r="P352">
        <v>621</v>
      </c>
      <c r="Q352">
        <v>0.68400000000000005</v>
      </c>
      <c r="R352">
        <v>175</v>
      </c>
      <c r="S352">
        <v>0.81130000000000002</v>
      </c>
      <c r="T352" t="s">
        <v>115</v>
      </c>
      <c r="U352" t="s">
        <v>116</v>
      </c>
      <c r="V352" t="s">
        <v>117</v>
      </c>
      <c r="W352" t="s">
        <v>118</v>
      </c>
      <c r="X352" t="s">
        <v>119</v>
      </c>
      <c r="Y352" t="s">
        <v>120</v>
      </c>
      <c r="Z352" t="s">
        <v>121</v>
      </c>
      <c r="AA352" t="s">
        <v>88</v>
      </c>
      <c r="AB352">
        <v>242</v>
      </c>
      <c r="AC352">
        <v>3</v>
      </c>
      <c r="AE352">
        <v>1</v>
      </c>
      <c r="AF352" t="s">
        <v>153</v>
      </c>
      <c r="AG352" t="s">
        <v>1120</v>
      </c>
      <c r="AH352" t="s">
        <v>72</v>
      </c>
      <c r="AI352" t="s">
        <v>72</v>
      </c>
      <c r="AJ352" t="s">
        <v>91</v>
      </c>
      <c r="AK352" t="s">
        <v>92</v>
      </c>
      <c r="AL352" t="s">
        <v>93</v>
      </c>
      <c r="AM352" t="s">
        <v>94</v>
      </c>
      <c r="AN352" t="s">
        <v>144</v>
      </c>
      <c r="AO352" t="s">
        <v>145</v>
      </c>
      <c r="AP352" t="s">
        <v>97</v>
      </c>
      <c r="AQ352">
        <v>39</v>
      </c>
      <c r="AR352" t="s">
        <v>80</v>
      </c>
      <c r="AS352">
        <v>1359</v>
      </c>
      <c r="AT352">
        <v>0.96879999999999999</v>
      </c>
      <c r="AU352">
        <v>172</v>
      </c>
      <c r="AV352">
        <v>0.94740000000000002</v>
      </c>
      <c r="AW352" t="s">
        <v>98</v>
      </c>
      <c r="AX352" t="s">
        <v>146</v>
      </c>
      <c r="AY352" t="s">
        <v>127</v>
      </c>
      <c r="AZ352" t="s">
        <v>101</v>
      </c>
      <c r="BA352" t="s">
        <v>128</v>
      </c>
      <c r="BB352" t="s">
        <v>103</v>
      </c>
      <c r="BC352" t="s">
        <v>104</v>
      </c>
      <c r="BD352" t="s">
        <v>105</v>
      </c>
      <c r="BE352">
        <v>4683</v>
      </c>
      <c r="BF352" t="s">
        <v>106</v>
      </c>
      <c r="BG352">
        <v>54</v>
      </c>
      <c r="BH352" t="s">
        <v>80</v>
      </c>
      <c r="BI352">
        <v>1</v>
      </c>
      <c r="BJ352">
        <v>607</v>
      </c>
      <c r="BK352">
        <v>4</v>
      </c>
      <c r="BL352">
        <v>8</v>
      </c>
      <c r="BM352">
        <v>196</v>
      </c>
      <c r="BN352">
        <v>251</v>
      </c>
      <c r="BO352">
        <v>354</v>
      </c>
      <c r="BP352">
        <v>6</v>
      </c>
      <c r="BQ352" s="2">
        <v>191</v>
      </c>
      <c r="BR352">
        <f t="shared" si="85"/>
        <v>608</v>
      </c>
      <c r="BS352">
        <f t="shared" si="86"/>
        <v>5</v>
      </c>
      <c r="BT352">
        <f t="shared" si="87"/>
        <v>9</v>
      </c>
      <c r="BU352">
        <f t="shared" si="88"/>
        <v>197</v>
      </c>
      <c r="BV352">
        <f t="shared" si="89"/>
        <v>252</v>
      </c>
      <c r="BW352">
        <f t="shared" si="90"/>
        <v>355</v>
      </c>
      <c r="BX352">
        <f t="shared" si="91"/>
        <v>7</v>
      </c>
      <c r="BY352" s="2">
        <f t="shared" si="92"/>
        <v>192</v>
      </c>
      <c r="BZ352">
        <f t="shared" si="93"/>
        <v>71.031553038798862</v>
      </c>
      <c r="CA352">
        <v>71.031553038798862</v>
      </c>
      <c r="CB352">
        <v>71.031553038798862</v>
      </c>
      <c r="CC352">
        <v>71.031553038798862</v>
      </c>
      <c r="CD352">
        <v>71.031553038798862</v>
      </c>
      <c r="CE352">
        <v>71.031553038798862</v>
      </c>
      <c r="CF352">
        <v>71.031553038798862</v>
      </c>
      <c r="CG352">
        <v>71.031553038798862</v>
      </c>
      <c r="CH352">
        <f t="shared" si="94"/>
        <v>0.93245226905222034</v>
      </c>
      <c r="CI352">
        <f t="shared" si="95"/>
        <v>-1.1524813058844958</v>
      </c>
      <c r="CJ352">
        <f t="shared" si="96"/>
        <v>-0.89720880078118959</v>
      </c>
      <c r="CK352">
        <f t="shared" si="97"/>
        <v>0.44301491594107839</v>
      </c>
      <c r="CL352">
        <f t="shared" si="98"/>
        <v>0.54994923056102951</v>
      </c>
      <c r="CM352">
        <f t="shared" si="99"/>
        <v>0.69877704283457953</v>
      </c>
      <c r="CN352">
        <f t="shared" si="100"/>
        <v>-1.0063532702062576</v>
      </c>
      <c r="CO352" s="2">
        <f t="shared" si="101"/>
        <v>0.43184991848303506</v>
      </c>
      <c r="CP352">
        <v>0.44324998680086602</v>
      </c>
      <c r="CQ352">
        <v>1.3946520115207399</v>
      </c>
      <c r="CR352">
        <v>-1.51347417582761</v>
      </c>
      <c r="CS352">
        <v>-0.34005403086668801</v>
      </c>
      <c r="CT352">
        <v>-0.35654910660229899</v>
      </c>
      <c r="CU352">
        <v>-0.409269310228705</v>
      </c>
      <c r="CV352">
        <v>-2.2733565289065599E-2</v>
      </c>
      <c r="CW352">
        <v>-0.29822956514669802</v>
      </c>
      <c r="CX352" t="s">
        <v>1827</v>
      </c>
    </row>
    <row r="353" spans="1:102" x14ac:dyDescent="0.35">
      <c r="A353" t="s">
        <v>1354</v>
      </c>
      <c r="B353" t="s">
        <v>89</v>
      </c>
      <c r="C353" t="s">
        <v>1355</v>
      </c>
      <c r="D353" t="s">
        <v>72</v>
      </c>
      <c r="E353" t="s">
        <v>72</v>
      </c>
      <c r="F353" t="s">
        <v>72</v>
      </c>
      <c r="G353" t="s">
        <v>73</v>
      </c>
      <c r="H353" t="s">
        <v>109</v>
      </c>
      <c r="I353" t="s">
        <v>110</v>
      </c>
      <c r="J353" t="s">
        <v>111</v>
      </c>
      <c r="K353" t="s">
        <v>112</v>
      </c>
      <c r="L353" t="s">
        <v>113</v>
      </c>
      <c r="M353" t="s">
        <v>114</v>
      </c>
      <c r="N353">
        <v>48</v>
      </c>
      <c r="O353" t="s">
        <v>80</v>
      </c>
      <c r="P353">
        <v>621</v>
      </c>
      <c r="Q353">
        <v>0.68400000000000005</v>
      </c>
      <c r="R353">
        <v>175</v>
      </c>
      <c r="S353">
        <v>0.81130000000000002</v>
      </c>
      <c r="T353" t="s">
        <v>115</v>
      </c>
      <c r="U353" t="s">
        <v>116</v>
      </c>
      <c r="V353" t="s">
        <v>117</v>
      </c>
      <c r="W353" t="s">
        <v>118</v>
      </c>
      <c r="X353" t="s">
        <v>119</v>
      </c>
      <c r="Y353" t="s">
        <v>120</v>
      </c>
      <c r="Z353" t="s">
        <v>121</v>
      </c>
      <c r="AA353" t="s">
        <v>88</v>
      </c>
      <c r="AB353">
        <v>171</v>
      </c>
      <c r="AC353">
        <v>2</v>
      </c>
      <c r="AE353">
        <v>1</v>
      </c>
      <c r="AF353" t="s">
        <v>153</v>
      </c>
      <c r="AG353" t="s">
        <v>1356</v>
      </c>
      <c r="AH353" t="s">
        <v>72</v>
      </c>
      <c r="AI353" t="s">
        <v>72</v>
      </c>
      <c r="AJ353" t="s">
        <v>91</v>
      </c>
      <c r="AK353" t="s">
        <v>92</v>
      </c>
      <c r="AL353" t="s">
        <v>93</v>
      </c>
      <c r="AM353" t="s">
        <v>94</v>
      </c>
      <c r="AN353" t="s">
        <v>1357</v>
      </c>
      <c r="AO353" t="s">
        <v>1358</v>
      </c>
      <c r="AP353" t="s">
        <v>97</v>
      </c>
      <c r="AQ353">
        <v>39</v>
      </c>
      <c r="AR353" t="s">
        <v>80</v>
      </c>
      <c r="AS353">
        <v>1368</v>
      </c>
      <c r="AT353">
        <v>0.97219999999999995</v>
      </c>
      <c r="AU353">
        <v>172</v>
      </c>
      <c r="AV353">
        <v>0.94740000000000002</v>
      </c>
      <c r="AW353" t="s">
        <v>98</v>
      </c>
      <c r="AX353" t="s">
        <v>146</v>
      </c>
      <c r="AY353" t="s">
        <v>100</v>
      </c>
      <c r="AZ353" t="s">
        <v>101</v>
      </c>
      <c r="BA353" t="s">
        <v>128</v>
      </c>
      <c r="BB353" t="s">
        <v>103</v>
      </c>
      <c r="BC353" t="s">
        <v>104</v>
      </c>
      <c r="BD353" t="s">
        <v>105</v>
      </c>
      <c r="BE353">
        <v>3236</v>
      </c>
      <c r="BF353" t="s">
        <v>106</v>
      </c>
      <c r="BG353">
        <v>44</v>
      </c>
      <c r="BH353" t="s">
        <v>80</v>
      </c>
      <c r="BI353">
        <v>1</v>
      </c>
      <c r="BJ353">
        <v>625</v>
      </c>
      <c r="BK353">
        <v>5</v>
      </c>
      <c r="BL353">
        <v>20</v>
      </c>
      <c r="BM353">
        <v>156</v>
      </c>
      <c r="BN353">
        <v>239</v>
      </c>
      <c r="BO353">
        <v>291</v>
      </c>
      <c r="BP353">
        <v>4</v>
      </c>
      <c r="BQ353" s="2">
        <v>212</v>
      </c>
      <c r="BR353">
        <f t="shared" si="85"/>
        <v>626</v>
      </c>
      <c r="BS353">
        <f t="shared" si="86"/>
        <v>6</v>
      </c>
      <c r="BT353">
        <f t="shared" si="87"/>
        <v>21</v>
      </c>
      <c r="BU353">
        <f t="shared" si="88"/>
        <v>157</v>
      </c>
      <c r="BV353">
        <f t="shared" si="89"/>
        <v>240</v>
      </c>
      <c r="BW353">
        <f t="shared" si="90"/>
        <v>292</v>
      </c>
      <c r="BX353">
        <f t="shared" si="91"/>
        <v>5</v>
      </c>
      <c r="BY353" s="2">
        <f t="shared" si="92"/>
        <v>213</v>
      </c>
      <c r="BZ353">
        <f t="shared" si="93"/>
        <v>74.254628385196114</v>
      </c>
      <c r="CA353">
        <v>74.254628385196114</v>
      </c>
      <c r="CB353">
        <v>74.254628385196114</v>
      </c>
      <c r="CC353">
        <v>74.254628385196114</v>
      </c>
      <c r="CD353">
        <v>74.254628385196114</v>
      </c>
      <c r="CE353">
        <v>74.254628385196114</v>
      </c>
      <c r="CF353">
        <v>74.254628385196114</v>
      </c>
      <c r="CG353">
        <v>74.254628385196114</v>
      </c>
      <c r="CH353">
        <f t="shared" si="94"/>
        <v>0.92585080425142874</v>
      </c>
      <c r="CI353">
        <f t="shared" si="95"/>
        <v>-1.0925722785753573</v>
      </c>
      <c r="CJ353">
        <f t="shared" si="96"/>
        <v>-0.54850423422508165</v>
      </c>
      <c r="CK353">
        <f t="shared" si="97"/>
        <v>0.32517612345023283</v>
      </c>
      <c r="CL353">
        <f t="shared" si="98"/>
        <v>0.50948771275260518</v>
      </c>
      <c r="CM353">
        <f t="shared" si="99"/>
        <v>0.59465932248941744</v>
      </c>
      <c r="CN353">
        <f t="shared" si="100"/>
        <v>-1.1717535246229822</v>
      </c>
      <c r="CO353" s="2">
        <f t="shared" si="101"/>
        <v>0.45765607447973677</v>
      </c>
      <c r="CP353">
        <v>0.43531877344860898</v>
      </c>
      <c r="CQ353">
        <v>1.5716355290106601</v>
      </c>
      <c r="CR353">
        <v>4.4495104029383503E-2</v>
      </c>
      <c r="CS353">
        <v>-0.68726012967320604</v>
      </c>
      <c r="CT353">
        <v>-0.46917839951079598</v>
      </c>
      <c r="CU353">
        <v>-0.70993983544815498</v>
      </c>
      <c r="CV353">
        <v>-0.466332712883335</v>
      </c>
      <c r="CW353">
        <v>-0.22734899948120699</v>
      </c>
      <c r="CX353" t="s">
        <v>1827</v>
      </c>
    </row>
    <row r="354" spans="1:102" x14ac:dyDescent="0.35">
      <c r="A354" t="s">
        <v>732</v>
      </c>
      <c r="B354" t="s">
        <v>733</v>
      </c>
      <c r="C354" t="s">
        <v>188</v>
      </c>
      <c r="D354" t="s">
        <v>72</v>
      </c>
      <c r="E354" t="s">
        <v>72</v>
      </c>
      <c r="F354" t="s">
        <v>72</v>
      </c>
      <c r="G354" t="s">
        <v>73</v>
      </c>
      <c r="H354" t="s">
        <v>109</v>
      </c>
      <c r="I354" t="s">
        <v>110</v>
      </c>
      <c r="J354" t="s">
        <v>111</v>
      </c>
      <c r="K354" t="s">
        <v>112</v>
      </c>
      <c r="L354" t="s">
        <v>113</v>
      </c>
      <c r="M354" t="s">
        <v>114</v>
      </c>
      <c r="N354">
        <v>48</v>
      </c>
      <c r="O354" t="s">
        <v>80</v>
      </c>
      <c r="P354">
        <v>621</v>
      </c>
      <c r="Q354">
        <v>0.68400000000000005</v>
      </c>
      <c r="R354">
        <v>175</v>
      </c>
      <c r="S354">
        <v>0.81130000000000002</v>
      </c>
      <c r="T354" t="s">
        <v>115</v>
      </c>
      <c r="U354" t="s">
        <v>116</v>
      </c>
      <c r="V354" t="s">
        <v>117</v>
      </c>
      <c r="W354" t="s">
        <v>118</v>
      </c>
      <c r="X354" t="s">
        <v>119</v>
      </c>
      <c r="Y354" t="s">
        <v>120</v>
      </c>
      <c r="Z354" t="s">
        <v>121</v>
      </c>
      <c r="AA354" t="s">
        <v>88</v>
      </c>
      <c r="AB354">
        <v>633</v>
      </c>
      <c r="AC354">
        <v>7</v>
      </c>
      <c r="AE354">
        <v>1</v>
      </c>
      <c r="AF354" t="s">
        <v>89</v>
      </c>
      <c r="AG354" t="s">
        <v>384</v>
      </c>
      <c r="AH354" t="s">
        <v>72</v>
      </c>
      <c r="AI354" t="s">
        <v>72</v>
      </c>
      <c r="AJ354" t="s">
        <v>91</v>
      </c>
      <c r="AK354" t="s">
        <v>92</v>
      </c>
      <c r="AL354" t="s">
        <v>93</v>
      </c>
      <c r="AM354" t="s">
        <v>94</v>
      </c>
      <c r="AN354" t="s">
        <v>144</v>
      </c>
      <c r="AO354" t="s">
        <v>145</v>
      </c>
      <c r="AP354" t="s">
        <v>97</v>
      </c>
      <c r="AQ354">
        <v>39</v>
      </c>
      <c r="AR354" t="s">
        <v>80</v>
      </c>
      <c r="AS354">
        <v>1359</v>
      </c>
      <c r="AT354">
        <v>0.96879999999999999</v>
      </c>
      <c r="AU354">
        <v>172</v>
      </c>
      <c r="AV354">
        <v>0.94740000000000002</v>
      </c>
      <c r="AW354" t="s">
        <v>98</v>
      </c>
      <c r="AX354" t="s">
        <v>146</v>
      </c>
      <c r="AY354" t="s">
        <v>127</v>
      </c>
      <c r="AZ354" t="s">
        <v>101</v>
      </c>
      <c r="BA354" t="s">
        <v>128</v>
      </c>
      <c r="BB354" t="s">
        <v>103</v>
      </c>
      <c r="BC354" t="s">
        <v>104</v>
      </c>
      <c r="BD354" t="s">
        <v>105</v>
      </c>
      <c r="BE354">
        <v>12174</v>
      </c>
      <c r="BF354" t="s">
        <v>106</v>
      </c>
      <c r="BG354">
        <v>162</v>
      </c>
      <c r="BH354" t="s">
        <v>80</v>
      </c>
      <c r="BI354">
        <v>1</v>
      </c>
      <c r="BJ354">
        <v>1950</v>
      </c>
      <c r="BK354">
        <v>8</v>
      </c>
      <c r="BL354">
        <v>49</v>
      </c>
      <c r="BM354">
        <v>631</v>
      </c>
      <c r="BN354">
        <v>829</v>
      </c>
      <c r="BO354">
        <v>1286</v>
      </c>
      <c r="BP354">
        <v>24</v>
      </c>
      <c r="BQ354" s="2">
        <v>558</v>
      </c>
      <c r="BR354">
        <f t="shared" si="85"/>
        <v>1951</v>
      </c>
      <c r="BS354">
        <f t="shared" si="86"/>
        <v>9</v>
      </c>
      <c r="BT354">
        <f t="shared" si="87"/>
        <v>50</v>
      </c>
      <c r="BU354">
        <f t="shared" si="88"/>
        <v>632</v>
      </c>
      <c r="BV354">
        <f t="shared" si="89"/>
        <v>830</v>
      </c>
      <c r="BW354">
        <f t="shared" si="90"/>
        <v>1287</v>
      </c>
      <c r="BX354">
        <f t="shared" si="91"/>
        <v>25</v>
      </c>
      <c r="BY354" s="2">
        <f t="shared" si="92"/>
        <v>559</v>
      </c>
      <c r="BZ354">
        <f t="shared" si="93"/>
        <v>231.61912395385872</v>
      </c>
      <c r="CA354">
        <v>231.61912395385872</v>
      </c>
      <c r="CB354">
        <v>231.61912395385872</v>
      </c>
      <c r="CC354">
        <v>231.61912395385872</v>
      </c>
      <c r="CD354">
        <v>231.61912395385872</v>
      </c>
      <c r="CE354">
        <v>231.61912395385872</v>
      </c>
      <c r="CF354">
        <v>231.61912395385872</v>
      </c>
      <c r="CG354">
        <v>231.61912395385872</v>
      </c>
      <c r="CH354">
        <f t="shared" si="94"/>
        <v>0.92548285473312208</v>
      </c>
      <c r="CI354">
        <f t="shared" si="95"/>
        <v>-1.4105319052220711</v>
      </c>
      <c r="CJ354">
        <f t="shared" si="96"/>
        <v>-0.66580441032537718</v>
      </c>
      <c r="CK354">
        <f t="shared" si="97"/>
        <v>0.43594266362098893</v>
      </c>
      <c r="CL354">
        <f t="shared" si="98"/>
        <v>0.55430367771467792</v>
      </c>
      <c r="CM354">
        <f t="shared" si="99"/>
        <v>0.74480413224299058</v>
      </c>
      <c r="CN354">
        <f t="shared" si="100"/>
        <v>-0.96683440598935844</v>
      </c>
      <c r="CO354" s="2">
        <f t="shared" si="101"/>
        <v>0.38263739322502727</v>
      </c>
      <c r="CP354">
        <v>0.43487670699508502</v>
      </c>
      <c r="CQ354">
        <v>0.63231777221691199</v>
      </c>
      <c r="CR354">
        <v>-0.47958771109104997</v>
      </c>
      <c r="CS354">
        <v>-0.36089206803534302</v>
      </c>
      <c r="CT354">
        <v>-0.344428001649071</v>
      </c>
      <c r="CU354">
        <v>-0.276352558873875</v>
      </c>
      <c r="CV354">
        <v>8.3254992844237694E-2</v>
      </c>
      <c r="CW354">
        <v>-0.4333993141229</v>
      </c>
      <c r="CX354" t="s">
        <v>1827</v>
      </c>
    </row>
    <row r="355" spans="1:102" x14ac:dyDescent="0.35">
      <c r="A355" t="s">
        <v>739</v>
      </c>
      <c r="B355" t="s">
        <v>159</v>
      </c>
      <c r="C355" t="s">
        <v>149</v>
      </c>
      <c r="D355" t="s">
        <v>72</v>
      </c>
      <c r="E355" t="s">
        <v>72</v>
      </c>
      <c r="F355" t="s">
        <v>72</v>
      </c>
      <c r="G355" t="s">
        <v>73</v>
      </c>
      <c r="H355" t="s">
        <v>74</v>
      </c>
      <c r="I355" t="s">
        <v>75</v>
      </c>
      <c r="J355" t="s">
        <v>76</v>
      </c>
      <c r="K355" t="s">
        <v>77</v>
      </c>
      <c r="L355" t="s">
        <v>78</v>
      </c>
      <c r="M355" t="s">
        <v>79</v>
      </c>
      <c r="N355">
        <v>60</v>
      </c>
      <c r="O355" t="s">
        <v>80</v>
      </c>
      <c r="P355">
        <v>792</v>
      </c>
      <c r="Q355">
        <v>0.75</v>
      </c>
      <c r="R355">
        <v>177</v>
      </c>
      <c r="S355">
        <v>0.85419999999999996</v>
      </c>
      <c r="T355" t="s">
        <v>81</v>
      </c>
      <c r="U355" t="s">
        <v>82</v>
      </c>
      <c r="V355" t="s">
        <v>83</v>
      </c>
      <c r="W355" t="s">
        <v>84</v>
      </c>
      <c r="X355" t="s">
        <v>85</v>
      </c>
      <c r="Y355" t="s">
        <v>86</v>
      </c>
      <c r="Z355" t="s">
        <v>87</v>
      </c>
      <c r="AA355" t="s">
        <v>88</v>
      </c>
      <c r="AB355">
        <v>422</v>
      </c>
      <c r="AC355">
        <v>7</v>
      </c>
      <c r="AE355">
        <v>22</v>
      </c>
      <c r="AF355" t="s">
        <v>142</v>
      </c>
      <c r="AG355" t="s">
        <v>384</v>
      </c>
      <c r="AH355" t="s">
        <v>72</v>
      </c>
      <c r="AI355" t="s">
        <v>72</v>
      </c>
      <c r="AJ355" t="s">
        <v>91</v>
      </c>
      <c r="AK355" t="s">
        <v>92</v>
      </c>
      <c r="AL355" t="s">
        <v>93</v>
      </c>
      <c r="AM355" t="s">
        <v>94</v>
      </c>
      <c r="AN355" t="s">
        <v>144</v>
      </c>
      <c r="AO355" t="s">
        <v>145</v>
      </c>
      <c r="AP355" t="s">
        <v>97</v>
      </c>
      <c r="AQ355">
        <v>39</v>
      </c>
      <c r="AR355" t="s">
        <v>80</v>
      </c>
      <c r="AS355">
        <v>1359</v>
      </c>
      <c r="AT355">
        <v>0.96879999999999999</v>
      </c>
      <c r="AU355">
        <v>172</v>
      </c>
      <c r="AV355">
        <v>0.94740000000000002</v>
      </c>
      <c r="AW355" t="s">
        <v>98</v>
      </c>
      <c r="AX355" t="s">
        <v>146</v>
      </c>
      <c r="AY355" t="s">
        <v>127</v>
      </c>
      <c r="AZ355" t="s">
        <v>101</v>
      </c>
      <c r="BA355" t="s">
        <v>128</v>
      </c>
      <c r="BB355" t="s">
        <v>103</v>
      </c>
      <c r="BC355" t="s">
        <v>104</v>
      </c>
      <c r="BD355" t="s">
        <v>105</v>
      </c>
      <c r="BE355">
        <v>12191</v>
      </c>
      <c r="BF355" t="s">
        <v>106</v>
      </c>
      <c r="BG355">
        <v>166</v>
      </c>
      <c r="BH355" t="s">
        <v>80</v>
      </c>
      <c r="BI355">
        <v>1</v>
      </c>
      <c r="BJ355">
        <v>2007</v>
      </c>
      <c r="BK355">
        <v>5</v>
      </c>
      <c r="BL355">
        <v>53</v>
      </c>
      <c r="BM355">
        <v>783</v>
      </c>
      <c r="BN355">
        <v>1055</v>
      </c>
      <c r="BO355">
        <v>1388</v>
      </c>
      <c r="BP355">
        <v>19</v>
      </c>
      <c r="BQ355" s="2">
        <v>718</v>
      </c>
      <c r="BR355">
        <f t="shared" si="85"/>
        <v>2008</v>
      </c>
      <c r="BS355">
        <f t="shared" si="86"/>
        <v>6</v>
      </c>
      <c r="BT355">
        <f t="shared" si="87"/>
        <v>54</v>
      </c>
      <c r="BU355">
        <f t="shared" si="88"/>
        <v>784</v>
      </c>
      <c r="BV355">
        <f t="shared" si="89"/>
        <v>1056</v>
      </c>
      <c r="BW355">
        <f t="shared" si="90"/>
        <v>1389</v>
      </c>
      <c r="BX355">
        <f t="shared" si="91"/>
        <v>20</v>
      </c>
      <c r="BY355" s="2">
        <f t="shared" si="92"/>
        <v>719</v>
      </c>
      <c r="BZ355">
        <f t="shared" si="93"/>
        <v>239.31434335200976</v>
      </c>
      <c r="CA355">
        <v>239.31434335200976</v>
      </c>
      <c r="CB355">
        <v>239.31434335200976</v>
      </c>
      <c r="CC355">
        <v>239.31434335200976</v>
      </c>
      <c r="CD355">
        <v>239.31434335200976</v>
      </c>
      <c r="CE355">
        <v>239.31434335200976</v>
      </c>
      <c r="CF355">
        <v>239.31434335200976</v>
      </c>
      <c r="CG355">
        <v>239.31434335200976</v>
      </c>
      <c r="CH355">
        <f t="shared" si="94"/>
        <v>0.9237949795546937</v>
      </c>
      <c r="CI355">
        <f t="shared" si="95"/>
        <v>-1.6008174785346445</v>
      </c>
      <c r="CJ355">
        <f t="shared" si="96"/>
        <v>-0.64657496909531953</v>
      </c>
      <c r="CK355">
        <f t="shared" si="97"/>
        <v>0.51534733376615038</v>
      </c>
      <c r="CL355">
        <f t="shared" si="98"/>
        <v>0.64469518927950542</v>
      </c>
      <c r="CM355">
        <f t="shared" si="99"/>
        <v>0.76373351681932744</v>
      </c>
      <c r="CN355">
        <f t="shared" si="100"/>
        <v>-1.0779387332543069</v>
      </c>
      <c r="CO355" s="2">
        <f t="shared" si="101"/>
        <v>0.47776016146459449</v>
      </c>
      <c r="CP355">
        <v>0.43284883915725397</v>
      </c>
      <c r="CQ355">
        <v>7.0175277085681206E-2</v>
      </c>
      <c r="CR355">
        <v>-0.39367292367909801</v>
      </c>
      <c r="CS355">
        <v>-0.12693018531949901</v>
      </c>
      <c r="CT355">
        <v>-9.2812822982763096E-2</v>
      </c>
      <c r="CU355">
        <v>-0.221688396195513</v>
      </c>
      <c r="CV355">
        <v>-0.214723901097429</v>
      </c>
      <c r="CW355">
        <v>-0.17213004095607501</v>
      </c>
      <c r="CX355" t="s">
        <v>1827</v>
      </c>
    </row>
    <row r="356" spans="1:102" x14ac:dyDescent="0.35">
      <c r="A356" t="s">
        <v>1064</v>
      </c>
      <c r="B356" t="s">
        <v>89</v>
      </c>
      <c r="C356" t="s">
        <v>1065</v>
      </c>
      <c r="D356" t="s">
        <v>72</v>
      </c>
      <c r="E356" t="s">
        <v>72</v>
      </c>
      <c r="F356" t="s">
        <v>72</v>
      </c>
      <c r="G356" t="s">
        <v>73</v>
      </c>
      <c r="H356" t="s">
        <v>74</v>
      </c>
      <c r="I356" t="s">
        <v>75</v>
      </c>
      <c r="J356" t="s">
        <v>76</v>
      </c>
      <c r="K356" t="s">
        <v>77</v>
      </c>
      <c r="L356" t="s">
        <v>78</v>
      </c>
      <c r="M356" t="s">
        <v>79</v>
      </c>
      <c r="N356">
        <v>60</v>
      </c>
      <c r="O356" t="s">
        <v>80</v>
      </c>
      <c r="P356">
        <v>792</v>
      </c>
      <c r="Q356">
        <v>0.75</v>
      </c>
      <c r="R356">
        <v>177</v>
      </c>
      <c r="S356">
        <v>0.85419999999999996</v>
      </c>
      <c r="T356" t="s">
        <v>81</v>
      </c>
      <c r="U356" t="s">
        <v>82</v>
      </c>
      <c r="V356" t="s">
        <v>83</v>
      </c>
      <c r="W356" t="s">
        <v>84</v>
      </c>
      <c r="X356" t="s">
        <v>85</v>
      </c>
      <c r="Y356" t="s">
        <v>86</v>
      </c>
      <c r="Z356" t="s">
        <v>87</v>
      </c>
      <c r="AA356" t="s">
        <v>88</v>
      </c>
      <c r="AB356">
        <v>543</v>
      </c>
      <c r="AC356">
        <v>3</v>
      </c>
      <c r="AE356">
        <v>22</v>
      </c>
      <c r="AF356" t="s">
        <v>211</v>
      </c>
      <c r="AG356" t="s">
        <v>1066</v>
      </c>
      <c r="AH356" t="s">
        <v>72</v>
      </c>
      <c r="AI356" t="s">
        <v>72</v>
      </c>
      <c r="AJ356" t="s">
        <v>91</v>
      </c>
      <c r="AK356" t="s">
        <v>92</v>
      </c>
      <c r="AL356" t="s">
        <v>93</v>
      </c>
      <c r="AM356" t="s">
        <v>94</v>
      </c>
      <c r="AN356" t="s">
        <v>144</v>
      </c>
      <c r="AO356" t="s">
        <v>145</v>
      </c>
      <c r="AP356" t="s">
        <v>97</v>
      </c>
      <c r="AQ356">
        <v>39</v>
      </c>
      <c r="AR356" t="s">
        <v>80</v>
      </c>
      <c r="AS356">
        <v>1359</v>
      </c>
      <c r="AT356">
        <v>0.96879999999999999</v>
      </c>
      <c r="AU356">
        <v>172</v>
      </c>
      <c r="AV356">
        <v>0.94740000000000002</v>
      </c>
      <c r="AW356" t="s">
        <v>98</v>
      </c>
      <c r="AX356" t="s">
        <v>146</v>
      </c>
      <c r="AY356" t="s">
        <v>127</v>
      </c>
      <c r="AZ356" t="s">
        <v>101</v>
      </c>
      <c r="BA356" t="s">
        <v>128</v>
      </c>
      <c r="BB356" t="s">
        <v>103</v>
      </c>
      <c r="BC356" t="s">
        <v>104</v>
      </c>
      <c r="BD356" t="s">
        <v>105</v>
      </c>
      <c r="BE356">
        <v>4217</v>
      </c>
      <c r="BF356" t="s">
        <v>106</v>
      </c>
      <c r="BG356">
        <v>63</v>
      </c>
      <c r="BH356" t="s">
        <v>80</v>
      </c>
      <c r="BI356">
        <v>1</v>
      </c>
      <c r="BJ356">
        <v>825</v>
      </c>
      <c r="BK356">
        <v>4</v>
      </c>
      <c r="BL356">
        <v>16</v>
      </c>
      <c r="BM356">
        <v>270</v>
      </c>
      <c r="BN356">
        <v>344</v>
      </c>
      <c r="BO356">
        <v>529</v>
      </c>
      <c r="BP356">
        <v>8</v>
      </c>
      <c r="BQ356" s="2">
        <v>303</v>
      </c>
      <c r="BR356">
        <f t="shared" si="85"/>
        <v>826</v>
      </c>
      <c r="BS356">
        <f t="shared" si="86"/>
        <v>5</v>
      </c>
      <c r="BT356">
        <f t="shared" si="87"/>
        <v>17</v>
      </c>
      <c r="BU356">
        <f t="shared" si="88"/>
        <v>271</v>
      </c>
      <c r="BV356">
        <f t="shared" si="89"/>
        <v>345</v>
      </c>
      <c r="BW356">
        <f t="shared" si="90"/>
        <v>530</v>
      </c>
      <c r="BX356">
        <f t="shared" si="91"/>
        <v>9</v>
      </c>
      <c r="BY356" s="2">
        <f t="shared" si="92"/>
        <v>304</v>
      </c>
      <c r="BZ356">
        <f t="shared" si="93"/>
        <v>99.38536000381292</v>
      </c>
      <c r="CA356">
        <v>99.38536000381292</v>
      </c>
      <c r="CB356">
        <v>99.38536000381292</v>
      </c>
      <c r="CC356">
        <v>99.38536000381292</v>
      </c>
      <c r="CD356">
        <v>99.38536000381292</v>
      </c>
      <c r="CE356">
        <v>99.38536000381292</v>
      </c>
      <c r="CF356">
        <v>99.38536000381292</v>
      </c>
      <c r="CG356">
        <v>99.38536000381292</v>
      </c>
      <c r="CH356">
        <f t="shared" si="94"/>
        <v>0.91965763211647944</v>
      </c>
      <c r="CI356">
        <f t="shared" si="95"/>
        <v>-1.2983524108678841</v>
      </c>
      <c r="CJ356">
        <f t="shared" si="96"/>
        <v>-0.76687349382562886</v>
      </c>
      <c r="CK356">
        <f t="shared" si="97"/>
        <v>0.43564687567050286</v>
      </c>
      <c r="CL356">
        <f t="shared" si="98"/>
        <v>0.54049667986937133</v>
      </c>
      <c r="CM356">
        <f t="shared" si="99"/>
        <v>0.72695345439688619</v>
      </c>
      <c r="CN356">
        <f t="shared" si="100"/>
        <v>-1.0430799057645779</v>
      </c>
      <c r="CO356" s="2">
        <f t="shared" si="101"/>
        <v>0.48555116840485091</v>
      </c>
      <c r="CP356">
        <v>0.42787809611232303</v>
      </c>
      <c r="CQ356">
        <v>0.96371893816466003</v>
      </c>
      <c r="CR356">
        <v>-0.93115199311876196</v>
      </c>
      <c r="CS356">
        <v>-0.361763592413617</v>
      </c>
      <c r="CT356">
        <v>-0.38286136966726803</v>
      </c>
      <c r="CU356">
        <v>-0.327901638758823</v>
      </c>
      <c r="CV356">
        <v>-0.12123343933780199</v>
      </c>
      <c r="CW356">
        <v>-0.15073084538817499</v>
      </c>
      <c r="CX356" t="s">
        <v>1827</v>
      </c>
    </row>
    <row r="357" spans="1:102" x14ac:dyDescent="0.35">
      <c r="A357" t="s">
        <v>1178</v>
      </c>
      <c r="B357" t="s">
        <v>89</v>
      </c>
      <c r="C357" t="s">
        <v>539</v>
      </c>
      <c r="D357" t="s">
        <v>72</v>
      </c>
      <c r="E357" t="s">
        <v>72</v>
      </c>
      <c r="F357" t="s">
        <v>72</v>
      </c>
      <c r="G357" t="s">
        <v>73</v>
      </c>
      <c r="H357" t="s">
        <v>109</v>
      </c>
      <c r="I357" t="s">
        <v>110</v>
      </c>
      <c r="J357" t="s">
        <v>111</v>
      </c>
      <c r="K357" t="s">
        <v>112</v>
      </c>
      <c r="L357" t="s">
        <v>113</v>
      </c>
      <c r="M357" t="s">
        <v>114</v>
      </c>
      <c r="N357">
        <v>48</v>
      </c>
      <c r="O357" t="s">
        <v>80</v>
      </c>
      <c r="P357">
        <v>621</v>
      </c>
      <c r="Q357">
        <v>0.68400000000000005</v>
      </c>
      <c r="R357">
        <v>175</v>
      </c>
      <c r="S357">
        <v>0.81130000000000002</v>
      </c>
      <c r="T357" t="s">
        <v>115</v>
      </c>
      <c r="U357" t="s">
        <v>116</v>
      </c>
      <c r="V357" t="s">
        <v>117</v>
      </c>
      <c r="W357" t="s">
        <v>118</v>
      </c>
      <c r="X357" t="s">
        <v>119</v>
      </c>
      <c r="Y357" t="s">
        <v>120</v>
      </c>
      <c r="Z357" t="s">
        <v>121</v>
      </c>
      <c r="AA357" t="s">
        <v>88</v>
      </c>
      <c r="AB357">
        <v>326</v>
      </c>
      <c r="AC357">
        <v>4</v>
      </c>
      <c r="AE357">
        <v>1</v>
      </c>
      <c r="AF357" t="s">
        <v>231</v>
      </c>
      <c r="AG357" t="s">
        <v>1179</v>
      </c>
      <c r="AH357" t="s">
        <v>72</v>
      </c>
      <c r="AI357" t="s">
        <v>72</v>
      </c>
      <c r="AJ357" t="s">
        <v>91</v>
      </c>
      <c r="AK357" t="s">
        <v>92</v>
      </c>
      <c r="AL357" t="s">
        <v>93</v>
      </c>
      <c r="AM357" t="s">
        <v>94</v>
      </c>
      <c r="AN357" t="s">
        <v>144</v>
      </c>
      <c r="AO357" t="s">
        <v>145</v>
      </c>
      <c r="AP357" t="s">
        <v>97</v>
      </c>
      <c r="AQ357">
        <v>39</v>
      </c>
      <c r="AR357" t="s">
        <v>80</v>
      </c>
      <c r="AS357">
        <v>1359</v>
      </c>
      <c r="AT357">
        <v>0.96879999999999999</v>
      </c>
      <c r="AU357">
        <v>172</v>
      </c>
      <c r="AV357">
        <v>0.94740000000000002</v>
      </c>
      <c r="AW357" t="s">
        <v>98</v>
      </c>
      <c r="AX357" t="s">
        <v>146</v>
      </c>
      <c r="AY357" t="s">
        <v>127</v>
      </c>
      <c r="AZ357" t="s">
        <v>101</v>
      </c>
      <c r="BA357" t="s">
        <v>128</v>
      </c>
      <c r="BB357" t="s">
        <v>103</v>
      </c>
      <c r="BC357" t="s">
        <v>104</v>
      </c>
      <c r="BD357" t="s">
        <v>105</v>
      </c>
      <c r="BE357">
        <v>8776</v>
      </c>
      <c r="BF357" t="s">
        <v>106</v>
      </c>
      <c r="BG357">
        <v>110</v>
      </c>
      <c r="BH357" t="s">
        <v>80</v>
      </c>
      <c r="BI357">
        <v>1</v>
      </c>
      <c r="BJ357">
        <v>1634</v>
      </c>
      <c r="BK357">
        <v>8</v>
      </c>
      <c r="BL357">
        <v>38</v>
      </c>
      <c r="BM357">
        <v>506</v>
      </c>
      <c r="BN357">
        <v>636</v>
      </c>
      <c r="BO357">
        <v>1031</v>
      </c>
      <c r="BP357">
        <v>24</v>
      </c>
      <c r="BQ357" s="2">
        <v>550</v>
      </c>
      <c r="BR357">
        <f t="shared" si="85"/>
        <v>1635</v>
      </c>
      <c r="BS357">
        <f t="shared" si="86"/>
        <v>9</v>
      </c>
      <c r="BT357">
        <f t="shared" si="87"/>
        <v>39</v>
      </c>
      <c r="BU357">
        <f t="shared" si="88"/>
        <v>507</v>
      </c>
      <c r="BV357">
        <f t="shared" si="89"/>
        <v>637</v>
      </c>
      <c r="BW357">
        <f t="shared" si="90"/>
        <v>1032</v>
      </c>
      <c r="BX357">
        <f t="shared" si="91"/>
        <v>25</v>
      </c>
      <c r="BY357" s="2">
        <f t="shared" si="92"/>
        <v>551</v>
      </c>
      <c r="BZ357">
        <f t="shared" si="93"/>
        <v>200.72106205141631</v>
      </c>
      <c r="CA357">
        <v>200.72106205141631</v>
      </c>
      <c r="CB357">
        <v>200.72106205141631</v>
      </c>
      <c r="CC357">
        <v>200.72106205141631</v>
      </c>
      <c r="CD357">
        <v>200.72106205141631</v>
      </c>
      <c r="CE357">
        <v>200.72106205141631</v>
      </c>
      <c r="CF357">
        <v>200.72106205141631</v>
      </c>
      <c r="CG357">
        <v>200.72106205141631</v>
      </c>
      <c r="CH357">
        <f t="shared" si="94"/>
        <v>0.91092481075307608</v>
      </c>
      <c r="CI357">
        <f t="shared" si="95"/>
        <v>-1.3483504368039039</v>
      </c>
      <c r="CJ357">
        <f t="shared" si="96"/>
        <v>-0.71152833921672953</v>
      </c>
      <c r="CK357">
        <f t="shared" si="97"/>
        <v>0.40241501309010719</v>
      </c>
      <c r="CL357">
        <f t="shared" si="98"/>
        <v>0.5015464860921216</v>
      </c>
      <c r="CM357">
        <f t="shared" si="99"/>
        <v>0.71108675104796371</v>
      </c>
      <c r="CN357">
        <f t="shared" si="100"/>
        <v>-0.90465293757119114</v>
      </c>
      <c r="CO357" s="2">
        <f t="shared" si="101"/>
        <v>0.43855865260855625</v>
      </c>
      <c r="CP357">
        <v>0.417386202041784</v>
      </c>
      <c r="CQ357">
        <v>0.81601454543520302</v>
      </c>
      <c r="CR357">
        <v>-0.68387662325139698</v>
      </c>
      <c r="CS357">
        <v>-0.45967961071896302</v>
      </c>
      <c r="CT357">
        <v>-0.49128371814543598</v>
      </c>
      <c r="CU357">
        <v>-0.373721409049668</v>
      </c>
      <c r="CV357">
        <v>0.25002406151182399</v>
      </c>
      <c r="CW357">
        <v>-0.27980299786650698</v>
      </c>
      <c r="CX357" t="s">
        <v>1827</v>
      </c>
    </row>
    <row r="358" spans="1:102" x14ac:dyDescent="0.35">
      <c r="A358" t="s">
        <v>700</v>
      </c>
      <c r="B358" t="s">
        <v>159</v>
      </c>
      <c r="C358" t="s">
        <v>701</v>
      </c>
      <c r="D358" t="s">
        <v>72</v>
      </c>
      <c r="E358" t="s">
        <v>72</v>
      </c>
      <c r="F358" t="s">
        <v>72</v>
      </c>
      <c r="G358" t="s">
        <v>73</v>
      </c>
      <c r="H358" t="s">
        <v>74</v>
      </c>
      <c r="I358" t="s">
        <v>75</v>
      </c>
      <c r="J358" t="s">
        <v>76</v>
      </c>
      <c r="K358" t="s">
        <v>77</v>
      </c>
      <c r="L358" t="s">
        <v>78</v>
      </c>
      <c r="M358" t="s">
        <v>79</v>
      </c>
      <c r="N358">
        <v>60</v>
      </c>
      <c r="O358" t="s">
        <v>80</v>
      </c>
      <c r="P358">
        <v>792</v>
      </c>
      <c r="Q358">
        <v>0.75</v>
      </c>
      <c r="R358">
        <v>177</v>
      </c>
      <c r="S358">
        <v>0.85419999999999996</v>
      </c>
      <c r="T358" t="s">
        <v>81</v>
      </c>
      <c r="U358" t="s">
        <v>82</v>
      </c>
      <c r="V358" t="s">
        <v>83</v>
      </c>
      <c r="W358" t="s">
        <v>84</v>
      </c>
      <c r="X358" t="s">
        <v>85</v>
      </c>
      <c r="Y358" t="s">
        <v>86</v>
      </c>
      <c r="Z358" t="s">
        <v>87</v>
      </c>
      <c r="AA358" t="s">
        <v>88</v>
      </c>
      <c r="AB358">
        <v>253</v>
      </c>
      <c r="AC358">
        <v>4</v>
      </c>
      <c r="AE358">
        <v>22</v>
      </c>
      <c r="AF358" t="s">
        <v>142</v>
      </c>
      <c r="AG358" t="s">
        <v>702</v>
      </c>
      <c r="AH358" t="s">
        <v>72</v>
      </c>
      <c r="AI358" t="s">
        <v>72</v>
      </c>
      <c r="AJ358" t="s">
        <v>91</v>
      </c>
      <c r="AK358" t="s">
        <v>92</v>
      </c>
      <c r="AL358" t="s">
        <v>93</v>
      </c>
      <c r="AM358" t="s">
        <v>94</v>
      </c>
      <c r="AN358" t="s">
        <v>144</v>
      </c>
      <c r="AO358" t="s">
        <v>145</v>
      </c>
      <c r="AP358" t="s">
        <v>97</v>
      </c>
      <c r="AQ358">
        <v>39</v>
      </c>
      <c r="AR358" t="s">
        <v>80</v>
      </c>
      <c r="AS358">
        <v>1359</v>
      </c>
      <c r="AT358">
        <v>0.96879999999999999</v>
      </c>
      <c r="AU358">
        <v>172</v>
      </c>
      <c r="AV358">
        <v>0.94740000000000002</v>
      </c>
      <c r="AW358" t="s">
        <v>98</v>
      </c>
      <c r="AX358" t="s">
        <v>146</v>
      </c>
      <c r="AY358" t="s">
        <v>127</v>
      </c>
      <c r="AZ358" t="s">
        <v>101</v>
      </c>
      <c r="BA358" t="s">
        <v>128</v>
      </c>
      <c r="BB358" t="s">
        <v>103</v>
      </c>
      <c r="BC358" t="s">
        <v>104</v>
      </c>
      <c r="BD358" t="s">
        <v>105</v>
      </c>
      <c r="BE358">
        <v>7770</v>
      </c>
      <c r="BF358" t="s">
        <v>106</v>
      </c>
      <c r="BG358">
        <v>85</v>
      </c>
      <c r="BH358" t="s">
        <v>80</v>
      </c>
      <c r="BI358">
        <v>1</v>
      </c>
      <c r="BJ358">
        <v>1656</v>
      </c>
      <c r="BK358">
        <v>16</v>
      </c>
      <c r="BL358">
        <v>36</v>
      </c>
      <c r="BM358">
        <v>530</v>
      </c>
      <c r="BN358">
        <v>677</v>
      </c>
      <c r="BO358">
        <v>1032</v>
      </c>
      <c r="BP358">
        <v>13</v>
      </c>
      <c r="BQ358" s="2">
        <v>578</v>
      </c>
      <c r="BR358">
        <f t="shared" si="85"/>
        <v>1657</v>
      </c>
      <c r="BS358">
        <f t="shared" si="86"/>
        <v>17</v>
      </c>
      <c r="BT358">
        <f t="shared" si="87"/>
        <v>37</v>
      </c>
      <c r="BU358">
        <f t="shared" si="88"/>
        <v>531</v>
      </c>
      <c r="BV358">
        <f t="shared" si="89"/>
        <v>678</v>
      </c>
      <c r="BW358">
        <f t="shared" si="90"/>
        <v>1033</v>
      </c>
      <c r="BX358">
        <f t="shared" si="91"/>
        <v>14</v>
      </c>
      <c r="BY358" s="2">
        <f t="shared" si="92"/>
        <v>579</v>
      </c>
      <c r="BZ358">
        <f t="shared" si="93"/>
        <v>205.18732809200287</v>
      </c>
      <c r="CA358">
        <v>205.18732809200287</v>
      </c>
      <c r="CB358">
        <v>205.18732809200287</v>
      </c>
      <c r="CC358">
        <v>205.18732809200287</v>
      </c>
      <c r="CD358">
        <v>205.18732809200287</v>
      </c>
      <c r="CE358">
        <v>205.18732809200287</v>
      </c>
      <c r="CF358">
        <v>205.18732809200287</v>
      </c>
      <c r="CG358">
        <v>205.18732809200287</v>
      </c>
      <c r="CH358">
        <f t="shared" si="94"/>
        <v>0.90717197220203261</v>
      </c>
      <c r="CI358">
        <f t="shared" si="95"/>
        <v>-1.0817016148390302</v>
      </c>
      <c r="CJ358">
        <f t="shared" si="96"/>
        <v>-0.74394881215030906</v>
      </c>
      <c r="CK358">
        <f t="shared" si="97"/>
        <v>0.41294398486416495</v>
      </c>
      <c r="CL358">
        <f t="shared" si="98"/>
        <v>0.51907915764975932</v>
      </c>
      <c r="CM358">
        <f t="shared" si="99"/>
        <v>0.70194978530231655</v>
      </c>
      <c r="CN358">
        <f t="shared" si="100"/>
        <v>-1.1660225005390661</v>
      </c>
      <c r="CO358" s="2">
        <f t="shared" si="101"/>
        <v>0.45052802751013216</v>
      </c>
      <c r="CP358">
        <v>0.41287742041178299</v>
      </c>
      <c r="CQ358">
        <v>1.60374969263374</v>
      </c>
      <c r="CR358">
        <v>-0.82872732414069705</v>
      </c>
      <c r="CS358">
        <v>-0.42865652284746703</v>
      </c>
      <c r="CT358">
        <v>-0.44247950843478301</v>
      </c>
      <c r="CU358">
        <v>-0.40010708365480302</v>
      </c>
      <c r="CV358">
        <v>-0.45096225648692501</v>
      </c>
      <c r="CW358">
        <v>-0.24692727380305199</v>
      </c>
      <c r="CX358" t="s">
        <v>1827</v>
      </c>
    </row>
    <row r="359" spans="1:102" x14ac:dyDescent="0.35">
      <c r="A359" t="s">
        <v>318</v>
      </c>
      <c r="B359" t="s">
        <v>178</v>
      </c>
      <c r="C359" t="s">
        <v>319</v>
      </c>
      <c r="D359" t="s">
        <v>72</v>
      </c>
      <c r="E359" t="s">
        <v>72</v>
      </c>
      <c r="F359" t="s">
        <v>72</v>
      </c>
      <c r="G359" t="s">
        <v>73</v>
      </c>
      <c r="H359" t="s">
        <v>109</v>
      </c>
      <c r="I359" t="s">
        <v>110</v>
      </c>
      <c r="J359" t="s">
        <v>111</v>
      </c>
      <c r="K359" t="s">
        <v>112</v>
      </c>
      <c r="L359" t="s">
        <v>113</v>
      </c>
      <c r="M359" t="s">
        <v>114</v>
      </c>
      <c r="N359">
        <v>48</v>
      </c>
      <c r="O359" t="s">
        <v>80</v>
      </c>
      <c r="P359">
        <v>621</v>
      </c>
      <c r="Q359">
        <v>0.68400000000000005</v>
      </c>
      <c r="R359">
        <v>175</v>
      </c>
      <c r="S359">
        <v>0.81130000000000002</v>
      </c>
      <c r="T359" t="s">
        <v>115</v>
      </c>
      <c r="U359" t="s">
        <v>116</v>
      </c>
      <c r="V359" t="s">
        <v>117</v>
      </c>
      <c r="W359" t="s">
        <v>118</v>
      </c>
      <c r="X359" t="s">
        <v>119</v>
      </c>
      <c r="Y359" t="s">
        <v>120</v>
      </c>
      <c r="Z359" t="s">
        <v>121</v>
      </c>
      <c r="AA359" t="s">
        <v>88</v>
      </c>
      <c r="AB359">
        <v>1435</v>
      </c>
      <c r="AC359">
        <v>10</v>
      </c>
      <c r="AE359">
        <v>1</v>
      </c>
      <c r="AF359" t="s">
        <v>89</v>
      </c>
      <c r="AG359" t="s">
        <v>320</v>
      </c>
      <c r="AH359" t="s">
        <v>72</v>
      </c>
      <c r="AI359" t="s">
        <v>72</v>
      </c>
      <c r="AJ359" t="s">
        <v>91</v>
      </c>
      <c r="AK359" t="s">
        <v>92</v>
      </c>
      <c r="AL359" t="s">
        <v>93</v>
      </c>
      <c r="AM359" t="s">
        <v>94</v>
      </c>
      <c r="AN359" t="s">
        <v>144</v>
      </c>
      <c r="AO359" t="s">
        <v>145</v>
      </c>
      <c r="AP359" t="s">
        <v>97</v>
      </c>
      <c r="AQ359">
        <v>39</v>
      </c>
      <c r="AR359" t="s">
        <v>80</v>
      </c>
      <c r="AS359">
        <v>1359</v>
      </c>
      <c r="AT359">
        <v>0.96879999999999999</v>
      </c>
      <c r="AU359">
        <v>172</v>
      </c>
      <c r="AV359">
        <v>0.94740000000000002</v>
      </c>
      <c r="AW359" t="s">
        <v>98</v>
      </c>
      <c r="AX359" t="s">
        <v>146</v>
      </c>
      <c r="AY359" t="s">
        <v>127</v>
      </c>
      <c r="AZ359" t="s">
        <v>101</v>
      </c>
      <c r="BA359" t="s">
        <v>128</v>
      </c>
      <c r="BB359" t="s">
        <v>103</v>
      </c>
      <c r="BC359" t="s">
        <v>104</v>
      </c>
      <c r="BD359" t="s">
        <v>105</v>
      </c>
      <c r="BE359">
        <v>17658</v>
      </c>
      <c r="BF359" t="s">
        <v>106</v>
      </c>
      <c r="BG359">
        <v>191</v>
      </c>
      <c r="BH359" t="s">
        <v>80</v>
      </c>
      <c r="BI359">
        <v>1</v>
      </c>
      <c r="BJ359">
        <v>5002</v>
      </c>
      <c r="BK359">
        <v>19</v>
      </c>
      <c r="BL359">
        <v>133</v>
      </c>
      <c r="BM359">
        <v>1739</v>
      </c>
      <c r="BN359">
        <v>2267</v>
      </c>
      <c r="BO359">
        <v>3475</v>
      </c>
      <c r="BP359">
        <v>68</v>
      </c>
      <c r="BQ359" s="2">
        <v>1711</v>
      </c>
      <c r="BR359">
        <f t="shared" si="85"/>
        <v>5003</v>
      </c>
      <c r="BS359">
        <f t="shared" si="86"/>
        <v>20</v>
      </c>
      <c r="BT359">
        <f t="shared" si="87"/>
        <v>134</v>
      </c>
      <c r="BU359">
        <f t="shared" si="88"/>
        <v>1740</v>
      </c>
      <c r="BV359">
        <f t="shared" si="89"/>
        <v>2268</v>
      </c>
      <c r="BW359">
        <f t="shared" si="90"/>
        <v>3476</v>
      </c>
      <c r="BX359">
        <f t="shared" si="91"/>
        <v>69</v>
      </c>
      <c r="BY359" s="2">
        <f t="shared" si="92"/>
        <v>1712</v>
      </c>
      <c r="BZ359">
        <f t="shared" si="93"/>
        <v>619.6176450180418</v>
      </c>
      <c r="CA359">
        <v>619.6176450180418</v>
      </c>
      <c r="CB359">
        <v>619.6176450180418</v>
      </c>
      <c r="CC359">
        <v>619.6176450180418</v>
      </c>
      <c r="CD359">
        <v>619.6176450180418</v>
      </c>
      <c r="CE359">
        <v>619.6176450180418</v>
      </c>
      <c r="CF359">
        <v>619.6176450180418</v>
      </c>
      <c r="CG359">
        <v>619.6176450180418</v>
      </c>
      <c r="CH359">
        <f t="shared" si="94"/>
        <v>0.90710672609957355</v>
      </c>
      <c r="CI359">
        <f t="shared" si="95"/>
        <v>-1.4910937811198544</v>
      </c>
      <c r="CJ359">
        <f t="shared" si="96"/>
        <v>-0.66501897841902802</v>
      </c>
      <c r="CK359">
        <f t="shared" si="97"/>
        <v>0.44842547149876405</v>
      </c>
      <c r="CL359">
        <f t="shared" si="98"/>
        <v>0.56351927343703334</v>
      </c>
      <c r="CM359">
        <f t="shared" si="99"/>
        <v>0.7489559909927932</v>
      </c>
      <c r="CN359">
        <f t="shared" si="100"/>
        <v>-0.95327468604658039</v>
      </c>
      <c r="CO359" s="2">
        <f t="shared" si="101"/>
        <v>0.44137998355729874</v>
      </c>
      <c r="CP359">
        <v>0.41279903163374398</v>
      </c>
      <c r="CQ359">
        <v>0.39432151668764398</v>
      </c>
      <c r="CR359">
        <v>-0.47607849756512299</v>
      </c>
      <c r="CS359">
        <v>-0.32411209996387502</v>
      </c>
      <c r="CT359">
        <v>-0.31877533002034297</v>
      </c>
      <c r="CU359">
        <v>-0.26436284620247102</v>
      </c>
      <c r="CV359">
        <v>0.11962180636242301</v>
      </c>
      <c r="CW359">
        <v>-0.27205377967213601</v>
      </c>
      <c r="CX359" t="s">
        <v>1827</v>
      </c>
    </row>
    <row r="360" spans="1:102" x14ac:dyDescent="0.35">
      <c r="A360" t="s">
        <v>347</v>
      </c>
      <c r="B360" t="s">
        <v>159</v>
      </c>
      <c r="C360" t="s">
        <v>108</v>
      </c>
      <c r="D360" t="s">
        <v>72</v>
      </c>
      <c r="E360" t="s">
        <v>72</v>
      </c>
      <c r="F360" t="s">
        <v>72</v>
      </c>
      <c r="G360" t="s">
        <v>73</v>
      </c>
      <c r="H360" t="s">
        <v>109</v>
      </c>
      <c r="I360" t="s">
        <v>110</v>
      </c>
      <c r="J360" t="s">
        <v>111</v>
      </c>
      <c r="K360" t="s">
        <v>112</v>
      </c>
      <c r="L360" t="s">
        <v>113</v>
      </c>
      <c r="M360" t="s">
        <v>114</v>
      </c>
      <c r="N360">
        <v>48</v>
      </c>
      <c r="O360" t="s">
        <v>80</v>
      </c>
      <c r="P360">
        <v>621</v>
      </c>
      <c r="Q360">
        <v>0.68400000000000005</v>
      </c>
      <c r="R360">
        <v>175</v>
      </c>
      <c r="S360">
        <v>0.81130000000000002</v>
      </c>
      <c r="T360" t="s">
        <v>115</v>
      </c>
      <c r="U360" t="s">
        <v>116</v>
      </c>
      <c r="V360" t="s">
        <v>117</v>
      </c>
      <c r="W360" t="s">
        <v>118</v>
      </c>
      <c r="X360" t="s">
        <v>119</v>
      </c>
      <c r="Y360" t="s">
        <v>120</v>
      </c>
      <c r="Z360" t="s">
        <v>121</v>
      </c>
      <c r="AA360" t="s">
        <v>88</v>
      </c>
      <c r="AB360">
        <v>167</v>
      </c>
      <c r="AC360">
        <v>4</v>
      </c>
      <c r="AE360">
        <v>1</v>
      </c>
      <c r="AF360" t="s">
        <v>211</v>
      </c>
      <c r="AG360" t="s">
        <v>348</v>
      </c>
      <c r="AH360" t="s">
        <v>72</v>
      </c>
      <c r="AI360" t="s">
        <v>72</v>
      </c>
      <c r="AJ360" t="s">
        <v>91</v>
      </c>
      <c r="AK360" t="s">
        <v>92</v>
      </c>
      <c r="AL360" t="s">
        <v>93</v>
      </c>
      <c r="AM360" t="s">
        <v>94</v>
      </c>
      <c r="AN360" t="s">
        <v>144</v>
      </c>
      <c r="AO360" t="s">
        <v>145</v>
      </c>
      <c r="AP360" t="s">
        <v>97</v>
      </c>
      <c r="AQ360">
        <v>39</v>
      </c>
      <c r="AR360" t="s">
        <v>80</v>
      </c>
      <c r="AS360">
        <v>1359</v>
      </c>
      <c r="AT360">
        <v>0.96879999999999999</v>
      </c>
      <c r="AU360">
        <v>172</v>
      </c>
      <c r="AV360">
        <v>0.94740000000000002</v>
      </c>
      <c r="AW360" t="s">
        <v>98</v>
      </c>
      <c r="AX360" t="s">
        <v>146</v>
      </c>
      <c r="AY360" t="s">
        <v>127</v>
      </c>
      <c r="AZ360" t="s">
        <v>101</v>
      </c>
      <c r="BA360" t="s">
        <v>128</v>
      </c>
      <c r="BB360" t="s">
        <v>103</v>
      </c>
      <c r="BC360" t="s">
        <v>104</v>
      </c>
      <c r="BD360" t="s">
        <v>105</v>
      </c>
      <c r="BE360">
        <v>583</v>
      </c>
      <c r="BF360" t="s">
        <v>106</v>
      </c>
      <c r="BG360">
        <v>6</v>
      </c>
      <c r="BH360" t="s">
        <v>80</v>
      </c>
      <c r="BI360">
        <v>1</v>
      </c>
      <c r="BJ360">
        <v>1074</v>
      </c>
      <c r="BK360">
        <v>6</v>
      </c>
      <c r="BL360">
        <v>27</v>
      </c>
      <c r="BM360">
        <v>349</v>
      </c>
      <c r="BN360">
        <v>457</v>
      </c>
      <c r="BO360">
        <v>618</v>
      </c>
      <c r="BP360">
        <v>14</v>
      </c>
      <c r="BQ360" s="2">
        <v>314</v>
      </c>
      <c r="BR360">
        <f t="shared" si="85"/>
        <v>1075</v>
      </c>
      <c r="BS360">
        <f t="shared" si="86"/>
        <v>7</v>
      </c>
      <c r="BT360">
        <f t="shared" si="87"/>
        <v>28</v>
      </c>
      <c r="BU360">
        <f t="shared" si="88"/>
        <v>350</v>
      </c>
      <c r="BV360">
        <f t="shared" si="89"/>
        <v>458</v>
      </c>
      <c r="BW360">
        <f t="shared" si="90"/>
        <v>619</v>
      </c>
      <c r="BX360">
        <f t="shared" si="91"/>
        <v>15</v>
      </c>
      <c r="BY360" s="2">
        <f t="shared" si="92"/>
        <v>315</v>
      </c>
      <c r="BZ360">
        <f t="shared" si="93"/>
        <v>133.14851127353208</v>
      </c>
      <c r="CA360">
        <v>133.14851127353208</v>
      </c>
      <c r="CB360">
        <v>133.14851127353208</v>
      </c>
      <c r="CC360">
        <v>133.14851127353208</v>
      </c>
      <c r="CD360">
        <v>133.14851127353208</v>
      </c>
      <c r="CE360">
        <v>133.14851127353208</v>
      </c>
      <c r="CF360">
        <v>133.14851127353208</v>
      </c>
      <c r="CG360">
        <v>133.14851127353208</v>
      </c>
      <c r="CH360">
        <f t="shared" si="94"/>
        <v>0.90707214927316859</v>
      </c>
      <c r="CI360">
        <f t="shared" si="95"/>
        <v>-1.2792382749641988</v>
      </c>
      <c r="CJ360">
        <f t="shared" si="96"/>
        <v>-0.67717828363623633</v>
      </c>
      <c r="CK360">
        <f t="shared" si="97"/>
        <v>0.41973172937182007</v>
      </c>
      <c r="CL360">
        <f t="shared" si="98"/>
        <v>0.53652916302541365</v>
      </c>
      <c r="CM360">
        <f t="shared" si="99"/>
        <v>0.66735433404166233</v>
      </c>
      <c r="CN360">
        <f t="shared" si="100"/>
        <v>-0.9482450559227743</v>
      </c>
      <c r="CO360" s="2">
        <f t="shared" si="101"/>
        <v>0.37397423881114489</v>
      </c>
      <c r="CP360">
        <v>0.41275748991602801</v>
      </c>
      <c r="CQ360">
        <v>1.02018600428073</v>
      </c>
      <c r="CR360">
        <v>-0.53040478350943698</v>
      </c>
      <c r="CS360">
        <v>-0.40865677369540898</v>
      </c>
      <c r="CT360">
        <v>-0.39390540955853698</v>
      </c>
      <c r="CU360">
        <v>-0.50001161927334603</v>
      </c>
      <c r="CV360">
        <v>0.13311114253970299</v>
      </c>
      <c r="CW360">
        <v>-0.45719399649953701</v>
      </c>
      <c r="CX360" t="s">
        <v>1827</v>
      </c>
    </row>
    <row r="361" spans="1:102" x14ac:dyDescent="0.35">
      <c r="A361" t="s">
        <v>1528</v>
      </c>
      <c r="B361" t="s">
        <v>89</v>
      </c>
      <c r="C361" t="s">
        <v>1529</v>
      </c>
      <c r="D361" t="s">
        <v>72</v>
      </c>
      <c r="E361" t="s">
        <v>72</v>
      </c>
      <c r="F361" t="s">
        <v>72</v>
      </c>
      <c r="G361" t="s">
        <v>73</v>
      </c>
      <c r="H361" t="s">
        <v>109</v>
      </c>
      <c r="I361" t="s">
        <v>110</v>
      </c>
      <c r="J361" t="s">
        <v>111</v>
      </c>
      <c r="K361" t="s">
        <v>112</v>
      </c>
      <c r="L361" t="s">
        <v>113</v>
      </c>
      <c r="M361" t="s">
        <v>114</v>
      </c>
      <c r="N361">
        <v>48</v>
      </c>
      <c r="O361" t="s">
        <v>80</v>
      </c>
      <c r="P361">
        <v>621</v>
      </c>
      <c r="Q361">
        <v>0.68400000000000005</v>
      </c>
      <c r="R361">
        <v>175</v>
      </c>
      <c r="S361">
        <v>0.81130000000000002</v>
      </c>
      <c r="T361" t="s">
        <v>115</v>
      </c>
      <c r="U361" t="s">
        <v>116</v>
      </c>
      <c r="V361" t="s">
        <v>117</v>
      </c>
      <c r="W361" t="s">
        <v>118</v>
      </c>
      <c r="X361" t="s">
        <v>119</v>
      </c>
      <c r="Y361" t="s">
        <v>120</v>
      </c>
      <c r="Z361" t="s">
        <v>121</v>
      </c>
      <c r="AA361" t="s">
        <v>88</v>
      </c>
      <c r="AB361">
        <v>886</v>
      </c>
      <c r="AC361">
        <v>6</v>
      </c>
      <c r="AE361">
        <v>1</v>
      </c>
      <c r="AF361" t="s">
        <v>142</v>
      </c>
      <c r="AG361" t="s">
        <v>161</v>
      </c>
      <c r="AH361" t="s">
        <v>72</v>
      </c>
      <c r="AI361" t="s">
        <v>72</v>
      </c>
      <c r="AJ361" t="s">
        <v>91</v>
      </c>
      <c r="AK361" t="s">
        <v>92</v>
      </c>
      <c r="AL361" t="s">
        <v>93</v>
      </c>
      <c r="AM361" t="s">
        <v>94</v>
      </c>
      <c r="AN361" t="s">
        <v>144</v>
      </c>
      <c r="AO361" t="s">
        <v>145</v>
      </c>
      <c r="AP361" t="s">
        <v>97</v>
      </c>
      <c r="AQ361">
        <v>39</v>
      </c>
      <c r="AR361" t="s">
        <v>80</v>
      </c>
      <c r="AS361">
        <v>1359</v>
      </c>
      <c r="AT361">
        <v>0.96879999999999999</v>
      </c>
      <c r="AU361">
        <v>172</v>
      </c>
      <c r="AV361">
        <v>0.94740000000000002</v>
      </c>
      <c r="AW361" t="s">
        <v>98</v>
      </c>
      <c r="AX361" t="s">
        <v>146</v>
      </c>
      <c r="AY361" t="s">
        <v>127</v>
      </c>
      <c r="AZ361" t="s">
        <v>101</v>
      </c>
      <c r="BA361" t="s">
        <v>128</v>
      </c>
      <c r="BB361" t="s">
        <v>103</v>
      </c>
      <c r="BC361" t="s">
        <v>104</v>
      </c>
      <c r="BD361" t="s">
        <v>105</v>
      </c>
      <c r="BE361">
        <v>6120</v>
      </c>
      <c r="BF361" t="s">
        <v>106</v>
      </c>
      <c r="BG361">
        <v>81</v>
      </c>
      <c r="BH361" t="s">
        <v>80</v>
      </c>
      <c r="BI361">
        <v>1</v>
      </c>
      <c r="BJ361">
        <v>1008</v>
      </c>
      <c r="BK361">
        <v>5</v>
      </c>
      <c r="BL361">
        <v>26</v>
      </c>
      <c r="BM361">
        <v>324</v>
      </c>
      <c r="BN361">
        <v>480</v>
      </c>
      <c r="BO361">
        <v>705</v>
      </c>
      <c r="BP361">
        <v>8</v>
      </c>
      <c r="BQ361" s="2">
        <v>370</v>
      </c>
      <c r="BR361">
        <f t="shared" si="85"/>
        <v>1009</v>
      </c>
      <c r="BS361">
        <f t="shared" si="86"/>
        <v>6</v>
      </c>
      <c r="BT361">
        <f t="shared" si="87"/>
        <v>27</v>
      </c>
      <c r="BU361">
        <f t="shared" si="88"/>
        <v>325</v>
      </c>
      <c r="BV361">
        <f t="shared" si="89"/>
        <v>481</v>
      </c>
      <c r="BW361">
        <f t="shared" si="90"/>
        <v>706</v>
      </c>
      <c r="BX361">
        <f t="shared" si="91"/>
        <v>9</v>
      </c>
      <c r="BY361" s="2">
        <f t="shared" si="92"/>
        <v>371</v>
      </c>
      <c r="BZ361">
        <f t="shared" si="93"/>
        <v>125.16473012128273</v>
      </c>
      <c r="CA361">
        <v>125.16473012128273</v>
      </c>
      <c r="CB361">
        <v>125.16473012128273</v>
      </c>
      <c r="CC361">
        <v>125.16473012128273</v>
      </c>
      <c r="CD361">
        <v>125.16473012128273</v>
      </c>
      <c r="CE361">
        <v>125.16473012128273</v>
      </c>
      <c r="CF361">
        <v>125.16473012128273</v>
      </c>
      <c r="CG361">
        <v>125.16473012128273</v>
      </c>
      <c r="CH361">
        <f t="shared" si="94"/>
        <v>0.9064091989571077</v>
      </c>
      <c r="CI361">
        <f t="shared" si="95"/>
        <v>-1.319330716896159</v>
      </c>
      <c r="CJ361">
        <f t="shared" si="96"/>
        <v>-0.66611820312081549</v>
      </c>
      <c r="CK361">
        <f t="shared" si="97"/>
        <v>0.41440139369907164</v>
      </c>
      <c r="CL361">
        <f t="shared" si="98"/>
        <v>0.58466310909402897</v>
      </c>
      <c r="CM361">
        <f t="shared" si="99"/>
        <v>0.75132273377200098</v>
      </c>
      <c r="CN361">
        <f t="shared" si="100"/>
        <v>-1.1432394578404779</v>
      </c>
      <c r="CO361" s="2">
        <f t="shared" si="101"/>
        <v>0.47189194233524312</v>
      </c>
      <c r="CP361">
        <v>0.411960999961557</v>
      </c>
      <c r="CQ361">
        <v>0.90174473229572805</v>
      </c>
      <c r="CR361">
        <v>-0.48098969885496601</v>
      </c>
      <c r="CS361">
        <v>-0.42436234072596002</v>
      </c>
      <c r="CT361">
        <v>-0.25991902930774202</v>
      </c>
      <c r="CU361">
        <v>-0.257528180670757</v>
      </c>
      <c r="CV361">
        <v>-0.38985873305923902</v>
      </c>
      <c r="CW361">
        <v>-0.18824800487873899</v>
      </c>
      <c r="CX361" t="s">
        <v>1827</v>
      </c>
    </row>
    <row r="362" spans="1:102" x14ac:dyDescent="0.35">
      <c r="A362" t="s">
        <v>1740</v>
      </c>
      <c r="B362" t="s">
        <v>89</v>
      </c>
      <c r="C362" t="s">
        <v>1741</v>
      </c>
      <c r="D362" t="s">
        <v>72</v>
      </c>
      <c r="E362" t="s">
        <v>72</v>
      </c>
      <c r="F362" t="s">
        <v>72</v>
      </c>
      <c r="G362" t="s">
        <v>73</v>
      </c>
      <c r="H362" t="s">
        <v>74</v>
      </c>
      <c r="I362" t="s">
        <v>75</v>
      </c>
      <c r="J362" t="s">
        <v>76</v>
      </c>
      <c r="K362" t="s">
        <v>77</v>
      </c>
      <c r="L362" t="s">
        <v>78</v>
      </c>
      <c r="M362" t="s">
        <v>79</v>
      </c>
      <c r="N362">
        <v>60</v>
      </c>
      <c r="O362" t="s">
        <v>80</v>
      </c>
      <c r="P362">
        <v>792</v>
      </c>
      <c r="Q362">
        <v>0.75</v>
      </c>
      <c r="R362">
        <v>177</v>
      </c>
      <c r="S362">
        <v>0.85419999999999996</v>
      </c>
      <c r="T362" t="s">
        <v>81</v>
      </c>
      <c r="U362" t="s">
        <v>82</v>
      </c>
      <c r="V362" t="s">
        <v>83</v>
      </c>
      <c r="W362" t="s">
        <v>84</v>
      </c>
      <c r="X362" t="s">
        <v>85</v>
      </c>
      <c r="Y362" t="s">
        <v>86</v>
      </c>
      <c r="Z362" t="s">
        <v>87</v>
      </c>
      <c r="AA362" t="s">
        <v>88</v>
      </c>
      <c r="AB362">
        <v>1816</v>
      </c>
      <c r="AC362">
        <v>12</v>
      </c>
      <c r="AE362">
        <v>22</v>
      </c>
      <c r="AF362" t="s">
        <v>211</v>
      </c>
      <c r="AG362" t="s">
        <v>1742</v>
      </c>
      <c r="AH362" t="s">
        <v>72</v>
      </c>
      <c r="AI362" t="s">
        <v>72</v>
      </c>
      <c r="AJ362" t="s">
        <v>91</v>
      </c>
      <c r="AK362" t="s">
        <v>92</v>
      </c>
      <c r="AL362" t="s">
        <v>93</v>
      </c>
      <c r="AM362" t="s">
        <v>94</v>
      </c>
      <c r="AN362" t="s">
        <v>1743</v>
      </c>
      <c r="AO362" t="s">
        <v>1744</v>
      </c>
      <c r="AP362" t="s">
        <v>1238</v>
      </c>
      <c r="AQ362">
        <v>39</v>
      </c>
      <c r="AR362" t="s">
        <v>80</v>
      </c>
      <c r="AS362">
        <v>1359</v>
      </c>
      <c r="AT362">
        <v>0.96879999999999999</v>
      </c>
      <c r="AU362">
        <v>172</v>
      </c>
      <c r="AV362">
        <v>0.94740000000000002</v>
      </c>
      <c r="AW362" t="s">
        <v>98</v>
      </c>
      <c r="AX362" t="s">
        <v>146</v>
      </c>
      <c r="AY362" t="s">
        <v>127</v>
      </c>
      <c r="AZ362" t="s">
        <v>101</v>
      </c>
      <c r="BA362" t="s">
        <v>128</v>
      </c>
      <c r="BB362" t="s">
        <v>103</v>
      </c>
      <c r="BC362" t="s">
        <v>1241</v>
      </c>
      <c r="BD362" t="s">
        <v>105</v>
      </c>
      <c r="BE362">
        <v>12321</v>
      </c>
      <c r="BF362" t="s">
        <v>1242</v>
      </c>
      <c r="BG362">
        <v>168</v>
      </c>
      <c r="BH362" t="s">
        <v>80</v>
      </c>
      <c r="BI362">
        <v>1</v>
      </c>
      <c r="BJ362">
        <v>2250</v>
      </c>
      <c r="BK362">
        <v>16</v>
      </c>
      <c r="BL362">
        <v>64</v>
      </c>
      <c r="BM362">
        <v>675</v>
      </c>
      <c r="BN362">
        <v>840</v>
      </c>
      <c r="BO362">
        <v>1308</v>
      </c>
      <c r="BP362">
        <v>35</v>
      </c>
      <c r="BQ362" s="2">
        <v>642</v>
      </c>
      <c r="BR362">
        <f t="shared" si="85"/>
        <v>2251</v>
      </c>
      <c r="BS362">
        <f t="shared" si="86"/>
        <v>17</v>
      </c>
      <c r="BT362">
        <f t="shared" si="87"/>
        <v>65</v>
      </c>
      <c r="BU362">
        <f t="shared" si="88"/>
        <v>676</v>
      </c>
      <c r="BV362">
        <f t="shared" si="89"/>
        <v>841</v>
      </c>
      <c r="BW362">
        <f t="shared" si="90"/>
        <v>1309</v>
      </c>
      <c r="BX362">
        <f t="shared" si="91"/>
        <v>36</v>
      </c>
      <c r="BY362" s="2">
        <f t="shared" si="92"/>
        <v>643</v>
      </c>
      <c r="BZ362">
        <f t="shared" si="93"/>
        <v>284.44067338958507</v>
      </c>
      <c r="CA362">
        <v>284.44067338958507</v>
      </c>
      <c r="CB362">
        <v>284.44067338958507</v>
      </c>
      <c r="CC362">
        <v>284.44067338958507</v>
      </c>
      <c r="CD362">
        <v>284.44067338958507</v>
      </c>
      <c r="CE362">
        <v>284.44067338958507</v>
      </c>
      <c r="CF362">
        <v>284.44067338958507</v>
      </c>
      <c r="CG362">
        <v>284.44067338958507</v>
      </c>
      <c r="CH362">
        <f t="shared" si="94"/>
        <v>0.89838379687508718</v>
      </c>
      <c r="CI362">
        <f t="shared" si="95"/>
        <v>-1.2235427767471589</v>
      </c>
      <c r="CJ362">
        <f t="shared" si="96"/>
        <v>-0.64107834148257725</v>
      </c>
      <c r="CK362">
        <f t="shared" si="97"/>
        <v>0.37595499781620306</v>
      </c>
      <c r="CL362">
        <f t="shared" si="98"/>
        <v>0.47080429767247933</v>
      </c>
      <c r="CM362">
        <f t="shared" si="99"/>
        <v>0.6629479484253229</v>
      </c>
      <c r="CN362">
        <f t="shared" si="100"/>
        <v>-0.89768919735814556</v>
      </c>
      <c r="CO362" s="2">
        <f t="shared" si="101"/>
        <v>0.35421927479878917</v>
      </c>
      <c r="CP362">
        <v>0.402319022298884</v>
      </c>
      <c r="CQ362">
        <v>1.18472189520649</v>
      </c>
      <c r="CR362">
        <v>-0.36911466495584</v>
      </c>
      <c r="CS362">
        <v>-0.53764272017909098</v>
      </c>
      <c r="CT362">
        <v>-0.57685813877290804</v>
      </c>
      <c r="CU362">
        <v>-0.51273635309571597</v>
      </c>
      <c r="CV362">
        <v>0.26870063025997099</v>
      </c>
      <c r="CW362">
        <v>-0.51145403523123201</v>
      </c>
      <c r="CX362" t="s">
        <v>1827</v>
      </c>
    </row>
    <row r="363" spans="1:102" x14ac:dyDescent="0.35">
      <c r="A363" t="s">
        <v>586</v>
      </c>
      <c r="B363" t="s">
        <v>148</v>
      </c>
      <c r="C363" t="s">
        <v>319</v>
      </c>
      <c r="D363" t="s">
        <v>72</v>
      </c>
      <c r="E363" t="s">
        <v>72</v>
      </c>
      <c r="F363" t="s">
        <v>72</v>
      </c>
      <c r="G363" t="s">
        <v>73</v>
      </c>
      <c r="H363" t="s">
        <v>109</v>
      </c>
      <c r="I363" t="s">
        <v>110</v>
      </c>
      <c r="J363" t="s">
        <v>111</v>
      </c>
      <c r="K363" t="s">
        <v>112</v>
      </c>
      <c r="L363" t="s">
        <v>113</v>
      </c>
      <c r="M363" t="s">
        <v>114</v>
      </c>
      <c r="N363">
        <v>48</v>
      </c>
      <c r="O363" t="s">
        <v>80</v>
      </c>
      <c r="P363">
        <v>621</v>
      </c>
      <c r="Q363">
        <v>0.68400000000000005</v>
      </c>
      <c r="R363">
        <v>175</v>
      </c>
      <c r="S363">
        <v>0.81130000000000002</v>
      </c>
      <c r="T363" t="s">
        <v>115</v>
      </c>
      <c r="U363" t="s">
        <v>116</v>
      </c>
      <c r="V363" t="s">
        <v>117</v>
      </c>
      <c r="W363" t="s">
        <v>118</v>
      </c>
      <c r="X363" t="s">
        <v>119</v>
      </c>
      <c r="Y363" t="s">
        <v>120</v>
      </c>
      <c r="Z363" t="s">
        <v>121</v>
      </c>
      <c r="AA363" t="s">
        <v>88</v>
      </c>
      <c r="AB363">
        <v>1054</v>
      </c>
      <c r="AC363">
        <v>9</v>
      </c>
      <c r="AE363">
        <v>1</v>
      </c>
      <c r="AF363" t="s">
        <v>89</v>
      </c>
      <c r="AG363" t="s">
        <v>279</v>
      </c>
      <c r="AH363" t="s">
        <v>72</v>
      </c>
      <c r="AI363" t="s">
        <v>72</v>
      </c>
      <c r="AJ363" t="s">
        <v>91</v>
      </c>
      <c r="AK363" t="s">
        <v>92</v>
      </c>
      <c r="AL363" t="s">
        <v>93</v>
      </c>
      <c r="AM363" t="s">
        <v>94</v>
      </c>
      <c r="AN363" t="s">
        <v>144</v>
      </c>
      <c r="AO363" t="s">
        <v>145</v>
      </c>
      <c r="AP363" t="s">
        <v>97</v>
      </c>
      <c r="AQ363">
        <v>39</v>
      </c>
      <c r="AR363" t="s">
        <v>80</v>
      </c>
      <c r="AS363">
        <v>1359</v>
      </c>
      <c r="AT363">
        <v>0.96879999999999999</v>
      </c>
      <c r="AU363">
        <v>172</v>
      </c>
      <c r="AV363">
        <v>0.94740000000000002</v>
      </c>
      <c r="AW363" t="s">
        <v>98</v>
      </c>
      <c r="AX363" t="s">
        <v>146</v>
      </c>
      <c r="AY363" t="s">
        <v>127</v>
      </c>
      <c r="AZ363" t="s">
        <v>101</v>
      </c>
      <c r="BA363" t="s">
        <v>128</v>
      </c>
      <c r="BB363" t="s">
        <v>103</v>
      </c>
      <c r="BC363" t="s">
        <v>104</v>
      </c>
      <c r="BD363" t="s">
        <v>105</v>
      </c>
      <c r="BE363">
        <v>10967</v>
      </c>
      <c r="BF363" t="s">
        <v>106</v>
      </c>
      <c r="BG363">
        <v>139</v>
      </c>
      <c r="BH363" t="s">
        <v>80</v>
      </c>
      <c r="BI363">
        <v>1</v>
      </c>
      <c r="BJ363">
        <v>1747</v>
      </c>
      <c r="BK363">
        <v>6</v>
      </c>
      <c r="BL363">
        <v>59</v>
      </c>
      <c r="BM363">
        <v>721</v>
      </c>
      <c r="BN363">
        <v>885</v>
      </c>
      <c r="BO363">
        <v>1265</v>
      </c>
      <c r="BP363">
        <v>19</v>
      </c>
      <c r="BQ363" s="2">
        <v>603</v>
      </c>
      <c r="BR363">
        <f t="shared" si="85"/>
        <v>1748</v>
      </c>
      <c r="BS363">
        <f t="shared" si="86"/>
        <v>7</v>
      </c>
      <c r="BT363">
        <f t="shared" si="87"/>
        <v>60</v>
      </c>
      <c r="BU363">
        <f t="shared" si="88"/>
        <v>722</v>
      </c>
      <c r="BV363">
        <f t="shared" si="89"/>
        <v>886</v>
      </c>
      <c r="BW363">
        <f t="shared" si="90"/>
        <v>1266</v>
      </c>
      <c r="BX363">
        <f t="shared" si="91"/>
        <v>20</v>
      </c>
      <c r="BY363" s="2">
        <f t="shared" si="92"/>
        <v>604</v>
      </c>
      <c r="BZ363">
        <f t="shared" si="93"/>
        <v>227.52691837023255</v>
      </c>
      <c r="CA363">
        <v>227.52691837023255</v>
      </c>
      <c r="CB363">
        <v>227.52691837023255</v>
      </c>
      <c r="CC363">
        <v>227.52691837023255</v>
      </c>
      <c r="CD363">
        <v>227.52691837023255</v>
      </c>
      <c r="CE363">
        <v>227.52691837023255</v>
      </c>
      <c r="CF363">
        <v>227.52691837023255</v>
      </c>
      <c r="CG363">
        <v>227.52691837023255</v>
      </c>
      <c r="CH363">
        <f t="shared" si="94"/>
        <v>0.88550864353345626</v>
      </c>
      <c r="CI363">
        <f t="shared" si="95"/>
        <v>-1.5119347447506712</v>
      </c>
      <c r="CJ363">
        <f t="shared" si="96"/>
        <v>-0.57888153438128442</v>
      </c>
      <c r="CK363">
        <f t="shared" si="97"/>
        <v>0.50150441280471114</v>
      </c>
      <c r="CL363">
        <f t="shared" si="98"/>
        <v>0.59040093712212272</v>
      </c>
      <c r="CM363">
        <f t="shared" si="99"/>
        <v>0.7454009209164083</v>
      </c>
      <c r="CN363">
        <f t="shared" si="100"/>
        <v>-1.0560027891009469</v>
      </c>
      <c r="CO363" s="2">
        <f t="shared" si="101"/>
        <v>0.42400415385620382</v>
      </c>
      <c r="CP363">
        <v>0.386850396595805</v>
      </c>
      <c r="CQ363">
        <v>0.332753048346001</v>
      </c>
      <c r="CR363">
        <v>-9.1226951221486399E-2</v>
      </c>
      <c r="CS363">
        <v>-0.16771765845557701</v>
      </c>
      <c r="CT363">
        <v>-0.24394712443025901</v>
      </c>
      <c r="CU363">
        <v>-0.27462915614006</v>
      </c>
      <c r="CV363">
        <v>-0.15589227376758599</v>
      </c>
      <c r="CW363">
        <v>-0.31977916109966298</v>
      </c>
      <c r="CX363" t="s">
        <v>1827</v>
      </c>
    </row>
    <row r="364" spans="1:102" x14ac:dyDescent="0.35">
      <c r="A364" t="s">
        <v>1717</v>
      </c>
      <c r="B364" t="s">
        <v>159</v>
      </c>
      <c r="C364" t="s">
        <v>1277</v>
      </c>
      <c r="D364" t="s">
        <v>72</v>
      </c>
      <c r="E364" t="s">
        <v>72</v>
      </c>
      <c r="F364" t="s">
        <v>72</v>
      </c>
      <c r="G364" t="s">
        <v>73</v>
      </c>
      <c r="H364" t="s">
        <v>74</v>
      </c>
      <c r="I364" t="s">
        <v>75</v>
      </c>
      <c r="J364" t="s">
        <v>76</v>
      </c>
      <c r="K364" t="s">
        <v>77</v>
      </c>
      <c r="L364" t="s">
        <v>78</v>
      </c>
      <c r="M364" t="s">
        <v>79</v>
      </c>
      <c r="N364">
        <v>60</v>
      </c>
      <c r="O364" t="s">
        <v>80</v>
      </c>
      <c r="P364">
        <v>792</v>
      </c>
      <c r="Q364">
        <v>0.75</v>
      </c>
      <c r="R364">
        <v>177</v>
      </c>
      <c r="S364">
        <v>0.85419999999999996</v>
      </c>
      <c r="T364" t="s">
        <v>81</v>
      </c>
      <c r="U364" t="s">
        <v>82</v>
      </c>
      <c r="V364" t="s">
        <v>83</v>
      </c>
      <c r="W364" t="s">
        <v>84</v>
      </c>
      <c r="X364" t="s">
        <v>85</v>
      </c>
      <c r="Y364" t="s">
        <v>86</v>
      </c>
      <c r="Z364" t="s">
        <v>87</v>
      </c>
      <c r="AA364" t="s">
        <v>88</v>
      </c>
      <c r="AB364">
        <v>1234</v>
      </c>
      <c r="AC364">
        <v>15</v>
      </c>
      <c r="AE364">
        <v>22</v>
      </c>
      <c r="AF364" t="s">
        <v>231</v>
      </c>
      <c r="AG364" t="s">
        <v>1718</v>
      </c>
      <c r="AH364" t="s">
        <v>72</v>
      </c>
      <c r="AI364" t="s">
        <v>72</v>
      </c>
      <c r="AJ364" t="s">
        <v>91</v>
      </c>
      <c r="AK364" t="s">
        <v>92</v>
      </c>
      <c r="AL364" t="s">
        <v>93</v>
      </c>
      <c r="AM364" t="s">
        <v>94</v>
      </c>
      <c r="AN364" t="s">
        <v>144</v>
      </c>
      <c r="AO364" t="s">
        <v>145</v>
      </c>
      <c r="AP364" t="s">
        <v>97</v>
      </c>
      <c r="AQ364">
        <v>39</v>
      </c>
      <c r="AR364" t="s">
        <v>80</v>
      </c>
      <c r="AS364">
        <v>1359</v>
      </c>
      <c r="AT364">
        <v>0.96879999999999999</v>
      </c>
      <c r="AU364">
        <v>172</v>
      </c>
      <c r="AV364">
        <v>0.94740000000000002</v>
      </c>
      <c r="AW364" t="s">
        <v>98</v>
      </c>
      <c r="AX364" t="s">
        <v>146</v>
      </c>
      <c r="AY364" t="s">
        <v>127</v>
      </c>
      <c r="AZ364" t="s">
        <v>101</v>
      </c>
      <c r="BA364" t="s">
        <v>128</v>
      </c>
      <c r="BB364" t="s">
        <v>103</v>
      </c>
      <c r="BC364" t="s">
        <v>104</v>
      </c>
      <c r="BD364" t="s">
        <v>105</v>
      </c>
      <c r="BE364">
        <v>23678</v>
      </c>
      <c r="BF364" t="s">
        <v>106</v>
      </c>
      <c r="BG364">
        <v>287</v>
      </c>
      <c r="BH364" t="s">
        <v>80</v>
      </c>
      <c r="BI364">
        <v>1</v>
      </c>
      <c r="BJ364">
        <v>3450</v>
      </c>
      <c r="BK364">
        <v>17</v>
      </c>
      <c r="BL364">
        <v>91</v>
      </c>
      <c r="BM364">
        <v>1304</v>
      </c>
      <c r="BN364">
        <v>1704</v>
      </c>
      <c r="BO364">
        <v>2486</v>
      </c>
      <c r="BP364">
        <v>39</v>
      </c>
      <c r="BQ364" s="2">
        <v>1366</v>
      </c>
      <c r="BR364">
        <f t="shared" si="85"/>
        <v>3451</v>
      </c>
      <c r="BS364">
        <f t="shared" si="86"/>
        <v>18</v>
      </c>
      <c r="BT364">
        <f t="shared" si="87"/>
        <v>92</v>
      </c>
      <c r="BU364">
        <f t="shared" si="88"/>
        <v>1305</v>
      </c>
      <c r="BV364">
        <f t="shared" si="89"/>
        <v>1705</v>
      </c>
      <c r="BW364">
        <f t="shared" si="90"/>
        <v>2487</v>
      </c>
      <c r="BX364">
        <f t="shared" si="91"/>
        <v>40</v>
      </c>
      <c r="BY364" s="2">
        <f t="shared" si="92"/>
        <v>1367</v>
      </c>
      <c r="BZ364">
        <f t="shared" si="93"/>
        <v>451.57569576527834</v>
      </c>
      <c r="CA364">
        <v>451.57569576527834</v>
      </c>
      <c r="CB364">
        <v>451.57569576527834</v>
      </c>
      <c r="CC364">
        <v>451.57569576527834</v>
      </c>
      <c r="CD364">
        <v>451.57569576527834</v>
      </c>
      <c r="CE364">
        <v>451.57569576527834</v>
      </c>
      <c r="CF364">
        <v>451.57569576527834</v>
      </c>
      <c r="CG364">
        <v>451.57569576527834</v>
      </c>
      <c r="CH364">
        <f t="shared" si="94"/>
        <v>0.88321439955287617</v>
      </c>
      <c r="CI364">
        <f t="shared" si="95"/>
        <v>-1.3994580546353046</v>
      </c>
      <c r="CJ364">
        <f t="shared" si="96"/>
        <v>-0.69094273239305537</v>
      </c>
      <c r="CK364">
        <f t="shared" si="97"/>
        <v>0.46087995193568915</v>
      </c>
      <c r="CL364">
        <f t="shared" si="98"/>
        <v>0.57699382358990592</v>
      </c>
      <c r="CM364">
        <f t="shared" si="99"/>
        <v>0.74094522553132536</v>
      </c>
      <c r="CN364">
        <f t="shared" si="100"/>
        <v>-1.0526705684106483</v>
      </c>
      <c r="CO364" s="2">
        <f t="shared" si="101"/>
        <v>0.48103795482921169</v>
      </c>
      <c r="CP364">
        <v>0.38409401766458101</v>
      </c>
      <c r="CQ364">
        <v>0.66503219134594205</v>
      </c>
      <c r="CR364">
        <v>-0.59190265412547705</v>
      </c>
      <c r="CS364">
        <v>-0.28741559727777699</v>
      </c>
      <c r="CT364">
        <v>-0.28126736842671901</v>
      </c>
      <c r="CU364">
        <v>-0.287496286415382</v>
      </c>
      <c r="CV364">
        <v>-0.14695534520586601</v>
      </c>
      <c r="CW364">
        <v>-0.16312707872301899</v>
      </c>
      <c r="CX364" t="s">
        <v>1827</v>
      </c>
    </row>
    <row r="365" spans="1:102" x14ac:dyDescent="0.35">
      <c r="A365" t="s">
        <v>1332</v>
      </c>
      <c r="B365" t="s">
        <v>159</v>
      </c>
      <c r="C365" t="s">
        <v>149</v>
      </c>
      <c r="D365" t="s">
        <v>72</v>
      </c>
      <c r="E365" t="s">
        <v>72</v>
      </c>
      <c r="F365" t="s">
        <v>72</v>
      </c>
      <c r="G365" t="s">
        <v>73</v>
      </c>
      <c r="H365" t="s">
        <v>74</v>
      </c>
      <c r="I365" t="s">
        <v>75</v>
      </c>
      <c r="J365" t="s">
        <v>76</v>
      </c>
      <c r="K365" t="s">
        <v>77</v>
      </c>
      <c r="L365" t="s">
        <v>78</v>
      </c>
      <c r="M365" t="s">
        <v>79</v>
      </c>
      <c r="N365">
        <v>60</v>
      </c>
      <c r="O365" t="s">
        <v>80</v>
      </c>
      <c r="P365">
        <v>792</v>
      </c>
      <c r="Q365">
        <v>0.75</v>
      </c>
      <c r="R365">
        <v>177</v>
      </c>
      <c r="S365">
        <v>0.85419999999999996</v>
      </c>
      <c r="T365" t="s">
        <v>81</v>
      </c>
      <c r="U365" t="s">
        <v>82</v>
      </c>
      <c r="V365" t="s">
        <v>83</v>
      </c>
      <c r="W365" t="s">
        <v>84</v>
      </c>
      <c r="X365" t="s">
        <v>85</v>
      </c>
      <c r="Y365" t="s">
        <v>86</v>
      </c>
      <c r="Z365" t="s">
        <v>87</v>
      </c>
      <c r="AA365" t="s">
        <v>88</v>
      </c>
      <c r="AB365">
        <v>245</v>
      </c>
      <c r="AC365">
        <v>4</v>
      </c>
      <c r="AE365">
        <v>22</v>
      </c>
      <c r="AF365" t="s">
        <v>142</v>
      </c>
      <c r="AG365" t="s">
        <v>384</v>
      </c>
      <c r="AH365" t="s">
        <v>72</v>
      </c>
      <c r="AI365" t="s">
        <v>72</v>
      </c>
      <c r="AJ365" t="s">
        <v>91</v>
      </c>
      <c r="AK365" t="s">
        <v>92</v>
      </c>
      <c r="AL365" t="s">
        <v>93</v>
      </c>
      <c r="AM365" t="s">
        <v>94</v>
      </c>
      <c r="AN365" t="s">
        <v>144</v>
      </c>
      <c r="AO365" t="s">
        <v>145</v>
      </c>
      <c r="AP365" t="s">
        <v>97</v>
      </c>
      <c r="AQ365">
        <v>39</v>
      </c>
      <c r="AR365" t="s">
        <v>80</v>
      </c>
      <c r="AS365">
        <v>1359</v>
      </c>
      <c r="AT365">
        <v>0.96879999999999999</v>
      </c>
      <c r="AU365">
        <v>172</v>
      </c>
      <c r="AV365">
        <v>0.94740000000000002</v>
      </c>
      <c r="AW365" t="s">
        <v>98</v>
      </c>
      <c r="AX365" t="s">
        <v>146</v>
      </c>
      <c r="AY365" t="s">
        <v>127</v>
      </c>
      <c r="AZ365" t="s">
        <v>101</v>
      </c>
      <c r="BA365" t="s">
        <v>128</v>
      </c>
      <c r="BB365" t="s">
        <v>103</v>
      </c>
      <c r="BC365" t="s">
        <v>104</v>
      </c>
      <c r="BD365" t="s">
        <v>105</v>
      </c>
      <c r="BE365">
        <v>6278</v>
      </c>
      <c r="BF365" t="s">
        <v>106</v>
      </c>
      <c r="BG365">
        <v>68</v>
      </c>
      <c r="BH365" t="s">
        <v>80</v>
      </c>
      <c r="BI365">
        <v>1</v>
      </c>
      <c r="BJ365">
        <v>810</v>
      </c>
      <c r="BK365">
        <v>5</v>
      </c>
      <c r="BL365">
        <v>17</v>
      </c>
      <c r="BM365">
        <v>291</v>
      </c>
      <c r="BN365">
        <v>401</v>
      </c>
      <c r="BO365">
        <v>495</v>
      </c>
      <c r="BP365">
        <v>10</v>
      </c>
      <c r="BQ365" s="2">
        <v>303</v>
      </c>
      <c r="BR365">
        <f t="shared" si="85"/>
        <v>811</v>
      </c>
      <c r="BS365">
        <f t="shared" si="86"/>
        <v>6</v>
      </c>
      <c r="BT365">
        <f t="shared" si="87"/>
        <v>18</v>
      </c>
      <c r="BU365">
        <f t="shared" si="88"/>
        <v>292</v>
      </c>
      <c r="BV365">
        <f t="shared" si="89"/>
        <v>402</v>
      </c>
      <c r="BW365">
        <f t="shared" si="90"/>
        <v>496</v>
      </c>
      <c r="BX365">
        <f t="shared" si="91"/>
        <v>11</v>
      </c>
      <c r="BY365" s="2">
        <f t="shared" si="92"/>
        <v>304</v>
      </c>
      <c r="BZ365">
        <f t="shared" si="93"/>
        <v>106.89937903050661</v>
      </c>
      <c r="CA365">
        <v>106.89937903050661</v>
      </c>
      <c r="CB365">
        <v>106.89937903050661</v>
      </c>
      <c r="CC365">
        <v>106.89937903050661</v>
      </c>
      <c r="CD365">
        <v>106.89937903050661</v>
      </c>
      <c r="CE365">
        <v>106.89937903050661</v>
      </c>
      <c r="CF365">
        <v>106.89937903050661</v>
      </c>
      <c r="CG365">
        <v>106.89937903050661</v>
      </c>
      <c r="CH365">
        <f t="shared" si="94"/>
        <v>0.88004567177513471</v>
      </c>
      <c r="CI365">
        <f t="shared" si="95"/>
        <v>-1.2508239320523777</v>
      </c>
      <c r="CJ365">
        <f t="shared" si="96"/>
        <v>-0.77370267733271525</v>
      </c>
      <c r="CK365">
        <f t="shared" si="97"/>
        <v>0.43640766901239703</v>
      </c>
      <c r="CL365">
        <f t="shared" si="98"/>
        <v>0.57525087064844882</v>
      </c>
      <c r="CM365">
        <f t="shared" si="99"/>
        <v>0.66650649405417617</v>
      </c>
      <c r="CN365">
        <f t="shared" si="100"/>
        <v>-0.98758249727779623</v>
      </c>
      <c r="CO365" s="2">
        <f t="shared" si="101"/>
        <v>0.45389840117273245</v>
      </c>
      <c r="CP365">
        <v>0.38028700561212297</v>
      </c>
      <c r="CQ365">
        <v>1.10412778370153</v>
      </c>
      <c r="CR365">
        <v>-0.96166394831231305</v>
      </c>
      <c r="CS365">
        <v>-0.35952195294452999</v>
      </c>
      <c r="CT365">
        <v>-0.28611907859484897</v>
      </c>
      <c r="CU365">
        <v>-0.50246000647865896</v>
      </c>
      <c r="CV365">
        <v>2.7609155767288E-2</v>
      </c>
      <c r="CW365">
        <v>-0.23767002558135999</v>
      </c>
      <c r="CX365" t="s">
        <v>1827</v>
      </c>
    </row>
    <row r="366" spans="1:102" x14ac:dyDescent="0.35">
      <c r="A366" t="s">
        <v>1484</v>
      </c>
      <c r="B366" t="s">
        <v>159</v>
      </c>
      <c r="C366" t="s">
        <v>108</v>
      </c>
      <c r="D366" t="s">
        <v>72</v>
      </c>
      <c r="E366" t="s">
        <v>72</v>
      </c>
      <c r="F366" t="s">
        <v>72</v>
      </c>
      <c r="G366" t="s">
        <v>73</v>
      </c>
      <c r="H366" t="s">
        <v>109</v>
      </c>
      <c r="I366" t="s">
        <v>110</v>
      </c>
      <c r="J366" t="s">
        <v>111</v>
      </c>
      <c r="K366" t="s">
        <v>112</v>
      </c>
      <c r="L366" t="s">
        <v>113</v>
      </c>
      <c r="M366" t="s">
        <v>114</v>
      </c>
      <c r="N366">
        <v>48</v>
      </c>
      <c r="O366" t="s">
        <v>80</v>
      </c>
      <c r="P366">
        <v>621</v>
      </c>
      <c r="Q366">
        <v>0.68400000000000005</v>
      </c>
      <c r="R366">
        <v>175</v>
      </c>
      <c r="S366">
        <v>0.81130000000000002</v>
      </c>
      <c r="T366" t="s">
        <v>115</v>
      </c>
      <c r="U366" t="s">
        <v>116</v>
      </c>
      <c r="V366" t="s">
        <v>117</v>
      </c>
      <c r="W366" t="s">
        <v>118</v>
      </c>
      <c r="X366" t="s">
        <v>119</v>
      </c>
      <c r="Y366" t="s">
        <v>120</v>
      </c>
      <c r="Z366" t="s">
        <v>121</v>
      </c>
      <c r="AA366" t="s">
        <v>88</v>
      </c>
      <c r="AB366">
        <v>163</v>
      </c>
      <c r="AC366">
        <v>2</v>
      </c>
      <c r="AE366">
        <v>1</v>
      </c>
      <c r="AF366" t="s">
        <v>142</v>
      </c>
      <c r="AG366" t="s">
        <v>384</v>
      </c>
      <c r="AH366" t="s">
        <v>72</v>
      </c>
      <c r="AI366" t="s">
        <v>72</v>
      </c>
      <c r="AJ366" t="s">
        <v>91</v>
      </c>
      <c r="AK366" t="s">
        <v>92</v>
      </c>
      <c r="AL366" t="s">
        <v>93</v>
      </c>
      <c r="AM366" t="s">
        <v>94</v>
      </c>
      <c r="AN366" t="s">
        <v>144</v>
      </c>
      <c r="AO366" t="s">
        <v>145</v>
      </c>
      <c r="AP366" t="s">
        <v>97</v>
      </c>
      <c r="AQ366">
        <v>39</v>
      </c>
      <c r="AR366" t="s">
        <v>80</v>
      </c>
      <c r="AS366">
        <v>1359</v>
      </c>
      <c r="AT366">
        <v>0.96879999999999999</v>
      </c>
      <c r="AU366">
        <v>172</v>
      </c>
      <c r="AV366">
        <v>0.94740000000000002</v>
      </c>
      <c r="AW366" t="s">
        <v>98</v>
      </c>
      <c r="AX366" t="s">
        <v>146</v>
      </c>
      <c r="AY366" t="s">
        <v>127</v>
      </c>
      <c r="AZ366" t="s">
        <v>101</v>
      </c>
      <c r="BA366" t="s">
        <v>128</v>
      </c>
      <c r="BB366" t="s">
        <v>103</v>
      </c>
      <c r="BC366" t="s">
        <v>104</v>
      </c>
      <c r="BD366" t="s">
        <v>105</v>
      </c>
      <c r="BE366">
        <v>7966</v>
      </c>
      <c r="BF366" t="s">
        <v>106</v>
      </c>
      <c r="BG366">
        <v>108</v>
      </c>
      <c r="BH366" t="s">
        <v>80</v>
      </c>
      <c r="BI366">
        <v>1</v>
      </c>
      <c r="BJ366">
        <v>924</v>
      </c>
      <c r="BK366">
        <v>6</v>
      </c>
      <c r="BL366">
        <v>21</v>
      </c>
      <c r="BM366">
        <v>395</v>
      </c>
      <c r="BN366">
        <v>413</v>
      </c>
      <c r="BO366">
        <v>714</v>
      </c>
      <c r="BP366">
        <v>10</v>
      </c>
      <c r="BQ366" s="2">
        <v>348</v>
      </c>
      <c r="BR366">
        <f t="shared" si="85"/>
        <v>925</v>
      </c>
      <c r="BS366">
        <f t="shared" si="86"/>
        <v>7</v>
      </c>
      <c r="BT366">
        <f t="shared" si="87"/>
        <v>22</v>
      </c>
      <c r="BU366">
        <f t="shared" si="88"/>
        <v>396</v>
      </c>
      <c r="BV366">
        <f t="shared" si="89"/>
        <v>414</v>
      </c>
      <c r="BW366">
        <f t="shared" si="90"/>
        <v>715</v>
      </c>
      <c r="BX366">
        <f t="shared" si="91"/>
        <v>11</v>
      </c>
      <c r="BY366" s="2">
        <f t="shared" si="92"/>
        <v>349</v>
      </c>
      <c r="BZ366">
        <f t="shared" si="93"/>
        <v>126.14216099879658</v>
      </c>
      <c r="CA366">
        <v>126.14216099879658</v>
      </c>
      <c r="CB366">
        <v>126.14216099879658</v>
      </c>
      <c r="CC366">
        <v>126.14216099879658</v>
      </c>
      <c r="CD366">
        <v>126.14216099879658</v>
      </c>
      <c r="CE366">
        <v>126.14216099879658</v>
      </c>
      <c r="CF366">
        <v>126.14216099879658</v>
      </c>
      <c r="CG366">
        <v>126.14216099879658</v>
      </c>
      <c r="CH366">
        <f t="shared" si="94"/>
        <v>0.86528146592148347</v>
      </c>
      <c r="CI366">
        <f t="shared" si="95"/>
        <v>-1.2557622268032922</v>
      </c>
      <c r="CJ366">
        <f t="shared" si="96"/>
        <v>-0.75843758599534283</v>
      </c>
      <c r="CK366">
        <f t="shared" si="97"/>
        <v>0.49683491910796324</v>
      </c>
      <c r="CL366">
        <f t="shared" si="98"/>
        <v>0.51614007430334996</v>
      </c>
      <c r="CM366">
        <f t="shared" si="99"/>
        <v>0.75344577498353149</v>
      </c>
      <c r="CN366">
        <f t="shared" si="100"/>
        <v>-1.059467581659324</v>
      </c>
      <c r="CO366" s="2">
        <f t="shared" si="101"/>
        <v>0.44196516014163084</v>
      </c>
      <c r="CP366">
        <v>0.36254881111506099</v>
      </c>
      <c r="CQ366">
        <v>1.08953905117365</v>
      </c>
      <c r="CR366">
        <v>-0.89346139050608797</v>
      </c>
      <c r="CS366">
        <v>-0.18147608770946999</v>
      </c>
      <c r="CT366">
        <v>-0.45066078528832498</v>
      </c>
      <c r="CU366">
        <v>-0.25139727505721399</v>
      </c>
      <c r="CV366">
        <v>-0.16518475660509499</v>
      </c>
      <c r="CW366">
        <v>-0.270446502427243</v>
      </c>
      <c r="CX366" t="s">
        <v>1827</v>
      </c>
    </row>
    <row r="367" spans="1:102" x14ac:dyDescent="0.35">
      <c r="A367" t="s">
        <v>1755</v>
      </c>
      <c r="B367" t="s">
        <v>89</v>
      </c>
      <c r="C367" t="s">
        <v>431</v>
      </c>
      <c r="D367" t="s">
        <v>72</v>
      </c>
      <c r="E367" t="s">
        <v>72</v>
      </c>
      <c r="F367" t="s">
        <v>72</v>
      </c>
      <c r="G367" t="s">
        <v>73</v>
      </c>
      <c r="H367" t="s">
        <v>74</v>
      </c>
      <c r="I367" t="s">
        <v>75</v>
      </c>
      <c r="J367" t="s">
        <v>76</v>
      </c>
      <c r="K367" t="s">
        <v>77</v>
      </c>
      <c r="L367" t="s">
        <v>78</v>
      </c>
      <c r="M367" t="s">
        <v>79</v>
      </c>
      <c r="N367">
        <v>60</v>
      </c>
      <c r="O367" t="s">
        <v>80</v>
      </c>
      <c r="P367">
        <v>792</v>
      </c>
      <c r="Q367">
        <v>0.75</v>
      </c>
      <c r="R367">
        <v>177</v>
      </c>
      <c r="S367">
        <v>0.85419999999999996</v>
      </c>
      <c r="T367" t="s">
        <v>81</v>
      </c>
      <c r="U367" t="s">
        <v>82</v>
      </c>
      <c r="V367" t="s">
        <v>83</v>
      </c>
      <c r="W367" t="s">
        <v>84</v>
      </c>
      <c r="X367" t="s">
        <v>85</v>
      </c>
      <c r="Y367" t="s">
        <v>86</v>
      </c>
      <c r="Z367" t="s">
        <v>87</v>
      </c>
      <c r="AA367" t="s">
        <v>88</v>
      </c>
      <c r="AB367">
        <v>681</v>
      </c>
      <c r="AC367">
        <v>8</v>
      </c>
      <c r="AE367">
        <v>22</v>
      </c>
      <c r="AF367" t="s">
        <v>142</v>
      </c>
      <c r="AG367" t="s">
        <v>1756</v>
      </c>
      <c r="AH367" t="s">
        <v>72</v>
      </c>
      <c r="AI367" t="s">
        <v>72</v>
      </c>
      <c r="AJ367" t="s">
        <v>91</v>
      </c>
      <c r="AK367" t="s">
        <v>92</v>
      </c>
      <c r="AL367" t="s">
        <v>93</v>
      </c>
      <c r="AM367" t="s">
        <v>94</v>
      </c>
      <c r="AN367" t="s">
        <v>144</v>
      </c>
      <c r="AO367" t="s">
        <v>145</v>
      </c>
      <c r="AP367" t="s">
        <v>97</v>
      </c>
      <c r="AQ367">
        <v>39</v>
      </c>
      <c r="AR367" t="s">
        <v>80</v>
      </c>
      <c r="AS367">
        <v>1359</v>
      </c>
      <c r="AT367">
        <v>0.96879999999999999</v>
      </c>
      <c r="AU367">
        <v>172</v>
      </c>
      <c r="AV367">
        <v>0.94740000000000002</v>
      </c>
      <c r="AW367" t="s">
        <v>98</v>
      </c>
      <c r="AX367" t="s">
        <v>146</v>
      </c>
      <c r="AY367" t="s">
        <v>127</v>
      </c>
      <c r="AZ367" t="s">
        <v>101</v>
      </c>
      <c r="BA367" t="s">
        <v>128</v>
      </c>
      <c r="BB367" t="s">
        <v>103</v>
      </c>
      <c r="BC367" t="s">
        <v>104</v>
      </c>
      <c r="BD367" t="s">
        <v>105</v>
      </c>
      <c r="BE367">
        <v>6737</v>
      </c>
      <c r="BF367" t="s">
        <v>106</v>
      </c>
      <c r="BG367">
        <v>96</v>
      </c>
      <c r="BH367" t="s">
        <v>80</v>
      </c>
      <c r="BI367">
        <v>1</v>
      </c>
      <c r="BJ367">
        <v>1437</v>
      </c>
      <c r="BK367">
        <v>9</v>
      </c>
      <c r="BL367">
        <v>43</v>
      </c>
      <c r="BM367">
        <v>534</v>
      </c>
      <c r="BN367">
        <v>718</v>
      </c>
      <c r="BO367">
        <v>1099</v>
      </c>
      <c r="BP367">
        <v>15</v>
      </c>
      <c r="BQ367" s="2">
        <v>557</v>
      </c>
      <c r="BR367">
        <f t="shared" si="85"/>
        <v>1438</v>
      </c>
      <c r="BS367">
        <f t="shared" si="86"/>
        <v>10</v>
      </c>
      <c r="BT367">
        <f t="shared" si="87"/>
        <v>44</v>
      </c>
      <c r="BU367">
        <f t="shared" si="88"/>
        <v>535</v>
      </c>
      <c r="BV367">
        <f t="shared" si="89"/>
        <v>719</v>
      </c>
      <c r="BW367">
        <f t="shared" si="90"/>
        <v>1100</v>
      </c>
      <c r="BX367">
        <f t="shared" si="91"/>
        <v>16</v>
      </c>
      <c r="BY367" s="2">
        <f t="shared" si="92"/>
        <v>558</v>
      </c>
      <c r="BZ367">
        <f t="shared" si="93"/>
        <v>198.29197468903135</v>
      </c>
      <c r="CA367">
        <v>198.29197468903135</v>
      </c>
      <c r="CB367">
        <v>198.29197468903135</v>
      </c>
      <c r="CC367">
        <v>198.29197468903135</v>
      </c>
      <c r="CD367">
        <v>198.29197468903135</v>
      </c>
      <c r="CE367">
        <v>198.29197468903135</v>
      </c>
      <c r="CF367">
        <v>198.29197468903135</v>
      </c>
      <c r="CG367">
        <v>198.29197468903135</v>
      </c>
      <c r="CH367">
        <f t="shared" si="94"/>
        <v>0.86045374833575239</v>
      </c>
      <c r="CI367">
        <f t="shared" si="95"/>
        <v>-1.2973051377111113</v>
      </c>
      <c r="CJ367">
        <f t="shared" si="96"/>
        <v>-0.65385246122492402</v>
      </c>
      <c r="CK367">
        <f t="shared" si="97"/>
        <v>0.43104864431011708</v>
      </c>
      <c r="CL367">
        <f t="shared" si="98"/>
        <v>0.55942375267177125</v>
      </c>
      <c r="CM367">
        <f t="shared" si="99"/>
        <v>0.7440875474471137</v>
      </c>
      <c r="CN367">
        <f t="shared" si="100"/>
        <v>-1.0931851550551865</v>
      </c>
      <c r="CO367" s="2">
        <f t="shared" si="101"/>
        <v>0.44932906122646737</v>
      </c>
      <c r="CP367">
        <v>0.35674863504318599</v>
      </c>
      <c r="CQ367">
        <v>0.96681279722703395</v>
      </c>
      <c r="CR367">
        <v>-0.42618786687098797</v>
      </c>
      <c r="CS367">
        <v>-0.37531205076338697</v>
      </c>
      <c r="CT367">
        <v>-0.33017568356287602</v>
      </c>
      <c r="CU367">
        <v>-0.27842190812803103</v>
      </c>
      <c r="CV367">
        <v>-0.25561440479455699</v>
      </c>
      <c r="CW367">
        <v>-0.25022041860194699</v>
      </c>
      <c r="CX367" t="s">
        <v>1827</v>
      </c>
    </row>
    <row r="368" spans="1:102" x14ac:dyDescent="0.35">
      <c r="A368" t="s">
        <v>662</v>
      </c>
      <c r="B368" t="s">
        <v>89</v>
      </c>
      <c r="C368" t="s">
        <v>149</v>
      </c>
      <c r="D368" t="s">
        <v>72</v>
      </c>
      <c r="E368" t="s">
        <v>72</v>
      </c>
      <c r="F368" t="s">
        <v>72</v>
      </c>
      <c r="G368" t="s">
        <v>73</v>
      </c>
      <c r="H368" t="s">
        <v>74</v>
      </c>
      <c r="I368" t="s">
        <v>75</v>
      </c>
      <c r="J368" t="s">
        <v>76</v>
      </c>
      <c r="K368" t="s">
        <v>77</v>
      </c>
      <c r="L368" t="s">
        <v>78</v>
      </c>
      <c r="M368" t="s">
        <v>79</v>
      </c>
      <c r="N368">
        <v>60</v>
      </c>
      <c r="O368" t="s">
        <v>80</v>
      </c>
      <c r="P368">
        <v>792</v>
      </c>
      <c r="Q368">
        <v>0.75</v>
      </c>
      <c r="R368">
        <v>177</v>
      </c>
      <c r="S368">
        <v>0.85419999999999996</v>
      </c>
      <c r="T368" t="s">
        <v>81</v>
      </c>
      <c r="U368" t="s">
        <v>82</v>
      </c>
      <c r="V368" t="s">
        <v>83</v>
      </c>
      <c r="W368" t="s">
        <v>84</v>
      </c>
      <c r="X368" t="s">
        <v>85</v>
      </c>
      <c r="Y368" t="s">
        <v>86</v>
      </c>
      <c r="Z368" t="s">
        <v>87</v>
      </c>
      <c r="AA368" t="s">
        <v>88</v>
      </c>
      <c r="AB368">
        <v>555</v>
      </c>
      <c r="AC368">
        <v>4</v>
      </c>
      <c r="AE368">
        <v>22</v>
      </c>
      <c r="AF368" t="s">
        <v>153</v>
      </c>
      <c r="AG368" t="s">
        <v>384</v>
      </c>
      <c r="AH368" t="s">
        <v>72</v>
      </c>
      <c r="AI368" t="s">
        <v>72</v>
      </c>
      <c r="AJ368" t="s">
        <v>91</v>
      </c>
      <c r="AK368" t="s">
        <v>92</v>
      </c>
      <c r="AL368" t="s">
        <v>93</v>
      </c>
      <c r="AM368" t="s">
        <v>94</v>
      </c>
      <c r="AN368" t="s">
        <v>144</v>
      </c>
      <c r="AO368" t="s">
        <v>145</v>
      </c>
      <c r="AP368" t="s">
        <v>97</v>
      </c>
      <c r="AQ368">
        <v>39</v>
      </c>
      <c r="AR368" t="s">
        <v>80</v>
      </c>
      <c r="AS368">
        <v>1359</v>
      </c>
      <c r="AT368">
        <v>0.96879999999999999</v>
      </c>
      <c r="AU368">
        <v>172</v>
      </c>
      <c r="AV368">
        <v>0.94740000000000002</v>
      </c>
      <c r="AW368" t="s">
        <v>98</v>
      </c>
      <c r="AX368" t="s">
        <v>146</v>
      </c>
      <c r="AY368" t="s">
        <v>127</v>
      </c>
      <c r="AZ368" t="s">
        <v>101</v>
      </c>
      <c r="BA368" t="s">
        <v>128</v>
      </c>
      <c r="BB368" t="s">
        <v>103</v>
      </c>
      <c r="BC368" t="s">
        <v>104</v>
      </c>
      <c r="BD368" t="s">
        <v>105</v>
      </c>
      <c r="BE368">
        <v>6031</v>
      </c>
      <c r="BF368" t="s">
        <v>106</v>
      </c>
      <c r="BG368">
        <v>76</v>
      </c>
      <c r="BH368" t="s">
        <v>80</v>
      </c>
      <c r="BI368">
        <v>1</v>
      </c>
      <c r="BJ368">
        <v>615</v>
      </c>
      <c r="BK368">
        <v>0</v>
      </c>
      <c r="BL368">
        <v>23</v>
      </c>
      <c r="BM368">
        <v>278</v>
      </c>
      <c r="BN368">
        <v>364</v>
      </c>
      <c r="BO368">
        <v>505</v>
      </c>
      <c r="BP368">
        <v>16</v>
      </c>
      <c r="BQ368" s="2">
        <v>254</v>
      </c>
      <c r="BR368">
        <f t="shared" si="85"/>
        <v>616</v>
      </c>
      <c r="BS368">
        <f t="shared" si="86"/>
        <v>1</v>
      </c>
      <c r="BT368">
        <f t="shared" si="87"/>
        <v>24</v>
      </c>
      <c r="BU368">
        <f t="shared" si="88"/>
        <v>279</v>
      </c>
      <c r="BV368">
        <f t="shared" si="89"/>
        <v>365</v>
      </c>
      <c r="BW368">
        <f t="shared" si="90"/>
        <v>506</v>
      </c>
      <c r="BX368">
        <f t="shared" si="91"/>
        <v>17</v>
      </c>
      <c r="BY368" s="2">
        <f t="shared" si="92"/>
        <v>255</v>
      </c>
      <c r="BZ368">
        <f t="shared" si="93"/>
        <v>87.06699989226945</v>
      </c>
      <c r="CA368">
        <v>87.06699989226945</v>
      </c>
      <c r="CB368">
        <v>87.06699989226945</v>
      </c>
      <c r="CC368">
        <v>87.06699989226945</v>
      </c>
      <c r="CD368">
        <v>87.06699989226945</v>
      </c>
      <c r="CE368">
        <v>87.06699989226945</v>
      </c>
      <c r="CF368">
        <v>87.06699989226945</v>
      </c>
      <c r="CG368">
        <v>87.06699989226945</v>
      </c>
      <c r="CH368">
        <f t="shared" si="94"/>
        <v>0.849727132132159</v>
      </c>
      <c r="CI368">
        <f t="shared" si="95"/>
        <v>-1.9398535800322665</v>
      </c>
      <c r="CJ368">
        <f t="shared" si="96"/>
        <v>-0.55964233832066046</v>
      </c>
      <c r="CK368">
        <f t="shared" si="97"/>
        <v>0.50575062324133113</v>
      </c>
      <c r="CL368">
        <f t="shared" si="98"/>
        <v>0.62243928442420826</v>
      </c>
      <c r="CM368">
        <f t="shared" si="99"/>
        <v>0.76429693680753263</v>
      </c>
      <c r="CN368">
        <f t="shared" si="100"/>
        <v>-0.7094046586539926</v>
      </c>
      <c r="CO368" s="2">
        <f t="shared" si="101"/>
        <v>0.46668660040168869</v>
      </c>
      <c r="CP368">
        <v>0.343861331357453</v>
      </c>
      <c r="CQ368">
        <v>-2.2527165794045199</v>
      </c>
      <c r="CR368">
        <v>-5.2685804217318596E-3</v>
      </c>
      <c r="CS368">
        <v>-0.15520641212279701</v>
      </c>
      <c r="CT368">
        <v>-0.15476469633460699</v>
      </c>
      <c r="CU368">
        <v>-0.22006135534971699</v>
      </c>
      <c r="CV368">
        <v>0.773674828569893</v>
      </c>
      <c r="CW368">
        <v>-0.202545274909184</v>
      </c>
      <c r="CX368" t="s">
        <v>1827</v>
      </c>
    </row>
    <row r="369" spans="1:102" x14ac:dyDescent="0.35">
      <c r="A369" t="s">
        <v>705</v>
      </c>
      <c r="B369" t="s">
        <v>211</v>
      </c>
      <c r="C369" t="s">
        <v>301</v>
      </c>
      <c r="D369" t="s">
        <v>72</v>
      </c>
      <c r="E369" t="s">
        <v>72</v>
      </c>
      <c r="F369" t="s">
        <v>72</v>
      </c>
      <c r="G369" t="s">
        <v>73</v>
      </c>
      <c r="H369" t="s">
        <v>109</v>
      </c>
      <c r="I369" t="s">
        <v>110</v>
      </c>
      <c r="J369" t="s">
        <v>111</v>
      </c>
      <c r="K369" t="s">
        <v>112</v>
      </c>
      <c r="L369" t="s">
        <v>113</v>
      </c>
      <c r="M369" t="s">
        <v>114</v>
      </c>
      <c r="N369">
        <v>48</v>
      </c>
      <c r="O369" t="s">
        <v>80</v>
      </c>
      <c r="P369">
        <v>621</v>
      </c>
      <c r="Q369">
        <v>0.68400000000000005</v>
      </c>
      <c r="R369">
        <v>175</v>
      </c>
      <c r="S369">
        <v>0.81130000000000002</v>
      </c>
      <c r="T369" t="s">
        <v>115</v>
      </c>
      <c r="U369" t="s">
        <v>116</v>
      </c>
      <c r="V369" t="s">
        <v>117</v>
      </c>
      <c r="W369" t="s">
        <v>118</v>
      </c>
      <c r="X369" t="s">
        <v>119</v>
      </c>
      <c r="Y369" t="s">
        <v>120</v>
      </c>
      <c r="Z369" t="s">
        <v>121</v>
      </c>
      <c r="AA369" t="s">
        <v>88</v>
      </c>
      <c r="AB369">
        <v>376</v>
      </c>
      <c r="AC369">
        <v>2</v>
      </c>
      <c r="AE369">
        <v>1</v>
      </c>
      <c r="AF369" t="s">
        <v>89</v>
      </c>
      <c r="AG369" t="s">
        <v>706</v>
      </c>
      <c r="AH369" t="s">
        <v>72</v>
      </c>
      <c r="AI369" t="s">
        <v>72</v>
      </c>
      <c r="AJ369" t="s">
        <v>91</v>
      </c>
      <c r="AK369" t="s">
        <v>92</v>
      </c>
      <c r="AL369" t="s">
        <v>93</v>
      </c>
      <c r="AM369" t="s">
        <v>94</v>
      </c>
      <c r="AN369" t="s">
        <v>144</v>
      </c>
      <c r="AO369" t="s">
        <v>145</v>
      </c>
      <c r="AP369" t="s">
        <v>97</v>
      </c>
      <c r="AQ369">
        <v>39</v>
      </c>
      <c r="AR369" t="s">
        <v>80</v>
      </c>
      <c r="AS369">
        <v>1359</v>
      </c>
      <c r="AT369">
        <v>0.96879999999999999</v>
      </c>
      <c r="AU369">
        <v>172</v>
      </c>
      <c r="AV369">
        <v>0.94740000000000002</v>
      </c>
      <c r="AW369" t="s">
        <v>98</v>
      </c>
      <c r="AX369" t="s">
        <v>146</v>
      </c>
      <c r="AY369" t="s">
        <v>127</v>
      </c>
      <c r="AZ369" t="s">
        <v>101</v>
      </c>
      <c r="BA369" t="s">
        <v>128</v>
      </c>
      <c r="BB369" t="s">
        <v>103</v>
      </c>
      <c r="BC369" t="s">
        <v>104</v>
      </c>
      <c r="BD369" t="s">
        <v>105</v>
      </c>
      <c r="BE369">
        <v>4078</v>
      </c>
      <c r="BF369" t="s">
        <v>106</v>
      </c>
      <c r="BG369">
        <v>54</v>
      </c>
      <c r="BH369" t="s">
        <v>80</v>
      </c>
      <c r="BI369">
        <v>1</v>
      </c>
      <c r="BJ369">
        <v>1420</v>
      </c>
      <c r="BK369">
        <v>9</v>
      </c>
      <c r="BL369">
        <v>38</v>
      </c>
      <c r="BM369">
        <v>658</v>
      </c>
      <c r="BN369">
        <v>858</v>
      </c>
      <c r="BO369">
        <v>1176</v>
      </c>
      <c r="BP369">
        <v>12</v>
      </c>
      <c r="BQ369" s="2">
        <v>613</v>
      </c>
      <c r="BR369">
        <f t="shared" si="85"/>
        <v>1421</v>
      </c>
      <c r="BS369">
        <f t="shared" si="86"/>
        <v>10</v>
      </c>
      <c r="BT369">
        <f t="shared" si="87"/>
        <v>39</v>
      </c>
      <c r="BU369">
        <f t="shared" si="88"/>
        <v>659</v>
      </c>
      <c r="BV369">
        <f t="shared" si="89"/>
        <v>859</v>
      </c>
      <c r="BW369">
        <f t="shared" si="90"/>
        <v>1177</v>
      </c>
      <c r="BX369">
        <f t="shared" si="91"/>
        <v>13</v>
      </c>
      <c r="BY369" s="2">
        <f t="shared" si="92"/>
        <v>614</v>
      </c>
      <c r="BZ369">
        <f t="shared" si="93"/>
        <v>203.55331577978345</v>
      </c>
      <c r="CA369">
        <v>203.55331577978345</v>
      </c>
      <c r="CB369">
        <v>203.55331577978345</v>
      </c>
      <c r="CC369">
        <v>203.55331577978345</v>
      </c>
      <c r="CD369">
        <v>203.55331577978345</v>
      </c>
      <c r="CE369">
        <v>203.55331577978345</v>
      </c>
      <c r="CF369">
        <v>203.55331577978345</v>
      </c>
      <c r="CG369">
        <v>203.55331577978345</v>
      </c>
      <c r="CH369">
        <f t="shared" si="94"/>
        <v>0.84391589671863732</v>
      </c>
      <c r="CI369">
        <f t="shared" si="95"/>
        <v>-1.3086781812088324</v>
      </c>
      <c r="CJ369">
        <f t="shared" si="96"/>
        <v>-0.71761357418233329</v>
      </c>
      <c r="CK369">
        <f t="shared" si="97"/>
        <v>0.51020723338517737</v>
      </c>
      <c r="CL369">
        <f t="shared" si="98"/>
        <v>0.62531498262240981</v>
      </c>
      <c r="CM369">
        <f t="shared" si="99"/>
        <v>0.76209828163460214</v>
      </c>
      <c r="CN369">
        <f t="shared" si="100"/>
        <v>-1.1947348289019957</v>
      </c>
      <c r="CO369" s="2">
        <f t="shared" si="101"/>
        <v>0.47949018993233522</v>
      </c>
      <c r="CP369">
        <v>0.33687952515297098</v>
      </c>
      <c r="CQ369">
        <v>0.93321450105697601</v>
      </c>
      <c r="CR369">
        <v>-0.71106470751067496</v>
      </c>
      <c r="CS369">
        <v>-0.14207523359288601</v>
      </c>
      <c r="CT369">
        <v>-0.146759859338249</v>
      </c>
      <c r="CU369">
        <v>-0.22641061850520999</v>
      </c>
      <c r="CV369">
        <v>-0.52796796867375295</v>
      </c>
      <c r="CW369">
        <v>-0.16737825241280899</v>
      </c>
      <c r="CX369" t="s">
        <v>1827</v>
      </c>
    </row>
    <row r="370" spans="1:102" x14ac:dyDescent="0.35">
      <c r="A370" t="s">
        <v>230</v>
      </c>
      <c r="B370" t="s">
        <v>153</v>
      </c>
      <c r="C370" t="s">
        <v>71</v>
      </c>
      <c r="D370" t="s">
        <v>72</v>
      </c>
      <c r="E370" t="s">
        <v>72</v>
      </c>
      <c r="F370" t="s">
        <v>72</v>
      </c>
      <c r="G370" t="s">
        <v>73</v>
      </c>
      <c r="H370" t="s">
        <v>74</v>
      </c>
      <c r="I370" t="s">
        <v>75</v>
      </c>
      <c r="J370" t="s">
        <v>76</v>
      </c>
      <c r="K370" t="s">
        <v>77</v>
      </c>
      <c r="L370" t="s">
        <v>78</v>
      </c>
      <c r="M370" t="s">
        <v>79</v>
      </c>
      <c r="N370">
        <v>60</v>
      </c>
      <c r="O370" t="s">
        <v>80</v>
      </c>
      <c r="P370">
        <v>792</v>
      </c>
      <c r="Q370">
        <v>0.75</v>
      </c>
      <c r="R370">
        <v>177</v>
      </c>
      <c r="S370">
        <v>0.85419999999999996</v>
      </c>
      <c r="T370" t="s">
        <v>81</v>
      </c>
      <c r="U370" t="s">
        <v>82</v>
      </c>
      <c r="V370" t="s">
        <v>83</v>
      </c>
      <c r="W370" t="s">
        <v>84</v>
      </c>
      <c r="X370" t="s">
        <v>85</v>
      </c>
      <c r="Y370" t="s">
        <v>86</v>
      </c>
      <c r="Z370" t="s">
        <v>87</v>
      </c>
      <c r="AA370" t="s">
        <v>88</v>
      </c>
      <c r="AB370">
        <v>125</v>
      </c>
      <c r="AC370">
        <v>3</v>
      </c>
      <c r="AE370">
        <v>22</v>
      </c>
      <c r="AF370" t="s">
        <v>231</v>
      </c>
      <c r="AG370" t="s">
        <v>161</v>
      </c>
      <c r="AH370" t="s">
        <v>72</v>
      </c>
      <c r="AI370" t="s">
        <v>72</v>
      </c>
      <c r="AJ370" t="s">
        <v>91</v>
      </c>
      <c r="AK370" t="s">
        <v>92</v>
      </c>
      <c r="AL370" t="s">
        <v>93</v>
      </c>
      <c r="AM370" t="s">
        <v>94</v>
      </c>
      <c r="AN370" t="s">
        <v>144</v>
      </c>
      <c r="AO370" t="s">
        <v>145</v>
      </c>
      <c r="AP370" t="s">
        <v>97</v>
      </c>
      <c r="AQ370">
        <v>39</v>
      </c>
      <c r="AR370" t="s">
        <v>80</v>
      </c>
      <c r="AS370">
        <v>1359</v>
      </c>
      <c r="AT370">
        <v>0.96879999999999999</v>
      </c>
      <c r="AU370">
        <v>172</v>
      </c>
      <c r="AV370">
        <v>0.94740000000000002</v>
      </c>
      <c r="AW370" t="s">
        <v>98</v>
      </c>
      <c r="AX370" t="s">
        <v>146</v>
      </c>
      <c r="AY370" t="s">
        <v>127</v>
      </c>
      <c r="AZ370" t="s">
        <v>101</v>
      </c>
      <c r="BA370" t="s">
        <v>128</v>
      </c>
      <c r="BB370" t="s">
        <v>103</v>
      </c>
      <c r="BC370" t="s">
        <v>104</v>
      </c>
      <c r="BD370" t="s">
        <v>105</v>
      </c>
      <c r="BE370">
        <v>3503</v>
      </c>
      <c r="BF370" t="s">
        <v>106</v>
      </c>
      <c r="BG370">
        <v>48</v>
      </c>
      <c r="BH370" t="s">
        <v>80</v>
      </c>
      <c r="BI370">
        <v>1</v>
      </c>
      <c r="BJ370">
        <v>924</v>
      </c>
      <c r="BK370">
        <v>7</v>
      </c>
      <c r="BL370">
        <v>29</v>
      </c>
      <c r="BM370">
        <v>322</v>
      </c>
      <c r="BN370">
        <v>464</v>
      </c>
      <c r="BO370">
        <v>713</v>
      </c>
      <c r="BP370">
        <v>11</v>
      </c>
      <c r="BQ370" s="2">
        <v>352</v>
      </c>
      <c r="BR370">
        <f t="shared" si="85"/>
        <v>925</v>
      </c>
      <c r="BS370">
        <f t="shared" si="86"/>
        <v>8</v>
      </c>
      <c r="BT370">
        <f t="shared" si="87"/>
        <v>30</v>
      </c>
      <c r="BU370">
        <f t="shared" si="88"/>
        <v>323</v>
      </c>
      <c r="BV370">
        <f t="shared" si="89"/>
        <v>465</v>
      </c>
      <c r="BW370">
        <f t="shared" si="90"/>
        <v>714</v>
      </c>
      <c r="BX370">
        <f t="shared" si="91"/>
        <v>12</v>
      </c>
      <c r="BY370" s="2">
        <f t="shared" si="92"/>
        <v>353</v>
      </c>
      <c r="BZ370">
        <f t="shared" si="93"/>
        <v>133.49279513272489</v>
      </c>
      <c r="CA370">
        <v>133.49279513272489</v>
      </c>
      <c r="CB370">
        <v>133.49279513272489</v>
      </c>
      <c r="CC370">
        <v>133.49279513272489</v>
      </c>
      <c r="CD370">
        <v>133.49279513272489</v>
      </c>
      <c r="CE370">
        <v>133.49279513272489</v>
      </c>
      <c r="CF370">
        <v>133.49279513272489</v>
      </c>
      <c r="CG370">
        <v>133.49279513272489</v>
      </c>
      <c r="CH370">
        <f t="shared" si="94"/>
        <v>0.84068390612861799</v>
      </c>
      <c r="CI370">
        <f t="shared" si="95"/>
        <v>-1.222367839618471</v>
      </c>
      <c r="CJ370">
        <f t="shared" si="96"/>
        <v>-0.64833657189075222</v>
      </c>
      <c r="CK370">
        <f t="shared" si="97"/>
        <v>0.38374469572068826</v>
      </c>
      <c r="CL370">
        <f t="shared" si="98"/>
        <v>0.54199512627953927</v>
      </c>
      <c r="CM370">
        <f t="shared" si="99"/>
        <v>0.72824038516575973</v>
      </c>
      <c r="CN370">
        <f t="shared" si="100"/>
        <v>-1.0462765805627898</v>
      </c>
      <c r="CO370" s="2">
        <f t="shared" si="101"/>
        <v>0.42231687877740798</v>
      </c>
      <c r="CP370">
        <v>0.33299650711145101</v>
      </c>
      <c r="CQ370">
        <v>1.1881928997479501</v>
      </c>
      <c r="CR370">
        <v>-0.40154354913634299</v>
      </c>
      <c r="CS370">
        <v>-0.51469076553726401</v>
      </c>
      <c r="CT370">
        <v>-0.37869027157753299</v>
      </c>
      <c r="CU370">
        <v>-0.32418524784173902</v>
      </c>
      <c r="CV370">
        <v>-0.129806837369283</v>
      </c>
      <c r="CW370">
        <v>-0.32441352090255698</v>
      </c>
      <c r="CX370" t="s">
        <v>1827</v>
      </c>
    </row>
    <row r="371" spans="1:102" x14ac:dyDescent="0.35">
      <c r="A371" t="s">
        <v>1535</v>
      </c>
      <c r="B371" t="s">
        <v>211</v>
      </c>
      <c r="C371" t="s">
        <v>188</v>
      </c>
      <c r="D371" t="s">
        <v>72</v>
      </c>
      <c r="E371" t="s">
        <v>72</v>
      </c>
      <c r="F371" t="s">
        <v>72</v>
      </c>
      <c r="G371" t="s">
        <v>73</v>
      </c>
      <c r="H371" t="s">
        <v>109</v>
      </c>
      <c r="I371" t="s">
        <v>110</v>
      </c>
      <c r="J371" t="s">
        <v>111</v>
      </c>
      <c r="K371" t="s">
        <v>112</v>
      </c>
      <c r="L371" t="s">
        <v>113</v>
      </c>
      <c r="M371" t="s">
        <v>114</v>
      </c>
      <c r="N371">
        <v>48</v>
      </c>
      <c r="O371" t="s">
        <v>80</v>
      </c>
      <c r="P371">
        <v>621</v>
      </c>
      <c r="Q371">
        <v>0.68400000000000005</v>
      </c>
      <c r="R371">
        <v>175</v>
      </c>
      <c r="S371">
        <v>0.81130000000000002</v>
      </c>
      <c r="T371" t="s">
        <v>115</v>
      </c>
      <c r="U371" t="s">
        <v>116</v>
      </c>
      <c r="V371" t="s">
        <v>117</v>
      </c>
      <c r="W371" t="s">
        <v>118</v>
      </c>
      <c r="X371" t="s">
        <v>119</v>
      </c>
      <c r="Y371" t="s">
        <v>120</v>
      </c>
      <c r="Z371" t="s">
        <v>121</v>
      </c>
      <c r="AA371" t="s">
        <v>88</v>
      </c>
      <c r="AB371">
        <v>619</v>
      </c>
      <c r="AC371">
        <v>7</v>
      </c>
      <c r="AE371">
        <v>1</v>
      </c>
      <c r="AF371" t="s">
        <v>89</v>
      </c>
      <c r="AG371" t="s">
        <v>1536</v>
      </c>
      <c r="AH371" t="s">
        <v>72</v>
      </c>
      <c r="AI371" t="s">
        <v>72</v>
      </c>
      <c r="AJ371" t="s">
        <v>91</v>
      </c>
      <c r="AK371" t="s">
        <v>92</v>
      </c>
      <c r="AL371" t="s">
        <v>93</v>
      </c>
      <c r="AM371" t="s">
        <v>94</v>
      </c>
      <c r="AN371" t="s">
        <v>144</v>
      </c>
      <c r="AO371" t="s">
        <v>145</v>
      </c>
      <c r="AP371" t="s">
        <v>97</v>
      </c>
      <c r="AQ371">
        <v>39</v>
      </c>
      <c r="AR371" t="s">
        <v>80</v>
      </c>
      <c r="AS371">
        <v>1359</v>
      </c>
      <c r="AT371">
        <v>0.96879999999999999</v>
      </c>
      <c r="AU371">
        <v>172</v>
      </c>
      <c r="AV371">
        <v>0.94740000000000002</v>
      </c>
      <c r="AW371" t="s">
        <v>98</v>
      </c>
      <c r="AX371" t="s">
        <v>146</v>
      </c>
      <c r="AY371" t="s">
        <v>127</v>
      </c>
      <c r="AZ371" t="s">
        <v>101</v>
      </c>
      <c r="BA371" t="s">
        <v>128</v>
      </c>
      <c r="BB371" t="s">
        <v>103</v>
      </c>
      <c r="BC371" t="s">
        <v>104</v>
      </c>
      <c r="BD371" t="s">
        <v>105</v>
      </c>
      <c r="BE371">
        <v>4142</v>
      </c>
      <c r="BF371" t="s">
        <v>106</v>
      </c>
      <c r="BG371">
        <v>58</v>
      </c>
      <c r="BH371" t="s">
        <v>80</v>
      </c>
      <c r="BI371">
        <v>1</v>
      </c>
      <c r="BJ371">
        <v>1228</v>
      </c>
      <c r="BK371">
        <v>9</v>
      </c>
      <c r="BL371">
        <v>34</v>
      </c>
      <c r="BM371">
        <v>431</v>
      </c>
      <c r="BN371">
        <v>608</v>
      </c>
      <c r="BO371">
        <v>895</v>
      </c>
      <c r="BP371">
        <v>22</v>
      </c>
      <c r="BQ371" s="2">
        <v>429</v>
      </c>
      <c r="BR371">
        <f t="shared" si="85"/>
        <v>1229</v>
      </c>
      <c r="BS371">
        <f t="shared" si="86"/>
        <v>10</v>
      </c>
      <c r="BT371">
        <f t="shared" si="87"/>
        <v>35</v>
      </c>
      <c r="BU371">
        <f t="shared" si="88"/>
        <v>432</v>
      </c>
      <c r="BV371">
        <f t="shared" si="89"/>
        <v>609</v>
      </c>
      <c r="BW371">
        <f t="shared" si="90"/>
        <v>896</v>
      </c>
      <c r="BX371">
        <f t="shared" si="91"/>
        <v>23</v>
      </c>
      <c r="BY371" s="2">
        <f t="shared" si="92"/>
        <v>430</v>
      </c>
      <c r="BZ371">
        <f t="shared" si="93"/>
        <v>177.89066494734215</v>
      </c>
      <c r="CA371">
        <v>177.89066494734215</v>
      </c>
      <c r="CB371">
        <v>177.89066494734215</v>
      </c>
      <c r="CC371">
        <v>177.89066494734215</v>
      </c>
      <c r="CD371">
        <v>177.89066494734215</v>
      </c>
      <c r="CE371">
        <v>177.89066494734215</v>
      </c>
      <c r="CF371">
        <v>177.89066494734215</v>
      </c>
      <c r="CG371">
        <v>177.89066494734215</v>
      </c>
      <c r="CH371">
        <f t="shared" si="94"/>
        <v>0.8393987243934764</v>
      </c>
      <c r="CI371">
        <f t="shared" si="95"/>
        <v>-1.2501531584929777</v>
      </c>
      <c r="CJ371">
        <f t="shared" si="96"/>
        <v>-0.70608511414270203</v>
      </c>
      <c r="CK371">
        <f t="shared" si="97"/>
        <v>0.3853305883219344</v>
      </c>
      <c r="CL371">
        <f t="shared" si="98"/>
        <v>0.53446413413989768</v>
      </c>
      <c r="CM371">
        <f t="shared" si="99"/>
        <v>0.70215485116914755</v>
      </c>
      <c r="CN371">
        <f t="shared" si="100"/>
        <v>-0.88842532247538475</v>
      </c>
      <c r="CO371" s="2">
        <f t="shared" si="101"/>
        <v>0.38331529708660877</v>
      </c>
      <c r="CP371">
        <v>0.33145244820249398</v>
      </c>
      <c r="CQ371">
        <v>1.10610938596273</v>
      </c>
      <c r="CR371">
        <v>-0.65955696052820301</v>
      </c>
      <c r="CS371">
        <v>-0.51001801243477796</v>
      </c>
      <c r="CT371">
        <v>-0.39965365519560098</v>
      </c>
      <c r="CU371">
        <v>-0.39951489568064902</v>
      </c>
      <c r="CV371">
        <v>0.29354609991117803</v>
      </c>
      <c r="CW371">
        <v>-0.43153734718827103</v>
      </c>
      <c r="CX371" t="s">
        <v>1827</v>
      </c>
    </row>
    <row r="372" spans="1:102" x14ac:dyDescent="0.35">
      <c r="A372" t="s">
        <v>1517</v>
      </c>
      <c r="B372" t="s">
        <v>231</v>
      </c>
      <c r="C372" t="s">
        <v>160</v>
      </c>
      <c r="D372" t="s">
        <v>72</v>
      </c>
      <c r="E372" t="s">
        <v>72</v>
      </c>
      <c r="F372" t="s">
        <v>72</v>
      </c>
      <c r="G372" t="s">
        <v>73</v>
      </c>
      <c r="H372" t="s">
        <v>74</v>
      </c>
      <c r="I372" t="s">
        <v>75</v>
      </c>
      <c r="J372" t="s">
        <v>76</v>
      </c>
      <c r="K372" t="s">
        <v>77</v>
      </c>
      <c r="L372" t="s">
        <v>78</v>
      </c>
      <c r="M372" t="s">
        <v>79</v>
      </c>
      <c r="N372">
        <v>60</v>
      </c>
      <c r="O372" t="s">
        <v>80</v>
      </c>
      <c r="P372">
        <v>792</v>
      </c>
      <c r="Q372">
        <v>0.75</v>
      </c>
      <c r="R372">
        <v>177</v>
      </c>
      <c r="S372">
        <v>0.85419999999999996</v>
      </c>
      <c r="T372" t="s">
        <v>81</v>
      </c>
      <c r="U372" t="s">
        <v>82</v>
      </c>
      <c r="V372" t="s">
        <v>83</v>
      </c>
      <c r="W372" t="s">
        <v>84</v>
      </c>
      <c r="X372" t="s">
        <v>85</v>
      </c>
      <c r="Y372" t="s">
        <v>86</v>
      </c>
      <c r="Z372" t="s">
        <v>87</v>
      </c>
      <c r="AA372" t="s">
        <v>88</v>
      </c>
      <c r="AB372">
        <v>146</v>
      </c>
      <c r="AC372">
        <v>3</v>
      </c>
      <c r="AE372">
        <v>22</v>
      </c>
      <c r="AF372" t="s">
        <v>89</v>
      </c>
      <c r="AG372" t="s">
        <v>1518</v>
      </c>
      <c r="AH372" t="s">
        <v>72</v>
      </c>
      <c r="AI372" t="s">
        <v>72</v>
      </c>
      <c r="AJ372" t="s">
        <v>91</v>
      </c>
      <c r="AK372" t="s">
        <v>92</v>
      </c>
      <c r="AL372" t="s">
        <v>93</v>
      </c>
      <c r="AM372" t="s">
        <v>94</v>
      </c>
      <c r="AN372" t="s">
        <v>144</v>
      </c>
      <c r="AO372" t="s">
        <v>145</v>
      </c>
      <c r="AP372" t="s">
        <v>97</v>
      </c>
      <c r="AQ372">
        <v>39</v>
      </c>
      <c r="AR372" t="s">
        <v>80</v>
      </c>
      <c r="AS372">
        <v>1359</v>
      </c>
      <c r="AT372">
        <v>0.96879999999999999</v>
      </c>
      <c r="AU372">
        <v>172</v>
      </c>
      <c r="AV372">
        <v>0.94740000000000002</v>
      </c>
      <c r="AW372" t="s">
        <v>98</v>
      </c>
      <c r="AX372" t="s">
        <v>146</v>
      </c>
      <c r="AY372" t="s">
        <v>127</v>
      </c>
      <c r="AZ372" t="s">
        <v>101</v>
      </c>
      <c r="BA372" t="s">
        <v>128</v>
      </c>
      <c r="BB372" t="s">
        <v>103</v>
      </c>
      <c r="BC372" t="s">
        <v>104</v>
      </c>
      <c r="BD372" t="s">
        <v>105</v>
      </c>
      <c r="BE372">
        <v>7747</v>
      </c>
      <c r="BF372" t="s">
        <v>106</v>
      </c>
      <c r="BG372">
        <v>102</v>
      </c>
      <c r="BH372" t="s">
        <v>80</v>
      </c>
      <c r="BI372">
        <v>1</v>
      </c>
      <c r="BJ372">
        <v>855</v>
      </c>
      <c r="BK372">
        <v>5</v>
      </c>
      <c r="BL372">
        <v>29</v>
      </c>
      <c r="BM372">
        <v>314</v>
      </c>
      <c r="BN372">
        <v>425</v>
      </c>
      <c r="BO372">
        <v>621</v>
      </c>
      <c r="BP372">
        <v>17</v>
      </c>
      <c r="BQ372" s="2">
        <v>291</v>
      </c>
      <c r="BR372">
        <f t="shared" si="85"/>
        <v>856</v>
      </c>
      <c r="BS372">
        <f t="shared" si="86"/>
        <v>6</v>
      </c>
      <c r="BT372">
        <f t="shared" si="87"/>
        <v>30</v>
      </c>
      <c r="BU372">
        <f t="shared" si="88"/>
        <v>315</v>
      </c>
      <c r="BV372">
        <f t="shared" si="89"/>
        <v>426</v>
      </c>
      <c r="BW372">
        <f t="shared" si="90"/>
        <v>622</v>
      </c>
      <c r="BX372">
        <f t="shared" si="91"/>
        <v>18</v>
      </c>
      <c r="BY372" s="2">
        <f t="shared" si="92"/>
        <v>292</v>
      </c>
      <c r="BZ372">
        <f t="shared" si="93"/>
        <v>126.98108116140288</v>
      </c>
      <c r="CA372">
        <v>126.98108116140288</v>
      </c>
      <c r="CB372">
        <v>126.98108116140288</v>
      </c>
      <c r="CC372">
        <v>126.98108116140288</v>
      </c>
      <c r="CD372">
        <v>126.98108116140288</v>
      </c>
      <c r="CE372">
        <v>126.98108116140288</v>
      </c>
      <c r="CF372">
        <v>126.98108116140288</v>
      </c>
      <c r="CG372">
        <v>126.98108116140288</v>
      </c>
      <c r="CH372">
        <f t="shared" si="94"/>
        <v>0.82873474418773796</v>
      </c>
      <c r="CI372">
        <f t="shared" si="95"/>
        <v>-1.3255877701057717</v>
      </c>
      <c r="CJ372">
        <f t="shared" si="96"/>
        <v>-0.62661776576975281</v>
      </c>
      <c r="CK372">
        <f t="shared" si="97"/>
        <v>0.3945715333001853</v>
      </c>
      <c r="CL372">
        <f t="shared" si="98"/>
        <v>0.52567057861330369</v>
      </c>
      <c r="CM372">
        <f t="shared" si="99"/>
        <v>0.69005136420140345</v>
      </c>
      <c r="CN372">
        <f t="shared" si="100"/>
        <v>-0.84846651538610918</v>
      </c>
      <c r="CO372" s="2">
        <f t="shared" si="101"/>
        <v>0.36164383095900299</v>
      </c>
      <c r="CP372">
        <v>0.318640397430699</v>
      </c>
      <c r="CQ372">
        <v>0.88326011760745304</v>
      </c>
      <c r="CR372">
        <v>-0.30450658439030598</v>
      </c>
      <c r="CS372">
        <v>-0.48279003099196499</v>
      </c>
      <c r="CT372">
        <v>-0.42413152935250398</v>
      </c>
      <c r="CU372">
        <v>-0.434467272389572</v>
      </c>
      <c r="CV372">
        <v>0.40071457329832799</v>
      </c>
      <c r="CW372">
        <v>-0.49106135293796799</v>
      </c>
      <c r="CX372" t="s">
        <v>1827</v>
      </c>
    </row>
    <row r="373" spans="1:102" x14ac:dyDescent="0.35">
      <c r="A373" t="s">
        <v>1346</v>
      </c>
      <c r="B373" t="s">
        <v>159</v>
      </c>
      <c r="C373" t="s">
        <v>152</v>
      </c>
      <c r="D373" t="s">
        <v>72</v>
      </c>
      <c r="E373" t="s">
        <v>72</v>
      </c>
      <c r="F373" t="s">
        <v>72</v>
      </c>
      <c r="G373" t="s">
        <v>73</v>
      </c>
      <c r="H373" t="s">
        <v>109</v>
      </c>
      <c r="I373" t="s">
        <v>110</v>
      </c>
      <c r="J373" t="s">
        <v>111</v>
      </c>
      <c r="K373" t="s">
        <v>112</v>
      </c>
      <c r="L373" t="s">
        <v>113</v>
      </c>
      <c r="M373" t="s">
        <v>114</v>
      </c>
      <c r="N373">
        <v>48</v>
      </c>
      <c r="O373" t="s">
        <v>80</v>
      </c>
      <c r="P373">
        <v>621</v>
      </c>
      <c r="Q373">
        <v>0.68400000000000005</v>
      </c>
      <c r="R373">
        <v>175</v>
      </c>
      <c r="S373">
        <v>0.81130000000000002</v>
      </c>
      <c r="T373" t="s">
        <v>115</v>
      </c>
      <c r="U373" t="s">
        <v>116</v>
      </c>
      <c r="V373" t="s">
        <v>117</v>
      </c>
      <c r="W373" t="s">
        <v>118</v>
      </c>
      <c r="X373" t="s">
        <v>119</v>
      </c>
      <c r="Y373" t="s">
        <v>120</v>
      </c>
      <c r="Z373" t="s">
        <v>121</v>
      </c>
      <c r="AA373" t="s">
        <v>88</v>
      </c>
      <c r="AB373">
        <v>131</v>
      </c>
      <c r="AC373">
        <v>2</v>
      </c>
      <c r="AE373">
        <v>1</v>
      </c>
      <c r="AF373" t="s">
        <v>153</v>
      </c>
      <c r="AG373" t="s">
        <v>161</v>
      </c>
      <c r="AH373" t="s">
        <v>72</v>
      </c>
      <c r="AI373" t="s">
        <v>72</v>
      </c>
      <c r="AJ373" t="s">
        <v>91</v>
      </c>
      <c r="AK373" t="s">
        <v>92</v>
      </c>
      <c r="AL373" t="s">
        <v>93</v>
      </c>
      <c r="AM373" t="s">
        <v>94</v>
      </c>
      <c r="AN373" t="s">
        <v>144</v>
      </c>
      <c r="AO373" t="s">
        <v>145</v>
      </c>
      <c r="AP373" t="s">
        <v>97</v>
      </c>
      <c r="AQ373">
        <v>39</v>
      </c>
      <c r="AR373" t="s">
        <v>80</v>
      </c>
      <c r="AS373">
        <v>1359</v>
      </c>
      <c r="AT373">
        <v>0.96879999999999999</v>
      </c>
      <c r="AU373">
        <v>172</v>
      </c>
      <c r="AV373">
        <v>0.94740000000000002</v>
      </c>
      <c r="AW373" t="s">
        <v>98</v>
      </c>
      <c r="AX373" t="s">
        <v>146</v>
      </c>
      <c r="AY373" t="s">
        <v>127</v>
      </c>
      <c r="AZ373" t="s">
        <v>101</v>
      </c>
      <c r="BA373" t="s">
        <v>128</v>
      </c>
      <c r="BB373" t="s">
        <v>103</v>
      </c>
      <c r="BC373" t="s">
        <v>104</v>
      </c>
      <c r="BD373" t="s">
        <v>105</v>
      </c>
      <c r="BE373">
        <v>4373</v>
      </c>
      <c r="BF373" t="s">
        <v>106</v>
      </c>
      <c r="BG373">
        <v>54</v>
      </c>
      <c r="BH373" t="s">
        <v>80</v>
      </c>
      <c r="BI373">
        <v>1</v>
      </c>
      <c r="BJ373">
        <v>699</v>
      </c>
      <c r="BK373">
        <v>4</v>
      </c>
      <c r="BL373">
        <v>20</v>
      </c>
      <c r="BM373">
        <v>290</v>
      </c>
      <c r="BN373">
        <v>414</v>
      </c>
      <c r="BO373">
        <v>523</v>
      </c>
      <c r="BP373">
        <v>10</v>
      </c>
      <c r="BQ373" s="2">
        <v>299</v>
      </c>
      <c r="BR373">
        <f t="shared" si="85"/>
        <v>700</v>
      </c>
      <c r="BS373">
        <f t="shared" si="86"/>
        <v>5</v>
      </c>
      <c r="BT373">
        <f t="shared" si="87"/>
        <v>21</v>
      </c>
      <c r="BU373">
        <f t="shared" si="88"/>
        <v>291</v>
      </c>
      <c r="BV373">
        <f t="shared" si="89"/>
        <v>415</v>
      </c>
      <c r="BW373">
        <f t="shared" si="90"/>
        <v>524</v>
      </c>
      <c r="BX373">
        <f t="shared" si="91"/>
        <v>11</v>
      </c>
      <c r="BY373" s="2">
        <f t="shared" si="92"/>
        <v>300</v>
      </c>
      <c r="BZ373">
        <f t="shared" si="93"/>
        <v>105.50163896907452</v>
      </c>
      <c r="CA373">
        <v>105.50163896907452</v>
      </c>
      <c r="CB373">
        <v>105.50163896907452</v>
      </c>
      <c r="CC373">
        <v>105.50163896907452</v>
      </c>
      <c r="CD373">
        <v>105.50163896907452</v>
      </c>
      <c r="CE373">
        <v>105.50163896907452</v>
      </c>
      <c r="CF373">
        <v>105.50163896907452</v>
      </c>
      <c r="CG373">
        <v>105.50163896907452</v>
      </c>
      <c r="CH373">
        <f t="shared" si="94"/>
        <v>0.82183883355878073</v>
      </c>
      <c r="CI373">
        <f t="shared" si="95"/>
        <v>-1.3242892021194574</v>
      </c>
      <c r="CJ373">
        <f t="shared" si="96"/>
        <v>-0.70103991172155689</v>
      </c>
      <c r="CK373">
        <f t="shared" si="97"/>
        <v>0.44063378253043112</v>
      </c>
      <c r="CL373">
        <f t="shared" si="98"/>
        <v>0.59478889025661652</v>
      </c>
      <c r="CM373">
        <f t="shared" si="99"/>
        <v>0.69607208052825054</v>
      </c>
      <c r="CN373">
        <f t="shared" si="100"/>
        <v>-0.98186652129725116</v>
      </c>
      <c r="CO373" s="2">
        <f t="shared" si="101"/>
        <v>0.4538620482641863</v>
      </c>
      <c r="CP373">
        <v>0.31035542733590998</v>
      </c>
      <c r="CQ373">
        <v>0.88709635298366396</v>
      </c>
      <c r="CR373">
        <v>-0.63701561425208597</v>
      </c>
      <c r="CS373">
        <v>-0.34706992117558499</v>
      </c>
      <c r="CT373">
        <v>-0.231732751722007</v>
      </c>
      <c r="CU373">
        <v>-0.41708068407214399</v>
      </c>
      <c r="CV373">
        <v>4.2939253544832502E-2</v>
      </c>
      <c r="CW373">
        <v>-0.237769874420593</v>
      </c>
      <c r="CX373" t="s">
        <v>1827</v>
      </c>
    </row>
    <row r="374" spans="1:102" x14ac:dyDescent="0.35">
      <c r="A374" t="s">
        <v>858</v>
      </c>
      <c r="B374" t="s">
        <v>89</v>
      </c>
      <c r="C374" t="s">
        <v>859</v>
      </c>
      <c r="D374" t="s">
        <v>72</v>
      </c>
      <c r="E374" t="s">
        <v>72</v>
      </c>
      <c r="F374" t="s">
        <v>72</v>
      </c>
      <c r="G374" t="s">
        <v>73</v>
      </c>
      <c r="H374" t="s">
        <v>109</v>
      </c>
      <c r="I374" t="s">
        <v>110</v>
      </c>
      <c r="J374" t="s">
        <v>111</v>
      </c>
      <c r="K374" t="s">
        <v>112</v>
      </c>
      <c r="L374" t="s">
        <v>113</v>
      </c>
      <c r="M374" t="s">
        <v>114</v>
      </c>
      <c r="N374">
        <v>48</v>
      </c>
      <c r="O374" t="s">
        <v>80</v>
      </c>
      <c r="P374">
        <v>621</v>
      </c>
      <c r="Q374">
        <v>0.68400000000000005</v>
      </c>
      <c r="R374">
        <v>175</v>
      </c>
      <c r="S374">
        <v>0.81130000000000002</v>
      </c>
      <c r="T374" t="s">
        <v>115</v>
      </c>
      <c r="U374" t="s">
        <v>116</v>
      </c>
      <c r="V374" t="s">
        <v>117</v>
      </c>
      <c r="W374" t="s">
        <v>118</v>
      </c>
      <c r="X374" t="s">
        <v>119</v>
      </c>
      <c r="Y374" t="s">
        <v>120</v>
      </c>
      <c r="Z374" t="s">
        <v>121</v>
      </c>
      <c r="AA374" t="s">
        <v>88</v>
      </c>
      <c r="AB374">
        <v>313</v>
      </c>
      <c r="AC374">
        <v>2</v>
      </c>
      <c r="AE374">
        <v>1</v>
      </c>
      <c r="AF374" t="s">
        <v>153</v>
      </c>
      <c r="AG374" t="s">
        <v>860</v>
      </c>
      <c r="AH374" t="s">
        <v>72</v>
      </c>
      <c r="AI374" t="s">
        <v>72</v>
      </c>
      <c r="AJ374" t="s">
        <v>91</v>
      </c>
      <c r="AK374" t="s">
        <v>92</v>
      </c>
      <c r="AL374" t="s">
        <v>93</v>
      </c>
      <c r="AM374" t="s">
        <v>94</v>
      </c>
      <c r="AN374" t="s">
        <v>861</v>
      </c>
      <c r="AO374" t="s">
        <v>862</v>
      </c>
      <c r="AP374" t="s">
        <v>97</v>
      </c>
      <c r="AQ374">
        <v>39</v>
      </c>
      <c r="AR374" t="s">
        <v>80</v>
      </c>
      <c r="AS374">
        <v>1350</v>
      </c>
      <c r="AT374">
        <v>0.96530000000000005</v>
      </c>
      <c r="AU374">
        <v>172</v>
      </c>
      <c r="AV374">
        <v>0.94740000000000002</v>
      </c>
      <c r="AW374" t="s">
        <v>98</v>
      </c>
      <c r="AX374" t="s">
        <v>146</v>
      </c>
      <c r="AY374" t="s">
        <v>863</v>
      </c>
      <c r="AZ374" t="s">
        <v>101</v>
      </c>
      <c r="BA374" t="s">
        <v>128</v>
      </c>
      <c r="BB374" t="s">
        <v>103</v>
      </c>
      <c r="BC374" t="s">
        <v>104</v>
      </c>
      <c r="BD374" t="s">
        <v>105</v>
      </c>
      <c r="BE374">
        <v>4028</v>
      </c>
      <c r="BF374" t="s">
        <v>106</v>
      </c>
      <c r="BG374">
        <v>47</v>
      </c>
      <c r="BH374" t="s">
        <v>80</v>
      </c>
      <c r="BI374">
        <v>1</v>
      </c>
      <c r="BJ374">
        <v>2136</v>
      </c>
      <c r="BK374">
        <v>33</v>
      </c>
      <c r="BL374">
        <v>139</v>
      </c>
      <c r="BM374">
        <v>561</v>
      </c>
      <c r="BN374">
        <v>756</v>
      </c>
      <c r="BO374">
        <v>1157</v>
      </c>
      <c r="BP374">
        <v>56</v>
      </c>
      <c r="BQ374" s="2">
        <v>507</v>
      </c>
      <c r="BR374">
        <f t="shared" si="85"/>
        <v>2137</v>
      </c>
      <c r="BS374">
        <f t="shared" si="86"/>
        <v>34</v>
      </c>
      <c r="BT374">
        <f t="shared" si="87"/>
        <v>140</v>
      </c>
      <c r="BU374">
        <f t="shared" si="88"/>
        <v>562</v>
      </c>
      <c r="BV374">
        <f t="shared" si="89"/>
        <v>757</v>
      </c>
      <c r="BW374">
        <f t="shared" si="90"/>
        <v>1158</v>
      </c>
      <c r="BX374">
        <f t="shared" si="91"/>
        <v>57</v>
      </c>
      <c r="BY374" s="2">
        <f t="shared" si="92"/>
        <v>508</v>
      </c>
      <c r="BZ374">
        <f t="shared" si="93"/>
        <v>331.2923058528703</v>
      </c>
      <c r="CA374">
        <v>331.2923058528703</v>
      </c>
      <c r="CB374">
        <v>331.2923058528703</v>
      </c>
      <c r="CC374">
        <v>331.2923058528703</v>
      </c>
      <c r="CD374">
        <v>331.2923058528703</v>
      </c>
      <c r="CE374">
        <v>331.2923058528703</v>
      </c>
      <c r="CF374">
        <v>331.2923058528703</v>
      </c>
      <c r="CG374">
        <v>331.2923058528703</v>
      </c>
      <c r="CH374">
        <f t="shared" si="94"/>
        <v>0.80959317250137885</v>
      </c>
      <c r="CI374">
        <f t="shared" si="95"/>
        <v>-0.98873243262043542</v>
      </c>
      <c r="CJ374">
        <f t="shared" si="96"/>
        <v>-0.37408331398445255</v>
      </c>
      <c r="CK374">
        <f t="shared" si="97"/>
        <v>0.2295249659063705</v>
      </c>
      <c r="CL374">
        <f t="shared" si="98"/>
        <v>0.35888452983738223</v>
      </c>
      <c r="CM374">
        <f t="shared" si="99"/>
        <v>0.54349720972872684</v>
      </c>
      <c r="CN374">
        <f t="shared" si="100"/>
        <v>-0.76433649399019921</v>
      </c>
      <c r="CO374" s="2">
        <f t="shared" si="101"/>
        <v>0.18565236262122867</v>
      </c>
      <c r="CP374">
        <v>0.29564309402557598</v>
      </c>
      <c r="CQ374">
        <v>1.8783996682092501</v>
      </c>
      <c r="CR374">
        <v>0.82378640549721904</v>
      </c>
      <c r="CS374">
        <v>-0.96909147362313697</v>
      </c>
      <c r="CT374">
        <v>-0.88839969718487499</v>
      </c>
      <c r="CU374">
        <v>-0.85768547628717196</v>
      </c>
      <c r="CV374">
        <v>0.62634908583230398</v>
      </c>
      <c r="CW374">
        <v>-0.974448914792441</v>
      </c>
      <c r="CX374" t="s">
        <v>1827</v>
      </c>
    </row>
    <row r="375" spans="1:102" x14ac:dyDescent="0.35">
      <c r="A375" t="s">
        <v>538</v>
      </c>
      <c r="B375" t="s">
        <v>199</v>
      </c>
      <c r="C375" t="s">
        <v>539</v>
      </c>
      <c r="D375" t="s">
        <v>72</v>
      </c>
      <c r="E375" t="s">
        <v>72</v>
      </c>
      <c r="F375" t="s">
        <v>72</v>
      </c>
      <c r="G375" t="s">
        <v>73</v>
      </c>
      <c r="H375" t="s">
        <v>109</v>
      </c>
      <c r="I375" t="s">
        <v>110</v>
      </c>
      <c r="J375" t="s">
        <v>111</v>
      </c>
      <c r="K375" t="s">
        <v>112</v>
      </c>
      <c r="L375" t="s">
        <v>113</v>
      </c>
      <c r="M375" t="s">
        <v>114</v>
      </c>
      <c r="N375">
        <v>48</v>
      </c>
      <c r="O375" t="s">
        <v>80</v>
      </c>
      <c r="P375">
        <v>621</v>
      </c>
      <c r="Q375">
        <v>0.68400000000000005</v>
      </c>
      <c r="R375">
        <v>175</v>
      </c>
      <c r="S375">
        <v>0.81130000000000002</v>
      </c>
      <c r="T375" t="s">
        <v>115</v>
      </c>
      <c r="U375" t="s">
        <v>116</v>
      </c>
      <c r="V375" t="s">
        <v>117</v>
      </c>
      <c r="W375" t="s">
        <v>118</v>
      </c>
      <c r="X375" t="s">
        <v>119</v>
      </c>
      <c r="Y375" t="s">
        <v>120</v>
      </c>
      <c r="Z375" t="s">
        <v>121</v>
      </c>
      <c r="AA375" t="s">
        <v>88</v>
      </c>
      <c r="AB375">
        <v>120</v>
      </c>
      <c r="AC375">
        <v>1</v>
      </c>
      <c r="AE375">
        <v>1</v>
      </c>
      <c r="AF375" t="s">
        <v>89</v>
      </c>
      <c r="AG375" t="s">
        <v>540</v>
      </c>
      <c r="AH375" t="s">
        <v>72</v>
      </c>
      <c r="AI375" t="s">
        <v>72</v>
      </c>
      <c r="AJ375" t="s">
        <v>91</v>
      </c>
      <c r="AK375" t="s">
        <v>92</v>
      </c>
      <c r="AL375" t="s">
        <v>93</v>
      </c>
      <c r="AM375" t="s">
        <v>94</v>
      </c>
      <c r="AN375" t="s">
        <v>541</v>
      </c>
      <c r="AO375" t="s">
        <v>542</v>
      </c>
      <c r="AP375" t="s">
        <v>243</v>
      </c>
      <c r="AQ375">
        <v>39</v>
      </c>
      <c r="AR375" t="s">
        <v>80</v>
      </c>
      <c r="AS375">
        <v>1350</v>
      </c>
      <c r="AT375">
        <v>0.96530000000000005</v>
      </c>
      <c r="AU375">
        <v>172</v>
      </c>
      <c r="AV375">
        <v>0.94740000000000002</v>
      </c>
      <c r="AW375" t="s">
        <v>543</v>
      </c>
      <c r="AX375" t="s">
        <v>146</v>
      </c>
      <c r="AY375" t="s">
        <v>544</v>
      </c>
      <c r="AZ375" t="s">
        <v>101</v>
      </c>
      <c r="BA375" t="s">
        <v>102</v>
      </c>
      <c r="BB375" t="s">
        <v>103</v>
      </c>
      <c r="BC375" t="s">
        <v>246</v>
      </c>
      <c r="BD375" t="s">
        <v>105</v>
      </c>
      <c r="BE375">
        <v>5389</v>
      </c>
      <c r="BF375" t="s">
        <v>247</v>
      </c>
      <c r="BG375">
        <v>74</v>
      </c>
      <c r="BH375" t="s">
        <v>80</v>
      </c>
      <c r="BI375">
        <v>1</v>
      </c>
      <c r="BJ375">
        <v>509</v>
      </c>
      <c r="BK375">
        <v>7</v>
      </c>
      <c r="BL375">
        <v>10</v>
      </c>
      <c r="BM375">
        <v>191</v>
      </c>
      <c r="BN375">
        <v>271</v>
      </c>
      <c r="BO375">
        <v>410</v>
      </c>
      <c r="BP375">
        <v>8</v>
      </c>
      <c r="BQ375" s="2">
        <v>231</v>
      </c>
      <c r="BR375">
        <f t="shared" si="85"/>
        <v>510</v>
      </c>
      <c r="BS375">
        <f t="shared" si="86"/>
        <v>8</v>
      </c>
      <c r="BT375">
        <f t="shared" si="87"/>
        <v>11</v>
      </c>
      <c r="BU375">
        <f t="shared" si="88"/>
        <v>192</v>
      </c>
      <c r="BV375">
        <f t="shared" si="89"/>
        <v>272</v>
      </c>
      <c r="BW375">
        <f t="shared" si="90"/>
        <v>411</v>
      </c>
      <c r="BX375">
        <f t="shared" si="91"/>
        <v>9</v>
      </c>
      <c r="BY375" s="2">
        <f t="shared" si="92"/>
        <v>232</v>
      </c>
      <c r="BZ375">
        <f t="shared" si="93"/>
        <v>81.834590236367305</v>
      </c>
      <c r="CA375">
        <v>81.834590236367305</v>
      </c>
      <c r="CB375">
        <v>81.834590236367305</v>
      </c>
      <c r="CC375">
        <v>81.834590236367305</v>
      </c>
      <c r="CD375">
        <v>81.834590236367305</v>
      </c>
      <c r="CE375">
        <v>81.834590236367305</v>
      </c>
      <c r="CF375">
        <v>81.834590236367305</v>
      </c>
      <c r="CG375">
        <v>81.834590236367305</v>
      </c>
      <c r="CH375">
        <f t="shared" si="94"/>
        <v>0.79463326394891798</v>
      </c>
      <c r="CI375">
        <f t="shared" si="95"/>
        <v>-1.0098469251570747</v>
      </c>
      <c r="CJ375">
        <f t="shared" si="96"/>
        <v>-0.87154422699079337</v>
      </c>
      <c r="CK375">
        <f t="shared" si="97"/>
        <v>0.37036431655453123</v>
      </c>
      <c r="CL375">
        <f t="shared" si="98"/>
        <v>0.52163199188518028</v>
      </c>
      <c r="CM375">
        <f t="shared" si="99"/>
        <v>0.70090490972705077</v>
      </c>
      <c r="CN375">
        <f t="shared" si="100"/>
        <v>-0.95869440270969353</v>
      </c>
      <c r="CO375" s="2">
        <f t="shared" si="101"/>
        <v>0.45255107274188128</v>
      </c>
      <c r="CP375">
        <v>0.27766977597567999</v>
      </c>
      <c r="CQ375">
        <v>1.81602313954578</v>
      </c>
      <c r="CR375">
        <v>-1.39880800457279</v>
      </c>
      <c r="CS375">
        <v>-0.55411538244509795</v>
      </c>
      <c r="CT375">
        <v>-0.43537340044819101</v>
      </c>
      <c r="CU375">
        <v>-0.403124469042829</v>
      </c>
      <c r="CV375">
        <v>0.105086268309971</v>
      </c>
      <c r="CW375">
        <v>-0.241370669773705</v>
      </c>
      <c r="CX375" t="s">
        <v>1827</v>
      </c>
    </row>
    <row r="376" spans="1:102" x14ac:dyDescent="0.35">
      <c r="A376" t="s">
        <v>280</v>
      </c>
      <c r="B376" t="s">
        <v>159</v>
      </c>
      <c r="C376" t="s">
        <v>281</v>
      </c>
      <c r="D376" t="s">
        <v>72</v>
      </c>
      <c r="E376" t="s">
        <v>72</v>
      </c>
      <c r="F376" t="s">
        <v>72</v>
      </c>
      <c r="G376" t="s">
        <v>73</v>
      </c>
      <c r="H376" t="s">
        <v>74</v>
      </c>
      <c r="I376" t="s">
        <v>75</v>
      </c>
      <c r="J376" t="s">
        <v>76</v>
      </c>
      <c r="K376" t="s">
        <v>77</v>
      </c>
      <c r="L376" t="s">
        <v>78</v>
      </c>
      <c r="M376" t="s">
        <v>79</v>
      </c>
      <c r="N376">
        <v>60</v>
      </c>
      <c r="O376" t="s">
        <v>80</v>
      </c>
      <c r="P376">
        <v>792</v>
      </c>
      <c r="Q376">
        <v>0.75</v>
      </c>
      <c r="R376">
        <v>177</v>
      </c>
      <c r="S376">
        <v>0.85419999999999996</v>
      </c>
      <c r="T376" t="s">
        <v>81</v>
      </c>
      <c r="U376" t="s">
        <v>82</v>
      </c>
      <c r="V376" t="s">
        <v>83</v>
      </c>
      <c r="W376" t="s">
        <v>84</v>
      </c>
      <c r="X376" t="s">
        <v>85</v>
      </c>
      <c r="Y376" t="s">
        <v>86</v>
      </c>
      <c r="Z376" t="s">
        <v>87</v>
      </c>
      <c r="AA376" t="s">
        <v>88</v>
      </c>
      <c r="AB376">
        <v>89</v>
      </c>
      <c r="AC376">
        <v>1</v>
      </c>
      <c r="AE376">
        <v>22</v>
      </c>
      <c r="AF376" t="s">
        <v>153</v>
      </c>
      <c r="AG376" t="s">
        <v>161</v>
      </c>
      <c r="AH376" t="s">
        <v>72</v>
      </c>
      <c r="AI376" t="s">
        <v>72</v>
      </c>
      <c r="AJ376" t="s">
        <v>91</v>
      </c>
      <c r="AK376" t="s">
        <v>92</v>
      </c>
      <c r="AL376" t="s">
        <v>93</v>
      </c>
      <c r="AM376" t="s">
        <v>94</v>
      </c>
      <c r="AN376" t="s">
        <v>144</v>
      </c>
      <c r="AO376" t="s">
        <v>145</v>
      </c>
      <c r="AP376" t="s">
        <v>97</v>
      </c>
      <c r="AQ376">
        <v>39</v>
      </c>
      <c r="AR376" t="s">
        <v>80</v>
      </c>
      <c r="AS376">
        <v>1359</v>
      </c>
      <c r="AT376">
        <v>0.96879999999999999</v>
      </c>
      <c r="AU376">
        <v>172</v>
      </c>
      <c r="AV376">
        <v>0.94740000000000002</v>
      </c>
      <c r="AW376" t="s">
        <v>98</v>
      </c>
      <c r="AX376" t="s">
        <v>146</v>
      </c>
      <c r="AY376" t="s">
        <v>127</v>
      </c>
      <c r="AZ376" t="s">
        <v>101</v>
      </c>
      <c r="BA376" t="s">
        <v>128</v>
      </c>
      <c r="BB376" t="s">
        <v>103</v>
      </c>
      <c r="BC376" t="s">
        <v>104</v>
      </c>
      <c r="BD376" t="s">
        <v>105</v>
      </c>
      <c r="BE376">
        <v>4638</v>
      </c>
      <c r="BF376" t="s">
        <v>106</v>
      </c>
      <c r="BG376">
        <v>63</v>
      </c>
      <c r="BH376" t="s">
        <v>80</v>
      </c>
      <c r="BI376">
        <v>1</v>
      </c>
      <c r="BJ376">
        <v>185</v>
      </c>
      <c r="BK376">
        <v>0</v>
      </c>
      <c r="BL376">
        <v>23</v>
      </c>
      <c r="BM376">
        <v>61</v>
      </c>
      <c r="BN376">
        <v>76</v>
      </c>
      <c r="BO376">
        <v>111</v>
      </c>
      <c r="BP376">
        <v>5</v>
      </c>
      <c r="BQ376" s="2">
        <v>50</v>
      </c>
      <c r="BR376">
        <f t="shared" si="85"/>
        <v>186</v>
      </c>
      <c r="BS376">
        <f t="shared" si="86"/>
        <v>1</v>
      </c>
      <c r="BT376">
        <f t="shared" si="87"/>
        <v>24</v>
      </c>
      <c r="BU376">
        <f t="shared" si="88"/>
        <v>62</v>
      </c>
      <c r="BV376">
        <f t="shared" si="89"/>
        <v>77</v>
      </c>
      <c r="BW376">
        <f t="shared" si="90"/>
        <v>112</v>
      </c>
      <c r="BX376">
        <f t="shared" si="91"/>
        <v>6</v>
      </c>
      <c r="BY376" s="2">
        <f t="shared" si="92"/>
        <v>51</v>
      </c>
      <c r="BZ376">
        <f t="shared" si="93"/>
        <v>30.404877375479135</v>
      </c>
      <c r="CA376">
        <v>30.404877375479135</v>
      </c>
      <c r="CB376">
        <v>30.404877375479135</v>
      </c>
      <c r="CC376">
        <v>30.404877375479135</v>
      </c>
      <c r="CD376">
        <v>30.404877375479135</v>
      </c>
      <c r="CE376">
        <v>30.404877375479135</v>
      </c>
      <c r="CF376">
        <v>30.404877375479135</v>
      </c>
      <c r="CG376">
        <v>30.404877375479135</v>
      </c>
      <c r="CH376">
        <f t="shared" si="94"/>
        <v>0.78656968799891391</v>
      </c>
      <c r="CI376">
        <f t="shared" si="95"/>
        <v>-1.4829432562190024</v>
      </c>
      <c r="CJ376">
        <f t="shared" si="96"/>
        <v>-0.10273201450739644</v>
      </c>
      <c r="CK376">
        <f t="shared" si="97"/>
        <v>0.30944843327925142</v>
      </c>
      <c r="CL376">
        <f t="shared" si="98"/>
        <v>0.40354746895347943</v>
      </c>
      <c r="CM376">
        <f t="shared" si="99"/>
        <v>0.56627476645117913</v>
      </c>
      <c r="CN376">
        <f t="shared" si="100"/>
        <v>-0.70479200583535884</v>
      </c>
      <c r="CO376" s="2">
        <f t="shared" si="101"/>
        <v>0.22462691987893391</v>
      </c>
      <c r="CP376">
        <v>0.26798193499318401</v>
      </c>
      <c r="CQ376">
        <v>-2.2527165794045199</v>
      </c>
      <c r="CR376">
        <v>2.0361507654188</v>
      </c>
      <c r="CS376">
        <v>-0.73360098086555203</v>
      </c>
      <c r="CT376">
        <v>-0.76407526438235895</v>
      </c>
      <c r="CU376">
        <v>-0.79190858528099295</v>
      </c>
      <c r="CV376">
        <v>0.78604584254269405</v>
      </c>
      <c r="CW376">
        <v>-0.86739931525730296</v>
      </c>
      <c r="CX376" t="s">
        <v>1827</v>
      </c>
    </row>
    <row r="377" spans="1:102" x14ac:dyDescent="0.35">
      <c r="A377" t="s">
        <v>869</v>
      </c>
      <c r="B377" t="s">
        <v>211</v>
      </c>
      <c r="C377" t="s">
        <v>870</v>
      </c>
      <c r="D377" t="s">
        <v>72</v>
      </c>
      <c r="E377" t="s">
        <v>72</v>
      </c>
      <c r="F377" t="s">
        <v>72</v>
      </c>
      <c r="G377" t="s">
        <v>73</v>
      </c>
      <c r="H377" t="s">
        <v>74</v>
      </c>
      <c r="I377" t="s">
        <v>75</v>
      </c>
      <c r="J377" t="s">
        <v>76</v>
      </c>
      <c r="K377" t="s">
        <v>871</v>
      </c>
      <c r="L377" t="s">
        <v>872</v>
      </c>
      <c r="M377" t="s">
        <v>79</v>
      </c>
      <c r="N377">
        <v>60</v>
      </c>
      <c r="O377" t="s">
        <v>80</v>
      </c>
      <c r="P377">
        <v>783</v>
      </c>
      <c r="Q377">
        <v>0.74650000000000005</v>
      </c>
      <c r="R377">
        <v>177</v>
      </c>
      <c r="S377">
        <v>0.85419999999999996</v>
      </c>
      <c r="T377" t="s">
        <v>81</v>
      </c>
      <c r="U377" t="s">
        <v>873</v>
      </c>
      <c r="V377" t="s">
        <v>83</v>
      </c>
      <c r="W377" t="s">
        <v>84</v>
      </c>
      <c r="X377" t="s">
        <v>85</v>
      </c>
      <c r="Y377" t="s">
        <v>86</v>
      </c>
      <c r="Z377" t="s">
        <v>87</v>
      </c>
      <c r="AA377" t="s">
        <v>88</v>
      </c>
      <c r="AB377">
        <v>193</v>
      </c>
      <c r="AC377">
        <v>2</v>
      </c>
      <c r="AE377">
        <v>22</v>
      </c>
      <c r="AF377" t="s">
        <v>89</v>
      </c>
      <c r="AG377" t="s">
        <v>874</v>
      </c>
      <c r="AH377" t="s">
        <v>72</v>
      </c>
      <c r="AI377" t="s">
        <v>72</v>
      </c>
      <c r="AJ377" t="s">
        <v>91</v>
      </c>
      <c r="AK377" t="s">
        <v>92</v>
      </c>
      <c r="AL377" t="s">
        <v>93</v>
      </c>
      <c r="AM377" t="s">
        <v>94</v>
      </c>
      <c r="AN377" t="s">
        <v>875</v>
      </c>
      <c r="AO377" t="s">
        <v>876</v>
      </c>
      <c r="AP377" t="s">
        <v>97</v>
      </c>
      <c r="AQ377">
        <v>39</v>
      </c>
      <c r="AR377" t="s">
        <v>80</v>
      </c>
      <c r="AS377">
        <v>1332</v>
      </c>
      <c r="AT377">
        <v>0.95830000000000004</v>
      </c>
      <c r="AU377">
        <v>172</v>
      </c>
      <c r="AV377">
        <v>0.94740000000000002</v>
      </c>
      <c r="AW377" t="s">
        <v>98</v>
      </c>
      <c r="AX377" t="s">
        <v>877</v>
      </c>
      <c r="AY377" t="s">
        <v>878</v>
      </c>
      <c r="AZ377" t="s">
        <v>101</v>
      </c>
      <c r="BA377" t="s">
        <v>128</v>
      </c>
      <c r="BB377" t="s">
        <v>103</v>
      </c>
      <c r="BC377" t="s">
        <v>104</v>
      </c>
      <c r="BD377" t="s">
        <v>105</v>
      </c>
      <c r="BE377">
        <v>3993</v>
      </c>
      <c r="BF377" t="s">
        <v>106</v>
      </c>
      <c r="BG377">
        <v>66</v>
      </c>
      <c r="BH377" t="s">
        <v>80</v>
      </c>
      <c r="BI377">
        <v>1</v>
      </c>
      <c r="BJ377">
        <v>500</v>
      </c>
      <c r="BK377">
        <v>5</v>
      </c>
      <c r="BL377">
        <v>17</v>
      </c>
      <c r="BM377">
        <v>183</v>
      </c>
      <c r="BN377">
        <v>274</v>
      </c>
      <c r="BO377">
        <v>407</v>
      </c>
      <c r="BP377">
        <v>11</v>
      </c>
      <c r="BQ377" s="2">
        <v>201</v>
      </c>
      <c r="BR377">
        <f t="shared" si="85"/>
        <v>501</v>
      </c>
      <c r="BS377">
        <f t="shared" si="86"/>
        <v>6</v>
      </c>
      <c r="BT377">
        <f t="shared" si="87"/>
        <v>18</v>
      </c>
      <c r="BU377">
        <f t="shared" si="88"/>
        <v>184</v>
      </c>
      <c r="BV377">
        <f t="shared" si="89"/>
        <v>275</v>
      </c>
      <c r="BW377">
        <f t="shared" si="90"/>
        <v>408</v>
      </c>
      <c r="BX377">
        <f t="shared" si="91"/>
        <v>12</v>
      </c>
      <c r="BY377" s="2">
        <f t="shared" si="92"/>
        <v>202</v>
      </c>
      <c r="BZ377">
        <f t="shared" si="93"/>
        <v>84.932830368528059</v>
      </c>
      <c r="CA377">
        <v>84.932830368528059</v>
      </c>
      <c r="CB377">
        <v>84.932830368528059</v>
      </c>
      <c r="CC377">
        <v>84.932830368528059</v>
      </c>
      <c r="CD377">
        <v>84.932830368528059</v>
      </c>
      <c r="CE377">
        <v>84.932830368528059</v>
      </c>
      <c r="CF377">
        <v>84.932830368528059</v>
      </c>
      <c r="CG377">
        <v>84.932830368528059</v>
      </c>
      <c r="CH377">
        <f t="shared" si="94"/>
        <v>0.77076212876998029</v>
      </c>
      <c r="CI377">
        <f t="shared" si="95"/>
        <v>-1.1509243467136219</v>
      </c>
      <c r="CJ377">
        <f t="shared" si="96"/>
        <v>-0.67380309199395938</v>
      </c>
      <c r="CK377">
        <f t="shared" si="97"/>
        <v>0.3357422259122711</v>
      </c>
      <c r="CL377">
        <f t="shared" si="98"/>
        <v>0.51025709673299724</v>
      </c>
      <c r="CM377">
        <f t="shared" si="99"/>
        <v>0.68158456599261452</v>
      </c>
      <c r="CN377">
        <f t="shared" si="100"/>
        <v>-0.84989435104964062</v>
      </c>
      <c r="CO377" s="2">
        <f t="shared" si="101"/>
        <v>0.37627577234935838</v>
      </c>
      <c r="CP377">
        <v>0.248990222001231</v>
      </c>
      <c r="CQ377">
        <v>1.39925158729465</v>
      </c>
      <c r="CR377">
        <v>-0.51532484078247098</v>
      </c>
      <c r="CS377">
        <v>-0.656127638089678</v>
      </c>
      <c r="CT377">
        <v>-0.46703673062687101</v>
      </c>
      <c r="CU377">
        <v>-0.45891764122135498</v>
      </c>
      <c r="CV377">
        <v>0.39688515546894898</v>
      </c>
      <c r="CW377">
        <v>-0.450872481621168</v>
      </c>
      <c r="CX377" t="s">
        <v>1827</v>
      </c>
    </row>
    <row r="378" spans="1:102" x14ac:dyDescent="0.35">
      <c r="A378" t="s">
        <v>1430</v>
      </c>
      <c r="B378" t="s">
        <v>130</v>
      </c>
      <c r="C378" t="s">
        <v>1431</v>
      </c>
      <c r="D378" t="s">
        <v>72</v>
      </c>
      <c r="E378" t="s">
        <v>72</v>
      </c>
      <c r="F378" t="s">
        <v>72</v>
      </c>
      <c r="G378" t="s">
        <v>73</v>
      </c>
      <c r="H378" t="s">
        <v>109</v>
      </c>
      <c r="I378" t="s">
        <v>110</v>
      </c>
      <c r="J378" t="s">
        <v>111</v>
      </c>
      <c r="K378" t="s">
        <v>1432</v>
      </c>
      <c r="L378" t="s">
        <v>1433</v>
      </c>
      <c r="M378" t="s">
        <v>114</v>
      </c>
      <c r="N378">
        <v>48</v>
      </c>
      <c r="O378" t="s">
        <v>80</v>
      </c>
      <c r="P378">
        <v>612</v>
      </c>
      <c r="Q378">
        <v>0.68059999999999998</v>
      </c>
      <c r="R378">
        <v>175</v>
      </c>
      <c r="S378">
        <v>0.81130000000000002</v>
      </c>
      <c r="T378" t="s">
        <v>1434</v>
      </c>
      <c r="U378" t="s">
        <v>116</v>
      </c>
      <c r="V378" t="s">
        <v>117</v>
      </c>
      <c r="W378" t="s">
        <v>118</v>
      </c>
      <c r="X378" t="s">
        <v>119</v>
      </c>
      <c r="Y378" t="s">
        <v>120</v>
      </c>
      <c r="Z378" t="s">
        <v>121</v>
      </c>
      <c r="AA378" t="s">
        <v>88</v>
      </c>
      <c r="AB378">
        <v>798</v>
      </c>
      <c r="AC378">
        <v>9</v>
      </c>
      <c r="AE378">
        <v>1</v>
      </c>
      <c r="AF378" t="s">
        <v>89</v>
      </c>
      <c r="AG378" t="s">
        <v>1435</v>
      </c>
      <c r="AH378" t="s">
        <v>72</v>
      </c>
      <c r="AI378" t="s">
        <v>72</v>
      </c>
      <c r="AJ378" t="s">
        <v>91</v>
      </c>
      <c r="AK378" t="s">
        <v>92</v>
      </c>
      <c r="AL378" t="s">
        <v>93</v>
      </c>
      <c r="AM378" t="s">
        <v>94</v>
      </c>
      <c r="AN378" t="s">
        <v>144</v>
      </c>
      <c r="AO378" t="s">
        <v>145</v>
      </c>
      <c r="AP378" t="s">
        <v>97</v>
      </c>
      <c r="AQ378">
        <v>39</v>
      </c>
      <c r="AR378" t="s">
        <v>80</v>
      </c>
      <c r="AS378">
        <v>1359</v>
      </c>
      <c r="AT378">
        <v>0.96879999999999999</v>
      </c>
      <c r="AU378">
        <v>172</v>
      </c>
      <c r="AV378">
        <v>0.94740000000000002</v>
      </c>
      <c r="AW378" t="s">
        <v>98</v>
      </c>
      <c r="AX378" t="s">
        <v>146</v>
      </c>
      <c r="AY378" t="s">
        <v>127</v>
      </c>
      <c r="AZ378" t="s">
        <v>101</v>
      </c>
      <c r="BA378" t="s">
        <v>128</v>
      </c>
      <c r="BB378" t="s">
        <v>103</v>
      </c>
      <c r="BC378" t="s">
        <v>104</v>
      </c>
      <c r="BD378" t="s">
        <v>105</v>
      </c>
      <c r="BE378">
        <v>53825</v>
      </c>
      <c r="BF378" t="s">
        <v>106</v>
      </c>
      <c r="BG378">
        <v>657</v>
      </c>
      <c r="BH378" t="s">
        <v>80</v>
      </c>
      <c r="BI378">
        <v>1</v>
      </c>
      <c r="BJ378">
        <v>137</v>
      </c>
      <c r="BK378">
        <v>0</v>
      </c>
      <c r="BL378">
        <v>9</v>
      </c>
      <c r="BM378">
        <v>108</v>
      </c>
      <c r="BN378">
        <v>150</v>
      </c>
      <c r="BO378">
        <v>214</v>
      </c>
      <c r="BP378">
        <v>0</v>
      </c>
      <c r="BQ378" s="2">
        <v>81</v>
      </c>
      <c r="BR378">
        <f t="shared" si="85"/>
        <v>138</v>
      </c>
      <c r="BS378">
        <f t="shared" si="86"/>
        <v>1</v>
      </c>
      <c r="BT378">
        <f t="shared" si="87"/>
        <v>10</v>
      </c>
      <c r="BU378">
        <f t="shared" si="88"/>
        <v>109</v>
      </c>
      <c r="BV378">
        <f t="shared" si="89"/>
        <v>151</v>
      </c>
      <c r="BW378">
        <f t="shared" si="90"/>
        <v>215</v>
      </c>
      <c r="BX378">
        <f t="shared" si="91"/>
        <v>1</v>
      </c>
      <c r="BY378" s="2">
        <f t="shared" si="92"/>
        <v>82</v>
      </c>
      <c r="BZ378">
        <f t="shared" si="93"/>
        <v>28.204399363474703</v>
      </c>
      <c r="CA378">
        <v>28.204399363474703</v>
      </c>
      <c r="CB378">
        <v>28.204399363474703</v>
      </c>
      <c r="CC378">
        <v>28.204399363474703</v>
      </c>
      <c r="CD378">
        <v>28.204399363474703</v>
      </c>
      <c r="CE378">
        <v>28.204399363474703</v>
      </c>
      <c r="CF378">
        <v>28.204399363474703</v>
      </c>
      <c r="CG378">
        <v>28.204399363474703</v>
      </c>
      <c r="CH378">
        <f t="shared" si="94"/>
        <v>0.68956223090944258</v>
      </c>
      <c r="CI378">
        <f t="shared" si="95"/>
        <v>-1.450316855491794</v>
      </c>
      <c r="CJ378">
        <f t="shared" si="96"/>
        <v>-0.45031685549179401</v>
      </c>
      <c r="CK378">
        <f t="shared" si="97"/>
        <v>0.58710964244882968</v>
      </c>
      <c r="CL378">
        <f t="shared" si="98"/>
        <v>0.72866009180137548</v>
      </c>
      <c r="CM378">
        <f t="shared" si="99"/>
        <v>0.88212160442381138</v>
      </c>
      <c r="CN378">
        <f t="shared" si="100"/>
        <v>-1.450316855491794</v>
      </c>
      <c r="CO378" s="2">
        <f t="shared" si="101"/>
        <v>0.4634969968919227</v>
      </c>
      <c r="CP378">
        <v>0.151434038101531</v>
      </c>
      <c r="CQ378">
        <v>-2.2527165794045199</v>
      </c>
      <c r="CR378">
        <v>0.48318428222668702</v>
      </c>
      <c r="CS378">
        <v>8.4513862199893403E-2</v>
      </c>
      <c r="CT378">
        <v>0.140913149556015</v>
      </c>
      <c r="CU378">
        <v>0.120192009577512</v>
      </c>
      <c r="CV378">
        <v>-2.6172399890044602</v>
      </c>
      <c r="CW378">
        <v>-0.21130601017908501</v>
      </c>
      <c r="CX378" t="s">
        <v>1827</v>
      </c>
    </row>
    <row r="379" spans="1:102" x14ac:dyDescent="0.35">
      <c r="A379" t="s">
        <v>1081</v>
      </c>
      <c r="B379" t="s">
        <v>153</v>
      </c>
      <c r="C379" t="s">
        <v>255</v>
      </c>
      <c r="D379" t="s">
        <v>72</v>
      </c>
      <c r="E379" t="s">
        <v>72</v>
      </c>
      <c r="F379" t="s">
        <v>72</v>
      </c>
      <c r="G379" t="s">
        <v>73</v>
      </c>
      <c r="H379" t="s">
        <v>109</v>
      </c>
      <c r="I379" t="s">
        <v>110</v>
      </c>
      <c r="J379" t="s">
        <v>111</v>
      </c>
      <c r="K379" t="s">
        <v>112</v>
      </c>
      <c r="L379" t="s">
        <v>113</v>
      </c>
      <c r="M379" t="s">
        <v>114</v>
      </c>
      <c r="N379">
        <v>48</v>
      </c>
      <c r="O379" t="s">
        <v>80</v>
      </c>
      <c r="P379">
        <v>621</v>
      </c>
      <c r="Q379">
        <v>0.68400000000000005</v>
      </c>
      <c r="R379">
        <v>175</v>
      </c>
      <c r="S379">
        <v>0.81130000000000002</v>
      </c>
      <c r="T379" t="s">
        <v>115</v>
      </c>
      <c r="U379" t="s">
        <v>116</v>
      </c>
      <c r="V379" t="s">
        <v>117</v>
      </c>
      <c r="W379" t="s">
        <v>118</v>
      </c>
      <c r="X379" t="s">
        <v>119</v>
      </c>
      <c r="Y379" t="s">
        <v>120</v>
      </c>
      <c r="Z379" t="s">
        <v>121</v>
      </c>
      <c r="AA379" t="s">
        <v>88</v>
      </c>
      <c r="AB379">
        <v>95</v>
      </c>
      <c r="AC379">
        <v>3</v>
      </c>
      <c r="AE379">
        <v>1</v>
      </c>
      <c r="AF379" t="s">
        <v>142</v>
      </c>
      <c r="AG379" t="s">
        <v>1082</v>
      </c>
      <c r="AH379" t="s">
        <v>72</v>
      </c>
      <c r="AI379" t="s">
        <v>72</v>
      </c>
      <c r="AJ379" t="s">
        <v>91</v>
      </c>
      <c r="AK379" t="s">
        <v>92</v>
      </c>
      <c r="AL379" t="s">
        <v>93</v>
      </c>
      <c r="AM379" t="s">
        <v>94</v>
      </c>
      <c r="AN379" t="s">
        <v>1083</v>
      </c>
      <c r="AO379" t="s">
        <v>1084</v>
      </c>
      <c r="AP379" t="s">
        <v>97</v>
      </c>
      <c r="AQ379">
        <v>39</v>
      </c>
      <c r="AR379" t="s">
        <v>80</v>
      </c>
      <c r="AS379">
        <v>1341</v>
      </c>
      <c r="AT379">
        <v>0.96179999999999999</v>
      </c>
      <c r="AU379">
        <v>172</v>
      </c>
      <c r="AV379">
        <v>0.94740000000000002</v>
      </c>
      <c r="AW379" t="s">
        <v>216</v>
      </c>
      <c r="AX379" t="s">
        <v>146</v>
      </c>
      <c r="AY379" t="s">
        <v>127</v>
      </c>
      <c r="AZ379" t="s">
        <v>101</v>
      </c>
      <c r="BA379" t="s">
        <v>868</v>
      </c>
      <c r="BB379" t="s">
        <v>103</v>
      </c>
      <c r="BC379" t="s">
        <v>104</v>
      </c>
      <c r="BD379" t="s">
        <v>105</v>
      </c>
      <c r="BE379">
        <v>7454</v>
      </c>
      <c r="BF379" t="s">
        <v>106</v>
      </c>
      <c r="BG379">
        <v>77</v>
      </c>
      <c r="BH379" t="s">
        <v>80</v>
      </c>
      <c r="BI379">
        <v>1</v>
      </c>
      <c r="BJ379">
        <v>71</v>
      </c>
      <c r="BK379">
        <v>0</v>
      </c>
      <c r="BL379">
        <v>7</v>
      </c>
      <c r="BM379">
        <v>42</v>
      </c>
      <c r="BN379">
        <v>69</v>
      </c>
      <c r="BO379">
        <v>94</v>
      </c>
      <c r="BP379">
        <v>0</v>
      </c>
      <c r="BQ379" s="2">
        <v>40</v>
      </c>
      <c r="BR379">
        <f t="shared" si="85"/>
        <v>72</v>
      </c>
      <c r="BS379">
        <f t="shared" si="86"/>
        <v>1</v>
      </c>
      <c r="BT379">
        <f t="shared" si="87"/>
        <v>8</v>
      </c>
      <c r="BU379">
        <f t="shared" si="88"/>
        <v>43</v>
      </c>
      <c r="BV379">
        <f t="shared" si="89"/>
        <v>70</v>
      </c>
      <c r="BW379">
        <f t="shared" si="90"/>
        <v>95</v>
      </c>
      <c r="BX379">
        <f t="shared" si="91"/>
        <v>1</v>
      </c>
      <c r="BY379" s="2">
        <f t="shared" si="92"/>
        <v>41</v>
      </c>
      <c r="BZ379">
        <f t="shared" si="93"/>
        <v>16.931173305703307</v>
      </c>
      <c r="CA379">
        <v>16.931173305703307</v>
      </c>
      <c r="CB379">
        <v>16.931173305703307</v>
      </c>
      <c r="CC379">
        <v>16.931173305703307</v>
      </c>
      <c r="CD379">
        <v>16.931173305703307</v>
      </c>
      <c r="CE379">
        <v>16.931173305703307</v>
      </c>
      <c r="CF379">
        <v>16.931173305703307</v>
      </c>
      <c r="CG379">
        <v>16.931173305703307</v>
      </c>
      <c r="CH379">
        <f t="shared" si="94"/>
        <v>0.62864544130306366</v>
      </c>
      <c r="CI379">
        <f t="shared" si="95"/>
        <v>-1.2286870551282048</v>
      </c>
      <c r="CJ379">
        <f t="shared" si="96"/>
        <v>-0.32559706813626127</v>
      </c>
      <c r="CK379">
        <f t="shared" si="97"/>
        <v>0.40478140045138172</v>
      </c>
      <c r="CL379">
        <f t="shared" si="98"/>
        <v>0.61641098488605206</v>
      </c>
      <c r="CM379">
        <f t="shared" si="99"/>
        <v>0.74903655016064297</v>
      </c>
      <c r="CN379">
        <f t="shared" si="100"/>
        <v>-1.2286870551282048</v>
      </c>
      <c r="CO379" s="2">
        <f t="shared" si="101"/>
        <v>0.38409680159153065</v>
      </c>
      <c r="CP379">
        <v>7.8246636565310806E-2</v>
      </c>
      <c r="CQ379">
        <v>-2.2527165794045199</v>
      </c>
      <c r="CR379">
        <v>1.0404170113798099</v>
      </c>
      <c r="CS379">
        <v>-0.45270716890582202</v>
      </c>
      <c r="CT379">
        <v>-0.17154516210057</v>
      </c>
      <c r="CU379">
        <v>-0.26413020792314301</v>
      </c>
      <c r="CV379">
        <v>-2.6172399890044602</v>
      </c>
      <c r="CW379">
        <v>-0.42939082519615202</v>
      </c>
      <c r="CX379" t="s">
        <v>1827</v>
      </c>
    </row>
    <row r="380" spans="1:102" x14ac:dyDescent="0.35">
      <c r="A380" t="s">
        <v>485</v>
      </c>
      <c r="B380" t="s">
        <v>148</v>
      </c>
      <c r="C380" t="s">
        <v>486</v>
      </c>
      <c r="D380" t="s">
        <v>72</v>
      </c>
      <c r="E380" t="s">
        <v>72</v>
      </c>
      <c r="F380" t="s">
        <v>72</v>
      </c>
      <c r="G380" t="s">
        <v>73</v>
      </c>
      <c r="H380" t="s">
        <v>109</v>
      </c>
      <c r="I380" t="s">
        <v>110</v>
      </c>
      <c r="J380" t="s">
        <v>111</v>
      </c>
      <c r="K380" t="s">
        <v>112</v>
      </c>
      <c r="L380" t="s">
        <v>113</v>
      </c>
      <c r="M380" t="s">
        <v>114</v>
      </c>
      <c r="N380">
        <v>48</v>
      </c>
      <c r="O380" t="s">
        <v>80</v>
      </c>
      <c r="P380">
        <v>621</v>
      </c>
      <c r="Q380">
        <v>0.68400000000000005</v>
      </c>
      <c r="R380">
        <v>175</v>
      </c>
      <c r="S380">
        <v>0.81130000000000002</v>
      </c>
      <c r="T380" t="s">
        <v>115</v>
      </c>
      <c r="U380" t="s">
        <v>116</v>
      </c>
      <c r="V380" t="s">
        <v>117</v>
      </c>
      <c r="W380" t="s">
        <v>118</v>
      </c>
      <c r="X380" t="s">
        <v>119</v>
      </c>
      <c r="Y380" t="s">
        <v>120</v>
      </c>
      <c r="Z380" t="s">
        <v>121</v>
      </c>
      <c r="AA380" t="s">
        <v>88</v>
      </c>
      <c r="AB380">
        <v>1287</v>
      </c>
      <c r="AC380">
        <v>12</v>
      </c>
      <c r="AE380">
        <v>1</v>
      </c>
      <c r="AF380" t="s">
        <v>89</v>
      </c>
      <c r="AG380" t="s">
        <v>487</v>
      </c>
      <c r="AH380" t="s">
        <v>72</v>
      </c>
      <c r="AI380" t="s">
        <v>72</v>
      </c>
      <c r="AJ380" t="s">
        <v>91</v>
      </c>
      <c r="AK380" t="s">
        <v>92</v>
      </c>
      <c r="AL380" t="s">
        <v>93</v>
      </c>
      <c r="AM380" t="s">
        <v>94</v>
      </c>
      <c r="AN380" t="s">
        <v>488</v>
      </c>
      <c r="AO380" t="s">
        <v>489</v>
      </c>
      <c r="AP380" t="s">
        <v>97</v>
      </c>
      <c r="AQ380">
        <v>39</v>
      </c>
      <c r="AR380" t="s">
        <v>80</v>
      </c>
      <c r="AS380">
        <v>1350</v>
      </c>
      <c r="AT380">
        <v>0.96530000000000005</v>
      </c>
      <c r="AU380">
        <v>172</v>
      </c>
      <c r="AV380">
        <v>0.94740000000000002</v>
      </c>
      <c r="AW380" t="s">
        <v>98</v>
      </c>
      <c r="AX380" t="s">
        <v>146</v>
      </c>
      <c r="AY380" t="s">
        <v>490</v>
      </c>
      <c r="AZ380" t="s">
        <v>101</v>
      </c>
      <c r="BA380" t="s">
        <v>128</v>
      </c>
      <c r="BB380" t="s">
        <v>103</v>
      </c>
      <c r="BC380" t="s">
        <v>104</v>
      </c>
      <c r="BD380" t="s">
        <v>105</v>
      </c>
      <c r="BE380">
        <v>89171</v>
      </c>
      <c r="BF380" t="s">
        <v>106</v>
      </c>
      <c r="BG380">
        <v>963</v>
      </c>
      <c r="BH380" t="s">
        <v>80</v>
      </c>
      <c r="BI380">
        <v>1</v>
      </c>
      <c r="BJ380">
        <v>57</v>
      </c>
      <c r="BK380">
        <v>0</v>
      </c>
      <c r="BL380">
        <v>8</v>
      </c>
      <c r="BM380">
        <v>74</v>
      </c>
      <c r="BN380">
        <v>141</v>
      </c>
      <c r="BO380">
        <v>160</v>
      </c>
      <c r="BP380">
        <v>0</v>
      </c>
      <c r="BQ380" s="2">
        <v>64</v>
      </c>
      <c r="BR380">
        <f t="shared" si="85"/>
        <v>58</v>
      </c>
      <c r="BS380">
        <f t="shared" si="86"/>
        <v>1</v>
      </c>
      <c r="BT380">
        <f t="shared" si="87"/>
        <v>9</v>
      </c>
      <c r="BU380">
        <f t="shared" si="88"/>
        <v>75</v>
      </c>
      <c r="BV380">
        <f t="shared" si="89"/>
        <v>142</v>
      </c>
      <c r="BW380">
        <f t="shared" si="90"/>
        <v>161</v>
      </c>
      <c r="BX380">
        <f t="shared" si="91"/>
        <v>1</v>
      </c>
      <c r="BY380" s="2">
        <f t="shared" si="92"/>
        <v>65</v>
      </c>
      <c r="BZ380">
        <f t="shared" si="93"/>
        <v>22.161283929056747</v>
      </c>
      <c r="CA380">
        <v>22.161283929056747</v>
      </c>
      <c r="CB380">
        <v>22.161283929056747</v>
      </c>
      <c r="CC380">
        <v>22.161283929056747</v>
      </c>
      <c r="CD380">
        <v>22.161283929056747</v>
      </c>
      <c r="CE380">
        <v>22.161283929056747</v>
      </c>
      <c r="CF380">
        <v>22.161283929056747</v>
      </c>
      <c r="CG380">
        <v>22.161283929056747</v>
      </c>
      <c r="CH380">
        <f t="shared" si="94"/>
        <v>0.41783307563147182</v>
      </c>
      <c r="CI380">
        <f t="shared" si="95"/>
        <v>-1.3455949179314655</v>
      </c>
      <c r="CJ380">
        <f t="shared" si="96"/>
        <v>-0.39135240849214059</v>
      </c>
      <c r="CK380">
        <f t="shared" si="97"/>
        <v>0.52946634546023463</v>
      </c>
      <c r="CL380">
        <f t="shared" si="98"/>
        <v>0.80669342645159103</v>
      </c>
      <c r="CM380">
        <f t="shared" si="99"/>
        <v>0.86123095810038419</v>
      </c>
      <c r="CN380">
        <f t="shared" si="100"/>
        <v>-1.3455949179314655</v>
      </c>
      <c r="CO380" s="2">
        <f t="shared" si="101"/>
        <v>0.46731843871139012</v>
      </c>
      <c r="CP380">
        <v>-0.17503015879607201</v>
      </c>
      <c r="CQ380">
        <v>-2.2527165794045199</v>
      </c>
      <c r="CR380">
        <v>0.74663020705782701</v>
      </c>
      <c r="CS380">
        <v>-8.5329224670759901E-2</v>
      </c>
      <c r="CT380">
        <v>0.358127920058667</v>
      </c>
      <c r="CU380">
        <v>5.9864127047855202E-2</v>
      </c>
      <c r="CV380">
        <v>-2.6172399890044602</v>
      </c>
      <c r="CW380">
        <v>-0.20080983407845801</v>
      </c>
      <c r="CX380" t="s">
        <v>1827</v>
      </c>
    </row>
    <row r="381" spans="1:102" x14ac:dyDescent="0.35">
      <c r="A381" t="s">
        <v>563</v>
      </c>
      <c r="B381" t="s">
        <v>148</v>
      </c>
      <c r="C381" t="s">
        <v>564</v>
      </c>
      <c r="D381" t="s">
        <v>72</v>
      </c>
      <c r="E381" t="s">
        <v>72</v>
      </c>
      <c r="F381" t="s">
        <v>72</v>
      </c>
      <c r="G381" t="s">
        <v>73</v>
      </c>
      <c r="H381" t="s">
        <v>109</v>
      </c>
      <c r="I381" t="s">
        <v>110</v>
      </c>
      <c r="J381" t="s">
        <v>111</v>
      </c>
      <c r="K381" t="s">
        <v>112</v>
      </c>
      <c r="L381" t="s">
        <v>113</v>
      </c>
      <c r="M381" t="s">
        <v>114</v>
      </c>
      <c r="N381">
        <v>48</v>
      </c>
      <c r="O381" t="s">
        <v>80</v>
      </c>
      <c r="P381">
        <v>621</v>
      </c>
      <c r="Q381">
        <v>0.68400000000000005</v>
      </c>
      <c r="R381">
        <v>175</v>
      </c>
      <c r="S381">
        <v>0.81130000000000002</v>
      </c>
      <c r="T381" t="s">
        <v>115</v>
      </c>
      <c r="U381" t="s">
        <v>116</v>
      </c>
      <c r="V381" t="s">
        <v>117</v>
      </c>
      <c r="W381" t="s">
        <v>118</v>
      </c>
      <c r="X381" t="s">
        <v>119</v>
      </c>
      <c r="Y381" t="s">
        <v>120</v>
      </c>
      <c r="Z381" t="s">
        <v>121</v>
      </c>
      <c r="AA381" t="s">
        <v>88</v>
      </c>
      <c r="AB381">
        <v>1201</v>
      </c>
      <c r="AC381">
        <v>11</v>
      </c>
      <c r="AE381">
        <v>1</v>
      </c>
      <c r="AF381" t="s">
        <v>159</v>
      </c>
      <c r="AG381" t="s">
        <v>565</v>
      </c>
      <c r="AH381" t="s">
        <v>72</v>
      </c>
      <c r="AI381" t="s">
        <v>72</v>
      </c>
      <c r="AJ381" t="s">
        <v>72</v>
      </c>
      <c r="AK381" t="s">
        <v>92</v>
      </c>
      <c r="AL381" t="s">
        <v>93</v>
      </c>
      <c r="AM381" t="s">
        <v>94</v>
      </c>
      <c r="AN381" t="s">
        <v>566</v>
      </c>
      <c r="AO381" t="s">
        <v>567</v>
      </c>
      <c r="AP381" t="s">
        <v>97</v>
      </c>
      <c r="AQ381">
        <v>39</v>
      </c>
      <c r="AR381" t="s">
        <v>80</v>
      </c>
      <c r="AS381">
        <v>1101</v>
      </c>
      <c r="AT381">
        <v>0.95420000000000005</v>
      </c>
      <c r="AU381">
        <v>172</v>
      </c>
      <c r="AV381">
        <v>0.94740000000000002</v>
      </c>
      <c r="AW381" t="s">
        <v>98</v>
      </c>
      <c r="AX381" t="s">
        <v>568</v>
      </c>
      <c r="AY381" t="s">
        <v>569</v>
      </c>
      <c r="AZ381" t="s">
        <v>101</v>
      </c>
      <c r="BA381" t="s">
        <v>194</v>
      </c>
      <c r="BB381" t="s">
        <v>464</v>
      </c>
      <c r="BC381" t="s">
        <v>104</v>
      </c>
      <c r="BD381" t="s">
        <v>105</v>
      </c>
      <c r="BE381">
        <v>291</v>
      </c>
      <c r="BF381" t="s">
        <v>106</v>
      </c>
      <c r="BG381">
        <v>1</v>
      </c>
      <c r="BH381" t="s">
        <v>80</v>
      </c>
      <c r="BI381">
        <v>1</v>
      </c>
      <c r="BJ381">
        <v>60</v>
      </c>
      <c r="BK381">
        <v>0</v>
      </c>
      <c r="BL381">
        <v>17</v>
      </c>
      <c r="BM381">
        <v>83</v>
      </c>
      <c r="BN381">
        <v>86</v>
      </c>
      <c r="BO381">
        <v>120</v>
      </c>
      <c r="BP381">
        <v>5</v>
      </c>
      <c r="BQ381" s="2">
        <v>41</v>
      </c>
      <c r="BR381">
        <f t="shared" si="85"/>
        <v>61</v>
      </c>
      <c r="BS381">
        <f t="shared" si="86"/>
        <v>1</v>
      </c>
      <c r="BT381">
        <f t="shared" si="87"/>
        <v>18</v>
      </c>
      <c r="BU381">
        <f t="shared" si="88"/>
        <v>84</v>
      </c>
      <c r="BV381">
        <f t="shared" si="89"/>
        <v>87</v>
      </c>
      <c r="BW381">
        <f t="shared" si="90"/>
        <v>121</v>
      </c>
      <c r="BX381">
        <f t="shared" si="91"/>
        <v>6</v>
      </c>
      <c r="BY381" s="2">
        <f t="shared" si="92"/>
        <v>42</v>
      </c>
      <c r="BZ381">
        <f t="shared" si="93"/>
        <v>26.519989558197071</v>
      </c>
      <c r="CA381">
        <v>26.519989558197071</v>
      </c>
      <c r="CB381">
        <v>26.519989558197071</v>
      </c>
      <c r="CC381">
        <v>26.519989558197071</v>
      </c>
      <c r="CD381">
        <v>26.519989558197071</v>
      </c>
      <c r="CE381">
        <v>26.519989558197071</v>
      </c>
      <c r="CF381">
        <v>26.519989558197071</v>
      </c>
      <c r="CG381">
        <v>26.519989558197071</v>
      </c>
      <c r="CH381">
        <f t="shared" si="94"/>
        <v>0.36175648627419615</v>
      </c>
      <c r="CI381">
        <f t="shared" si="95"/>
        <v>-1.4235733487365709</v>
      </c>
      <c r="CJ381">
        <f t="shared" si="96"/>
        <v>-0.16830084363326483</v>
      </c>
      <c r="CK381">
        <f t="shared" si="97"/>
        <v>0.50070593732531077</v>
      </c>
      <c r="CL381">
        <f t="shared" si="98"/>
        <v>0.51594590388204764</v>
      </c>
      <c r="CM381">
        <f t="shared" si="99"/>
        <v>0.65921202157987913</v>
      </c>
      <c r="CN381">
        <f t="shared" si="100"/>
        <v>-0.6454220983529273</v>
      </c>
      <c r="CO381" s="2">
        <f t="shared" si="101"/>
        <v>0.19967594166132957</v>
      </c>
      <c r="CP381">
        <v>-0.24240238718485899</v>
      </c>
      <c r="CQ381">
        <v>-2.2527165794045199</v>
      </c>
      <c r="CR381">
        <v>1.7431972704210299</v>
      </c>
      <c r="CS381">
        <v>-0.17007032645509701</v>
      </c>
      <c r="CT381">
        <v>-0.45120128100968099</v>
      </c>
      <c r="CU381">
        <v>-0.52352494012083794</v>
      </c>
      <c r="CV381">
        <v>0.94527437846503304</v>
      </c>
      <c r="CW381">
        <v>-0.93593100398293805</v>
      </c>
      <c r="CX381" t="s">
        <v>1827</v>
      </c>
    </row>
  </sheetData>
  <autoFilter ref="A1:CW381" xr:uid="{00000000-0009-0000-0000-000000000000}">
    <sortState xmlns:xlrd2="http://schemas.microsoft.com/office/spreadsheetml/2017/richdata2" ref="A231:CW381">
      <sortCondition descending="1" ref="CH1:CH381"/>
    </sortState>
  </autoFilter>
  <conditionalFormatting sqref="CP2:CW381">
    <cfRule type="colorScale" priority="2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conditionalFormatting sqref="CH2:CO381">
    <cfRule type="colorScale" priority="1">
      <colorScale>
        <cfvo type="num" val="-2"/>
        <cfvo type="num" val="0"/>
        <cfvo type="num" val="2"/>
        <color theme="7" tint="0.79998168889431442"/>
        <color theme="0"/>
        <color rgb="FF7030A0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78EFF69F39B4FB185611712E851EE" ma:contentTypeVersion="14" ma:contentTypeDescription="Create a new document." ma:contentTypeScope="" ma:versionID="8a982bbd017abebaecf2ea52e4f70b34">
  <xsd:schema xmlns:xsd="http://www.w3.org/2001/XMLSchema" xmlns:xs="http://www.w3.org/2001/XMLSchema" xmlns:p="http://schemas.microsoft.com/office/2006/metadata/properties" xmlns:ns2="f721e87c-4499-4b62-9412-00ba7ddff9dd" xmlns:ns3="6b82293e-2cad-452b-8786-6c262ca78f86" targetNamespace="http://schemas.microsoft.com/office/2006/metadata/properties" ma:root="true" ma:fieldsID="ffa7ab8030db88af2ab85504feab535d" ns2:_="" ns3:_="">
    <xsd:import namespace="f721e87c-4499-4b62-9412-00ba7ddff9dd"/>
    <xsd:import namespace="6b82293e-2cad-452b-8786-6c262ca78f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1e87c-4499-4b62-9412-00ba7ddff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e07b1ff-87ca-41ea-8f42-2e31685bc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82293e-2cad-452b-8786-6c262ca78f8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85313a2-0f9a-4ac0-8a47-a44db9091b3a}" ma:internalName="TaxCatchAll" ma:showField="CatchAllData" ma:web="6b82293e-2cad-452b-8786-6c262ca78f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21e87c-4499-4b62-9412-00ba7ddff9dd">
      <Terms xmlns="http://schemas.microsoft.com/office/infopath/2007/PartnerControls"/>
    </lcf76f155ced4ddcb4097134ff3c332f>
    <TaxCatchAll xmlns="6b82293e-2cad-452b-8786-6c262ca78f86" xsi:nil="true"/>
  </documentManagement>
</p:properties>
</file>

<file path=customXml/itemProps1.xml><?xml version="1.0" encoding="utf-8"?>
<ds:datastoreItem xmlns:ds="http://schemas.openxmlformats.org/officeDocument/2006/customXml" ds:itemID="{A0B6221E-36ED-4BED-9813-6DABCAB3EC2F}"/>
</file>

<file path=customXml/itemProps2.xml><?xml version="1.0" encoding="utf-8"?>
<ds:datastoreItem xmlns:ds="http://schemas.openxmlformats.org/officeDocument/2006/customXml" ds:itemID="{D3022B17-A683-4523-9170-8A0D0D5EB01B}"/>
</file>

<file path=customXml/itemProps3.xml><?xml version="1.0" encoding="utf-8"?>
<ds:datastoreItem xmlns:ds="http://schemas.openxmlformats.org/officeDocument/2006/customXml" ds:itemID="{476CE0CD-765F-4F40-BCD2-C6D38F05E6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6421_2_paired_heavy_light_chain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 Walker</dc:creator>
  <cp:lastModifiedBy>Clint Holt</cp:lastModifiedBy>
  <dcterms:created xsi:type="dcterms:W3CDTF">2021-06-29T20:37:04Z</dcterms:created>
  <dcterms:modified xsi:type="dcterms:W3CDTF">2022-11-16T17:45:10Z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0x01010057778EFF69F39B4FB185611712E851EE</vt:lpwstr>
  </property>
  <property fmtid="{D5CDD505-2E9C-101B-9397-08002B2CF9AE}" pid="3" name="Order">
    <vt:r8>4600</vt:r8>
  </property>
</Properties>
</file>