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Box\IG Lab\LIBRA_Data\"/>
    </mc:Choice>
  </mc:AlternateContent>
  <xr:revisionPtr revIDLastSave="0" documentId="13_ncr:1_{14DAA885-76A1-4DB8-9DF6-B87274859DF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6421_1_paired_heavy_light_chain" sheetId="1" r:id="rId1"/>
    <sheet name="Twist " sheetId="5" r:id="rId2"/>
    <sheet name="Sheet1" sheetId="2" r:id="rId3"/>
    <sheet name="To order from Ivelin_old" sheetId="3" r:id="rId4"/>
    <sheet name="Sheet2" sheetId="4" r:id="rId5"/>
  </sheets>
  <definedNames>
    <definedName name="_xlnm._FilterDatabase" localSheetId="0" hidden="1">'6421_1_paired_heavy_light_chain'!$A$1:$CX$1</definedName>
    <definedName name="_xlnm._FilterDatabase" localSheetId="2" hidden="1">Sheet1!$A$1:$BY$1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O6" i="5" l="1"/>
  <c r="CJ6" i="5"/>
  <c r="BZ6" i="5"/>
  <c r="BY6" i="5"/>
  <c r="BX6" i="5"/>
  <c r="CN6" i="5" s="1"/>
  <c r="BW6" i="5"/>
  <c r="CM6" i="5" s="1"/>
  <c r="BV6" i="5"/>
  <c r="CL6" i="5" s="1"/>
  <c r="BU6" i="5"/>
  <c r="CK6" i="5" s="1"/>
  <c r="BT6" i="5"/>
  <c r="BS6" i="5"/>
  <c r="CI6" i="5" s="1"/>
  <c r="BR6" i="5"/>
  <c r="CH6" i="5" s="1"/>
  <c r="CM5" i="5"/>
  <c r="BY5" i="5"/>
  <c r="CO5" i="5" s="1"/>
  <c r="BX5" i="5"/>
  <c r="CN5" i="5" s="1"/>
  <c r="BW5" i="5"/>
  <c r="BV5" i="5"/>
  <c r="CL5" i="5" s="1"/>
  <c r="BU5" i="5"/>
  <c r="CK5" i="5" s="1"/>
  <c r="BT5" i="5"/>
  <c r="CJ5" i="5" s="1"/>
  <c r="BS5" i="5"/>
  <c r="CI5" i="5" s="1"/>
  <c r="BR5" i="5"/>
  <c r="BZ5" i="5" s="1"/>
  <c r="CO4" i="5"/>
  <c r="BZ4" i="5"/>
  <c r="BY4" i="5"/>
  <c r="BX4" i="5"/>
  <c r="CN4" i="5" s="1"/>
  <c r="BW4" i="5"/>
  <c r="CM4" i="5" s="1"/>
  <c r="BV4" i="5"/>
  <c r="CL4" i="5" s="1"/>
  <c r="BU4" i="5"/>
  <c r="CK4" i="5" s="1"/>
  <c r="BT4" i="5"/>
  <c r="CJ4" i="5" s="1"/>
  <c r="BS4" i="5"/>
  <c r="CI4" i="5" s="1"/>
  <c r="BR4" i="5"/>
  <c r="CH4" i="5" s="1"/>
  <c r="CM3" i="5"/>
  <c r="CJ3" i="5"/>
  <c r="BY3" i="5"/>
  <c r="CO3" i="5" s="1"/>
  <c r="BX3" i="5"/>
  <c r="BZ3" i="5" s="1"/>
  <c r="BW3" i="5"/>
  <c r="BV3" i="5"/>
  <c r="CL3" i="5" s="1"/>
  <c r="BU3" i="5"/>
  <c r="CK3" i="5" s="1"/>
  <c r="BT3" i="5"/>
  <c r="BS3" i="5"/>
  <c r="CI3" i="5" s="1"/>
  <c r="BR3" i="5"/>
  <c r="CM2" i="5"/>
  <c r="BY2" i="5"/>
  <c r="CO2" i="5" s="1"/>
  <c r="BX2" i="5"/>
  <c r="CN2" i="5" s="1"/>
  <c r="BW2" i="5"/>
  <c r="BV2" i="5"/>
  <c r="CL2" i="5" s="1"/>
  <c r="BU2" i="5"/>
  <c r="CK2" i="5" s="1"/>
  <c r="BT2" i="5"/>
  <c r="CJ2" i="5" s="1"/>
  <c r="BS2" i="5"/>
  <c r="CI2" i="5" s="1"/>
  <c r="BR2" i="5"/>
  <c r="BZ2" i="5" s="1"/>
  <c r="CH5" i="5" l="1"/>
  <c r="CH3" i="5"/>
  <c r="CN3" i="5"/>
  <c r="CH2" i="5"/>
  <c r="BH3" i="3" l="1"/>
  <c r="BH4" i="3"/>
  <c r="BH5" i="3"/>
  <c r="BH6" i="3"/>
  <c r="BH7" i="3"/>
  <c r="BH8" i="3"/>
  <c r="BH2" i="3"/>
  <c r="AE3" i="3"/>
  <c r="AE4" i="3"/>
  <c r="AE5" i="3"/>
  <c r="AE6" i="3"/>
  <c r="AE7" i="3"/>
  <c r="AE8" i="3"/>
  <c r="AE2" i="3"/>
  <c r="CA8" i="3" l="1"/>
  <c r="CQ8" i="3" s="1"/>
  <c r="BZ8" i="3"/>
  <c r="CP8" i="3" s="1"/>
  <c r="BY8" i="3"/>
  <c r="CO8" i="3" s="1"/>
  <c r="BX8" i="3"/>
  <c r="CN8" i="3" s="1"/>
  <c r="BW8" i="3"/>
  <c r="CM8" i="3" s="1"/>
  <c r="BV8" i="3"/>
  <c r="CL8" i="3" s="1"/>
  <c r="BU8" i="3"/>
  <c r="CK8" i="3" s="1"/>
  <c r="BT8" i="3"/>
  <c r="CA7" i="3"/>
  <c r="CQ7" i="3" s="1"/>
  <c r="BZ7" i="3"/>
  <c r="CP7" i="3" s="1"/>
  <c r="BY7" i="3"/>
  <c r="CO7" i="3" s="1"/>
  <c r="BX7" i="3"/>
  <c r="CN7" i="3" s="1"/>
  <c r="BW7" i="3"/>
  <c r="CM7" i="3" s="1"/>
  <c r="BV7" i="3"/>
  <c r="CL7" i="3" s="1"/>
  <c r="BU7" i="3"/>
  <c r="CK7" i="3" s="1"/>
  <c r="BT7" i="3"/>
  <c r="CA6" i="3"/>
  <c r="CQ6" i="3" s="1"/>
  <c r="BZ6" i="3"/>
  <c r="CP6" i="3" s="1"/>
  <c r="BY6" i="3"/>
  <c r="CO6" i="3" s="1"/>
  <c r="BX6" i="3"/>
  <c r="CN6" i="3" s="1"/>
  <c r="BW6" i="3"/>
  <c r="CM6" i="3" s="1"/>
  <c r="BV6" i="3"/>
  <c r="CL6" i="3" s="1"/>
  <c r="BU6" i="3"/>
  <c r="CK6" i="3" s="1"/>
  <c r="BT6" i="3"/>
  <c r="CA5" i="3"/>
  <c r="CQ5" i="3" s="1"/>
  <c r="BZ5" i="3"/>
  <c r="CP5" i="3" s="1"/>
  <c r="BY5" i="3"/>
  <c r="CO5" i="3" s="1"/>
  <c r="BX5" i="3"/>
  <c r="CN5" i="3" s="1"/>
  <c r="BW5" i="3"/>
  <c r="CM5" i="3" s="1"/>
  <c r="BV5" i="3"/>
  <c r="CL5" i="3" s="1"/>
  <c r="BU5" i="3"/>
  <c r="CK5" i="3" s="1"/>
  <c r="BT5" i="3"/>
  <c r="CA4" i="3"/>
  <c r="CQ4" i="3" s="1"/>
  <c r="BZ4" i="3"/>
  <c r="CP4" i="3" s="1"/>
  <c r="BY4" i="3"/>
  <c r="CO4" i="3" s="1"/>
  <c r="BX4" i="3"/>
  <c r="CN4" i="3" s="1"/>
  <c r="BW4" i="3"/>
  <c r="CM4" i="3" s="1"/>
  <c r="BV4" i="3"/>
  <c r="CL4" i="3" s="1"/>
  <c r="BU4" i="3"/>
  <c r="CK4" i="3" s="1"/>
  <c r="BT4" i="3"/>
  <c r="CA3" i="3"/>
  <c r="CQ3" i="3" s="1"/>
  <c r="BZ3" i="3"/>
  <c r="CP3" i="3" s="1"/>
  <c r="BY3" i="3"/>
  <c r="CO3" i="3" s="1"/>
  <c r="BX3" i="3"/>
  <c r="CN3" i="3" s="1"/>
  <c r="BW3" i="3"/>
  <c r="CM3" i="3" s="1"/>
  <c r="BV3" i="3"/>
  <c r="CL3" i="3" s="1"/>
  <c r="BU3" i="3"/>
  <c r="CK3" i="3" s="1"/>
  <c r="BT3" i="3"/>
  <c r="CA2" i="3"/>
  <c r="CQ2" i="3" s="1"/>
  <c r="BZ2" i="3"/>
  <c r="CP2" i="3" s="1"/>
  <c r="BY2" i="3"/>
  <c r="CO2" i="3" s="1"/>
  <c r="BX2" i="3"/>
  <c r="CN2" i="3" s="1"/>
  <c r="BW2" i="3"/>
  <c r="CM2" i="3" s="1"/>
  <c r="BV2" i="3"/>
  <c r="CL2" i="3" s="1"/>
  <c r="BU2" i="3"/>
  <c r="CK2" i="3" s="1"/>
  <c r="BT2" i="3"/>
  <c r="CB6" i="3" l="1"/>
  <c r="CJ6" i="3" s="1"/>
  <c r="CB7" i="3"/>
  <c r="CJ7" i="3" s="1"/>
  <c r="CB4" i="3"/>
  <c r="CJ4" i="3" s="1"/>
  <c r="CB8" i="3"/>
  <c r="CJ8" i="3" s="1"/>
  <c r="CB5" i="3"/>
  <c r="CJ5" i="3" s="1"/>
  <c r="CB2" i="3"/>
  <c r="CJ2" i="3" s="1"/>
  <c r="CB3" i="3"/>
  <c r="CJ3" i="3" s="1"/>
  <c r="BR5" i="1"/>
  <c r="BS5" i="1"/>
  <c r="CI5" i="1" s="1"/>
  <c r="BT5" i="1"/>
  <c r="CJ5" i="1" s="1"/>
  <c r="BU5" i="1"/>
  <c r="CK5" i="1" s="1"/>
  <c r="BV5" i="1"/>
  <c r="CL5" i="1" s="1"/>
  <c r="BW5" i="1"/>
  <c r="CM5" i="1" s="1"/>
  <c r="BX5" i="1"/>
  <c r="CN5" i="1" s="1"/>
  <c r="BY5" i="1"/>
  <c r="CO5" i="1" s="1"/>
  <c r="BR22" i="1"/>
  <c r="BS22" i="1"/>
  <c r="CI22" i="1" s="1"/>
  <c r="BT22" i="1"/>
  <c r="CJ22" i="1" s="1"/>
  <c r="BU22" i="1"/>
  <c r="CK22" i="1" s="1"/>
  <c r="BV22" i="1"/>
  <c r="CL22" i="1" s="1"/>
  <c r="BW22" i="1"/>
  <c r="CM22" i="1" s="1"/>
  <c r="BX22" i="1"/>
  <c r="CN22" i="1" s="1"/>
  <c r="BY22" i="1"/>
  <c r="CO22" i="1" s="1"/>
  <c r="BR16" i="1"/>
  <c r="BS16" i="1"/>
  <c r="CI16" i="1" s="1"/>
  <c r="BT16" i="1"/>
  <c r="CJ16" i="1" s="1"/>
  <c r="BU16" i="1"/>
  <c r="CK16" i="1" s="1"/>
  <c r="BV16" i="1"/>
  <c r="CL16" i="1" s="1"/>
  <c r="BW16" i="1"/>
  <c r="CM16" i="1" s="1"/>
  <c r="BX16" i="1"/>
  <c r="CN16" i="1" s="1"/>
  <c r="BY16" i="1"/>
  <c r="CO16" i="1" s="1"/>
  <c r="BR73" i="1"/>
  <c r="BS73" i="1"/>
  <c r="CI73" i="1" s="1"/>
  <c r="BT73" i="1"/>
  <c r="CJ73" i="1" s="1"/>
  <c r="BU73" i="1"/>
  <c r="BV73" i="1"/>
  <c r="CL73" i="1" s="1"/>
  <c r="BW73" i="1"/>
  <c r="CM73" i="1" s="1"/>
  <c r="BX73" i="1"/>
  <c r="CN73" i="1" s="1"/>
  <c r="BY73" i="1"/>
  <c r="CO73" i="1" s="1"/>
  <c r="BR67" i="1"/>
  <c r="BS67" i="1"/>
  <c r="CI67" i="1" s="1"/>
  <c r="BT67" i="1"/>
  <c r="CJ67" i="1" s="1"/>
  <c r="BU67" i="1"/>
  <c r="CK67" i="1" s="1"/>
  <c r="BV67" i="1"/>
  <c r="CL67" i="1" s="1"/>
  <c r="BW67" i="1"/>
  <c r="CM67" i="1" s="1"/>
  <c r="BX67" i="1"/>
  <c r="CN67" i="1" s="1"/>
  <c r="BY67" i="1"/>
  <c r="CO67" i="1" s="1"/>
  <c r="BR61" i="1"/>
  <c r="BS61" i="1"/>
  <c r="CI61" i="1" s="1"/>
  <c r="BT61" i="1"/>
  <c r="CJ61" i="1" s="1"/>
  <c r="BU61" i="1"/>
  <c r="CK61" i="1" s="1"/>
  <c r="BV61" i="1"/>
  <c r="CL61" i="1" s="1"/>
  <c r="BW61" i="1"/>
  <c r="CM61" i="1" s="1"/>
  <c r="BX61" i="1"/>
  <c r="CN61" i="1" s="1"/>
  <c r="BY61" i="1"/>
  <c r="CO61" i="1" s="1"/>
  <c r="BR10" i="1"/>
  <c r="BS10" i="1"/>
  <c r="CI10" i="1" s="1"/>
  <c r="BT10" i="1"/>
  <c r="CJ10" i="1" s="1"/>
  <c r="BU10" i="1"/>
  <c r="CK10" i="1" s="1"/>
  <c r="BV10" i="1"/>
  <c r="CL10" i="1" s="1"/>
  <c r="BW10" i="1"/>
  <c r="CM10" i="1" s="1"/>
  <c r="BX10" i="1"/>
  <c r="CN10" i="1" s="1"/>
  <c r="BY10" i="1"/>
  <c r="CO10" i="1" s="1"/>
  <c r="BR43" i="1"/>
  <c r="BS43" i="1"/>
  <c r="CI43" i="1" s="1"/>
  <c r="BT43" i="1"/>
  <c r="CJ43" i="1" s="1"/>
  <c r="BU43" i="1"/>
  <c r="CK43" i="1" s="1"/>
  <c r="BV43" i="1"/>
  <c r="CL43" i="1" s="1"/>
  <c r="BW43" i="1"/>
  <c r="CM43" i="1" s="1"/>
  <c r="BX43" i="1"/>
  <c r="CN43" i="1" s="1"/>
  <c r="BY43" i="1"/>
  <c r="CO43" i="1" s="1"/>
  <c r="BR2" i="1"/>
  <c r="BS2" i="1"/>
  <c r="CI2" i="1" s="1"/>
  <c r="BT2" i="1"/>
  <c r="CJ2" i="1" s="1"/>
  <c r="BU2" i="1"/>
  <c r="CK2" i="1" s="1"/>
  <c r="BV2" i="1"/>
  <c r="CL2" i="1" s="1"/>
  <c r="BW2" i="1"/>
  <c r="CM2" i="1" s="1"/>
  <c r="BX2" i="1"/>
  <c r="CN2" i="1" s="1"/>
  <c r="BY2" i="1"/>
  <c r="CO2" i="1" s="1"/>
  <c r="BR51" i="1"/>
  <c r="BS51" i="1"/>
  <c r="CI51" i="1" s="1"/>
  <c r="BT51" i="1"/>
  <c r="CJ51" i="1" s="1"/>
  <c r="BU51" i="1"/>
  <c r="CK51" i="1" s="1"/>
  <c r="BV51" i="1"/>
  <c r="CL51" i="1" s="1"/>
  <c r="BW51" i="1"/>
  <c r="CM51" i="1" s="1"/>
  <c r="BX51" i="1"/>
  <c r="CN51" i="1" s="1"/>
  <c r="BY51" i="1"/>
  <c r="CO51" i="1" s="1"/>
  <c r="BR62" i="1"/>
  <c r="BS62" i="1"/>
  <c r="CI62" i="1" s="1"/>
  <c r="BT62" i="1"/>
  <c r="CJ62" i="1" s="1"/>
  <c r="BU62" i="1"/>
  <c r="CK62" i="1" s="1"/>
  <c r="BV62" i="1"/>
  <c r="CL62" i="1" s="1"/>
  <c r="BW62" i="1"/>
  <c r="CM62" i="1" s="1"/>
  <c r="BX62" i="1"/>
  <c r="CN62" i="1" s="1"/>
  <c r="BY62" i="1"/>
  <c r="CO62" i="1" s="1"/>
  <c r="BR49" i="1"/>
  <c r="BS49" i="1"/>
  <c r="CI49" i="1" s="1"/>
  <c r="BT49" i="1"/>
  <c r="CJ49" i="1" s="1"/>
  <c r="BU49" i="1"/>
  <c r="BV49" i="1"/>
  <c r="CL49" i="1" s="1"/>
  <c r="BW49" i="1"/>
  <c r="CM49" i="1" s="1"/>
  <c r="BX49" i="1"/>
  <c r="CN49" i="1" s="1"/>
  <c r="BY49" i="1"/>
  <c r="CO49" i="1" s="1"/>
  <c r="BR64" i="1"/>
  <c r="BS64" i="1"/>
  <c r="CI64" i="1" s="1"/>
  <c r="BT64" i="1"/>
  <c r="CJ64" i="1" s="1"/>
  <c r="BU64" i="1"/>
  <c r="CK64" i="1" s="1"/>
  <c r="BV64" i="1"/>
  <c r="CL64" i="1" s="1"/>
  <c r="BW64" i="1"/>
  <c r="CM64" i="1" s="1"/>
  <c r="BX64" i="1"/>
  <c r="CN64" i="1" s="1"/>
  <c r="BY64" i="1"/>
  <c r="CO64" i="1" s="1"/>
  <c r="BR71" i="1"/>
  <c r="BS71" i="1"/>
  <c r="CI71" i="1" s="1"/>
  <c r="BT71" i="1"/>
  <c r="CJ71" i="1" s="1"/>
  <c r="BU71" i="1"/>
  <c r="CK71" i="1" s="1"/>
  <c r="BV71" i="1"/>
  <c r="CL71" i="1" s="1"/>
  <c r="BW71" i="1"/>
  <c r="CM71" i="1" s="1"/>
  <c r="BX71" i="1"/>
  <c r="CN71" i="1" s="1"/>
  <c r="BY71" i="1"/>
  <c r="CO71" i="1" s="1"/>
  <c r="BR81" i="1"/>
  <c r="BS81" i="1"/>
  <c r="CI81" i="1" s="1"/>
  <c r="BT81" i="1"/>
  <c r="CJ81" i="1" s="1"/>
  <c r="BU81" i="1"/>
  <c r="CK81" i="1" s="1"/>
  <c r="BV81" i="1"/>
  <c r="CL81" i="1" s="1"/>
  <c r="BW81" i="1"/>
  <c r="CM81" i="1" s="1"/>
  <c r="BX81" i="1"/>
  <c r="CN81" i="1" s="1"/>
  <c r="BY81" i="1"/>
  <c r="CO81" i="1" s="1"/>
  <c r="BR48" i="1"/>
  <c r="BS48" i="1"/>
  <c r="CI48" i="1" s="1"/>
  <c r="BT48" i="1"/>
  <c r="CJ48" i="1" s="1"/>
  <c r="BU48" i="1"/>
  <c r="CK48" i="1" s="1"/>
  <c r="BV48" i="1"/>
  <c r="CL48" i="1" s="1"/>
  <c r="BW48" i="1"/>
  <c r="CM48" i="1" s="1"/>
  <c r="BX48" i="1"/>
  <c r="CN48" i="1" s="1"/>
  <c r="BY48" i="1"/>
  <c r="CO48" i="1" s="1"/>
  <c r="BR68" i="1"/>
  <c r="BS68" i="1"/>
  <c r="CI68" i="1" s="1"/>
  <c r="BT68" i="1"/>
  <c r="CJ68" i="1" s="1"/>
  <c r="BU68" i="1"/>
  <c r="CK68" i="1" s="1"/>
  <c r="BV68" i="1"/>
  <c r="CL68" i="1" s="1"/>
  <c r="BW68" i="1"/>
  <c r="CM68" i="1" s="1"/>
  <c r="BX68" i="1"/>
  <c r="CN68" i="1" s="1"/>
  <c r="BY68" i="1"/>
  <c r="CO68" i="1" s="1"/>
  <c r="BR57" i="1"/>
  <c r="BS57" i="1"/>
  <c r="CI57" i="1" s="1"/>
  <c r="BT57" i="1"/>
  <c r="CJ57" i="1" s="1"/>
  <c r="BU57" i="1"/>
  <c r="CK57" i="1" s="1"/>
  <c r="BV57" i="1"/>
  <c r="CL57" i="1" s="1"/>
  <c r="BW57" i="1"/>
  <c r="CM57" i="1" s="1"/>
  <c r="BX57" i="1"/>
  <c r="CN57" i="1" s="1"/>
  <c r="BY57" i="1"/>
  <c r="CO57" i="1" s="1"/>
  <c r="BR14" i="1"/>
  <c r="BS14" i="1"/>
  <c r="CI14" i="1" s="1"/>
  <c r="BT14" i="1"/>
  <c r="CJ14" i="1" s="1"/>
  <c r="BU14" i="1"/>
  <c r="CK14" i="1" s="1"/>
  <c r="BV14" i="1"/>
  <c r="CL14" i="1" s="1"/>
  <c r="BW14" i="1"/>
  <c r="CM14" i="1" s="1"/>
  <c r="BX14" i="1"/>
  <c r="CN14" i="1" s="1"/>
  <c r="BY14" i="1"/>
  <c r="CO14" i="1" s="1"/>
  <c r="BR6" i="1"/>
  <c r="BS6" i="1"/>
  <c r="CI6" i="1" s="1"/>
  <c r="BT6" i="1"/>
  <c r="CJ6" i="1" s="1"/>
  <c r="BU6" i="1"/>
  <c r="BV6" i="1"/>
  <c r="CL6" i="1" s="1"/>
  <c r="BW6" i="1"/>
  <c r="CM6" i="1" s="1"/>
  <c r="BX6" i="1"/>
  <c r="CN6" i="1" s="1"/>
  <c r="BY6" i="1"/>
  <c r="CO6" i="1" s="1"/>
  <c r="BR26" i="1"/>
  <c r="BS26" i="1"/>
  <c r="CI26" i="1" s="1"/>
  <c r="BT26" i="1"/>
  <c r="CJ26" i="1" s="1"/>
  <c r="BU26" i="1"/>
  <c r="CK26" i="1" s="1"/>
  <c r="BV26" i="1"/>
  <c r="CL26" i="1" s="1"/>
  <c r="BW26" i="1"/>
  <c r="CM26" i="1" s="1"/>
  <c r="BX26" i="1"/>
  <c r="CN26" i="1" s="1"/>
  <c r="BY26" i="1"/>
  <c r="CO26" i="1" s="1"/>
  <c r="BR31" i="1"/>
  <c r="BS31" i="1"/>
  <c r="CI31" i="1" s="1"/>
  <c r="BT31" i="1"/>
  <c r="CJ31" i="1" s="1"/>
  <c r="BU31" i="1"/>
  <c r="CK31" i="1" s="1"/>
  <c r="BV31" i="1"/>
  <c r="CL31" i="1" s="1"/>
  <c r="BW31" i="1"/>
  <c r="CM31" i="1" s="1"/>
  <c r="BX31" i="1"/>
  <c r="CN31" i="1" s="1"/>
  <c r="BY31" i="1"/>
  <c r="CO31" i="1" s="1"/>
  <c r="BR66" i="1"/>
  <c r="BS66" i="1"/>
  <c r="CI66" i="1" s="1"/>
  <c r="BT66" i="1"/>
  <c r="CJ66" i="1" s="1"/>
  <c r="BU66" i="1"/>
  <c r="CK66" i="1" s="1"/>
  <c r="BV66" i="1"/>
  <c r="CL66" i="1" s="1"/>
  <c r="BW66" i="1"/>
  <c r="CM66" i="1" s="1"/>
  <c r="BX66" i="1"/>
  <c r="CN66" i="1" s="1"/>
  <c r="BY66" i="1"/>
  <c r="CO66" i="1" s="1"/>
  <c r="BR15" i="1"/>
  <c r="BS15" i="1"/>
  <c r="CI15" i="1" s="1"/>
  <c r="BT15" i="1"/>
  <c r="CJ15" i="1" s="1"/>
  <c r="BU15" i="1"/>
  <c r="CK15" i="1" s="1"/>
  <c r="BV15" i="1"/>
  <c r="CL15" i="1" s="1"/>
  <c r="BW15" i="1"/>
  <c r="CM15" i="1" s="1"/>
  <c r="BX15" i="1"/>
  <c r="CN15" i="1" s="1"/>
  <c r="BY15" i="1"/>
  <c r="CO15" i="1" s="1"/>
  <c r="BR38" i="1"/>
  <c r="BS38" i="1"/>
  <c r="CI38" i="1" s="1"/>
  <c r="BT38" i="1"/>
  <c r="CJ38" i="1" s="1"/>
  <c r="BU38" i="1"/>
  <c r="CK38" i="1" s="1"/>
  <c r="BV38" i="1"/>
  <c r="CL38" i="1" s="1"/>
  <c r="BW38" i="1"/>
  <c r="CM38" i="1" s="1"/>
  <c r="BX38" i="1"/>
  <c r="CN38" i="1" s="1"/>
  <c r="BY38" i="1"/>
  <c r="CO38" i="1" s="1"/>
  <c r="BR29" i="1"/>
  <c r="BS29" i="1"/>
  <c r="CI29" i="1" s="1"/>
  <c r="BT29" i="1"/>
  <c r="CJ29" i="1" s="1"/>
  <c r="BU29" i="1"/>
  <c r="CK29" i="1" s="1"/>
  <c r="BV29" i="1"/>
  <c r="CL29" i="1" s="1"/>
  <c r="BW29" i="1"/>
  <c r="CM29" i="1" s="1"/>
  <c r="BX29" i="1"/>
  <c r="CN29" i="1" s="1"/>
  <c r="BY29" i="1"/>
  <c r="CO29" i="1" s="1"/>
  <c r="BR28" i="1"/>
  <c r="BS28" i="1"/>
  <c r="CI28" i="1" s="1"/>
  <c r="BT28" i="1"/>
  <c r="CJ28" i="1" s="1"/>
  <c r="BU28" i="1"/>
  <c r="CK28" i="1" s="1"/>
  <c r="BV28" i="1"/>
  <c r="CL28" i="1" s="1"/>
  <c r="BW28" i="1"/>
  <c r="CM28" i="1" s="1"/>
  <c r="BX28" i="1"/>
  <c r="CN28" i="1" s="1"/>
  <c r="BY28" i="1"/>
  <c r="CO28" i="1" s="1"/>
  <c r="BR18" i="1"/>
  <c r="BS18" i="1"/>
  <c r="CI18" i="1" s="1"/>
  <c r="BT18" i="1"/>
  <c r="CJ18" i="1" s="1"/>
  <c r="BU18" i="1"/>
  <c r="BV18" i="1"/>
  <c r="CL18" i="1" s="1"/>
  <c r="BW18" i="1"/>
  <c r="CM18" i="1" s="1"/>
  <c r="BX18" i="1"/>
  <c r="CN18" i="1" s="1"/>
  <c r="BY18" i="1"/>
  <c r="CO18" i="1" s="1"/>
  <c r="BR72" i="1"/>
  <c r="BS72" i="1"/>
  <c r="CI72" i="1" s="1"/>
  <c r="BT72" i="1"/>
  <c r="CJ72" i="1" s="1"/>
  <c r="BU72" i="1"/>
  <c r="CK72" i="1" s="1"/>
  <c r="BV72" i="1"/>
  <c r="CL72" i="1" s="1"/>
  <c r="BW72" i="1"/>
  <c r="CM72" i="1" s="1"/>
  <c r="BX72" i="1"/>
  <c r="CN72" i="1" s="1"/>
  <c r="BY72" i="1"/>
  <c r="CO72" i="1" s="1"/>
  <c r="BR65" i="1"/>
  <c r="BS65" i="1"/>
  <c r="CI65" i="1" s="1"/>
  <c r="BT65" i="1"/>
  <c r="CJ65" i="1" s="1"/>
  <c r="BU65" i="1"/>
  <c r="CK65" i="1" s="1"/>
  <c r="BV65" i="1"/>
  <c r="CL65" i="1" s="1"/>
  <c r="BW65" i="1"/>
  <c r="CM65" i="1" s="1"/>
  <c r="BX65" i="1"/>
  <c r="CN65" i="1" s="1"/>
  <c r="BY65" i="1"/>
  <c r="CO65" i="1" s="1"/>
  <c r="BR77" i="1"/>
  <c r="BS77" i="1"/>
  <c r="CI77" i="1" s="1"/>
  <c r="BT77" i="1"/>
  <c r="CJ77" i="1" s="1"/>
  <c r="BU77" i="1"/>
  <c r="CK77" i="1" s="1"/>
  <c r="BV77" i="1"/>
  <c r="CL77" i="1" s="1"/>
  <c r="BW77" i="1"/>
  <c r="CM77" i="1" s="1"/>
  <c r="BX77" i="1"/>
  <c r="CN77" i="1" s="1"/>
  <c r="BY77" i="1"/>
  <c r="CO77" i="1" s="1"/>
  <c r="BR33" i="1"/>
  <c r="BS33" i="1"/>
  <c r="CI33" i="1" s="1"/>
  <c r="BT33" i="1"/>
  <c r="CJ33" i="1" s="1"/>
  <c r="BU33" i="1"/>
  <c r="CK33" i="1" s="1"/>
  <c r="BV33" i="1"/>
  <c r="CL33" i="1" s="1"/>
  <c r="BW33" i="1"/>
  <c r="CM33" i="1" s="1"/>
  <c r="BX33" i="1"/>
  <c r="CN33" i="1" s="1"/>
  <c r="BY33" i="1"/>
  <c r="CO33" i="1" s="1"/>
  <c r="BR24" i="1"/>
  <c r="BS24" i="1"/>
  <c r="CI24" i="1" s="1"/>
  <c r="BT24" i="1"/>
  <c r="CJ24" i="1" s="1"/>
  <c r="BU24" i="1"/>
  <c r="CK24" i="1" s="1"/>
  <c r="BV24" i="1"/>
  <c r="CL24" i="1" s="1"/>
  <c r="BW24" i="1"/>
  <c r="CM24" i="1" s="1"/>
  <c r="BX24" i="1"/>
  <c r="CN24" i="1" s="1"/>
  <c r="BY24" i="1"/>
  <c r="CO24" i="1" s="1"/>
  <c r="BR37" i="1"/>
  <c r="BS37" i="1"/>
  <c r="CI37" i="1" s="1"/>
  <c r="BT37" i="1"/>
  <c r="CJ37" i="1" s="1"/>
  <c r="BU37" i="1"/>
  <c r="CK37" i="1" s="1"/>
  <c r="BV37" i="1"/>
  <c r="CL37" i="1" s="1"/>
  <c r="BW37" i="1"/>
  <c r="CM37" i="1" s="1"/>
  <c r="BX37" i="1"/>
  <c r="CN37" i="1" s="1"/>
  <c r="BY37" i="1"/>
  <c r="CO37" i="1" s="1"/>
  <c r="BR21" i="1"/>
  <c r="BS21" i="1"/>
  <c r="CI21" i="1" s="1"/>
  <c r="BT21" i="1"/>
  <c r="CJ21" i="1" s="1"/>
  <c r="BU21" i="1"/>
  <c r="CK21" i="1" s="1"/>
  <c r="BV21" i="1"/>
  <c r="CL21" i="1" s="1"/>
  <c r="BW21" i="1"/>
  <c r="CM21" i="1" s="1"/>
  <c r="BX21" i="1"/>
  <c r="CN21" i="1" s="1"/>
  <c r="BY21" i="1"/>
  <c r="CO21" i="1" s="1"/>
  <c r="BR63" i="1"/>
  <c r="BS63" i="1"/>
  <c r="CI63" i="1" s="1"/>
  <c r="BT63" i="1"/>
  <c r="CJ63" i="1" s="1"/>
  <c r="BU63" i="1"/>
  <c r="BV63" i="1"/>
  <c r="CL63" i="1" s="1"/>
  <c r="BW63" i="1"/>
  <c r="CM63" i="1" s="1"/>
  <c r="BX63" i="1"/>
  <c r="CN63" i="1" s="1"/>
  <c r="BY63" i="1"/>
  <c r="CO63" i="1" s="1"/>
  <c r="BR39" i="1"/>
  <c r="BS39" i="1"/>
  <c r="CI39" i="1" s="1"/>
  <c r="BT39" i="1"/>
  <c r="CJ39" i="1" s="1"/>
  <c r="BU39" i="1"/>
  <c r="CK39" i="1" s="1"/>
  <c r="BV39" i="1"/>
  <c r="CL39" i="1" s="1"/>
  <c r="BW39" i="1"/>
  <c r="CM39" i="1" s="1"/>
  <c r="BX39" i="1"/>
  <c r="CN39" i="1" s="1"/>
  <c r="BY39" i="1"/>
  <c r="CO39" i="1" s="1"/>
  <c r="BR70" i="1"/>
  <c r="BS70" i="1"/>
  <c r="CI70" i="1" s="1"/>
  <c r="BT70" i="1"/>
  <c r="CJ70" i="1" s="1"/>
  <c r="BU70" i="1"/>
  <c r="CK70" i="1" s="1"/>
  <c r="BV70" i="1"/>
  <c r="CL70" i="1" s="1"/>
  <c r="BW70" i="1"/>
  <c r="CM70" i="1" s="1"/>
  <c r="BX70" i="1"/>
  <c r="CN70" i="1" s="1"/>
  <c r="BY70" i="1"/>
  <c r="CO70" i="1" s="1"/>
  <c r="BR78" i="1"/>
  <c r="BS78" i="1"/>
  <c r="CI78" i="1" s="1"/>
  <c r="BT78" i="1"/>
  <c r="CJ78" i="1" s="1"/>
  <c r="BU78" i="1"/>
  <c r="CK78" i="1" s="1"/>
  <c r="BV78" i="1"/>
  <c r="CL78" i="1" s="1"/>
  <c r="BW78" i="1"/>
  <c r="CM78" i="1" s="1"/>
  <c r="BX78" i="1"/>
  <c r="CN78" i="1" s="1"/>
  <c r="BY78" i="1"/>
  <c r="CO78" i="1" s="1"/>
  <c r="BR25" i="1"/>
  <c r="BS25" i="1"/>
  <c r="CI25" i="1" s="1"/>
  <c r="BT25" i="1"/>
  <c r="CJ25" i="1" s="1"/>
  <c r="BU25" i="1"/>
  <c r="CK25" i="1" s="1"/>
  <c r="BV25" i="1"/>
  <c r="CL25" i="1" s="1"/>
  <c r="BW25" i="1"/>
  <c r="CM25" i="1" s="1"/>
  <c r="BX25" i="1"/>
  <c r="CN25" i="1" s="1"/>
  <c r="BY25" i="1"/>
  <c r="CO25" i="1" s="1"/>
  <c r="BR45" i="1"/>
  <c r="BS45" i="1"/>
  <c r="CI45" i="1" s="1"/>
  <c r="BT45" i="1"/>
  <c r="CJ45" i="1" s="1"/>
  <c r="BU45" i="1"/>
  <c r="CK45" i="1" s="1"/>
  <c r="BV45" i="1"/>
  <c r="CL45" i="1" s="1"/>
  <c r="BW45" i="1"/>
  <c r="CM45" i="1" s="1"/>
  <c r="BX45" i="1"/>
  <c r="CN45" i="1" s="1"/>
  <c r="BY45" i="1"/>
  <c r="CO45" i="1" s="1"/>
  <c r="BR58" i="1"/>
  <c r="BS58" i="1"/>
  <c r="CI58" i="1" s="1"/>
  <c r="BT58" i="1"/>
  <c r="CJ58" i="1" s="1"/>
  <c r="BU58" i="1"/>
  <c r="CK58" i="1" s="1"/>
  <c r="BV58" i="1"/>
  <c r="CL58" i="1" s="1"/>
  <c r="BW58" i="1"/>
  <c r="CM58" i="1" s="1"/>
  <c r="BX58" i="1"/>
  <c r="CN58" i="1" s="1"/>
  <c r="BY58" i="1"/>
  <c r="CO58" i="1" s="1"/>
  <c r="BR19" i="1"/>
  <c r="BS19" i="1"/>
  <c r="CI19" i="1" s="1"/>
  <c r="BT19" i="1"/>
  <c r="CJ19" i="1" s="1"/>
  <c r="BU19" i="1"/>
  <c r="CK19" i="1" s="1"/>
  <c r="BV19" i="1"/>
  <c r="CL19" i="1" s="1"/>
  <c r="BW19" i="1"/>
  <c r="CM19" i="1" s="1"/>
  <c r="BX19" i="1"/>
  <c r="CN19" i="1" s="1"/>
  <c r="BY19" i="1"/>
  <c r="CO19" i="1" s="1"/>
  <c r="BR34" i="1"/>
  <c r="BS34" i="1"/>
  <c r="CI34" i="1" s="1"/>
  <c r="BT34" i="1"/>
  <c r="CJ34" i="1" s="1"/>
  <c r="BU34" i="1"/>
  <c r="BV34" i="1"/>
  <c r="CL34" i="1" s="1"/>
  <c r="BW34" i="1"/>
  <c r="CM34" i="1" s="1"/>
  <c r="BX34" i="1"/>
  <c r="CN34" i="1" s="1"/>
  <c r="BY34" i="1"/>
  <c r="CO34" i="1" s="1"/>
  <c r="BR47" i="1"/>
  <c r="BS47" i="1"/>
  <c r="CI47" i="1" s="1"/>
  <c r="BT47" i="1"/>
  <c r="CJ47" i="1" s="1"/>
  <c r="BU47" i="1"/>
  <c r="CK47" i="1" s="1"/>
  <c r="BV47" i="1"/>
  <c r="CL47" i="1" s="1"/>
  <c r="BW47" i="1"/>
  <c r="CM47" i="1" s="1"/>
  <c r="BX47" i="1"/>
  <c r="CN47" i="1" s="1"/>
  <c r="BY47" i="1"/>
  <c r="CO47" i="1" s="1"/>
  <c r="BR56" i="1"/>
  <c r="BS56" i="1"/>
  <c r="CI56" i="1" s="1"/>
  <c r="BT56" i="1"/>
  <c r="CJ56" i="1" s="1"/>
  <c r="BU56" i="1"/>
  <c r="CK56" i="1" s="1"/>
  <c r="BV56" i="1"/>
  <c r="CL56" i="1" s="1"/>
  <c r="BW56" i="1"/>
  <c r="CM56" i="1" s="1"/>
  <c r="BX56" i="1"/>
  <c r="CN56" i="1" s="1"/>
  <c r="BY56" i="1"/>
  <c r="CO56" i="1" s="1"/>
  <c r="BR20" i="1"/>
  <c r="BS20" i="1"/>
  <c r="CI20" i="1" s="1"/>
  <c r="BT20" i="1"/>
  <c r="CJ20" i="1" s="1"/>
  <c r="BU20" i="1"/>
  <c r="CK20" i="1" s="1"/>
  <c r="BV20" i="1"/>
  <c r="CL20" i="1" s="1"/>
  <c r="BW20" i="1"/>
  <c r="CM20" i="1" s="1"/>
  <c r="BX20" i="1"/>
  <c r="CN20" i="1" s="1"/>
  <c r="BY20" i="1"/>
  <c r="CO20" i="1" s="1"/>
  <c r="BR13" i="1"/>
  <c r="BS13" i="1"/>
  <c r="CI13" i="1" s="1"/>
  <c r="BT13" i="1"/>
  <c r="CJ13" i="1" s="1"/>
  <c r="BU13" i="1"/>
  <c r="CK13" i="1" s="1"/>
  <c r="BV13" i="1"/>
  <c r="CL13" i="1" s="1"/>
  <c r="BW13" i="1"/>
  <c r="CM13" i="1" s="1"/>
  <c r="BX13" i="1"/>
  <c r="CN13" i="1" s="1"/>
  <c r="BY13" i="1"/>
  <c r="CO13" i="1" s="1"/>
  <c r="BR12" i="1"/>
  <c r="BS12" i="1"/>
  <c r="CI12" i="1" s="1"/>
  <c r="BT12" i="1"/>
  <c r="CJ12" i="1" s="1"/>
  <c r="BU12" i="1"/>
  <c r="CK12" i="1" s="1"/>
  <c r="BV12" i="1"/>
  <c r="CL12" i="1" s="1"/>
  <c r="BW12" i="1"/>
  <c r="CM12" i="1" s="1"/>
  <c r="BX12" i="1"/>
  <c r="CN12" i="1" s="1"/>
  <c r="BY12" i="1"/>
  <c r="CO12" i="1" s="1"/>
  <c r="BR42" i="1"/>
  <c r="BS42" i="1"/>
  <c r="CI42" i="1" s="1"/>
  <c r="BT42" i="1"/>
  <c r="CJ42" i="1" s="1"/>
  <c r="BU42" i="1"/>
  <c r="CK42" i="1" s="1"/>
  <c r="BV42" i="1"/>
  <c r="CL42" i="1" s="1"/>
  <c r="BW42" i="1"/>
  <c r="CM42" i="1" s="1"/>
  <c r="BX42" i="1"/>
  <c r="CN42" i="1" s="1"/>
  <c r="BY42" i="1"/>
  <c r="CO42" i="1" s="1"/>
  <c r="BR11" i="1"/>
  <c r="BS11" i="1"/>
  <c r="CI11" i="1" s="1"/>
  <c r="BT11" i="1"/>
  <c r="CJ11" i="1" s="1"/>
  <c r="BU11" i="1"/>
  <c r="CK11" i="1" s="1"/>
  <c r="BV11" i="1"/>
  <c r="CL11" i="1" s="1"/>
  <c r="BW11" i="1"/>
  <c r="CM11" i="1" s="1"/>
  <c r="BX11" i="1"/>
  <c r="CN11" i="1" s="1"/>
  <c r="BY11" i="1"/>
  <c r="CO11" i="1" s="1"/>
  <c r="BR50" i="1"/>
  <c r="BS50" i="1"/>
  <c r="CI50" i="1" s="1"/>
  <c r="BT50" i="1"/>
  <c r="CJ50" i="1" s="1"/>
  <c r="BU50" i="1"/>
  <c r="BV50" i="1"/>
  <c r="CL50" i="1" s="1"/>
  <c r="BW50" i="1"/>
  <c r="CM50" i="1" s="1"/>
  <c r="BX50" i="1"/>
  <c r="CN50" i="1" s="1"/>
  <c r="BY50" i="1"/>
  <c r="CO50" i="1" s="1"/>
  <c r="BR40" i="1"/>
  <c r="BS40" i="1"/>
  <c r="CI40" i="1" s="1"/>
  <c r="BT40" i="1"/>
  <c r="CJ40" i="1" s="1"/>
  <c r="BU40" i="1"/>
  <c r="CK40" i="1" s="1"/>
  <c r="BV40" i="1"/>
  <c r="CL40" i="1" s="1"/>
  <c r="BW40" i="1"/>
  <c r="CM40" i="1" s="1"/>
  <c r="BX40" i="1"/>
  <c r="CN40" i="1" s="1"/>
  <c r="BY40" i="1"/>
  <c r="CO40" i="1" s="1"/>
  <c r="BR44" i="1"/>
  <c r="BS44" i="1"/>
  <c r="CI44" i="1" s="1"/>
  <c r="BT44" i="1"/>
  <c r="CJ44" i="1" s="1"/>
  <c r="BU44" i="1"/>
  <c r="CK44" i="1" s="1"/>
  <c r="BV44" i="1"/>
  <c r="CL44" i="1" s="1"/>
  <c r="BW44" i="1"/>
  <c r="CM44" i="1" s="1"/>
  <c r="BX44" i="1"/>
  <c r="CN44" i="1" s="1"/>
  <c r="BY44" i="1"/>
  <c r="CO44" i="1" s="1"/>
  <c r="BR41" i="1"/>
  <c r="BS41" i="1"/>
  <c r="CI41" i="1" s="1"/>
  <c r="BT41" i="1"/>
  <c r="CJ41" i="1" s="1"/>
  <c r="BU41" i="1"/>
  <c r="CK41" i="1" s="1"/>
  <c r="BV41" i="1"/>
  <c r="CL41" i="1" s="1"/>
  <c r="BW41" i="1"/>
  <c r="CM41" i="1" s="1"/>
  <c r="BX41" i="1"/>
  <c r="CN41" i="1" s="1"/>
  <c r="BY41" i="1"/>
  <c r="CO41" i="1" s="1"/>
  <c r="BR52" i="1"/>
  <c r="BS52" i="1"/>
  <c r="CI52" i="1" s="1"/>
  <c r="BT52" i="1"/>
  <c r="CJ52" i="1" s="1"/>
  <c r="BU52" i="1"/>
  <c r="CK52" i="1" s="1"/>
  <c r="BV52" i="1"/>
  <c r="CL52" i="1" s="1"/>
  <c r="BW52" i="1"/>
  <c r="CM52" i="1" s="1"/>
  <c r="BX52" i="1"/>
  <c r="CN52" i="1" s="1"/>
  <c r="BY52" i="1"/>
  <c r="CO52" i="1" s="1"/>
  <c r="BR17" i="1"/>
  <c r="BS17" i="1"/>
  <c r="CI17" i="1" s="1"/>
  <c r="BT17" i="1"/>
  <c r="CJ17" i="1" s="1"/>
  <c r="BU17" i="1"/>
  <c r="CK17" i="1" s="1"/>
  <c r="BV17" i="1"/>
  <c r="CL17" i="1" s="1"/>
  <c r="BW17" i="1"/>
  <c r="CM17" i="1" s="1"/>
  <c r="BX17" i="1"/>
  <c r="CN17" i="1" s="1"/>
  <c r="BY17" i="1"/>
  <c r="CO17" i="1" s="1"/>
  <c r="BR60" i="1"/>
  <c r="BS60" i="1"/>
  <c r="CI60" i="1" s="1"/>
  <c r="BT60" i="1"/>
  <c r="CJ60" i="1" s="1"/>
  <c r="BU60" i="1"/>
  <c r="CK60" i="1" s="1"/>
  <c r="BV60" i="1"/>
  <c r="CL60" i="1" s="1"/>
  <c r="BW60" i="1"/>
  <c r="CM60" i="1" s="1"/>
  <c r="BX60" i="1"/>
  <c r="CN60" i="1" s="1"/>
  <c r="BY60" i="1"/>
  <c r="CO60" i="1" s="1"/>
  <c r="BR32" i="1"/>
  <c r="BS32" i="1"/>
  <c r="CI32" i="1" s="1"/>
  <c r="BT32" i="1"/>
  <c r="CJ32" i="1" s="1"/>
  <c r="BU32" i="1"/>
  <c r="CK32" i="1" s="1"/>
  <c r="BV32" i="1"/>
  <c r="CL32" i="1" s="1"/>
  <c r="BW32" i="1"/>
  <c r="CM32" i="1" s="1"/>
  <c r="BX32" i="1"/>
  <c r="CN32" i="1" s="1"/>
  <c r="BY32" i="1"/>
  <c r="CO32" i="1" s="1"/>
  <c r="BR80" i="1"/>
  <c r="BS80" i="1"/>
  <c r="CI80" i="1" s="1"/>
  <c r="BT80" i="1"/>
  <c r="CJ80" i="1" s="1"/>
  <c r="BU80" i="1"/>
  <c r="BV80" i="1"/>
  <c r="CL80" i="1" s="1"/>
  <c r="BW80" i="1"/>
  <c r="CM80" i="1" s="1"/>
  <c r="BX80" i="1"/>
  <c r="CN80" i="1" s="1"/>
  <c r="BY80" i="1"/>
  <c r="CO80" i="1" s="1"/>
  <c r="BR74" i="1"/>
  <c r="BS74" i="1"/>
  <c r="CI74" i="1" s="1"/>
  <c r="BT74" i="1"/>
  <c r="CJ74" i="1" s="1"/>
  <c r="BU74" i="1"/>
  <c r="CK74" i="1" s="1"/>
  <c r="BV74" i="1"/>
  <c r="CL74" i="1" s="1"/>
  <c r="BW74" i="1"/>
  <c r="CM74" i="1" s="1"/>
  <c r="BX74" i="1"/>
  <c r="CN74" i="1" s="1"/>
  <c r="BY74" i="1"/>
  <c r="CO74" i="1" s="1"/>
  <c r="BR75" i="1"/>
  <c r="BS75" i="1"/>
  <c r="CI75" i="1" s="1"/>
  <c r="BT75" i="1"/>
  <c r="CJ75" i="1" s="1"/>
  <c r="BU75" i="1"/>
  <c r="CK75" i="1" s="1"/>
  <c r="BV75" i="1"/>
  <c r="CL75" i="1" s="1"/>
  <c r="BW75" i="1"/>
  <c r="CM75" i="1" s="1"/>
  <c r="BX75" i="1"/>
  <c r="CN75" i="1" s="1"/>
  <c r="BY75" i="1"/>
  <c r="CO75" i="1" s="1"/>
  <c r="BR79" i="1"/>
  <c r="BS79" i="1"/>
  <c r="CI79" i="1" s="1"/>
  <c r="BT79" i="1"/>
  <c r="CJ79" i="1" s="1"/>
  <c r="BU79" i="1"/>
  <c r="CK79" i="1" s="1"/>
  <c r="BV79" i="1"/>
  <c r="CL79" i="1" s="1"/>
  <c r="BW79" i="1"/>
  <c r="CM79" i="1" s="1"/>
  <c r="BX79" i="1"/>
  <c r="CN79" i="1" s="1"/>
  <c r="BY79" i="1"/>
  <c r="CO79" i="1" s="1"/>
  <c r="BR46" i="1"/>
  <c r="BS46" i="1"/>
  <c r="CI46" i="1" s="1"/>
  <c r="BT46" i="1"/>
  <c r="CJ46" i="1" s="1"/>
  <c r="BU46" i="1"/>
  <c r="CK46" i="1" s="1"/>
  <c r="BV46" i="1"/>
  <c r="CL46" i="1" s="1"/>
  <c r="BW46" i="1"/>
  <c r="CM46" i="1" s="1"/>
  <c r="BX46" i="1"/>
  <c r="CN46" i="1" s="1"/>
  <c r="BY46" i="1"/>
  <c r="CO46" i="1" s="1"/>
  <c r="BR9" i="1"/>
  <c r="BS9" i="1"/>
  <c r="CI9" i="1" s="1"/>
  <c r="BT9" i="1"/>
  <c r="CJ9" i="1" s="1"/>
  <c r="BU9" i="1"/>
  <c r="CK9" i="1" s="1"/>
  <c r="BV9" i="1"/>
  <c r="CL9" i="1" s="1"/>
  <c r="BW9" i="1"/>
  <c r="CM9" i="1" s="1"/>
  <c r="BX9" i="1"/>
  <c r="CN9" i="1" s="1"/>
  <c r="BY9" i="1"/>
  <c r="CO9" i="1" s="1"/>
  <c r="BR3" i="1"/>
  <c r="BS3" i="1"/>
  <c r="CI3" i="1" s="1"/>
  <c r="BT3" i="1"/>
  <c r="CJ3" i="1" s="1"/>
  <c r="BU3" i="1"/>
  <c r="CK3" i="1" s="1"/>
  <c r="BV3" i="1"/>
  <c r="CL3" i="1" s="1"/>
  <c r="BW3" i="1"/>
  <c r="CM3" i="1" s="1"/>
  <c r="BX3" i="1"/>
  <c r="CN3" i="1" s="1"/>
  <c r="BY3" i="1"/>
  <c r="CO3" i="1" s="1"/>
  <c r="BR4" i="1"/>
  <c r="BS4" i="1"/>
  <c r="CI4" i="1" s="1"/>
  <c r="BT4" i="1"/>
  <c r="CJ4" i="1" s="1"/>
  <c r="BU4" i="1"/>
  <c r="CK4" i="1" s="1"/>
  <c r="BV4" i="1"/>
  <c r="CL4" i="1" s="1"/>
  <c r="BW4" i="1"/>
  <c r="CM4" i="1" s="1"/>
  <c r="BX4" i="1"/>
  <c r="CN4" i="1" s="1"/>
  <c r="BY4" i="1"/>
  <c r="CO4" i="1" s="1"/>
  <c r="BR35" i="1"/>
  <c r="BS35" i="1"/>
  <c r="CI35" i="1" s="1"/>
  <c r="BT35" i="1"/>
  <c r="CJ35" i="1" s="1"/>
  <c r="BU35" i="1"/>
  <c r="BV35" i="1"/>
  <c r="CL35" i="1" s="1"/>
  <c r="BW35" i="1"/>
  <c r="CM35" i="1" s="1"/>
  <c r="BX35" i="1"/>
  <c r="CN35" i="1" s="1"/>
  <c r="BY35" i="1"/>
  <c r="CO35" i="1" s="1"/>
  <c r="BR36" i="1"/>
  <c r="BS36" i="1"/>
  <c r="CI36" i="1" s="1"/>
  <c r="BT36" i="1"/>
  <c r="CJ36" i="1" s="1"/>
  <c r="BU36" i="1"/>
  <c r="CK36" i="1" s="1"/>
  <c r="BV36" i="1"/>
  <c r="CL36" i="1" s="1"/>
  <c r="BW36" i="1"/>
  <c r="CM36" i="1" s="1"/>
  <c r="BX36" i="1"/>
  <c r="CN36" i="1" s="1"/>
  <c r="BY36" i="1"/>
  <c r="CO36" i="1" s="1"/>
  <c r="BR55" i="1"/>
  <c r="BS55" i="1"/>
  <c r="CI55" i="1" s="1"/>
  <c r="BT55" i="1"/>
  <c r="CJ55" i="1" s="1"/>
  <c r="BU55" i="1"/>
  <c r="CK55" i="1" s="1"/>
  <c r="BV55" i="1"/>
  <c r="CL55" i="1" s="1"/>
  <c r="BW55" i="1"/>
  <c r="CM55" i="1" s="1"/>
  <c r="BX55" i="1"/>
  <c r="CN55" i="1" s="1"/>
  <c r="BY55" i="1"/>
  <c r="CO55" i="1" s="1"/>
  <c r="BR59" i="1"/>
  <c r="BS59" i="1"/>
  <c r="CI59" i="1" s="1"/>
  <c r="BT59" i="1"/>
  <c r="CJ59" i="1" s="1"/>
  <c r="BU59" i="1"/>
  <c r="CK59" i="1" s="1"/>
  <c r="BV59" i="1"/>
  <c r="CL59" i="1" s="1"/>
  <c r="BW59" i="1"/>
  <c r="CM59" i="1" s="1"/>
  <c r="BX59" i="1"/>
  <c r="CN59" i="1" s="1"/>
  <c r="BY59" i="1"/>
  <c r="CO59" i="1" s="1"/>
  <c r="BR69" i="1"/>
  <c r="BS69" i="1"/>
  <c r="CI69" i="1" s="1"/>
  <c r="BT69" i="1"/>
  <c r="CJ69" i="1" s="1"/>
  <c r="BU69" i="1"/>
  <c r="CK69" i="1" s="1"/>
  <c r="BV69" i="1"/>
  <c r="CL69" i="1" s="1"/>
  <c r="BW69" i="1"/>
  <c r="CM69" i="1" s="1"/>
  <c r="BX69" i="1"/>
  <c r="CN69" i="1" s="1"/>
  <c r="BY69" i="1"/>
  <c r="CO69" i="1" s="1"/>
  <c r="BR7" i="1"/>
  <c r="BS7" i="1"/>
  <c r="CI7" i="1" s="1"/>
  <c r="BT7" i="1"/>
  <c r="CJ7" i="1" s="1"/>
  <c r="BU7" i="1"/>
  <c r="CK7" i="1" s="1"/>
  <c r="BV7" i="1"/>
  <c r="CL7" i="1" s="1"/>
  <c r="BW7" i="1"/>
  <c r="CM7" i="1" s="1"/>
  <c r="BX7" i="1"/>
  <c r="CN7" i="1" s="1"/>
  <c r="BY7" i="1"/>
  <c r="CO7" i="1" s="1"/>
  <c r="BR8" i="1"/>
  <c r="BS8" i="1"/>
  <c r="CI8" i="1" s="1"/>
  <c r="BT8" i="1"/>
  <c r="CJ8" i="1" s="1"/>
  <c r="BU8" i="1"/>
  <c r="CK8" i="1" s="1"/>
  <c r="BV8" i="1"/>
  <c r="CL8" i="1" s="1"/>
  <c r="BW8" i="1"/>
  <c r="CM8" i="1" s="1"/>
  <c r="BX8" i="1"/>
  <c r="CN8" i="1" s="1"/>
  <c r="BY8" i="1"/>
  <c r="CO8" i="1" s="1"/>
  <c r="BR54" i="1"/>
  <c r="BS54" i="1"/>
  <c r="CI54" i="1" s="1"/>
  <c r="BT54" i="1"/>
  <c r="CJ54" i="1" s="1"/>
  <c r="BU54" i="1"/>
  <c r="CK54" i="1" s="1"/>
  <c r="BV54" i="1"/>
  <c r="CL54" i="1" s="1"/>
  <c r="BW54" i="1"/>
  <c r="CM54" i="1" s="1"/>
  <c r="BX54" i="1"/>
  <c r="CN54" i="1" s="1"/>
  <c r="BY54" i="1"/>
  <c r="CO54" i="1" s="1"/>
  <c r="BR27" i="1"/>
  <c r="BS27" i="1"/>
  <c r="CI27" i="1" s="1"/>
  <c r="BT27" i="1"/>
  <c r="CJ27" i="1" s="1"/>
  <c r="BU27" i="1"/>
  <c r="BV27" i="1"/>
  <c r="CL27" i="1" s="1"/>
  <c r="BW27" i="1"/>
  <c r="CM27" i="1" s="1"/>
  <c r="BX27" i="1"/>
  <c r="CN27" i="1" s="1"/>
  <c r="BY27" i="1"/>
  <c r="CO27" i="1" s="1"/>
  <c r="BR23" i="1"/>
  <c r="BS23" i="1"/>
  <c r="CI23" i="1" s="1"/>
  <c r="BT23" i="1"/>
  <c r="CJ23" i="1" s="1"/>
  <c r="BU23" i="1"/>
  <c r="CK23" i="1" s="1"/>
  <c r="BV23" i="1"/>
  <c r="CL23" i="1" s="1"/>
  <c r="BW23" i="1"/>
  <c r="CM23" i="1" s="1"/>
  <c r="BX23" i="1"/>
  <c r="CN23" i="1" s="1"/>
  <c r="BY23" i="1"/>
  <c r="CO23" i="1" s="1"/>
  <c r="BR76" i="1"/>
  <c r="BS76" i="1"/>
  <c r="CI76" i="1" s="1"/>
  <c r="BT76" i="1"/>
  <c r="CJ76" i="1" s="1"/>
  <c r="BU76" i="1"/>
  <c r="CK76" i="1" s="1"/>
  <c r="BV76" i="1"/>
  <c r="CL76" i="1" s="1"/>
  <c r="BW76" i="1"/>
  <c r="CM76" i="1" s="1"/>
  <c r="BX76" i="1"/>
  <c r="CN76" i="1" s="1"/>
  <c r="BY76" i="1"/>
  <c r="CO76" i="1" s="1"/>
  <c r="BR30" i="1"/>
  <c r="BS30" i="1"/>
  <c r="CI30" i="1" s="1"/>
  <c r="BT30" i="1"/>
  <c r="CJ30" i="1" s="1"/>
  <c r="BU30" i="1"/>
  <c r="CK30" i="1" s="1"/>
  <c r="BV30" i="1"/>
  <c r="CL30" i="1" s="1"/>
  <c r="BW30" i="1"/>
  <c r="CM30" i="1" s="1"/>
  <c r="BX30" i="1"/>
  <c r="CN30" i="1" s="1"/>
  <c r="BY30" i="1"/>
  <c r="CO30" i="1" s="1"/>
  <c r="BS53" i="1"/>
  <c r="CI53" i="1" s="1"/>
  <c r="BT53" i="1"/>
  <c r="CJ53" i="1" s="1"/>
  <c r="BU53" i="1"/>
  <c r="CK53" i="1" s="1"/>
  <c r="BV53" i="1"/>
  <c r="CL53" i="1" s="1"/>
  <c r="BW53" i="1"/>
  <c r="CM53" i="1" s="1"/>
  <c r="BX53" i="1"/>
  <c r="CN53" i="1" s="1"/>
  <c r="BY53" i="1"/>
  <c r="CO53" i="1" s="1"/>
  <c r="BR53" i="1"/>
  <c r="BZ27" i="1" l="1"/>
  <c r="CK27" i="1"/>
  <c r="BZ35" i="1"/>
  <c r="CH35" i="1" s="1"/>
  <c r="CK35" i="1"/>
  <c r="BZ80" i="1"/>
  <c r="CK80" i="1"/>
  <c r="BZ50" i="1"/>
  <c r="CH50" i="1" s="1"/>
  <c r="CK50" i="1"/>
  <c r="BZ34" i="1"/>
  <c r="CK34" i="1"/>
  <c r="BZ63" i="1"/>
  <c r="CH63" i="1" s="1"/>
  <c r="CK63" i="1"/>
  <c r="BZ18" i="1"/>
  <c r="CH18" i="1" s="1"/>
  <c r="CK18" i="1"/>
  <c r="BZ6" i="1"/>
  <c r="CH6" i="1" s="1"/>
  <c r="CK6" i="1"/>
  <c r="BZ49" i="1"/>
  <c r="CH49" i="1" s="1"/>
  <c r="CK49" i="1"/>
  <c r="BZ73" i="1"/>
  <c r="CH73" i="1" s="1"/>
  <c r="CK73" i="1"/>
  <c r="CH27" i="1"/>
  <c r="CH80" i="1"/>
  <c r="CH34" i="1"/>
  <c r="BZ30" i="1"/>
  <c r="CH30" i="1" s="1"/>
  <c r="BZ76" i="1"/>
  <c r="CH76" i="1" s="1"/>
  <c r="BZ23" i="1"/>
  <c r="CH23" i="1" s="1"/>
  <c r="BZ8" i="1"/>
  <c r="CH8" i="1" s="1"/>
  <c r="BZ69" i="1"/>
  <c r="CH69" i="1" s="1"/>
  <c r="BZ55" i="1"/>
  <c r="CH55" i="1" s="1"/>
  <c r="BZ4" i="1"/>
  <c r="CH4" i="1" s="1"/>
  <c r="BZ9" i="1"/>
  <c r="CH9" i="1" s="1"/>
  <c r="BZ79" i="1"/>
  <c r="CH79" i="1" s="1"/>
  <c r="BZ74" i="1"/>
  <c r="CH74" i="1" s="1"/>
  <c r="BZ60" i="1"/>
  <c r="CH60" i="1" s="1"/>
  <c r="BZ52" i="1"/>
  <c r="CH52" i="1" s="1"/>
  <c r="BZ41" i="1"/>
  <c r="CH41" i="1" s="1"/>
  <c r="BZ44" i="1"/>
  <c r="CH44" i="1" s="1"/>
  <c r="BZ40" i="1"/>
  <c r="CH40" i="1" s="1"/>
  <c r="BZ42" i="1"/>
  <c r="CH42" i="1" s="1"/>
  <c r="BZ12" i="1"/>
  <c r="CH12" i="1" s="1"/>
  <c r="BZ13" i="1"/>
  <c r="CH13" i="1" s="1"/>
  <c r="BZ20" i="1"/>
  <c r="CH20" i="1" s="1"/>
  <c r="BZ56" i="1"/>
  <c r="CH56" i="1" s="1"/>
  <c r="BZ47" i="1"/>
  <c r="CH47" i="1" s="1"/>
  <c r="BZ19" i="1"/>
  <c r="CH19" i="1" s="1"/>
  <c r="BZ58" i="1"/>
  <c r="CH58" i="1" s="1"/>
  <c r="BZ45" i="1"/>
  <c r="CH45" i="1" s="1"/>
  <c r="BZ25" i="1"/>
  <c r="CH25" i="1" s="1"/>
  <c r="BZ78" i="1"/>
  <c r="CH78" i="1" s="1"/>
  <c r="BZ70" i="1"/>
  <c r="CH70" i="1" s="1"/>
  <c r="BZ39" i="1"/>
  <c r="CH39" i="1" s="1"/>
  <c r="BZ21" i="1"/>
  <c r="CH21" i="1" s="1"/>
  <c r="BZ37" i="1"/>
  <c r="CH37" i="1" s="1"/>
  <c r="BZ24" i="1"/>
  <c r="CH24" i="1" s="1"/>
  <c r="BZ33" i="1"/>
  <c r="CH33" i="1" s="1"/>
  <c r="BZ77" i="1"/>
  <c r="CH77" i="1" s="1"/>
  <c r="BZ65" i="1"/>
  <c r="CH65" i="1" s="1"/>
  <c r="BZ72" i="1"/>
  <c r="CH72" i="1" s="1"/>
  <c r="BZ28" i="1"/>
  <c r="CH28" i="1" s="1"/>
  <c r="BZ29" i="1"/>
  <c r="CH29" i="1" s="1"/>
  <c r="BZ38" i="1"/>
  <c r="CH38" i="1" s="1"/>
  <c r="BZ15" i="1"/>
  <c r="CH15" i="1" s="1"/>
  <c r="BZ66" i="1"/>
  <c r="CH66" i="1" s="1"/>
  <c r="BZ31" i="1"/>
  <c r="CH31" i="1" s="1"/>
  <c r="BZ26" i="1"/>
  <c r="CH26" i="1" s="1"/>
  <c r="BZ14" i="1"/>
  <c r="CH14" i="1" s="1"/>
  <c r="BZ57" i="1"/>
  <c r="CH57" i="1" s="1"/>
  <c r="BZ68" i="1"/>
  <c r="CH68" i="1" s="1"/>
  <c r="BZ48" i="1"/>
  <c r="CH48" i="1" s="1"/>
  <c r="BZ81" i="1"/>
  <c r="CH81" i="1" s="1"/>
  <c r="BZ71" i="1"/>
  <c r="CH71" i="1" s="1"/>
  <c r="BZ64" i="1"/>
  <c r="CH64" i="1" s="1"/>
  <c r="BZ62" i="1"/>
  <c r="CH62" i="1" s="1"/>
  <c r="BZ51" i="1"/>
  <c r="CH51" i="1" s="1"/>
  <c r="BZ2" i="1"/>
  <c r="CH2" i="1" s="1"/>
  <c r="BZ43" i="1"/>
  <c r="CH43" i="1" s="1"/>
  <c r="BZ10" i="1"/>
  <c r="CH10" i="1" s="1"/>
  <c r="BZ61" i="1"/>
  <c r="CH61" i="1" s="1"/>
  <c r="BZ67" i="1"/>
  <c r="CH67" i="1" s="1"/>
  <c r="BZ16" i="1"/>
  <c r="CH16" i="1" s="1"/>
  <c r="BZ22" i="1"/>
  <c r="CH22" i="1" s="1"/>
  <c r="BZ5" i="1"/>
  <c r="CH5" i="1" s="1"/>
  <c r="BZ54" i="1"/>
  <c r="CH54" i="1" s="1"/>
  <c r="BZ7" i="1"/>
  <c r="CH7" i="1" s="1"/>
  <c r="BZ59" i="1"/>
  <c r="CH59" i="1" s="1"/>
  <c r="BZ36" i="1"/>
  <c r="CH36" i="1" s="1"/>
  <c r="BZ3" i="1"/>
  <c r="CH3" i="1" s="1"/>
  <c r="BZ46" i="1"/>
  <c r="CH46" i="1" s="1"/>
  <c r="BZ75" i="1"/>
  <c r="CH75" i="1" s="1"/>
  <c r="BZ32" i="1"/>
  <c r="CH32" i="1" s="1"/>
  <c r="BZ17" i="1"/>
  <c r="CH17" i="1" s="1"/>
  <c r="BZ11" i="1"/>
  <c r="CH11" i="1" s="1"/>
  <c r="BZ53" i="1"/>
  <c r="CH53" i="1" s="1"/>
</calcChain>
</file>

<file path=xl/sharedStrings.xml><?xml version="1.0" encoding="utf-8"?>
<sst xmlns="http://schemas.openxmlformats.org/spreadsheetml/2006/main" count="4800" uniqueCount="1831">
  <si>
    <t>BARCODE</t>
  </si>
  <si>
    <t>CONTIG.H</t>
  </si>
  <si>
    <t>SEQUENCE_INPUT.H</t>
  </si>
  <si>
    <t>FUNCTIONAL.H</t>
  </si>
  <si>
    <t>IN_FRAME.H</t>
  </si>
  <si>
    <t>INDELS.H</t>
  </si>
  <si>
    <t>LOCUS.H</t>
  </si>
  <si>
    <t>V_CALL.H</t>
  </si>
  <si>
    <t>D_CALL.H</t>
  </si>
  <si>
    <t>J_CALL.H</t>
  </si>
  <si>
    <t>SEQUENCE_VDJ.H</t>
  </si>
  <si>
    <t>SEQUENCE_IMGT.H</t>
  </si>
  <si>
    <t>JUNCTION.H</t>
  </si>
  <si>
    <t>JUNCTION_LENGTH.H</t>
  </si>
  <si>
    <t>GERMLINE_IMGT.H</t>
  </si>
  <si>
    <t>V_SCORE.H</t>
  </si>
  <si>
    <t>V_IDENTITY.H</t>
  </si>
  <si>
    <t>J_SCORE.H</t>
  </si>
  <si>
    <t>J_IDENTITY.H</t>
  </si>
  <si>
    <t>FWR1_IMGT.H</t>
  </si>
  <si>
    <t>FWR2_IMGT.H</t>
  </si>
  <si>
    <t>FWR3_IMGT.H</t>
  </si>
  <si>
    <t>FWR4_IMGT.H</t>
  </si>
  <si>
    <t>CDR1_IMGT.H</t>
  </si>
  <si>
    <t>CDR2_IMGT.H</t>
  </si>
  <si>
    <t>CDR3_IMGT.H</t>
  </si>
  <si>
    <t>C_CALL.H</t>
  </si>
  <si>
    <t>CONSCOUNT.H</t>
  </si>
  <si>
    <t>UMICOUNT.H</t>
  </si>
  <si>
    <t>JUNCTION_10X_AA.H</t>
  </si>
  <si>
    <t>CLONE</t>
  </si>
  <si>
    <t>CONTIG.L</t>
  </si>
  <si>
    <t>SEQUENCE_INPUT.L</t>
  </si>
  <si>
    <t>FUNCTIONAL.L</t>
  </si>
  <si>
    <t>IN_FRAME.L</t>
  </si>
  <si>
    <t>INDELS.L</t>
  </si>
  <si>
    <t>LOCUS.L</t>
  </si>
  <si>
    <t>V_CALL.L</t>
  </si>
  <si>
    <t>J_CALL.L</t>
  </si>
  <si>
    <t>SEQUENCE_VDJ.L</t>
  </si>
  <si>
    <t>SEQUENCE_IMGT.L</t>
  </si>
  <si>
    <t>JUNCTION.L</t>
  </si>
  <si>
    <t>JUNCTION_LENGTH.L</t>
  </si>
  <si>
    <t>GERMLINE_IMGT.L</t>
  </si>
  <si>
    <t>V_SCORE.L</t>
  </si>
  <si>
    <t>V_IDENTITY.L</t>
  </si>
  <si>
    <t>J_SCORE.L</t>
  </si>
  <si>
    <t>J_IDENTITY.L</t>
  </si>
  <si>
    <t>FWR1_IMGT.L</t>
  </si>
  <si>
    <t>FWR2_IMGT.L</t>
  </si>
  <si>
    <t>FWR3_IMGT.L</t>
  </si>
  <si>
    <t>FWR4_IMGT.L</t>
  </si>
  <si>
    <t>CDR1_IMGT.L</t>
  </si>
  <si>
    <t>CDR2_IMGT.L</t>
  </si>
  <si>
    <t>CDR3_IMGT.L</t>
  </si>
  <si>
    <t>C_CALL.L</t>
  </si>
  <si>
    <t>CONSCOUNT.L</t>
  </si>
  <si>
    <t>JUNCTION_10X_AA.L</t>
  </si>
  <si>
    <t>UMICOUNT.L</t>
  </si>
  <si>
    <t>D_CALL.L</t>
  </si>
  <si>
    <t>N</t>
  </si>
  <si>
    <t>FLU_HA_NC99</t>
  </si>
  <si>
    <t>HIV_BG505_D279K</t>
  </si>
  <si>
    <t>HIV_BG505_D368R</t>
  </si>
  <si>
    <t>HIV_BG505_K169E</t>
  </si>
  <si>
    <t>HIV_BG505_N160K</t>
  </si>
  <si>
    <t>HIV_BG505_N332T</t>
  </si>
  <si>
    <t>HIV_BG505_DKO</t>
  </si>
  <si>
    <t>HIV_BG505_T332N</t>
  </si>
  <si>
    <t>FLU_HA_NC99.LSS</t>
  </si>
  <si>
    <t>HIV_BG505_D279K.LSS</t>
  </si>
  <si>
    <t>HIV_BG505_D368R.LSS</t>
  </si>
  <si>
    <t>HIV_BG505_K169E.LSS</t>
  </si>
  <si>
    <t>HIV_BG505_N160K.LSS</t>
  </si>
  <si>
    <t>HIV_BG505_N332T.LSS</t>
  </si>
  <si>
    <t>HIV_BG505_DKO.LSS</t>
  </si>
  <si>
    <t>HIV_BG505_T332N.LSS</t>
  </si>
  <si>
    <t>AAAGCAAGTAGCGTCC</t>
  </si>
  <si>
    <t>contig_2</t>
  </si>
  <si>
    <t>ATCACATAACAACCACATTCCTCCTCTAAAGAAGCCCCTGGGAGCACAGCTCATCACCATGGACTGGACCTGGAGGTTCCTCTTTGTGGTGGCAGCAGCTACAGGTGTCCAGTCCCAGGTGCAGCTGGTACAGTCTGGGGCTGAGGTGAAGAAGCCTGGGTCCTCGGTGAAGGTCTCCTGCAAGGCTTCTGGAGGCACCTTCAGCAGCTATGCTATCAGCTGGGTGCGACAGGCCCCTGGACAAGGGCTTGAGTGGATGGGAGGGATCATCCCTATCTTTGGTACAGCTAACTACGCACAGAAGTTCCAGGGCAGAGTCACGATTACCGCGGACGAATCCACGAGCACAGCCTACATGGAACTGCGCAGCCTGAGATCTGAGGACACGGCCGTGTATTATTGTGAGAGAGCACAACCTCCGTATTCCTATGGTTCGGGGAGTTACTGGGGCCAGGGAACCCTGGTCACCGTCTCCTCAGCCTCCACCAAGGGCCCATCGGTCTTCCCCCTGGCACCCTCCTCCAAGAGCACCTCTGGGGGCACAGCGGCCCTGGGCTGCCTGGTCAAGGACTACTTCCCCGAACCGGTGACGGTGTCGTGGAACTCAGGCGCCCTGACCAGCGGCGTGCACACCTTCCCGGCTGTCCTACAGTCCTCAGGA</t>
  </si>
  <si>
    <t>T</t>
  </si>
  <si>
    <t>F</t>
  </si>
  <si>
    <t>IGH</t>
  </si>
  <si>
    <t>IGHV1-69</t>
  </si>
  <si>
    <t>IGHD5-18</t>
  </si>
  <si>
    <t>IGHJ4</t>
  </si>
  <si>
    <t>CAGGTGCAGCTGGTACAGTCTGGGGCTGAGGTGAAGAAGCCTGGGTCCTCGGTGAAGGTCTCCTGCAAGGCTTCTGGAGGCACCTTCAGCAGCTATGCTATCAGCTGGGTGCGACAGGCCCCTGGACAAGGGCTTGAGTGGATGGGAGGGATCATCCCTATCTTTGGTACAGCTAACTACGCACAGAAGTTCCAGGGCAGAGTCACGATTACCGCGGACGAATCCACGAGCACAGCCTACATGGAACTGCGCAGCCTGAGATCTGAGGACACGGCCGTGTATTATTGTGAGAGAGCACAACCTCCGTATTCCTATGGTTCGGGGAGTTACTGGGGCCAGGGAACCCTGGTCACCGTCTCCTCAG</t>
  </si>
  <si>
    <t>CAGGTGCAGCTGGTACAGTCTGGGGCT...GAGGTGAAGAAGCCTGGGTCCTCGGTGAAGGTCTCCTGCAAGGCTTCTGGAGGCACCTTC............AGCAGCTATGCTATCAGCTGGGTGCGACAGGCCCCTGGACAAGGGCTTGAGTGGATGGGAGGGATCATCCCTATC......TTTGGTACAGCTAACTACGCACAGAAGTTCCAG...GGCAGAGTCACGATTACCGCGGACGAATCCACGAGCACAGCCTACATGGAACTGCGCAGCCTGAGATCTGAGGACACGGCCGTGTATTATTGTGAGAGAGCACAACCTCCGTATTCCTATGGTTCGGGGAGTTACTGGGGCCAGGGAACCCTGGTCACCGTCTCCTCAG</t>
  </si>
  <si>
    <t>TGTGAGAGAGCACAACCTCCGTATTCCTATGGTTCGGGGAGTTACTGG</t>
  </si>
  <si>
    <t>NA</t>
  </si>
  <si>
    <t>CAGGTGCAGCTGGTACAGTCTGGGGCT...GAGGTGAAGAAGCCTGGGTCCTCGGTGAAGGTCTCCTGCAAGGCTTCT</t>
  </si>
  <si>
    <t>ATCAGCTGGGTGCGACAGGCCCCTGGACAAGGGCTTGAGTGGATGGGAGGG</t>
  </si>
  <si>
    <t>AACTACGCACAGAAGTTCCAG...GGCAGAGTCACGATTACCGCGGACGAATCCACGAGCACAGCCTACATGGAACTGCGCAGCCTGAGATCTGAGGACACGGCCGTGTATTATTGT</t>
  </si>
  <si>
    <t>TGGGGCCAGGGAACCCTGGTCACCGTCTCCTCAG</t>
  </si>
  <si>
    <t>GGAGGCACCTTC............AGCAGCTATGCT</t>
  </si>
  <si>
    <t>ATCATCCCTATC......TTTGGTACAGCT</t>
  </si>
  <si>
    <t>GAGAGAGCACAACCTCCGTATTCCTATGGTTCGGGGAGTTAC</t>
  </si>
  <si>
    <t>IGHG1</t>
  </si>
  <si>
    <t>CERAQPPYSYGSGSYW</t>
  </si>
  <si>
    <t>contig_1</t>
  </si>
  <si>
    <t>TTAGATGGGGAGTCAGTCTCAGTCAGGACACAGCATGGACATGAGGGTCCCCGCTCAGCTCCTGGGGCTCCTGCTACTCTGGCTCCGAGGTGCCAGATGTGACATCCAGATGACCCAGTCTCCATCCTCCCTGTCTGCATCTGTAAGAGACAGAGTCACCATCACTTGCCGGGCAAGTCAGAGCATTAGCAGCTCTTTAAATTGGTATCAACACAAACCGGGGAAAGCCCCTAAGCTCCTGATCTATGCTGCATCCCGTTTGCAAAGTGGGGTCCCATCAAGGTTCAGTGGCAGTGGATCTGGGACAGATTTCACTCTCACCATCAGCAGTCTGCAACCTGAAGATTTTGCAACTTACTACTGTCAACAGAGTTACAGTACCCCGTGGACGTTCGGCCAAGGGACCAGGGTGGAAATCAAACGAACTGTGGCTGCACCATCTGTCTTCATCTTCCCGCCATCTGATGAGCAGTTGAAATCTGGAACTGCCTCTGTTGTGTGCCTGCTGAATAACTTCTATCCCAGAGAGGCCAAAGTACAGTGGAAGGTGGATAACGC</t>
  </si>
  <si>
    <t>IGK</t>
  </si>
  <si>
    <t>IGKV1-39</t>
  </si>
  <si>
    <t>IGKJ1</t>
  </si>
  <si>
    <t>GACATCCAGATGACCCAGTCTCCATCCTCCCTGTCTGCATCTGTAAGAGACAGAGTCACCATCACTTGCCGGGCAAGTCAGAGCATTAGCAGCTCTTTAAATTGGTATCAACACAAACCGGGGAAAGCCCCTAAGCTCCTGATCTATGCTGCATCCCGTTTGCAAAGTGGGGTCCCATCAAGGTTCAGTGGCAGTGGATCTGGGACAGATTTCACTCTCACCATCAGCAGTCTGCAACCTGAAGATTTTGCAACTTACTACTGTCAACAGAGTTACAGTACCCCGTGGACGTTCGGCCAAGGGACCAGGGTGGAAATCAAAC</t>
  </si>
  <si>
    <t>GACATCCAGATGACCCAGTCTCCATCCTCCCTGTCTGCATCTGTAAGAGACAGAGTCACCATCACTTGCCGGGCAAGTCAGAGCATT..................AGCAGCTCTTTAAATTGGTATCAACACAAACCGGGGAAAGCCCCTAAGCTCCTGATCTATGCTGCA.....................TCCCGTTTGCAAAGTGGGGTCCCA...TCAAGGTTCAGTGGCAGTGGA......TCTGGGACAGATTTCACTCTCACCATCAGCAGTCTGCAACCTGAAGATTTTGCAACTTACTACTGTCAACAGAGTTACAGTACCCCGTGGACGTTCGGCCAAGGGACCAGGGTGGAAATCAAAC</t>
  </si>
  <si>
    <t>TGTCAACAGAGTTACAGTACCCCGTGGACGTTC</t>
  </si>
  <si>
    <t>GACATCCAGATGACCCAGTCTCCATCCTCCCTGTCTGCATCTGTAAGAGACAGAGTCACCATCACTTGCCGGGCAAGT</t>
  </si>
  <si>
    <t>TTAAATTGGTATCAACACAAACCGGGGAAAGCCCCTAAGCTCCTGATCTAT</t>
  </si>
  <si>
    <t>CGTTTGCAAAGTGGGGTCCCA...TCAAGGTTCAGTGGCAGTGGA......TCTGGGACAGATTTCACTCTCACCATCAGCAGTCTGCAACCTGAAGATTTTGCAACTTACTACTGT</t>
  </si>
  <si>
    <t>TTCGGCCAAGGGACCAGGGTGGAAATCAAAC</t>
  </si>
  <si>
    <t>CAGAGCATT..................AGCAGCTCT</t>
  </si>
  <si>
    <t>GCTGCA.....................TCC</t>
  </si>
  <si>
    <t>CAACAGAGTTACAGTACCCCGTGGACG</t>
  </si>
  <si>
    <t>IGKC</t>
  </si>
  <si>
    <t>CQQSYSTPWTF</t>
  </si>
  <si>
    <t>contig_3</t>
  </si>
  <si>
    <t>CGTCTATGGGGAGGAATCAGTCCCACTCAGGACACAGCATGGACATGAGGGTCCCCGCTCAGCTCCTGGGGCTCCTGCTGCTCTGGTTCCCAGGTGCCAGGTGTGACATCCAGATGACCCAGTCTCCATCCTCCCTGTCTGCATCTGTAGGAGACAGAGTCACCATCACTTGCCGGGCAAGTCAGGGCATTGGAAATGATTTAGGCTGGTATCAGCAGAAACCAGGGACAGCCCCTAAGCGCCTGATCTATGCTGCATCCAGTTTGCAAAGTGGAGTCCCATCAAGGTTCAGCGGCAGTGGATCTGGGACAGAATTCACTCTCACAATCAGCAGCCTCCAGCCTGAAGATTTTGCAACTTATTACTGTCTACAGCATAATAGTTACCCGTGGACGTTCGGCCAAGGGACCAAGGTGGAAATCAAACGAACTGTGGCTGCACCATCTGTCTTCATCTTCCCGCCATCTGATGAGCAGTTGAAATCTGGAACTGCCTCTGTTGTGTGCCTGCTGAATAACTTCTATCCCAGAGAGGCCAAAGTACAGTGGAAGGTGGATAACGC</t>
  </si>
  <si>
    <t>IGKV1-17</t>
  </si>
  <si>
    <t>GACATCCAGATGACCCAGTCTCCATCCTCCCTGTCTGCATCTGTAGGAGACAGAGTCACCATCACTTGCCGGGCAAGTCAGGGCATTGGAAATGATTTAGGCTGGTATCAGCAGAAACCAGGGACAGCCCCTAAGCGCCTGATCTATGCTGCATCCAGTTTGCAAAGTGGAGTCCCATCAAGGTTCAGCGGCAGTGGATCTGGGACAGAATTCACTCTCACAATCAGCAGCCTCCAGCCTGAAGATTTTGCAACTTATTACTGTCTACAGCATAATAGTTACCCGTGGACGTTCGGCCAAGGGACCAAGGTGGAAATCAAAC</t>
  </si>
  <si>
    <t>GACATCCAGATGACCCAGTCTCCATCCTCCCTGTCTGCATCTGTAGGAGACAGAGTCACCATCACTTGCCGGGCAAGTCAGGGCATT..................GGAAATGATTTAGGCTGGTATCAGCAGAAACCAGGGACAGCCCCTAAGCGCCTGATCTATGCTGCA.....................TCCAGTTTGCAAAGTGGAGTCCCA...TCAAGGTTCAGCGGCAGTGGA......TCTGGGACAGAATTCACTCTCACAATCAGCAGCCTCCAGCCTGAAGATTTTGCAACTTATTACTGTCTACAGCATAATAGTTACCCGTGGACGTTCGGCCAAGGGACCAAGGTGGAAATCAAAC</t>
  </si>
  <si>
    <t>TGTCTACAGCATAATAGTTACCCGTGGACGTTC</t>
  </si>
  <si>
    <t>GACATCCAGATGACCCAGTCTCCATCCTCCCTGTCTGCATCTGTAGGAGACAGAGTCACCATCACTTGCCGGGCAAGT</t>
  </si>
  <si>
    <t>TTAGGCTGGTATCAGCAGAAACCAGGGACAGCCCCTAAGCGCCTGATCTAT</t>
  </si>
  <si>
    <t>AGTTTGCAAAGTGGAGTCCCA...TCAAGGTTCAGCGGCAGTGGA......TCTGGGACAGAATTCACTCTCACAATCAGCAGCCTCCAGCCTGAAGATTTTGCAACTTATTACTGT</t>
  </si>
  <si>
    <t>TTCGGCCAAGGGACCAAGGTGGAAATCAAAC</t>
  </si>
  <si>
    <t>CAGGGCATT..................GGAAATGAT</t>
  </si>
  <si>
    <t>CTACAGCATAATAGTTACCCGTGGACG</t>
  </si>
  <si>
    <t>CLQHNSYPWTF</t>
  </si>
  <si>
    <t>ACACTGACATCACCCT</t>
  </si>
  <si>
    <t>GGAGCCCCAGCCCTGGGATTCCCAGCTGTTTCTGCTTGCTGATCAGGACTGCACACAGAGAATGCACCATGGAGTTTGGGCTGAGCTGGGTTTTCCTTGTTGCTATTTTAAAAGGTGTCCAGTGTGAGGTGAAGCTGGTGGAGTCCGGGGGAGGCTTAGTTCAACCTGGGGGGTCCCTGAGACTCTCCTGTGCAGCCTCCGGATTCACCTTCAATAGGGACTGGATGCACTGGGTCCGCCAAGCTCCAGGGAAGGGGCTGGTGTGGGTCTCACGTATTAACGGTGATGGGAGTAGTAGAAGCTACGGGGACTCCGTGAAGGGCCGATTCACCATCTCCAGAGACAACGCCAAGAGCACACTGTATTTGCAAATGAACAGTCTGAGAGCCGAGGACACGGCTGTTTATCATTGTGCAAGAGGGCCGGGGGCCTATATGCGGGACTCTTGGGGCCAGGGAACCCTGGTCACCGTCTCCTCAGCCTCCACCAAGGGCCCATCGGTCTTCCCCCTGGCACCCTCCTCCAAGAGCACCTCTGGGGGCACAGCGGCCCTGGGCTGCCTGGTCAAGGACTACTTCCCCGAACCGGTGACGGTGTCGTGGAACTCAGGCGCCCTGACCAGCGGCGTGCACACCTTCCCGGCTGTCCTACAGTCCTCAGGA</t>
  </si>
  <si>
    <t>IGHV3-74</t>
  </si>
  <si>
    <t>IGHD3-16</t>
  </si>
  <si>
    <t>IGHJ5</t>
  </si>
  <si>
    <t>GAGGTGAAGCTGGTGGAGTCCGGGGGAGGCTTAGTTCAACCTGGGGGGTCCCTGAGACTCTCCTGTGCAGCCTCCGGATTCACCTTCAATAGGGACTGGATGCACTGGGTCCGCCAAGCTCCAGGGAAGGGGCTGGTGTGGGTCTCACGTATTAACGGTGATGGGAGTAGTAGAAGCTACGGGGACTCCGTGAAGGGCCGATTCACCATCTCCAGAGACAACGCCAAGAGCACACTGTATTTGCAAATGAACAGTCTGAGAGCCGAGGACACGGCTGTTTATCATTGTGCAAGAGGGCCGGGGGCCTATATGCGGGACTCTTGGGGCCAGGGAACCCTGGTCACCGTCTCCTCAG</t>
  </si>
  <si>
    <t>GAGGTGAAGCTGGTGGAGTCCGGGGGA...GGCTTAGTTCAACCTGGGGGGTCCCTGAGACTCTCCTGTGCAGCCTCCGGATTCACCTTC............AATAGGGACTGGATGCACTGGGTCCGCCAAGCTCCAGGGAAGGGGCTGGTGTGGGTCTCACGTATTAACGGTGAT......GGGAGTAGTAGAAGCTACGGGGACTCCGTGAAG...GGCCGATTCACCATCTCCAGAGACAACGCCAAGAGCACACTGTATTTGCAAATGAACAGTCTGAGAGCCGAGGACACGGCTGTTTATCATTGTGCAAGAGGGCCGGGGGCCTATATGCGGGACTCTTGGGGCCAGGGAACCCTGGTCACCGTCTCCTCAG</t>
  </si>
  <si>
    <t>TGTGCAAGAGGGCCGGGGGCCTATATGCGGGACTCTTGG</t>
  </si>
  <si>
    <t>GAGGTGAAGCTGGTGGAGTCCGGGGGA...GGCTTAGTTCAACCTGGGGGGTCCCTGAGACTCTCCTGTGCAGCCTCC</t>
  </si>
  <si>
    <t>ATGCACTGGGTCCGCCAAGCTCCAGGGAAGGGGCTGGTGTGGGTCTCACGT</t>
  </si>
  <si>
    <t>AGCTACGGGGACTCCGTGAAG...GGCCGATTCACCATCTCCAGAGACAACGCCAAGAGCACACTGTATTTGCAAATGAACAGTCTGAGAGCCGAGGACACGGCTGTTTATCATTGT</t>
  </si>
  <si>
    <t>GGATTCACCTTC............AATAGGGACTGG</t>
  </si>
  <si>
    <t>ATTAACGGTGAT......GGGAGTAGTAGA</t>
  </si>
  <si>
    <t>GCAAGAGGGCCGGGGGCCTATATGCGGGACTCT</t>
  </si>
  <si>
    <t>CARGPGAYMRDSW</t>
  </si>
  <si>
    <t>AGGAGTCAGACCCAGTCAGGACACAGCATGGACATGAGGGTCCCCGCTCAGCTCCTGGGGCTCCTGCTGCTCTGGCTCCCAGGTGCCAAATGTGACATCCAGATGACCCAGTCTCCTTCCACCCTGTCTGCATCTGTAGGAGACAGAGTCACCTTCGCTTGCCGGGCCAGTCAGACTATTAATAACTGGTTGGCCTGGTATCAGCAGAAACCAGGGAAAGCCCCTAGGCTCCTGATCTATGCGGCGTCTACTTTAGAAACTGGGGTCCCATCAAGGTTCAGCGGCAGTGGATCTGGGACAGAATTCACTCTCACCATCACCAGCCTGCAGCCTGATGATTTTGCAACTTATTACTGCCAACAGTATAATACTTCCCCGCTCACTTTCGGCGGAGGGACCAAGGTGGAGATCAAACGAACTGTGGCTGCACCATCTGTCTTCATCTTCCCGCCATCTGATGAGCAGTTGAAATCTGGAACTGCCTCTGTTGTGTGCCTGCTGAATAACTTCTATCCCAGAGAGGCCAAAGTACAGTGGAAGGTGGATAACGC</t>
  </si>
  <si>
    <t>IGKV1-5</t>
  </si>
  <si>
    <t>IGKJ4</t>
  </si>
  <si>
    <t>GACATCCAGATGACCCAGTCTCCTTCCACCCTGTCTGCATCTGTAGGAGACAGAGTCACCTTCGCTTGCCGGGCCAGTCAGACTATTAATAACTGGTTGGCCTGGTATCAGCAGAAACCAGGGAAAGCCCCTAGGCTCCTGATCTATGCGGCGTCTACTTTAGAAACTGGGGTCCCATCAAGGTTCAGCGGCAGTGGATCTGGGACAGAATTCACTCTCACCATCACCAGCCTGCAGCCTGATGATTTTGCAACTTATTACTGCCAACAGTATAATACTTCCCCGCTCACTTTCGGCGGAGGGACCAAGGTGGAGATCAAAC</t>
  </si>
  <si>
    <t>GACATCCAGATGACCCAGTCTCCTTCCACCCTGTCTGCATCTGTAGGAGACAGAGTCACCTTCGCTTGCCGGGCCAGTCAGACTATT..................AATAACTGGTTGGCCTGGTATCAGCAGAAACCAGGGAAAGCCCCTAGGCTCCTGATCTATGCGGCG.....................TCTACTTTAGAAACTGGGGTCCCA...TCAAGGTTCAGCGGCAGTGGA......TCTGGGACAGAATTCACTCTCACCATCACCAGCCTGCAGCCTGATGATTTTGCAACTTATTACTGCCAACAGTATAATACTTCCCCGCTCACTTTCGGCGGAGGGACCAAGGTGGAGATCAAAC</t>
  </si>
  <si>
    <t>TGCCAACAGTATAATACTTCCCCGCTCACTTTC</t>
  </si>
  <si>
    <t>GACATCCAGATGACCCAGTCTCCTTCCACCCTGTCTGCATCTGTAGGAGACAGAGTCACCTTCGCTTGCCGGGCCAGT</t>
  </si>
  <si>
    <t>TTGGCCTGGTATCAGCAGAAACCAGGGAAAGCCCCTAGGCTCCTGATCTAT</t>
  </si>
  <si>
    <t>ACTTTAGAAACTGGGGTCCCA...TCAAGGTTCAGCGGCAGTGGA......TCTGGGACAGAATTCACTCTCACCATCACCAGCCTGCAGCCTGATGATTTTGCAACTTATTACTGC</t>
  </si>
  <si>
    <t>TTCGGCGGAGGGACCAAGGTGGAGATCAAAC</t>
  </si>
  <si>
    <t>CAGACTATT..................AATAACTGG</t>
  </si>
  <si>
    <t>GCGGCG.....................TCT</t>
  </si>
  <si>
    <t>CAACAGTATAATACTTCCCCGCTCACT</t>
  </si>
  <si>
    <t>CQQYNTSPLTF</t>
  </si>
  <si>
    <t>ACATGGTCACTAGTAC</t>
  </si>
  <si>
    <t>AGTGCTTTCTGAGAGTCATGGACCTCCTGCACAAGAACATGAAACACCTGTGGTTCTTCCTCCTCCTGGTGGCAGCTCCCAGATGGGTCCTGTCCCAGGTGCAGCTACAGCAGTGGGGCGCAGGACTGTTGAAGCCTTCGGAGACCCTGTCCCTCACCTGCGGTGTTTATGGTGGGTCCTTCAGTGGTTACTACTGGACCTCAATCCGCCAGCCCCCAGGGAAGGGGCTGGAGTGGATTGGGGAAATCAATCATAGTGGAAGCACCAACTACAACCCGTCCCTCAAGAGTCGAGTCACCATATCAATAGACACGTCCAAGAAGCAGGTCTCCCTGAAGCTGACCTCTGTGAACGCCGCGGACACGGCTTTGTATTACTGTGCGAGAGTTATTACTAGGGCGACTCCTGGCACAGACGGGAGGTACGGTATGGACGTCTGGGGCCAAGGGACCACGGTCACCGTCTCGTCAGGGAGTGCATCCGCCCCAACCCTTTTCCCCCTCGTCTCCTGTGAGAATTCCCCGTCGGATACGAGCAGCGTG</t>
  </si>
  <si>
    <t>IGHV4-34</t>
  </si>
  <si>
    <t>IGHD1-20</t>
  </si>
  <si>
    <t>IGHJ6</t>
  </si>
  <si>
    <t>CAGGTGCAGCTACAGCAGTGGGGCGCAGGACTGTTGAAGCCTTCGGAGACCCTGTCCCTCACCTGCGGTGTTTATGGTGGGTCCTTCAGTGGTTACTACTGGACCTCAATCCGCCAGCCCCCAGGGAAGGGGCTGGAGTGGATTGGGGAAATCAATCATAGTGGAAGCACCAACTACAACCCGTCCCTCAAGAGTCGAGTCACCATATCAATAGACACGTCCAAGAAGCAGGTCTCCCTGAAGCTGACCTCTGTGAACGCCGCGGACACGGCTTTGTATTACTGTGCGAGAGTTATTACTAGGGCGACTCCTGGCACAGACGGGAGGTACGGTATGGACGTCTGGGGCCAAGGGACCACGGTCACCGTCTCGTCA</t>
  </si>
  <si>
    <t>CAGGTGCAGCTACAGCAGTGGGGCGCA...GGACTGTTGAAGCCTTCGGAGACCCTGTCCCTCACCTGCGGTGTTTATGGTGGGTCCTTC............AGTGGTTACTACTGGACCTCAATCCGCCAGCCCCCAGGGAAGGGGCTGGAGTGGATTGGGGAAATCAATCATAGT.........GGAAGCACCAACTACAACCCGTCCCTCAAG...AGTCGAGTCACCATATCAATAGACACGTCCAAGAAGCAGGTCTCCCTGAAGCTGACCTCTGTGAACGCCGCGGACACGGCTTTGTATTACTGTGCGAGAGTTATTACTAGGGCGACTCCTGGCACAGACGGGAGGTACGGTATGGACGTCTGGGGCCAAGGGACCACGGTCACCGTCTCGTCA</t>
  </si>
  <si>
    <t>TGTGCGAGAGTTATTACTAGGGCGACTCCTGGCACAGACGGGAGGTACGGTATGGACGTCTGG</t>
  </si>
  <si>
    <t>CAGGTGCAGCTACAGCAGTGGGGCGCA...GGACTGTTGAAGCCTTCGGAGACCCTGTCCCTCACCTGCGGTGTTTAT</t>
  </si>
  <si>
    <t>TGGACCTCAATCCGCCAGCCCCCAGGGAAGGGGCTGGAGTGGATTGGGGAA</t>
  </si>
  <si>
    <t>AACTACAACCCGTCCCTCAAG...AGTCGAGTCACCATATCAATAGACACGTCCAAGAAGCAGGTCTCCCTGAAGCTGACCTCTGTGAACGCCGCGGACACGGCTTTGTATTACTGT</t>
  </si>
  <si>
    <t>TGGGGCCAAGGGACCACGGTCACCGTCTCGTCA</t>
  </si>
  <si>
    <t>GGTGGGTCCTTC............AGTGGTTACTAC</t>
  </si>
  <si>
    <t>ATCAATCATAGT.........GGAAGCACC</t>
  </si>
  <si>
    <t>GCGAGAGTTATTACTAGGGCGACTCCTGGCACAGACGGGAGGTACGGTATGGACGTC</t>
  </si>
  <si>
    <t>IGHM</t>
  </si>
  <si>
    <t>CARVITRATPGTDGRYGMDVW</t>
  </si>
  <si>
    <t>TATGGGGGCTGGGGTCTCAGGAGGCAGCGCTCTCGGGACGTCTCCACCATGGCCTGGGCTCTGCTATTCCTCACCCTCCTCACTCAGGGCACAGGGTCCTGGGCCCAGTCTGCCCTGACTCAGCCTGCCTCCGTGTCTGGGTCTCCTGGACAGTCGATCACCATCTCCTGCACTGGAACCAGCAGTGACGTTGGTGGTTATAACTATGTCTCCTGGTACCAACAAAACCCAGGCAAAGCCCCCAAACTCATGATTTATGATGTCACTAATCGGCCCTCAGGGATTTCTAATCGCTTCTCTGGCTCCAAGTCTGGCAACACGGCCTCCCTGACCATCTCTGGGCTCCAGGTTGACGACGAGG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</si>
  <si>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IGL</t>
  </si>
  <si>
    <t>IGLV2-14</t>
  </si>
  <si>
    <t>IGLJ2</t>
  </si>
  <si>
    <t>CAGTCTGCCCTGACTCAGCCTGCCTCCGTGTCTGGGTCTCCTGGACAGTCGATCACCATCTCCTGCACTGGAACCAGCAGTGACGTTGGTGGTTATAACTATGTCTCCTGGTACCAACAAAACCCAGGCAAAGCCCCCAAACTCATGATTTATGATGTCACTAATCGGCCCTCAGGGATTTCTAATCGCTTCTCTGGCTCCAAGTCTGGCAACACGGCCTCCCTGACCATCTCTGGGCTCCAGGTTGACGACGAGGCTGATTATTACTGCACCTCATATACAAACGACACCAATTCTCAGGTATTCGGCGGAGGGACCAAGCTGACCGTCCTAG</t>
  </si>
  <si>
    <t>CAGTCTGCCCTGACTCAGCCTGCCTCC...GTGTCTGGGTCTCCTGGACAGTCGATCACCATCTCCTGCACTGGAACCAGCAGTGACGTTGGT.........GGTTATAACTATGTCTCCTGGTACCAACAAAACCCAGGCAAAGCCCCCAAACTCATGATTTATGATGTC.....................ACTAATCGGCCCTCAGGGATTTCT...AATCGCTTCTCTGGCTCCAAG......TCTGGCAACACGGCCTCCCTGACCATCTCTGGGCTCCAGGTTGACGACGAGGCTGATTATTACTGCACCTCATATACAAACGACACCAATTCTCAGGTATTCGGCGGAGGGACCAAGCTGACCGTCCTAG</t>
  </si>
  <si>
    <t>TGCACCTCATATACAAACGACACCAATTCTCAGGTATTC</t>
  </si>
  <si>
    <t>CAGTCTGCCCTGACTCAGCCTGCCTCC...GTGTCTGGGTCTCCTGGACAGTCGATCACCATCTCCTGCACTGGAACC</t>
  </si>
  <si>
    <t>GTCTCCTGGTACCAACAAAACCCAGGCAAAGCCCCCAAACTCATGATTTAT</t>
  </si>
  <si>
    <t>AATCGGCCCTCAGGGATTTCT...AATCGCTTCTCTGGCTCCAAG......TCTGGCAACACGGCCTCCCTGACCATCTCTGGGCTCCAGGTTGACGACGAGGCTGATTATTACTGC</t>
  </si>
  <si>
    <t>TTCGGCGGAGGGACCAAGCTGACCGTCCTAG</t>
  </si>
  <si>
    <t>AGCAGTGACGTTGGT.........GGTTATAACTAT</t>
  </si>
  <si>
    <t>GATGTC.....................ACT</t>
  </si>
  <si>
    <t>ACCTCATATACAAACGACACCAATTCTCAGGTA</t>
  </si>
  <si>
    <t>IGLC2</t>
  </si>
  <si>
    <t>CTSYTNDTNSQVF</t>
  </si>
  <si>
    <t>ACCAGTACAGGATTGG</t>
  </si>
  <si>
    <t>CGAGCCCAGCACTGGAAGTCGCCGGTGTTTCCATTCGGTGATCATCACTGAACACAGAGGACTCACCATGGAGTTTGGGCTGAGCTGGGTTTTCCTCGTTGCTCTTTTAAGAGGTGTCCAGTGTCAGGTGCAGCTGGTGGAGTCTGGGGGAGGCGTGGTCCAGCCTGGGAGGTCCCTGAGACTCTCCTGTGCAGCCTCTGGATTCACCTTCAGTAACTATGCTATGTACTGGGTCCGCCAGGCTCCAGGCAAGGGGCTGGAGTGGGTGGCAGTTATATCATATGATGGAAGCGATAAATACTACGCAGACTCCGTGAAGGGCCGATTCACCATCTCCAGAGACAATTCCAAGAACACGCTGTATCTGCAAATGAACAGCCTGAGAACTGAGGGCACGGCTGTATATTACTGTGCGAGAGGCCAATCGAGGGGGCCTTGTGGTGGTGATTGCCCCACTGATGCTTTTGATATCTGGGGCCAAGGGACAATGGTCACCGTCTCTTCAGGGAGTGCATCCGCCCCAACCCTTTTCCCCCTCGTCTCCTGTGAGAATTCCCCGTCGGATACGAGCAGCGTG</t>
  </si>
  <si>
    <t>IGHV3-30-3</t>
  </si>
  <si>
    <t>IGHD2-21</t>
  </si>
  <si>
    <t>IGHJ3</t>
  </si>
  <si>
    <t>CAGGTGCAGCTGGTGGAGTCTGGGGGAGGCGTGGTCCAGCCTGGGAGGTCCCTGAGACTCTCCTGTGCAGCCTCTGGATTCACCTTCAGTAACTATGCTATGTACTGGGTCCGCCAGGCTCCAGGCAAGGGGCTGGAGTGGGTGGCAGTTATATCATATGATGGAAGCGATAAATACTACGCAGACTCCGTGAAGGGCCGATTCACCATCTCCAGAGACAATTCCAAGAACACGCTGTATCTGCAAATGAACAGCCTGAGAACTGAGGGCACGGCTGTATATTACTGTGCGAGAGGCCAATCGAGGGGGCCTTGTGGTGGTGATTGCCCCACTGATGCTTTTGATATCTGGGGCCAAGGGACAATGGTCACCGTCTCTTCAG</t>
  </si>
  <si>
    <t>CAGGTGCAGCTGGTGGAGTCTGGGGGA...GGCGTGGTCCAGCCTGGGAGGTCCCTGAGACTCTCCTGTGCAGCCTCTGGATTCACCTTC............AGTAACTATGCTATGTACTGGGTCCGCCAGGCTCCAGGCAAGGGGCTGGAGTGGGTGGCAGTTATATCATATGAT......GGAAGCGATAAATACTACGCAGACTCCGTGAAG...GGCCGATTCACCATCTCCAGAGACAATTCCAAGAACACGCTGTATCTGCAAATGAACAGCCTGAGAACTGAGGGCACGGCTGTATATTACTGTGCGAGAGGCCAATCGAGGGGGCCTTGTGGTGGTGATTGCCCCACTGATGCTTTTGATATCTGGGGCCAAGGGACAATGGTCACCGTCTCTTCAG</t>
  </si>
  <si>
    <t>TGTGCGAGAGGCCAATCGAGGGGGCCTTGTGGTGGTGATTGCCCCACTGATGCTTTTGATATCTGG</t>
  </si>
  <si>
    <t>CAGGTGCAGCTGGTGGAGTCTGGGGGA...GGCGTGGTCCAGCCTGGGAGGTCCCTGAGACTCTCCTGTGCAGCCTCT</t>
  </si>
  <si>
    <t>ATGTACTGGGTCCGCCAGGCTCCAGGCAAGGGGCTGGAGTGGGTGGCAGTT</t>
  </si>
  <si>
    <t>TACTACGCAGACTCCGTGAAG...GGCCGATTCACCATCTCCAGAGACAATTCCAAGAACACGCTGTATCTGCAAATGAACAGCCTGAGAACTGAGGGCACGGCTGTATATTACTGT</t>
  </si>
  <si>
    <t>TGGGGCCAAGGGACAATGGTCACCGTCTCTTCAG</t>
  </si>
  <si>
    <t>GGATTCACCTTC............AGTAACTATGCT</t>
  </si>
  <si>
    <t>ATATCATATGAT......GGAAGCGATAAA</t>
  </si>
  <si>
    <t>GCGAGAGGCCAATCGAGGGGGCCTTGTGGTGGTGATTGCCCCACTGATGCTTTTGATATC</t>
  </si>
  <si>
    <t>CARGQSRGPCGGDCPTDAFDIW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</si>
  <si>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CAGCGGCCCTCAGGGGTTTCTAGTCGCTTCTCTGGCTCCAAGTCTGGCAACACGGCCTCCCTGACAATCTCTGGGCTCCAGGCTGAGGACGAGGCTGATTATTACTGCTGCTCATATGCACGTAGTAGCACTTCTTATGCAGGTAGTAGCACTTC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</si>
  <si>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IGLV2-23</t>
  </si>
  <si>
    <t>IGLJ1</t>
  </si>
  <si>
    <t>CAGTCTGCCCTGACTCAGCCTGCCTCCGTGTCTGGGTCTCCTGGACAGTCGATCACCATCTCCTGCACTGGAACCAGCAGTGATGTTGGGAGTTATAACCTTGTCTCCTGGTACCAACAGCACCCAGGCAAAGCCCCCAAACTCATGATTTATGAGGGCAGTCAGCGGCCCTCAGGGGTTTCTAGTCGCTTCTCTGGCTCCAAGTCTGGCAACACGGCCTCCCTGACAATCTCTGGGCTCCAGGCTGAGGACGAGGCTGATTATTACTGCTGCTCATATGCACGTAGTAGCACTTCTTATGCAGGTAGTAGCACTTCTTATGTCTTCGGAACTGGGACCAAGGTCACCGTCCTAG</t>
  </si>
  <si>
    <t>CAGTCTGCCCTGACTCAGCCTGCCTCC...GTGTCTGGGTCTCCTGGACAGTCGATCACCATCTCCTGCACTGGAACCAGCAGTGATGTTGGG.........AGTTATAACCTTGTCTCCTGGTACCAACAGCACCCAGGCAAAGCCCCCAAACTCATGATTTATGAGGGC.....................AGTCAGCGGCCCTCAGGGGTTTCT...AGTCGCTTCTCTGGCTCCAAG......TCTGGCAACACGGCCTCCCTGACAATCTCTGGGCTCCAGGCTGAGGACGAGGCTGATTATTACTGCTGCTCATATGCACGTAGTAGCACTTCTTATGCAGGTAGTAGCACTTCTTATGTCTTCGGAACTGGGACCAAGGTCACCGTCCTAG</t>
  </si>
  <si>
    <t>TGCTGCTCATATGCACGTAGTAGCACTTCTTATGCAGGTAGTAGCACTTCTTATGTCTTC</t>
  </si>
  <si>
    <t>GTCTCCTGGTACCAACAGCACCCAGGCAAAGCCCCCAAACTCATGATTTAT</t>
  </si>
  <si>
    <t>CAGCGGCCCTCAGGGGTTTCT...AGTCGCTTCTCTGGCTCCAAG......TCTGGCAACACGGCCTCCCTGACAATCTCTGGGCTCCAGGCTGAGGACGAGGCTGATTATTACTGC</t>
  </si>
  <si>
    <t>TTCGGAACTGGGACCAAGGTCACCGTCCTAG</t>
  </si>
  <si>
    <t>AGCAGTGATGTTGGG.........AGTTATAACCTT</t>
  </si>
  <si>
    <t>GAGGGC.....................AGT</t>
  </si>
  <si>
    <t>TGCTCATATGCACGTAGTAGCACTTCTTATGCAGGTAGTAGCACTTCTTATGTC</t>
  </si>
  <si>
    <t>IGLC1</t>
  </si>
  <si>
    <t>CCSYARSSTSYAGSSTSYVF</t>
  </si>
  <si>
    <t>ACCAGTATCAACACGT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</si>
  <si>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GGTCCCGATTTTTGGAGTGGAAATAAGCCGTCCTACTACTACTACTACATGGACGTCTGGGGCAAAGGGACCACGGTCACCGTCTCCTCAGGGAGTGCATCCGCCCCAACCCTTTTCCCCCTCGTCTCCTGTGAGAATTCCCCGTCGGATACGAGCAGCGTG</t>
  </si>
  <si>
    <t>IGHV3-9</t>
  </si>
  <si>
    <t>IGHD3-3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</si>
  <si>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GGTCCCGATTTTTGGAGTGGAAATAAGCCGTCCTACTACTACTACTACATGGACGTCTGGGGCA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</si>
  <si>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GGTCCCGATTTTTGGAGTGGAAATAAGCCGTCCTACTACTACTACTACATGGACGTCTGGGGCAAAGGGACCACGGTCACCGTCTCCTCA</t>
  </si>
  <si>
    <t>TGTGCAAAAGATGGTCCCGATTTTTGGAGTGGAAATAAGCCGTCCTACTACTACTACTACATGGACGTCTGG</t>
  </si>
  <si>
    <t>GAAGTGCAGCTGGTGGAGTCTGGGGGA...GGCTTGGTACAGCCTGGCAGGTCCCTGAGACTCTCCTGTGCAGCCTCT</t>
  </si>
  <si>
    <t>ATGCACTGGGTCCGGCAAGCTCCAGGGAAGGGCCTGGAGTGGGTCTCAGGT</t>
  </si>
  <si>
    <t>GGCTATGCGGACTCTGTGAAG...GGCCGATTCACCATCTCCAGAGACAACGCCAAGAACTCCCTGTATCTGCAAATGAACAGTCTGAGAGCTGAGGACACGGCCTTGTATTACTGT</t>
  </si>
  <si>
    <t>TGGGGCAAAGGGACCACGGTCACCGTCTCCTCA</t>
  </si>
  <si>
    <t>GGATTCACCTTT............GATGATTATGCC</t>
  </si>
  <si>
    <t>ATTAGTTGGAAT......AGTGGTAGCATA</t>
  </si>
  <si>
    <t>GCAAAAGATGGTCCCGATTTTTGGAGTGGAAATAAGCCGTCCTACTACTACTACTACATGGACGTC</t>
  </si>
  <si>
    <t>CAKDGPDFWSGNKPSYYYYYMDVW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</si>
  <si>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CACTTTCGGCGGAGGGACCAAGGTGGAGATCAAACGAACTGTGGCTGCACCATCTGTCTTCATCTTCCCGCCATCTGATGAGCAGTTGAAATCTGGAACTGCCTCTGTTGTGTGCCTGCTGAATAACTTCTATCCCAGAGAGGCCAAAGTACAGTGGAAGGTGGATAACGC</t>
  </si>
  <si>
    <t>IGKV4-1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</si>
  <si>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</si>
  <si>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CACTTTCGGCGGAGGGACCAAGGTGGAGATCAAAC</t>
  </si>
  <si>
    <t>TGTCAGCAATATTATAGTACTCCTCCCACTTTC</t>
  </si>
  <si>
    <t>GACATCGTGATGACCCAGTCTCCAGACTCCCTGGCTGTGTCTCTGGGCGAGAGGGCCACCATCAACTGCAAGTCCAGC</t>
  </si>
  <si>
    <t>TTAGCTTGGTACCAGCAGAAACCAGGACAGCCTCCTAAGCTGCTCATTTAC</t>
  </si>
  <si>
    <t>ACCCGGGAATCCGGGGTCCCT...GACCGATTCAGTGGCAGCGGG......TCTGGGACAGATTTCACTCTCACCATCAGCAGCCTGCAGGCTGAAGATGTGGCAGTTTATTACTGT</t>
  </si>
  <si>
    <t>CAGAGTGTTTTATACAGCTCCAACAATAAGAACTAC</t>
  </si>
  <si>
    <t>TGGGCA.....................TCT</t>
  </si>
  <si>
    <t>CAGCAATATTATAGTACTCCTCCCACT</t>
  </si>
  <si>
    <t>CQQYYSTPPTF</t>
  </si>
  <si>
    <t>ACGAGCCAGCGTGTCC</t>
  </si>
  <si>
    <t>GGGATCACATAACAACCACATTCCTCCTCTGAAGAAGCCCCTGGGAGCACAGCTCATCCCCATGGACTGGACCTGGAGGTTCCTCTTTGTGGTGGCAGCAGCTACAGGTGTCCAGTCCCAGGTGCAGCTGGTGCAGTCTGGGGCTGAGGTGAAGAAGCCTGGGTCCTCGGTGAAGGTCTCCTGCAAGGCTTCTGGAGGCATCTTCAGCAACTATGCTATCAGCTGGGTGCGACAGGCCCCTGGACAAGGGCTTGAGTGGATGGGAGGGATCATCCCTCTCTTTCATACAGCAAACTACGCACAGAAGTTCCAGGGCAGAGTCACGATTACCGCGGACAAATCCACGAACACAGCCTACATGGAGATGAGCAGCCTGAGATCTGAGGACACGGCCGTGTATTACTGTGCCCGGGGGCGGGGGATTTACTACTACTACATGGACGTCTGGGGCAAAGGGACCACGGTCACCGTCTCCTCAGCCTCCACCAAGGGCCCATCGGTCTTCCCCCTGGCACCCTCCTCCAAGAGCACCTCTGGGGGCACAGCGGCCCTGGGCTGCCTGGTCAAGGACTACTTCCCCGAACCGGTGACGGTGTCGTGGAACTCAGGCGCCCTGACCAGCGGCGTGCACACCTTCCCGGCTGTCCTACAGTCCTCAGGA</t>
  </si>
  <si>
    <t>IGHD2-8</t>
  </si>
  <si>
    <t>CAGGTGCAGCTGGTGCAGTCTGGGGCTGAGGTGAAGAAGCCTGGGTCCTCGGTGAAGGTCTCCTGCAAGGCTTCTGGAGGCATCTTCAGCAACTATGCTATCAGCTGGGTGCGACAGGCCCCTGGACAAGGGCTTGAGTGGATGGGAGGGATCATCCCTCTCTTTCATACAGCAAACTACGCACAGAAGTTCCAGGGCAGAGTCACGATTACCGCGGACAAATCCACGAACACAGCCTACATGGAGATGAGCAGCCTGAGATCTGAGGACACGGCCGTGTATTACTGTGCCCGGGGGCGGGGGATTTACTACTACTACATGGACGTCTGGGGCAAAGGGACCACGGTCACCGTCTCCTCA</t>
  </si>
  <si>
    <t>CAGGTGCAGCTGGTGCAGTCTGGGGCT...GAGGTGAAGAAGCCTGGGTCCTCGGTGAAGGTCTCCTGCAAGGCTTCTGGAGGCATCTTC............AGCAACTATGCTATCAGCTGGGTGCGACAGGCCCCTGGACAAGGGCTTGAGTGGATGGGAGGGATCATCCCTCTC......TTTCATACAGCAAACTACGCACAGAAGTTCCAG...GGCAGAGTCACGATTACCGCGGACAAATCCACGAACACAGCCTACATGGAGATGAGCAGCCTGAGATCTGAGGACACGGCCGTGTATTACTGTGCCCGGGGGCGGGGGATTTACTACTACTACATGGACGTCTGGGGCAAAGGGACCACGGTCACCGTCTCCTCA</t>
  </si>
  <si>
    <t>TGTGCCCGGGGGCGGGGGATTTACTACTACTACATGGACGTCTGG</t>
  </si>
  <si>
    <t>CAGGTGCAGCTGGTGCAGTCTGGGGCT...GAGGTGAAGAAGCCTGGGTCCTCGGTGAAGGTCTCCTGCAAGGCTTCT</t>
  </si>
  <si>
    <t>AACTACGCACAGAAGTTCCAG...GGCAGAGTCACGATTACCGCGGACAAATCCACGAACACAGCCTACATGGAGATGAGCAGCCTGAGATCTGAGGACACGGCCGTGTATTACTGT</t>
  </si>
  <si>
    <t>GGAGGCATCTTC............AGCAACTATGCT</t>
  </si>
  <si>
    <t>ATCATCCCTCTC......TTTCATACAGCA</t>
  </si>
  <si>
    <t>GCCCGGGGGCGGGGGATTTACTACTACTACATGGACGTC</t>
  </si>
  <si>
    <t>CARGRGIYYYYMDVW</t>
  </si>
  <si>
    <t>GCTGGGGTCTCAGGAGGCAGCGCTCTCAGGACATCTCCACCATGGCCTGGGCTCTGCTGCTCCTCACCCTCCTCACTCAGGGCACAGGGTCCTGGGCCCAGTCTGCCCTGACTCAGCCTGCCTCCGTGTCTGGGTCTCCTGGACAGTCGATCACCATCTCCTGCACTGGAACCAGCAGTGACGTTGGTGGTTATTACTATGTCTCCTGGTACCAACAGCACCCAGGCAAAGCCCCCAAACTCATGATTTATGAGGTCAGTAATCGGCCCTCAGGGGTTTCTAATCGCTTCTCTGGCTCCAAGTCTGGCAACACGGCCTCCCTGACCATCTCTGGGCTCCAGGCTGAGGACGAGGCTGATTATTACTGCAACTCATATACAAGCAGCACCACTAGAGTGTTCGGCGGAGGGACCAAGCTGACCGTCCTAGGTCAGCCCAAGGCTGCCCCCTCGGTCACTCTGTTCCCGCCCTCCTCTGAGGAGCTTCAAGCCAACAAGGCCACACTGGTGTGTCTCATAAGTGACTTCTACCCGGGAGCCGTGACAGTGGCCTGGAAGGCAGATAGCAGCCCCGTCAAGGCGGGAGTGGAGACCACCACACCCTCCAAACAAAGCAACAACAAGTACGCGGCCAGCAGCTA</t>
  </si>
  <si>
    <t>IGLJ3</t>
  </si>
  <si>
    <t>CAGTCTGCCCTGACTCAGCCTGCCTCCGTGTCTGGGTCTCCTGGACAGTCGATCACCATCTCCTGCACTGGAACCAGCAGTGACGTTGGTGGTTATTACTATGTCTCCTGGTACCAACAGCACCCAGGCAAAGCCCCCAAACTCATGATTTATGAGGTCAGTAATCGGCCCTCAGGGGTTTCTAATCGCTTCTCTGGCTCCAAGTCTGGCAACACGGCCTCCCTGACCATCTCTGGGCTCCAGGCTGAGGACGAGGCTGATTATTACTGCAACTCATATACAAGCAGCACCACTAGAGTGTTCGGCGGAGGGACCAAGCTGACCGTCCTAG</t>
  </si>
  <si>
    <t>CAGTCTGCCCTGACTCAGCCTGCCTCC...GTGTCTGGGTCTCCTGGACAGTCGATCACCATCTCCTGCACTGGAACCAGCAGTGACGTTGGT.........GGTTATTACTATGTCTCCTGGTACCAACAGCACCCAGGCAAAGCCCCCAAACTCATGATTTATGAGGTC.....................AGTAATCGGCCCTCAGGGGTTTCT...AATCGCTTCTCTGGCTCCAAG......TCTGGCAACACGGCCTCCCTGACCATCTCTGGGCTCCAGGCTGAGGACGAGGCTGATTATTACTGCAACTCATATACAAGCAGCACCACTAGAGTGTTCGGCGGAGGGACCAAGCTGACCGTCCTAG</t>
  </si>
  <si>
    <t>TGCAACTCATATACAAGCAGCACCACTAGAGTGTTC</t>
  </si>
  <si>
    <t>AATCGGCCCTCAGGGGTTTCT...AATCGCTTCTCTGGCTCCAAG......TCTGGCAACACGGCCTCCCTGACCATCTCTGGGCTCCAGGCTGAGGACGAGGCTGATTATTACTGC</t>
  </si>
  <si>
    <t>AGCAGTGACGTTGGT.........GGTTATTACTAT</t>
  </si>
  <si>
    <t>GAGGTC.....................AGT</t>
  </si>
  <si>
    <t>AACTCATATACAAGCAGCACCACTAGAGTG</t>
  </si>
  <si>
    <t>CNSYTSSTTRVF</t>
  </si>
  <si>
    <t>ACGAGGACAGCCTTGG</t>
  </si>
  <si>
    <t>ACATGGGAAGTGCTTTCTGAGAGTCATGGACCTCCTGCACAAGAACATGAAACACCTGTGGTTCTTCCTCCTCCTGGTGGCAGCGCCCAGATGGGTCCTGTCCCAGGTGCAGCTACAGCAGTGGGGCGCAGGACTGTTGAAGCCTTCGGAGACCCTGTCCCTCACCTGCGCTGTCTATGGTGGGTCCTTCAGTGGTTTCTACTGGAGCTGGATCCGCCAGCCCCCAGGGAAGGGGCTGGAGTGGATTGGGGAAATCAATCATAGTGGAATCAACAACTACAACCCGTCCCTCAAGAGTCGAGTCACCATATCACTAGACACGTCCAAGAACGAGTTCTTCCTGAACGTGAGCTCTGTGACCGCCGCGGACACGGCTGTGTATTACTGTGCGAGAGGCCGGCTGTGGGATAGTAGTGGTTACGAAGGCGGATTTCATTACTGGGGCCAGGGAACCCTGGTCACCGTCTCCTCCGCCTCCACCAAGGGCCCATCGGTCTTCCCCCTGGCACCCTCCTCCAAGAGCACCTCTGGGGGCACAGCGGCCCTGGGCTGCCTGGTCAAGGACTACTTCCCCGAACCGGTGACGGTGTCGTGGAACTCAGGCGCCCTGACCAGCGGCGTGCACACCTTCCCGGCTGTCCTACAGTCCTCAGGA</t>
  </si>
  <si>
    <t>IGHD3-22</t>
  </si>
  <si>
    <t>CAGGTGCAGCTACAGCAGTGGGGCGCAGGACTGTTGAAGCCTTCGGAGACCCTGTCCCTCACCTGCGCTGTCTATGGTGGGTCCTTCAGTGGTTTCTACTGGAGCTGGATCCGCCAGCCCCCAGGGAAGGGGCTGGAGTGGATTGGGGAAATCAATCATAGTGGAATCAACAACTACAACCCGTCCCTCAAGAGTCGAGTCACCATATCACTAGACACGTCCAAGAACGAGTTCTTCCTGAACGTGAGCTCTGTGACCGCCGCGGACACGGCTGTGTATTACTGTGCGAGAGGCCGGCTGTGGGATAGTAGTGGTTACGAAGGCGGATTTCATTACTGGGGCCAGGGAACCCTGGTCACCGTCTCCTCCG</t>
  </si>
  <si>
    <t>CAGGTGCAGCTACAGCAGTGGGGCGCA...GGACTGTTGAAGCCTTCGGAGACCCTGTCCCTCACCTGCGCTGTCTATGGTGGGTCCTTC............AGTGGTTTCTACTGGAGCTGGATCCGCCAGCCCCCAGGGAAGGGGCTGGAGTGGATTGGGGAAATCAATCATAGT.........GGAATCAACAACTACAACCCGTCCCTCAAG...AGTCGAGTCACCATATCACTAGACACGTCCAAGAACGAGTTCTTCCTGAACGTGAGCTCTGTGACCGCCGCGGACACGGCTGTGTATTACTGTGCGAGAGGCCGGCTGTGGGATAGTAGTGGTTACGAAGGCGGATTTCATTACTGGGGCCAGGGAACCCTGGTCACCGTCTCCTCCG</t>
  </si>
  <si>
    <t>TGTGCGAGAGGCCGGCTGTGGGATAGTAGTGGTTACGAAGGCGGATTTCATTACTGG</t>
  </si>
  <si>
    <t>CAGGTGCAGCTACAGCAGTGGGGCGCA...GGACTGTTGAAGCCTTCGGAGACCCTGTCCCTCACCTGCGCTGTCTAT</t>
  </si>
  <si>
    <t>TGGAGCTGGATCCGCCAGCCCCCAGGGAAGGGGCTGGAGTGGATTGGGGAA</t>
  </si>
  <si>
    <t>AACTACAACCCGTCCCTCAAG...AGTCGAGTCACCATATCACTAGACACGTCCAAGAACGAGTTCTTCCTGAACGTGAGCTCTGTGACCGCCGCGGACACGGCTGTGTATTACTGT</t>
  </si>
  <si>
    <t>TGGGGCCAGGGAACCCTGGTCACCGTCTCCTCCG</t>
  </si>
  <si>
    <t>GGTGGGTCCTTC............AGTGGTTTCTAC</t>
  </si>
  <si>
    <t>ATCAATCATAGT.........GGAATCAAC</t>
  </si>
  <si>
    <t>GCGAGAGGCCGGCTGTGGGATAGTAGTGGTTACGAAGGCGGATTTCATTAC</t>
  </si>
  <si>
    <t>CARGRLWDSSGYEGGFHYW</t>
  </si>
  <si>
    <t>AGGAGTCAGACCCAGTCAGGACACAGCATGGACATGAGGGTCCCCGCTCAGCTCCTGGGGCTCCTGCTGCTCTGGCTCCCACGTGCCAAATGTGACATCGAGATGACCCAGTCTCCTTCCACCCTGTCTGCATCTGTAGGAGACAGAGTCACCATCACTTGCCGGGCCAGTCAGAGTATTAGTAGCTGGTTGGCCTGGTATCAGCAGAAACCAGGGAAAGCCCCAAACCTCCTGATCTATAAGGCGTCTGATTTAGAAAGTGGGGTCCCATCAAGGTTCAGCGGCAGTGGATCTGGGACAGAATTCACTCTCACCATCAGCAGCCTGCAGCCTGATGATTTTGCAACTTATAACTGCCAACAGTATAATAGTCACCCGTGGACGTTCGGCCAAGGGACCAAGGTGGAAATCAAACGAACTGTGGCTGCACCATCTGTCTTCATCTTCCCGCCATCTGATGAGCAGTTGAAATCTGGAACTGCCTCTGTTGTGTGCCTGCTGAATAACTTCTATCCCAGAGAGGCCAAAGTACAGTGGAAGGTGGATAACGC</t>
  </si>
  <si>
    <t>GACATCGAGATGACCCAGTCTCCTTCCACCCTGTCTGCATCTGTAGGAGACAGAGTCACCATCACTTGCCGGGCCAGTCAGAGTATTAGTAGCTGGTTGGCCTGGTATCAGCAGAAACCAGGGAAAGCCCCAAACCTCCTGATCTATAAGGCGTCTGATTTAGAAAGTGGGGTCCCATCAAGGTTCAGCGGCAGTGGATCTGGGACAGAATTCACTCTCACCATCAGCAGCCTGCAGCCTGATGATTTTGCAACTTATAACTGCCAACAGTATAATAGTCACCCGTGGACGTTCGGCCAAGGGACCAAGGTGGAAATCAAAC</t>
  </si>
  <si>
    <t>GACATCGAGATGACCCAGTCTCCTTCCACCCTGTCTGCATCTGTAGGAGACAGAGTCACCATCACTTGCCGGGCCAGTCAGAGTATT..................AGTAGCTGGTTGGCCTGGTATCAGCAGAAACCAGGGAAAGCCCCAAACCTCCTGATCTATAAGGCG.....................TCTGATTTAGAAAGTGGGGTCCCA...TCAAGGTTCAGCGGCAGTGGA......TCTGGGACAGAATTCACTCTCACCATCAGCAGCCTGCAGCCTGATGATTTTGCAACTTATAACTGCCAACAGTATAATAGTCACCCGTGGACGTTCGGCCAAGGGACCAAGGTGGAAATCAAAC</t>
  </si>
  <si>
    <t>TGCCAACAGTATAATAGTCACCCGTGGACGTTC</t>
  </si>
  <si>
    <t>GACATCGAGATGACCCAGTCTCCTTCCACCCTGTCTGCATCTGTAGGAGACAGAGTCACCATCACTTGCCGGGCCAGT</t>
  </si>
  <si>
    <t>TTGGCCTGGTATCAGCAGAAACCAGGGAAAGCCCCAAACCTCCTGATCTAT</t>
  </si>
  <si>
    <t>GATTTAGAAAGTGGGGTCCCA...TCAAGGTTCAGCGGCAGTGGA......TCTGGGACAGAATTCACTCTCACCATCAGCAGCCTGCAGCCTGATGATTTTGCAACTTATAACTGC</t>
  </si>
  <si>
    <t>CAGAGTATT..................AGTAGCTGG</t>
  </si>
  <si>
    <t>AAGGCG.....................TCT</t>
  </si>
  <si>
    <t>CAACAGTATAATAGTCACCCGTGGACG</t>
  </si>
  <si>
    <t>CQQYNSHPWTF</t>
  </si>
  <si>
    <t>ACGCCGATCCACTCCA</t>
  </si>
  <si>
    <t>GGTGATCAGCACTGAGCACAGAGGACTCACCATGGAATTGGGGCTGAGCTGGGTTTTCCTTGTTGCTATTTTAGAAGGTGTCCAGTGTGAGGTGCAGCTGGTGGAGTCTGGGGGAGGCTTGGTCCAGCCTGGGGGGTCCCTGAGACTCTCCTGTGTAGCCTCTGGATTCACCTTTAGTAGCTATTGGATGAGCTGGGTCCGCCAGGCTCCAGGGAAGGGGCTGGAGTGGGTGGCCAACATAAAGCACCATGGAAGTGAGAAATACTATGTGGACTCTGTGAAGGGCCGATTCACCATCTCCAGAGACAACGCCAAGAACTCACTGTATCTGCAAATGAACAGCCTGAGAGCCGAGGACACGGCTGTGTATTACTGTGCGAGATCGTTTGGGCAGTACCAGATGCTAGTCCCTTTGGACTACTGGGGCCAGGGAACCCTGGTCACCGTCTCCTCAGCCTCCACCAAGGGCC</t>
  </si>
  <si>
    <t>IGHV3-7</t>
  </si>
  <si>
    <t>IGHD2-2</t>
  </si>
  <si>
    <t>GAGGTGCAGCTGGTGGAGTCTGGGGGAGGCTTGGTCCAGCCTGGGGGGTCCCTGAGACTCTCCTGTGTAGCCTCTGGATTCACCTTTAGTAGCTATTGGATGAGCTGGGTCCGCCAGGCTCCAGGGAAGGGGCTGGAGTGGGTGGCCAACATAAAGCACCATGGAAGTGAGAAATACTATGTGGACTCTGTGAAGGGCCGATTCACCATCTCCAGAGACAACGCCAAGAACTCACTGTATCTGCAAATGAACAGCCTGAGAGCCGAGGACACGGCTGTGTATTACTGTGCGAGATCGTTTGGGCAGTACCAGATGCTAGTCCCTTTGGACTACTGGGGCCAGGGAACCCTGGTCACCGTCTCCTCAG</t>
  </si>
  <si>
    <t>GAGGTGCAGCTGGTGGAGTCTGGGGGA...GGCTTGGTCCAGCCTGGGGGGTCCCTGAGACTCTCCTGTGTAGCCTCTGGATTCACCTTT............AGTAGCTATTGGATGAGCTGGGTCCGCCAGGCTCCAGGGAAGGGGCTGGAGTGGGTGGCCAACATAAAGCACCAT......GGAAGTGAGAAATACTATGTGGACTCTGTGAAG...GGCCGATTCACCATCTCCAGAGACAACGCCAAGAACTCACTGTATCTGCAAATGAACAGCCTGAGAGCCGAGGACACGGCTGTGTATTACTGTGCGAGATCGTTTGGGCAGTACCAGATGCTAGTCCCTTTGGACTACTGGGGCCAGGGAACCCTGGTCACCGTCTCCTCAG</t>
  </si>
  <si>
    <t>TGTGCGAGATCGTTTGGGCAGTACCAGATGCTAGTCCCTTTGGACTACTGG</t>
  </si>
  <si>
    <t>GAGGTGCAGCTGGTGGAGTCTGGGGGA...GGCTTGGTCCAGCCTGGGGGGTCCCTGAGACTCTCCTGTGTAGCCTCT</t>
  </si>
  <si>
    <t>ATGAGCTGGGTCCGCCAGGCTCCAGGGAAGGGGCTGGAGTGGGTGGCCAAC</t>
  </si>
  <si>
    <t>TACTATGTGGACTCTGTGAAG...GGCCGATTCACCATCTCCAGAGACAACGCCAAGAACTCACTGTATCTGCAAATGAACAGCCTGAGAGCCGAGGACACGGCTGTGTATTACTGT</t>
  </si>
  <si>
    <t>GGATTCACCTTT............AGTAGCTATTGG</t>
  </si>
  <si>
    <t>ATAAAGCACCAT......GGAAGTGAGAAA</t>
  </si>
  <si>
    <t>GCGAGATCGTTTGGGCAGTACCAGATGCTAGTCCCTTTGGACTAC</t>
  </si>
  <si>
    <t>CARSFGQYQMLVPLDYW</t>
  </si>
  <si>
    <t>GAGCTACAACAGGCAGGCAGGGGCAGCAAGATGGTGTTGCAGACCCAGGTCTTCATTTCTCTGTTGCTCTGGATCTCTGGTGCCTACGGGGACATCGTGATGACCCAGTCTCCAGACTCCCTGGCTGTGTCTCTGGGCGAGAGGGCCACCATCAGCTGCAAGTCCAGCCAGAGTGTTTTATACAGCTCCAACAATAAGAACTACTTAGCTTGGTACCAGCAGAAACCAGGACAGCCTCCTAAGCTGCTCATTTACTGGGCATCTACCCGGGAATCCGGGGTCCCTGACCGATTCAGTGGCAGCGGGTCTGGGACAGATTTCACTCTCACCATCAGCAGCCTGCAGGCTGAAGATGTGGCAGTTTATTACTGTCAGCAATATTATATTACTCCCGCGCTCACTTTCGGCGGAGGGACCAAGGTGGAGATCAAACGAACTGTGGCTGCACCATCTGTCTTCATCTTCCCGCCATCTGATGAGCAGTTGAAATCTGGAACTGCCTCTGTTGTGTGCCTGCTGAATAACTTCTATCCCAGAGAGGCCAAAGTACAGTGGAAGGTGGATAACGC</t>
  </si>
  <si>
    <t>GACATCGTGATGACCCAGTCTCCAGACTCCCTGGCTGTGTCTCTGGGCGAGAGGGCCACCATCAGCTGCAAGTCCAGCCAGAGTGTTTTATACAGCTCCAACAATAAGAACTACTTAGCTTGGTACCAGCAGAAACCAGGACAGCCTCCTAAGCTGCTCATTTACTGGGCATCTACCCGGGAATCCGGGGTCCCTGACCGATTCAGTGGCAGCGGGTCTGGGACAGATTTCACTCTCACCATCAGCAGCCTGCAGGCTGAAGATGTGGCAGTTTATTACTGTCAGCAATATTATATTACTCCCGCGCTCACTTTCGGCGGAGGGACCAAGGTGGAGATCAAAC</t>
  </si>
  <si>
    <t>GACATCGTGATGACCCAGTCTCCAGACTCCCTGGCTGTGTCTCTGGGCGAGAGGGCCACCATCAGCTGCAAGTCCAGCCAGAGTGTTTTATACAGCTCCAACAATAAGAACTACTTAGCTTGGTACCAGCAGAAACCAGGACAGCCTCCTAAGCTGCTCATTTACTGGGCA.....................TCTACCCGGGAATCCGGGGTCCCT...GACCGATTCAGTGGCAGCGGG......TCTGGGACAGATTTCACTCTCACCATCAGCAGCCTGCAGGCTGAAGATGTGGCAGTTTATTACTGTCAGCAATATTATATTACTCCCGCGCTCACTTTCGGCGGAGGGACCAAGGTGGAGATCAAAC</t>
  </si>
  <si>
    <t>TGTCAGCAATATTATATTACTCCCGCGCTCACTTTC</t>
  </si>
  <si>
    <t>GACATCGTGATGACCCAGTCTCCAGACTCCCTGGCTGTGTCTCTGGGCGAGAGGGCCACCATCAGCTGCAAGTCCAGC</t>
  </si>
  <si>
    <t>CAGCAATATTATATTACTCCCGCGCTCACT</t>
  </si>
  <si>
    <t>CQQYYITPALTF</t>
  </si>
  <si>
    <t>ACGTCAAAGCAGGCTA</t>
  </si>
  <si>
    <t>CGAGCCCAGCACTGGAAGTCGCCGGTGTTTCCATTCGGTGATCATCACTGAACACAGAGGACTCACCATGGAGTTTGGGCTGAGCTGGGTTTTCCTCGTTGCTCTTTTAAGAGGTGTCCAGTGTCAGGTGCAGCTGGTGGAGTCTGGGGGAGGCGTGGTCCAGCCTGGGAGGTCCCTGAGACTCCCCTGTGCAGCCTCTGGATTCACCTTCAGTAACTATGCTATGCACTGGGTCCGCCAGGCTCCAGGCAAGGGGCTGGAGTGGGTGGCAGTTATATCATATGATGGAAGCAATAAACACTACGCAGACTCCGTGAAGGGCCGATTCACCATCTCCAGAGACGATTCCAAGAACACGCTGTATCTGCAAATGAACAGCCTGAGACCTGAGGACACGGCTGTGTATTACTGTGCGAGAGACGGGACTTATTACTATGATAGTAGTGGTTATACT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</si>
  <si>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CCCTGTGCAGCCTCTGGATTCACCTTCAGTAACTATGCTATGCACTGGGTCCGCCAGGCTCCAGGCAAGGGGCTGGAGTGGGTGGCAGTTATATCATATGATGGAAGCAATAAACACTACGCAGACTCCGTGAAGGGCCGATTCACCATCTCCAGAGACGATTCCAAGAACACGCTGTATCTGCAAATGAACAGCCTGAGACCTGAGGACACGGCTGTGTATTACTGTGCGAGAGACGGGACTTATTACTATGATAGTAGTGGTTATACTTACTTTGACTACTGGGGCCAGGGAACCCTGGTCACCGTCTCCTCAG</t>
  </si>
  <si>
    <t>CAGGTGCAGCTGGTGGAGTCTGGGGGA...GGCGTGGTCCAGCCTGGGAGGTCCCTGAGACTCCCCTGTGCAGCCTCTGGATTCACCTTC............AGTAACTATGCTATGCACTGGGTCCGCCAGGCTCCAGGCAAGGGGCTGGAGTGGGTGGCAGTTATATCATATGAT......GGAAGCAATAAACACTACGCAGACTCCGTGAAG...GGCCGATTCACCATCTCCAGAGACGATTCCAAGAACACGCTGTATCTGCAAATGAACAGCCTGAGACCTGAGGACACGGCTGTGTATTACTGTGCGAGAGACGGGACTTATTACTATGATAGTAGTGGTTATACTTACTTTGACTACTGGGGCCAGGGAACCCTGGTCACCGTCTCCTCAG</t>
  </si>
  <si>
    <t>TGTGCGAGAGACGGGACTTATTACTATGATAGTAGTGGTTATACTTACTTTGACTACTGG</t>
  </si>
  <si>
    <t>CAGGTGCAGCTGGTGGAGTCTGGGGGA...GGCGTGGTCCAGCCTGGGAGGTCCCTGAGACTCCCCTGTGCAGCCTCT</t>
  </si>
  <si>
    <t>ATGCACTGGGTCCGCCAGGCTCCAGGCAAGGGGCTGGAGTGGGTGGCAGTT</t>
  </si>
  <si>
    <t>CACTACGCAGACTCCGTGAAG...GGCCGATTCACCATCTCCAGAGACGATTCCAAGAACACGCTGTATCTGCAAATGAACAGCCTGAGACCTGAGGACACGGCTGTGTATTACTGT</t>
  </si>
  <si>
    <t>ATATCATATGAT......GGAAGCAATAAA</t>
  </si>
  <si>
    <t>GCGAGAGACGGGACTTATTACTATGATAGTAGTGGTTATACTTACTTTGACTAC</t>
  </si>
  <si>
    <t>CARDGTYYYDSSGYTYFDYW</t>
  </si>
  <si>
    <t>AGAGCTCTGGGGAGGAACTGCTCAGTTAGGACCCAGACGGAACCATGGAAGCCCCAGCGCAGCTTCTCTTCCTCCTGCTACTCTGGCTCCCAGATACCACTGGAGAAATAGTGATGACGCAGTCTCCAGCCACCCTGTCTGTGTCTCCAGGGGAGAGAGCCACCCTCTCCTGCAGGGCCAGTCAGAGTGTTAGCACCAACTTAGCCTGGTACCAGCAGACACCTGGCCAGGCTCCCAGGCTCCTCATCTATGGTGCATCCACCAGGGCCACTGGTATCCCAGCCAGGTTCAGTGGCAGTGGGTCTGGGACAGAATTCACTCTCACCATCAGCAGCCTGCAGTCTGAAGATTTTGCAGTTTATTACTGTCAGCAGTATGATAACTGGCCTCCGCTCACTTTCGGCGGAGGGACCAAGGTGGAGATCAAACGAACTGTGGCTGCACCATCTGTCTTCATCTTCCCGCCATCTGATGAGCAGTTGAAATCTGGAACTGCCTCTGTTGTGTGCCTGCTGAATAACTTCTATCCCAGAGAGGCCAAAGTACAGTGGAAGGTGGATAACGC</t>
  </si>
  <si>
    <t>IGKV3-15</t>
  </si>
  <si>
    <t>GAAATAGTGATGACGCAGTCTCCAGCCACCCTGTCTGTGTCTCCAGGGGAGAGAGCCACCCTCTCCTGCAGGGCCAGTCAGAGTGTTAGCACCAACTTAGCCTGGTACCAGCAGACACCTGGCCAGGCTCCCAGGCTCCTCATCTATGGTGCATCCACCAGGGCCACTGGTATCCCAGCCAGGTTCAGTGGCAGTGGGTCTGGGACAGAATTCACTCTCACCATCAGCAGCCTGCAGTCTGAAGATTTTGCAGTTTATTACTGTCAGCAGTATGATAACTGGCCTCCGCTCACTTTCGGCGGAGGGACCAAGGTGGAGATCAAAC</t>
  </si>
  <si>
    <t>GAAATAGTGATGACGCAGTCTCCAGCCACCCTGTCTGTGTCTCCAGGGGAGAGAGCCACCCTCTCCTGCAGGGCCAGTCAGAGTGTT..................AGCACCAACTTAGCCTGGTACCAGCAGACACCTGGCCAGGCTCCCAGGCTCCTCATCTATGGTGCA.....................TCCACCAGGGCCACTGGTATCCCA...GCCAGGTTCAGTGGCAGTGGG......TCTGGGACAGAATTCACTCTCACCATCAGCAGCCTGCAGTCTGAAGATTTTGCAGTTTATTACTGTCAGCAGTATGATAACTGGCCTCCGCTCACTTTCGGCGGAGGGACCAAGGTGGAGATCAAAC</t>
  </si>
  <si>
    <t>TGTCAGCAGTATGATAACTGGCCTCCGCTCACTTTC</t>
  </si>
  <si>
    <t>GAAATAGTGATGACGCAGTCTCCAGCCACCCTGTCTGTGTCTCCAGGGGAGAGAGCCACCCTCTCCTGCAGGGCCAGT</t>
  </si>
  <si>
    <t>TTAGCCTGGTACCAGCAGACACCTGGCCAGGCTCCCAGGCTCCTCATCTAT</t>
  </si>
  <si>
    <t>ACCAGGGCCACTGGTATCCCA...GCCAGGTTCAGTGGCAGTGGG......TCTGGGACAGAATTCACTCTCACCATCAGCAGCCTGCAGTCTGAAGATTTTGCAGTTTATTACTGT</t>
  </si>
  <si>
    <t>CAGAGTGTT..................AGCACCAAC</t>
  </si>
  <si>
    <t>GGTGCA.....................TCC</t>
  </si>
  <si>
    <t>CAGCAGTATGATAACTGGCCTCCGCTCACT</t>
  </si>
  <si>
    <t>CQQYDNWPPLTF</t>
  </si>
  <si>
    <t>ACTGAACCAATGAATG</t>
  </si>
  <si>
    <t>GAAGACTTTCTGATCTGGGG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AATCAGTGGCTGGTGTGGGTTGGTTCGACCCCTGGGGCCAGGGAACCCTGGTCACCGTCTCCTCAGGGAGTGCATCCGCCCCAACCCTTTTCCCCCTCGTCTCCTGTGAGAATTCCCCGTCGGATACGAGCAGCGTG</t>
  </si>
  <si>
    <t>IGHV4-31</t>
  </si>
  <si>
    <t>IGHD6-19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</si>
  <si>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AATCAGTGGCTGGTGTGGGT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</si>
  <si>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GAATCAGTGGCTGGTGTGGGTTGGTTCGACCCCTGGGGCCAGGGAACCCTGGTCACCGTCTCCTCAG</t>
  </si>
  <si>
    <t>TGTGCGAGAGGGGAATCAGTGGCTGGTGTGGGTTGGTTCGACCCCTGG</t>
  </si>
  <si>
    <t>CAGGTGCAGCTGCAGGAGTCGGGCCCA...GGACTGGTGAAGCCTTCACAGACCCTGTCCCTCACCTGCACTGTCTCT</t>
  </si>
  <si>
    <t>TGGAGCTGGATCCGCCAGCACCCAGGGAAGGGCCTGGAGTGGATTGGGTAC</t>
  </si>
  <si>
    <t>TACTACAACCCGTCCCTCAAG...AGTCGAGTTACCATATCAGTAGACACGTCTAAGAACCAGTTCTCCCTGAAGCTGAGCTCTGTGACTGCCGCGGACACGGCCGTGTATTACTGT</t>
  </si>
  <si>
    <t>GGTGGCTCCATCAGC......AGTGGTGGTTACTAC</t>
  </si>
  <si>
    <t>ATCTATTACAGT.........GGGAGCACC</t>
  </si>
  <si>
    <t>GCGAGAGGGGAATCAGTGGCTGGTGTGGGTTGGTTCGACCCC</t>
  </si>
  <si>
    <t>CARGESVAGVGWFDPW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</si>
  <si>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TTGGGTGTTCGGCGGAGGGACCAAGCTGACCGTCCTAGGTCAGCCCAAGGCTGCCCCCTCGGTCACTCTGTTCCCACCCTCCTCTGAGGAGCTTCAAGCCAACAAGGCCACACTGGTGTGTCTCATAAGTGACTTCTACCCGGGAGCCGTGACAGTGGCCTGGAAGGCAGATAGCAGCCCCGTCAAGGCGGGAGTGGAGACCACCACACCCTCCAAACAAAGCAACAACAAGTACGCGGCCAGCAGCTA</t>
  </si>
  <si>
    <t>IGLV1-51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</si>
  <si>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</si>
  <si>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TTTGGGTGTTCGGCGGAGGGACCAAGCTGACCGTCCTAG</t>
  </si>
  <si>
    <t>TGCGGAACATGGGATAGCAGCCTGAGTGTTTGGGTGTTC</t>
  </si>
  <si>
    <t>CAGTCTGTGTTGACGCAGCCGCCCTCA...GTGTCTGCGGCCCCAGGACAGAAGGTCACCATCTCCTGCTCTGGAAGC</t>
  </si>
  <si>
    <t>GTATCCTGGTACCAGCAGCTCCCAGGAACAGCCCCCAAACTCCTCATTTAT</t>
  </si>
  <si>
    <t>AAGCGACCCTCAGGGATTCCT...GACCGATTCTCTGGCTCCAAG......TCTGGCACGTCAGCCACCCTGGGCATCACCGGACTCCAGACTGGGGACGAGGCCGATTATTACTGC</t>
  </si>
  <si>
    <t>AGCTCCAACATT............GGGAATAATTAT</t>
  </si>
  <si>
    <t>GACAAT.....................AAT</t>
  </si>
  <si>
    <t>GGAACATGGGATAGCAGCCTGAGTGTTTGGGTG</t>
  </si>
  <si>
    <t>IGLC3</t>
  </si>
  <si>
    <t>CGTWDSSLSVWVF</t>
  </si>
  <si>
    <t>ACTGCTCTCAGGCAAG</t>
  </si>
  <si>
    <t>GGGAGCATCACCCAGCAACCACATCTGTCCTCTAGAGAATCCCCTGAGAGCTCCGTTCCTCACCATGGACTGGACCTGGAGGATCCTCTTCTTGGTGGCAGCAGCCACAGGAGCCCACTCCCAGGTGCAGCTGGTGCAGTCTGGGGCTGAGGTGAAGAAGCCTGGGGCCTCAGTGAAGGTCTCCTGCAAGGCTTCTGGATACACCTTCAGCGGCTACTATATGCACTGGGTGCGACAGGCCCCTGGACAAGGGCTTGAGTGGATGGGATGGATCAACCCTAACAGTGGTGGCACAAACTATGCACAGAAGTTTCAGGGCAGGGTCACCATGACCAGTGACACGTCCATCAGCACAGCCTACATGGACCTGAGCAGGCTGAGATCTGACGACACGGCCGTGTATTACTGTGCGAGTGAGTGGGAGCTACTTTTCAGAGGTGCTTTTGATATCTGGGGCCAAGGGACAATGGTCACCGTCTCTTCAGGGAGTGCATCCGCCCCAACCCTTTTCCCCCTCGTCTCCTGTGAGAATTCCCCGTCGGATACGAGCAGCGTG</t>
  </si>
  <si>
    <t>IGHV1-2</t>
  </si>
  <si>
    <t>IGHD1-26</t>
  </si>
  <si>
    <t>CAGGTGCAGCTGGTGCAGTCTGGGGCTGAGGTGAAGAAGCCTGGGGCCTCAGTGAAGGTCTCCTGCAAGGCTTCTGGATACACCTTCAGCGGCTACTATATGCACTGGGTGCGACAGGCCCCTGGACAAGGGCTTGAGTGGATGGGATGGATCAACCCTAACAGTGGTGGCACAAACTATGCACAGAAGTTTCAGGGCAGGGTCACCATGACCAGTGACACGTCCATCAGCACAGCCTACATGGACCTGAGCAGGCTGAGATCTGACGACACGGCCGTGTATTACTGTGCGAGTGAGTGGGAGCTACTTTTCAGAGGTGCTTTTGATATCTGGGGCCAAGGGACAATGGTCACCGTCTCTTCAG</t>
  </si>
  <si>
    <t>CAGGTGCAGCTGGTGCAGTCTGGGGCT...GAGGTGAAGAAGCCTGGGGCCTCAGTGAAGGTCTCCTGCAAGGCTTCTGGATACACCTTC............AGCGGCTACTATATGCACTGGGTGCGACAGGCCCCTGGACAAGGGCTTGAGTGGATGGGATGGATCAACCCTAAC......AGTGGTGGCACAAACTATGCACAGAAGTTTCAG...GGCAGGGTCACCATGACCAGTGACACGTCCATCAGCACAGCCTACATGGACCTGAGCAGGCTGAGATCTGACGACACGGCCGTGTATTACTGTGCGAGTGAGTGGGAGCTACTTTTCAGAGGTGCTTTTGATATCTGGGGCCAAGGGACAATGGTCACCGTCTCTTCAG</t>
  </si>
  <si>
    <t>TGTGCGAGTGAGTGGGAGCTACTTTTCAGAGGTGCTTTTGATATCTGG</t>
  </si>
  <si>
    <t>CAGGTGCAGCTGGTGCAGTCTGGGGCT...GAGGTGAAGAAGCCTGGGGCCTCAGTGAAGGTCTCCTGCAAGGCTTCT</t>
  </si>
  <si>
    <t>ATGCACTGGGTGCGACAGGCCCCTGGACAAGGGCTTGAGTGGATGGGATGG</t>
  </si>
  <si>
    <t>AACTATGCACAGAAGTTTCAG...GGCAGGGTCACCATGACCAGTGACACGTCCATCAGCACAGCCTACATGGACCTGAGCAGGCTGAGATCTGACGACACGGCCGTGTATTACTGT</t>
  </si>
  <si>
    <t>GGATACACCTTC............AGCGGCTACTAT</t>
  </si>
  <si>
    <t>ATCAACCCTAAC......AGTGGTGGCACA</t>
  </si>
  <si>
    <t>GCGAGTGAGTGGGAGCTACTTTTCAGAGGTGCTTTTGATATC</t>
  </si>
  <si>
    <t>CASEWELLFRGAFDIW</t>
  </si>
  <si>
    <t>GGAGAAGAGCTGCTCAGTTAGGACCCAGAGGGAACCATGGAAACCCCAGCGCAGCTTCTCTTCCTCCTGCTACTCTGGCTCCCAGATACCACCGGAGAAATTGTGTTGACGCAGTCTCCAGGCACCCTGTCTTTGTCTCCAGGGGAAAGAGCCACCCTCTCCTGCAGGGCCAGTCAGAGTGTTAGCAGCAGCTACTTAGCCTGGTACCAGCAGAAACCTGGCCGGGCTCCCAGGCTCCTCATCTATGGTGCATCCCGCAGGGCCACTGGCATCCCAGACAGGTTCAGTGGCAGTGGGTCTGGGACAGACTTCACTCTCACCATCAGCAGACTGGAGCCTGAAGATTTTGCAGTGTATTACTGTCAGCAGTATGGTAGCTCACCTAGGTGGACGTTCGGCCAAGGGACCAAGGTGGAAATCAAACGAACTGTGGCTGCACCATCTGTCTTCATCTTCCCGCCATCTGATGAGCAGTTGAAATCTGGAACTGCCTCTGTTGTGTGCCTGCTGAATAACTTCTATCCCAGAGAGGCCAAAGTACAGTGGAAGGTGGATAACGC</t>
  </si>
  <si>
    <t>IGKV3-20</t>
  </si>
  <si>
    <t>GAAATTGTGTTGACGCAGTCTCCAGGCACCCTGTCTTTGTCTCCAGGGGAAAGAGCCACCCTCTCCTGCAGGGCCAGTCAGAGTGTTAGCAGCAGCTACTTAGCCTGGTACCAGCAGAAACCTGGCCGGGCTCCCAGGCTCCTCATCTATGGTGCATCCCGCAGGGCCACTGGCATCCCAGACAGGTTCAGTGGCAGTGGGTCTGGGACAGACTTCACTCTCACCATCAGCAGACTGGAGCCTGAAGATTTTGCAGTGTATTACTGTCAGCAGTATGGTAGCTCACCTAGGTGGACGTTCGGCCAAGGGACCAAGGTGGAAATCAAAC</t>
  </si>
  <si>
    <t>GAAATTGTGTTGACGCAGTCTCCAGGCACCCTGTCTTTGTCTCCAGGGGAAAGAGCCACCCTCTCCTGCAGGGCCAGTCAGAGTGTTAGC...............AGCAGCTACTTAGCCTGGTACCAGCAGAAACCTGGCCGGGCTCCCAGGCTCCTCATCTATGGTGCA.....................TCCCGCAGGGCCACTGGCATCCCA...GACAGGTTCAGTGGCAGTGGG......TCTGGGACAGACTTCACTCTCACCATCAGCAGACTGGAGCCTGAAGATTTTGCAGTGTATTACTGTCAGCAGTATGGTAGCTCACCTAGGTGGACGTTCGGCCAAGGGACCAAGGTGGAAATCAAAC</t>
  </si>
  <si>
    <t>TGTCAGCAGTATGGTAGCTCACCTAGGTGGACGTTC</t>
  </si>
  <si>
    <t>GAAATTGTGTTGACGCAGTCTCCAGGCACCCTGTCTTTGTCTCCAGGGGAAAGAGCCACCCTCTCCTGCAGGGCCAGT</t>
  </si>
  <si>
    <t>TTAGCCTGGTACCAGCAGAAACCTGGCCGGGCTCCCAGGCTCCTCATCTAT</t>
  </si>
  <si>
    <t>CGCAGGGCCACTGGCATCCCA...GACAGGTTCAGTGGCAGTGGG......TCTGGGACAGACTTCACTCTCACCATCAGCAGACTGGAGCCTGAAGATTTTGCAGTGTATTACTGT</t>
  </si>
  <si>
    <t>CAGAGTGTTAGC...............AGCAGCTAC</t>
  </si>
  <si>
    <t>CAGCAGTATGGTAGCTCACCTAGGTGGACG</t>
  </si>
  <si>
    <t>CQQYGSSPRWTF</t>
  </si>
  <si>
    <t>AGGGAGTGTCTACCTC</t>
  </si>
  <si>
    <t>CTCTGGGAGCTCTGGGAGAGGAGCCCCAGGCCCGGGATTCCCAGGTGTTTCCATTCAGTGATCAGCACTGAAGACAGAAGACTCATCATGGAGTTCTGGCTGAGCTGGGTTCTCCTTGTTGCCATTTTAAAAGATGTCCAGTGTGAGGTGCAGCTGGTGGAGTCTGGGGGAGGCTTGGTCCAGCCTGGGGGGTCCCTGAGACTCTCCTGTTCAGCCTCTGGATTCACCTTCAGTACTTTTGCTATGCACTGGGTCCGCCAGGCTCCAGGGAAGGGACCGGAATATGTTTCAGCTATTAGTAGAGATGGGGGTCTCACATACTACGCAGACTCCGTGAAGGACAGATTCACCATCTCCAGAGACAATTCCAAGAACACGCTGTATCTTCAAATGAGCAGTCTGAGAGCTGAGGACACGGCTGTATACTACTGTGTGAAGCAAGTACCAATAATTGGGATCTGGTACTTCGATCTCTGGGGCCGTGGCACCCGGGTCACTGTCTCCTCAGCCTCCACCAAGGGCCCATCGGTCTTCCCCCTGGCGCCCTGCTCCAGGAGCACCTCCGAGAGCACAGCGGCCCTGGGCTGCCTGGTCAAGGACTACTTCCCCGAACCGGTGACGGTGTCGTGGAACTCAGGCGCTCTGACCAGCGGCGTGCACACCTTCCCGGCTGTCCTACAGTCCTCAGGA</t>
  </si>
  <si>
    <t>IGHV3-64D</t>
  </si>
  <si>
    <t>IGHJ2</t>
  </si>
  <si>
    <t>GAGGTGCAGCTGGTGGAGTCTGGGGGAGGCTTGGTCCAGCCTGGGGGGTCCCTGAGACTCTCCTGTTCAGCCTCTGGATTCACCTTCAGTACTTTTGCTATGCACTGGGTCCGCCAGGCTCCAGGGAAGGGACCGGAATATGTTTCAGCTATTAGTAGAGATGGGGGTCTCACATACTACGCAGACTCCGTGAAGGACAGATTCACCATCTCCAGAGACAATTCCAAGAACACGCTGTATCTTCAAATGAGCAGTCTGAGAGCTGAGGACACGGCTGTATACTACTGTGTGAAGCAAGTACCAATAATTGGGATCTGGTACTTCGATCTCTGGGGCCGTGGCACCCGGGTCACTGTCTCCTCAG</t>
  </si>
  <si>
    <t>GAGGTGCAGCTGGTGGAGTCTGGGGGA...GGCTTGGTCCAGCCTGGGGGGTCCCTGAGACTCTCCTGTTCAGCCTCTGGATTCACCTTC............AGTACTTTTGCTATGCACTGGGTCCGCCAGGCTCCAGGGAAGGGACCGGAATATGTTTCAGCTATTAGTAGAGAT......GGGGGTCTCACATACTACGCAGACTCCGTGAAG...GACAGATTCACCATCTCCAGAGACAATTCCAAGAACACGCTGTATCTTCAAATGAGCAGTCTGAGAGCTGAGGACACGGCTGTATACTACTGTGTGAAGCAAGTACCAATAATTGGGATCTGGTACTTCGATCTCTGGGGCCGTGGCACCCGGGTCACTGTCTCCTCAG</t>
  </si>
  <si>
    <t>TGTGTGAAGCAAGTACCAATAATTGGGATCTGGTACTTCGATCTCTGG</t>
  </si>
  <si>
    <t>GAGGTGCAGCTGGTGGAGTCTGGGGGA...GGCTTGGTCCAGCCTGGGGGGTCCCTGAGACTCTCCTGTTCAGCCTCT</t>
  </si>
  <si>
    <t>ATGCACTGGGTCCGCCAGGCTCCAGGGAAGGGACCGGAATATGTTTCAGCT</t>
  </si>
  <si>
    <t>TACTACGCAGACTCCGTGAAG...GACAGATTCACCATCTCCAGAGACAATTCCAAGAACACGCTGTATCTTCAAATGAGCAGTCTGAGAGCTGAGGACACGGCTGTATACTACTGT</t>
  </si>
  <si>
    <t>TGGGGCCGTGGCACCCGGGTCACTGTCTCCTCAG</t>
  </si>
  <si>
    <t>GGATTCACCTTC............AGTACTTTTGCT</t>
  </si>
  <si>
    <t>ATTAGTAGAGAT......GGGGGTCTCACA</t>
  </si>
  <si>
    <t>GTGAAGCAAGTACCAATAATTGGGATCTGGTACTTCGATCTC</t>
  </si>
  <si>
    <t>IGHG2</t>
  </si>
  <si>
    <t>CVKQVPIIGIWYFDLW</t>
  </si>
  <si>
    <t>GAAGAGCTGCTCAGTTAGGACCCAGAGGGAACCATGGAAACCCCAGCGCAGCTTCTCTTCCTCCTGCTACTCTGGCTCCCAGATAACGCCGGAGAAATTGTGTTGACGCAGTCTCCAGGCACCCTGTCTTTGTCTCCAGGGGAAAGAGCCACCCTCTCCTGCAGGGCCAGTCAGAGTGTTAGCTACTTAGCCTGGTACCAGCACAAACCTGGCCAGGCTCCCAGGCTCCTCATCTATGGTGCATCCAGCAGAGCCACTGGCATCCCAGACAGGTTCAGTGGCAGTGGGTCTGGGACAGACTTCACTCTCACCATCAGCAGACTGGAGCCTGAAGATTTTGCACTGTATTACTGTCAGCAGTATGGTAGCTCACCGGGGTACACTTTTGGCCAGGGGACCAAGCTGGAGATCAAACGAACTGTGGCTGCACCATCTGTCTTCATCTTCCCGCCATCTGATGAGCAGTTGAAATCTGGAACTGCCTCTGTTGTGTGCCTGCTGAATAACTTCTATCCCAGAGAGGCCAAAGTACAGTGGAAGGTGGATAACGC</t>
  </si>
  <si>
    <t>IGKJ2</t>
  </si>
  <si>
    <t>GAAATTGTGTTGACGCAGTCTCCAGGCACCCTGTCTTTGTCTCCAGGGGAAAGAGCCACCCTCTCCTGCAGGGCCAGTCAGAGTGTTAGCTACTTAGCCTGGTACCAGCACAAACCTGGCCAGGCTCCCAGGCTCCTCATCTATGGTGCATCCAGCAGAGCCACTGGCATCCCAGACAGGTTCAGTGGCAGTGGGTCTGGGACAGACTTCACTCTCACCATCAGCAGACTGGAGCCTGAAGATTTTGCACTGTATTACTGTCAGCAGTATGGTAGCTCACCGGGGTACACTTTTGGCCAGGGGACCAAGCTGGAGATCAAAC</t>
  </si>
  <si>
    <t>GAAATTGTGTTGACGCAGTCTCCAGGCACCCTGTCTTTGTCTCCAGGGGAAAGAGCCACCCTCTCCTGCAGGGCCAGTCAGAGTGTT.....................AGCTACTTAGCCTGGTACCAGCACAAACCTGGCCAGGCTCCCAGGCTCCTCATCTATGGTGCA.....................TCCAGCAGAGCCACTGGCATCCCA...GACAGGTTCAGTGGCAGTGGG......TCTGGGACAGACTTCACTCTCACCATCAGCAGACTGGAGCCTGAAGATTTTGCACTGTATTACTGTCAGCAGTATGGTAGCTCACCGGGGTACACTTTTGGCCAGGGGACCAAGCTGGAGATCAAAC</t>
  </si>
  <si>
    <t>TGTCAGCAGTATGGTAGCTCACCGGGGTACACTTTT</t>
  </si>
  <si>
    <t>TTAGCCTGGTACCAGCACAAACCTGGCCAGGCTCCCAGGCTCCTCATCTAT</t>
  </si>
  <si>
    <t>AGCAGAGCCACTGGCATCCCA...GACAGGTTCAGTGGCAGTGGG......TCTGGGACAGACTTCACTCTCACCATCAGCAGACTGGAGCCTGAAGATTTTGCACTGTATTACTGT</t>
  </si>
  <si>
    <t>TTTGGCCAGGGGACCAAGCTGGAGATCAAAC</t>
  </si>
  <si>
    <t>CAGAGTGTT.....................AGCTAC</t>
  </si>
  <si>
    <t>CAGCAGTATGGTAGCTCACCGGGGTACACT</t>
  </si>
  <si>
    <t>CQQYGSSPGYTF</t>
  </si>
  <si>
    <t>AGGGATGGTCACTTCC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</si>
  <si>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ACCAGCTGCCTATCGGATGGGCTTGGGGACACTACGGTATGGACGTCTGGGGCCAAGGGACCACGGTCACCGTCTCCTCAGGGAGTGCATCCGCCCCAACCCTTTTCCCCCTCGTCTCCTGTGAGAATTCCCCGTCGGATACGAGCAGCGTG</t>
  </si>
  <si>
    <t>IGHV3-21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</si>
  <si>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ACCAGCTGCCTATCGGATGGGCTTGGGGAC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</si>
  <si>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ACCAGCTGCCTATCGGATGGGCTTGGGGACACTACGGTATGGACGTCTGGGGCCAAGGGACCACGGTCACCGTCTCCTCA</t>
  </si>
  <si>
    <t>TGTGCGAGAGATTACCAGCTGCCTATCGGATGGGCTTGGGGACACTACGGTATGGACGTCTGG</t>
  </si>
  <si>
    <t>GAGGTGCAGCTGGTGGAGTCTGGGGGA...GGCCTGGTCAAGCCTGGGGGGTCCCTGAGACTCTCCTGTGCAGCCTCT</t>
  </si>
  <si>
    <t>ATGAACTGGGTCCGCCAGGCTCCAGGGAAGGGGCTGGAGTGGGTCTCATCC</t>
  </si>
  <si>
    <t>TACTACGCAGACTCAGTGAAG...GGCCGATTCACCATCTCCAGAGACAACGCCAAGAACTCACTGTATCTGCAAATGAACAGCCTGAGAGCCGAGGACACGGCTGTGTATTACTGT</t>
  </si>
  <si>
    <t>TGGGGCCAAGGGACCACGGTCACCGTCTCCTCA</t>
  </si>
  <si>
    <t>GGATTCACCTTC............AGTAGCTATAGC</t>
  </si>
  <si>
    <t>ATTAGTAGTAGT......AGTAGTTACATA</t>
  </si>
  <si>
    <t>GCGAGAGATTACCAGCTGCCTATCGGATGGGCTTGGGGACACTACGGTATGGACGTC</t>
  </si>
  <si>
    <t>CARDYQLPIGWAWGHYGMDVW</t>
  </si>
  <si>
    <t>GGAGTCAGTCCCAGTCAGGACACAGCATGGACATGAGGGTCCCCGCTCAGCTCCTGGGGCTCCTGCTGCTCTGGCTCCCAGGTGCCAGATGTGACATCCAGTTGACCCAGTCTCCATCCTTCCTGTCTGCATCTGTAGGAGACAGAGTCACCATCACTTGCTGGGCCAGTCAGGGCATTAGCAGTTATTTAGCCTGGTATCAGCAAAAACCAGGGAAAGCCCCTAAGCTCCTGATCTATGCTGCATCCACTTTGCAAAGTGGGGTCCCATCAAGGTTCAGCGGCAGTGGATCTGGGACAGAATTCACTCTCACAATCAGCAGCCTGCAGCCTGAAGATTTTGCAACTTATTACTGTCAACAGCTTAATAGTTACCCTCAAACTTTCGGCGGAGGGACCAAGGTGGAGATCAAACGAACTGTGGCTGCACCATCTGTCTTCATCTTCCCGCCATCTGATGAGCAGTTGAAATCTGGAACTGCCTCTGTTGTGTGCCTGCTGAATAACTTCTATCCCAGAGAGGCCAAAGTACAGTGGAAGGTGGATAACGC</t>
  </si>
  <si>
    <t>IGKV1-9</t>
  </si>
  <si>
    <t>GACATCCAGTTGACCCAGTCTCCATCCTTCCTGTCTGCATCTGTAGGAGACAGAGTCACCATCACTTGCTGGGCCAGTCAGGGCATTAGCAGTTATTTAGCCTGGTATCAGCAAAAACCAGGGAAAGCCCCTAAGCTCCTGATCTATGCTGCATCCACTTTGCAAAGTGGGGTCCCATCAAGGTTCAGCGGCAGTGGATCTGGGACAGAATTCACTCTCACAATCAGCAGCCTGCAGCCTGAAGATTTTGCAACTTATTACTGTCAACAGCTTAATAGTTACCCTCAAACTTTCGGCGGAGGGACCAAGGTGGAGATCAAAC</t>
  </si>
  <si>
    <t>GACATCCAGTTGACCCAGTCTCCATCCTTCCTGTCTGCATCTGTAGGAGACAGAGTCACCATCACTTGCTGGGCCAGTCAGGGCATT..................AGCAGTTATTTAGCCTGGTATCAGCAAAAACCAGGGAAAGCCCCTAAGCTCCTGATCTATGCTGCA.....................TCCACTTTGCAAAGTGGGGTCCCA...TCAAGGTTCAGCGGCAGTGGA......TCTGGGACAGAATTCACTCTCACAATCAGCAGCCTGCAGCCTGAAGATTTTGCAACTTATTACTGTCAACAGCTTAATAGTTACCCTCAAACTTTCGGCGGAGGGACCAAGGTGGAGATCAAAC</t>
  </si>
  <si>
    <t>TGTCAACAGCTTAATAGTTACCCTCAAACTTTC</t>
  </si>
  <si>
    <t>GACATCCAGTTGACCCAGTCTCCATCCTTCCTGTCTGCATCTGTAGGAGACAGAGTCACCATCACTTGCTGGGCCAGT</t>
  </si>
  <si>
    <t>TTAGCCTGGTATCAGCAAAAACCAGGGAAAGCCCCTAAGCTCCTGATCTAT</t>
  </si>
  <si>
    <t>ACTTTGCAAAGTGGGGTCCCA...TCAAGGTTCAGCGGCAGTGGA......TCTGGGACAGAATTCACTCTCACAATCAGCAGCCTGCAGCCTGAAGATTTTGCAACTTATTACTGT</t>
  </si>
  <si>
    <t>CAGGGCATT..................AGCAGTTAT</t>
  </si>
  <si>
    <t>CAACAGCTTAATAGTTACCCTCAAACT</t>
  </si>
  <si>
    <t>CQQLNSYPQTF</t>
  </si>
  <si>
    <t>AGTCTTTGTTAGATGA</t>
  </si>
  <si>
    <t>GAGAGCATCACCCAGCAACCACATCTGTCCTCTAGAGAATCCCCTGAGAGCTCCGTTCCTCACCATGGACTGGACCTGGAGGATCCTCTTCTTGGTGGCAGCAGCCACAGGAGCCCACTCCCAGGTGCAACTGGTGCAGTCTGGGGCTGAGGTGAAGAAGCCTGGGGCCTCAGTGAAGGTCTCCTGCAAGGCTTCTGGATACACCTTCACCGGCTATTATCTCCACTGGGTACGGCAGGCCCCTGGACAAGGCCTTGAGTGGATGGGATCGATCAACCCTAATAATGGTGCCACCAAATATGCTCAGAAGTTTCAGGGCAGGGTCACCATGACTAGGGACACGTCCATCCGCACAGCCTACATGGAGGTGACCGGACTGAGATCTGACGATTCGGCCGTGTTTTACTGTGCGAGGCTCGTCGACAACTTCTACTCCTTTGACGACTGGGGCCAGGGAACCCTGGTCACCGTCTCCTCAGCCTCCACCAAGGGCCCATCGGTCTTCCCCCTGGCACCCTCCTCCAAGAGCACCTCTGGGGGCACAGCGGCCCTGGGCTGCCTGGTCAAGGACTACTTCCCCGAACCGGTGACGGTGTCGTGGAACTCAGGCGCCCTGACCAGCGGCGTGCACACCTTCCCGGCTGTCCTACAGTCCTCAGGA</t>
  </si>
  <si>
    <t>IGHD6-6</t>
  </si>
  <si>
    <t>CAGGTGCAACTGGTGCAGTCTGGGGCTGAGGTGAAGAAGCCTGGGGCCTCAGTGAAGGTCTCCTGCAAGGCTTCTGGATACACCTTCACCGGCTATTATCTCCACTGGGTACGGCAGGCCCCTGGACAAGGCCTTGAGTGGATGGGATCGATCAACCCTAATAATGGTGCCACCAAATATGCTCAGAAGTTTCAGGGCAGGGTCACCATGACTAGGGACACGTCCATCCGCACAGCCTACATGGAGGTGACCGGACTGAGATCTGACGATTCGGCCGTGTTTTACTGTGCGAGGCTCGTCGACAACTTCTACTCCTTTGACGACTGGGGCCAGGGAACCCTGGTCACCGTCTCCTCAG</t>
  </si>
  <si>
    <t>CAGGTGCAACTGGTGCAGTCTGGGGCT...GAGGTGAAGAAGCCTGGGGCCTCAGTGAAGGTCTCCTGCAAGGCTTCTGGATACACCTTC............ACCGGCTATTATCTCCACTGGGTACGGCAGGCCCCTGGACAAGGCCTTGAGTGGATGGGATCGATCAACCCTAAT......AATGGTGCCACCAAATATGCTCAGAAGTTTCAG...GGCAGGGTCACCATGACTAGGGACACGTCCATCCGCACAGCCTACATGGAGGTGACCGGACTGAGATCTGACGATTCGGCCGTGTTTTACTGTGCGAGGCTCGTCGACAACTTCTACTCCTTTGACGACTGGGGCCAGGGAACCCTGGTCACCGTCTCCTCAG</t>
  </si>
  <si>
    <t>TGTGCGAGGCTCGTCGACAACTTCTACTCCTTTGACGACTGG</t>
  </si>
  <si>
    <t>CAGGTGCAACTGGTGCAGTCTGGGGCT...GAGGTGAAGAAGCCTGGGGCCTCAGTGAAGGTCTCCTGCAAGGCTTCT</t>
  </si>
  <si>
    <t>CTCCACTGGGTACGGCAGGCCCCTGGACAAGGCCTTGAGTGGATGGGATCG</t>
  </si>
  <si>
    <t>AAATATGCTCAGAAGTTTCAG...GGCAGGGTCACCATGACTAGGGACACGTCCATCCGCACAGCCTACATGGAGGTGACCGGACTGAGATCTGACGATTCGGCCGTGTTTTACTGT</t>
  </si>
  <si>
    <t>GGATACACCTTC............ACCGGCTATTAT</t>
  </si>
  <si>
    <t>ATCAACCCTAAT......AATGGTGCCACC</t>
  </si>
  <si>
    <t>GCGAGGCTCGTCGACAACTTCTACTCCTTTGACGAC</t>
  </si>
  <si>
    <t>CARLVDNFYSFDDW</t>
  </si>
  <si>
    <t>GAAGAGCTGCTCAGTTAGGACCCAGAGGGAACCATGGAAACCCCAGCGCAGCTTCTCTTCCTCCTGCTACTCTGGCTCCCAGATATAACCGGAGAAATTGTGTTGACGCAGTCTCCAGGCACCCTGTCTTTGTCTCCAGGGGAAAGAGCCACCCTCTCCTGCAGGGCCAGTCAGAGTGTTAGCAGCAACTATTTAGCCTGGTACCAGCAGAAACCTGGCCAGACTCCCAGGCTCCTCATCTATGGTGCATCCAACAGGGCCACTGGCATCCCAGACAGGTTCAGTGGCAGTGGGTCTGGGACAGACTTCACTCTCACCATCAGCGGACTGGAGCCTGAAGATTTTGCAGTGTATTACTGTCAACAGTATAGTAGGTCCCCTCAGATGTGCAGTTTTGGCCAGGGGACCAAACTGGAGATCAAACGAACTGTGGCTGCACCATCTGTCTTCATCTTCCCGCCATCTGATGAGCAGTTGAAATCTGGAACTGCCTCTGTTGTGTGCCTGCTGAATAACTTCTATCCCAGAGAGGCCAAAGTACAGTGGAAGGTGGATAACGC</t>
  </si>
  <si>
    <t>GAAATTGTGTTGACGCAGTCTCCAGGCACCCTGTCTTTGTCTCCAGGGGAAAGAGCCACCCTCTCCTGCAGGGCCAGTCAGAGTGTTAGCAGCAACTATTTAGCCTGGTACCAGCAGAAACCTGGCCAGACTCCCAGGCTCCTCATCTATGGTGCATCCAACAGGGCCACTGGCATCCCAGACAGGTTCAGTGGCAGTGGGTCTGGGACAGACTTCACTCTCACCATCAGCGGACTGGAGCCTGAAGATTTTGCAGTGTATTACTGTCAACAGTATAGTAGGTCCCCTCAGATGTGCAGTTTTGGCCAGGGGACCAAACTGGAGATCAAAC</t>
  </si>
  <si>
    <t>GAAATTGTGTTGACGCAGTCTCCAGGCACCCTGTCTTTGTCTCCAGGGGAAAGAGCCACCCTCTCCTGCAGGGCCAGTCAGAGTGTTAGC...............AGCAACTATTTAGCCTGGTACCAGCAGAAACCTGGCCAGACTCCCAGGCTCCTCATCTATGGTGCA.....................TCCAACAGGGCCACTGGCATCCCA...GACAGGTTCAGTGGCAGTGGG......TCTGGGACAGACTTCACTCTCACCATCAGCGGACTGGAGCCTGAAGATTTTGCAGTGTATTACTGTCAACAGTATAGTAGGTCCCCTCAGATGTGCAGTTTTGGCCAGGGGACCAAACTGGAGATCAAAC</t>
  </si>
  <si>
    <t>TGTCAACAGTATAGTAGGTCCCCTCAGATGTGCAGTTTT</t>
  </si>
  <si>
    <t>TTAGCCTGGTACCAGCAGAAACCTGGCCAGACTCCCAGGCTCCTCATCTAT</t>
  </si>
  <si>
    <t>AACAGGGCCACTGGCATCCCA...GACAGGTTCAGTGGCAGTGGG......TCTGGGACAGACTTCACTCTCACCATCAGCGGACTGGAGCCTGAAGATTTTGCAGTGTATTACTGT</t>
  </si>
  <si>
    <t>TTTGGCCAGGGGACCAAACTGGAGATCAAAC</t>
  </si>
  <si>
    <t>CAGAGTGTTAGC...............AGCAACTAT</t>
  </si>
  <si>
    <t>CAACAGTATAGTAGGTCCCCTCAGATGTGCAGT</t>
  </si>
  <si>
    <t>CQQYSRSPQMCSF</t>
  </si>
  <si>
    <t>ATCATCTAGCTGCAAG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</si>
  <si>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GTAAGGAGGGAGCTACTACTCCCTACTACTACTACATGGACGTCTGGGGCAAAGGGACCACGGTCACCGTCTCCTCAGGGAGTGCATCCGCCCCAACCCTTTTCCCCCTCGTCTCCTGTGAGAATTCCCCGTCGGATACGAGCAGCGTG</t>
  </si>
  <si>
    <t>IGHD2-15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</si>
  <si>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GTAAGGAGGGAGCTACTACTCC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</si>
  <si>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ATGTAAGGAGGGAGCTACTACTCCCTACTACTACTACATGGACGTCTGGGGCAAAGGGACCACGGTCACCGTCTCCTCA</t>
  </si>
  <si>
    <t>TGTGCGAGAGAATGTAAGGAGGGAGCTACTACTCCCTACTACTACTACATGGACGTCTGG</t>
  </si>
  <si>
    <t>TACTACGCAGACTCCGTGAAG...GGCCGATTCACCATCTCCAGAGACAATTCCAAGAACACGCTGTATCTGCAAATGAACAGCCTGAGAGCTGAGGACACGGCTGTGTATTACTGT</t>
  </si>
  <si>
    <t>GGATTCACCTTC............AGTAGCTATGCT</t>
  </si>
  <si>
    <t>GCGAGAGAATGTAAGGAGGGAGCTACTACTCCCTACTACTACTACATGGACGTC</t>
  </si>
  <si>
    <t>CARECKEGATTPYYYYMDVW</t>
  </si>
  <si>
    <t>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</si>
  <si>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IGLV3-21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</si>
  <si>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GTGGTA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</si>
  <si>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GTGGTATTCGGCGGAGGGACCAAGCTGACCGTCCTAG</t>
  </si>
  <si>
    <t>TGTCAGGTGTGGGATAGTAGTAGTGATCATGTGGTATTC</t>
  </si>
  <si>
    <t>TCCTATGTGCTGACTCAGCCACCCTCA...GTGTCAGTGGCCCCAGGAAAGACGGCCAGGATTACCTGTGGGGGAAAC</t>
  </si>
  <si>
    <t>GTGCACTGGTACCAGCAGAAGCCAGGCCAGGCCCCTGTGCTGGTCATCTAT</t>
  </si>
  <si>
    <t>GACCGGCCCTCAGGGATCCCT...GAGCGATTCTCTGGCTCCAAC......TCTGGGAACACGGCCACCCTGACCATCAGCAGGGTCGAAGCCGGGGATGAGGCCGACTATTACTGT</t>
  </si>
  <si>
    <t>AACATTGGA..................AGTAAAAGT</t>
  </si>
  <si>
    <t>TATGAT.....................AGC</t>
  </si>
  <si>
    <t>CAGGTGTGGGATAGTAGTAGTGATCATGTGGTA</t>
  </si>
  <si>
    <t>CQVWDSSSDHVVF</t>
  </si>
  <si>
    <t>ATGTGTGGTACGCACC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</si>
  <si>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AGTCGGTATTACTATGATAGTAGTGGTTATTCCCACT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</si>
  <si>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AGTCGGTATTACTATGATAGTAGTGGTTATTCCCACT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</si>
  <si>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AGTCGGTATTACTATGATAGTAGTGGTTATTCCCACTTTGACTACTGGGGCCAGGGAACCCTGGTCACCGTCTCCTCAG</t>
  </si>
  <si>
    <t>TGTGCAAGAAGTCGGTATTACTATGATAGTAGTGGTTATTCCCACTTTGACTACTGG</t>
  </si>
  <si>
    <t>GAGGTGCAGCTGGTGGAGTCCGGGGGA...GGCTTAGTTCAGCCTGGGGGGTCCCTGAGACTCTCCTGTGCAGCCTCT</t>
  </si>
  <si>
    <t>AGCTACGCGGACTCCGTGAAG...GGCCGATTCACCATCTCCAGAGACAACGCCAAGAACACGCTGTATCTGCAAATGAACAGTCTGAGAGCCGAGGACACGGCTGTGTATTACTGT</t>
  </si>
  <si>
    <t>GGATTCACCTTC............AGTAGCTACTGG</t>
  </si>
  <si>
    <t>ATTAATAGTGAT......GGGAGTAGCACA</t>
  </si>
  <si>
    <t>GCAAGAAGTCGGTATTACTATGATAGTAGTGGTTATTCCCACTTTGACTAC</t>
  </si>
  <si>
    <t>CARSRYYYDSSGYSHFDYW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</si>
  <si>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</si>
  <si>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</si>
  <si>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GTGGACGTTCGGCCAAGGGACCAAGGTGGAAATCAAAC</t>
  </si>
  <si>
    <t>TGTCAGCAGTATGGTAGCTCACTGTGGACGTTC</t>
  </si>
  <si>
    <t>TTAGCCTGGTACCAGCAGAAACCTGGCCAGGCTCCCAGGCTCCTCATCTAT</t>
  </si>
  <si>
    <t>AGCAGGGCCACTGGCATCCCA...GACAGGTTCAGTGGCAGTGGG......TCTGGGACAGACTTCACTCTCACCATCAGCAGACTGGAGCCTGAAGATTTTGCAGTGTATTACTGT</t>
  </si>
  <si>
    <t>CAGCAGTATGGTAGCTCACTGTGGACG</t>
  </si>
  <si>
    <t>CQQYGSSLWTF</t>
  </si>
  <si>
    <t>ATTGGACCAGATTGCT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</si>
  <si>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CGTGGATACAGCTATGGTTACATTTTTTCCTACTGGGGCCAGGGAACCCTGGTCACCGTCTCCTCAGGGAGTGCATCCGCCCCAACCCTTTTCCCCCTCGTCTCCTGTGAGAATTCCCCGTCGGATACGAGCAGCGTG</t>
  </si>
  <si>
    <t>IGHV3-30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</si>
  <si>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CGTGGATACAGCTATGGTTACATTTTTTC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</si>
  <si>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CCGTGGATACAGCTATGGTTACATTTTTTCCTACTGGGGCCAGGGAACCCTGGTCACCGTCTCCTCAG</t>
  </si>
  <si>
    <t>TGTGCGAAAGACCGTGGATACAGCTATGGTTACATTTTTTCCTACTGG</t>
  </si>
  <si>
    <t>TACTATGCAGACTCCGTGAAG...GGCCGATTCACCATCTCCAGAGACAATTCCAAGAACACGCTGTATCTGCAAATGAACAGCCTGAGAGCTGAGGACACGGCTGTGTATTACTGT</t>
  </si>
  <si>
    <t>GGATTCACCTTC............AGTAGCTATGGC</t>
  </si>
  <si>
    <t>ATATCATATGAT......GGAAGTAATAAA</t>
  </si>
  <si>
    <t>GCGAAAGACCGTGGATACAGCTATGGTTACATTTTTTCCTAC</t>
  </si>
  <si>
    <t>CAKDRGYSYGYIFSYW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</si>
  <si>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CGTGTTCGGCGGAGGGACCAAGCTGACCGTCCTAGGTCAGCCCAAGGCTGCCCCCTCGGTCACTCTGTTCCCACCCTCCTCTGAGGAGCTTCAAGCCAACAAGGCCACACTGGTGTGTCTCATAAGTGACTTCTACCCGGGAGCCGTGACAGTGGCCTGGAAGGCAGATAGCAGCCCCGTCAAGGCGGGAGTGGAGACCACCACACCCTCCAAACAAAGCAACAACAAGTACGCGGCCAGCAGCTA</t>
  </si>
  <si>
    <t>IGLV3-19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</si>
  <si>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C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</si>
  <si>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CCGTGTTCGGCGGAGGGACCAAGCTGACCGTCCTAG</t>
  </si>
  <si>
    <t>TGTAACTCCCGGGACAGCAGTGGTAACCATCCCGTGTTC</t>
  </si>
  <si>
    <t>TCTTCTGAGCTGACTCAGGACCCTGCT...GTGTCTGTGGCCTTGGGACAGACAGTCAGGATCACATGCCAAGGAGAC</t>
  </si>
  <si>
    <t>GCAAGCTGGTACCAGCAGAAGCCAGGACAGGCCCCTGTACTTGTCATCTAT</t>
  </si>
  <si>
    <t>AACCGGCCCTCAGGGATCCCA...GACCGATTCTCTGGCTCCAGC......TCAGGAAACACAGCTTCCTTGACCATCACTGGGGCTCAGGCGGAAGATGAGGCTGACTATTACTGT</t>
  </si>
  <si>
    <t>AGCCTCAGA..................AGCTATTAT</t>
  </si>
  <si>
    <t>GGTAAA.....................AAC</t>
  </si>
  <si>
    <t>AACTCCCGGGACAGCAGTGGTAACCATCCCGTG</t>
  </si>
  <si>
    <t>CNSRDSSGNHPVF</t>
  </si>
  <si>
    <t>ATTGGACTCAGTGTTG</t>
  </si>
  <si>
    <t>TGGG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GATCGATGCTTTTGATATCTGGGGCCAAGGGACAATGGTCACCGTCTCTTCAGGGAGTGCATCCGCCCCAACCCTTTTCCCCCTCGTCTCCTGTGAGAATTCCCCGTCGGATACGAGCAGCGTG</t>
  </si>
  <si>
    <t>IGHV4-4</t>
  </si>
  <si>
    <t>IGHD5-12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</si>
  <si>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GATCGATGCTTTTGATATCTGGGGCCAAGGGACAATGGTCACCGTCTCT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</si>
  <si>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GGATCGATGCTTTTGATATCTGGGGCCAAGGGACAATGGTCACCGTCTCTTCAG</t>
  </si>
  <si>
    <t>TGTGCGAGAGGGATCGATGCTTTTGATATCTGG</t>
  </si>
  <si>
    <t>CAGGTGCAGCTGCAGGAGTCGGGCCCA...GGACTGGTGAAGCCTTCGGAGACCCTGTCCCTCACCTGCACTGTCTCT</t>
  </si>
  <si>
    <t>TGGAGCTGGATCCGGCAGCCCGCCGGGAAGGGACTGGAGTGGATTGGGCGT</t>
  </si>
  <si>
    <t>AACTACAACCCCTCCCTCAAG...AGTCGAGTCACCATGTCAGTAGACACGTCCAAGAACCAGTTCTCCCTGAAGCTGAGCTCTGTGACCGCCGCGGACACGGCCGTGTATTACTGT</t>
  </si>
  <si>
    <t>GGTGGCTCCATC............AGTAGTTACTAC</t>
  </si>
  <si>
    <t>ATCTATACCAGT.........GGGAGCACC</t>
  </si>
  <si>
    <t>GCGAGAGGGATCGATGCTTTTGATATC</t>
  </si>
  <si>
    <t>CARGIDAFDIW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</si>
  <si>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TG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</si>
  <si>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TGG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</si>
  <si>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TGGGGACGTTCGGCCAAGGGACCAAGGTGGAAATCAAAC</t>
  </si>
  <si>
    <t>TGCCAACAGTTGGGGACGTTC</t>
  </si>
  <si>
    <t>GACATCCAGATGACCCAGTCTCCTTCCACCCTGTCTGCATCTGTAGGAGACAGAGTCACCATCACTTGCCGGGCCAGT</t>
  </si>
  <si>
    <t>TTGGCCTGGTATCAGCAGAAACCAGGGAAAGCCCCTAAGCTCCTGATCTAT</t>
  </si>
  <si>
    <t>AGTTTAGAAAGTGGGGTCCCA...TCAAGGTTCAGCGGCAGTGGA......TCTGGGACAGAATTCACTCTCACCATCAGCAGCCTGCAGCCTGATGATTTTGCAACTTATTACTGC</t>
  </si>
  <si>
    <t>CAACAGTTGGGGACG</t>
  </si>
  <si>
    <t>CQQLGTF</t>
  </si>
  <si>
    <t>ATTTCTGCACCGAAAG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</si>
  <si>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GGTCGTAGCAGCTCGTCCTCCGAACCCCTTAGGGTACTACTACGGTATGGACGTCTGGGGCCAAGGGACCACGGTCACCGTCTCCTCAGGGAGTGCATCCGCCCCAACCCTTTTCCCCCTCGTCTCCTGTGAGAATTCCCCGTCGGATACGAGCAGCGTG</t>
  </si>
  <si>
    <t>IGHV3-23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</si>
  <si>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TGGTCGTAGCAGCTCGTCCTCCGAACCCCTTAGGG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</si>
  <si>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TGGTCGTAGCAGCTCGTCCTCCGAACCCCTTAGGGTACTACTACGGTATGGACGTCTGGGGCCAAGGGACCACGGTCACCGTCTCCTCA</t>
  </si>
  <si>
    <t>TGTGCGAAAGATCTGGTCGTAGCAGCTCGTCCTCCGAACCCCTTAGGGTACTACTACGGTATGGACGTCTGG</t>
  </si>
  <si>
    <t>GAGGTGCAGCTGTTGGAGTCTGGGGGA...GGCTTGGTACAGCCTGGGGGGTCCCTGAGACTCTCCTGTGCAGCCTCT</t>
  </si>
  <si>
    <t>ATGAGCTGGGTCCGCCAGGCTCCAGGGAAGGGGCTGGAGTGGGTCTCAGCT</t>
  </si>
  <si>
    <t>TACTACGCAGACTCCGTGAAG...GGCCGGTTCACCATCTCCAGAGACAATTCCAAGAACACGCTGTATCTGCAAATGAACAGCCTGAGAGCCGAGGACACGGCCGTATATTACTGT</t>
  </si>
  <si>
    <t>GGATTCACCTTT............AGCAGCTATGCC</t>
  </si>
  <si>
    <t>ATTAGTGGTAGT......GGTGGTAGCACA</t>
  </si>
  <si>
    <t>GCGAAAGATCTGGTCGTAGCAGCTCGTCCTCCGAACCCCTTAGGGTACTACTACGGTATGGACGTC</t>
  </si>
  <si>
    <t>CAKDLVVAARPPNPLGYYYGMDVW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</si>
  <si>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TATTCACTTTCGGCCCTGGGACCAAAGTGGATATCAAACGAACTGTGGCTGCACCATCTGTCTTCATCTTCCCGCCATCTGATGAGCAGTTGAAATCTGGAACTGCCTCTGTTGTGTGCCTGCTGAATAACTTCTATCCCAGAGAGGCCAAAGTACAGTGGAAGGTGGATAACGC</t>
  </si>
  <si>
    <t>IGKV3-11</t>
  </si>
  <si>
    <t>IGKJ3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</si>
  <si>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TA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</si>
  <si>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CATATTCACTTTCGGCCCTGGGACCAAAGTGGATATCAAAC</t>
  </si>
  <si>
    <t>TGTCAGCAGCGTAGCAACTGGCCTCCCATATTCACTTTC</t>
  </si>
  <si>
    <t>GAAATTGTGTTGACACAGTCTCCAGCCACCCTGTCTTTGTCTCCAGGGGAAAGAGCCACCCTCTCCTGCAGGGCCAGT</t>
  </si>
  <si>
    <t>TTAGCCTGGTACCAACAGAAACCTGGCCAGGCTCCCAGGCTCCTCATCTAT</t>
  </si>
  <si>
    <t>AACAGGGCCACTGGCATCCCA...GCCAGGTTCAGTGGCAGTGGG......TCTGGGACAGACTTCACTCTCACCATCAGCAGCCTAGAGCCTGAAGATTTTGCAGTTTATTACTGT</t>
  </si>
  <si>
    <t>TTCGGCCCTGGGACCAAAGTGGATATCAAAC</t>
  </si>
  <si>
    <t>CAGAGTGTT..................AGCAGCTAC</t>
  </si>
  <si>
    <t>GATGCA.....................TCC</t>
  </si>
  <si>
    <t>CAGCAGCGTAGCAACTGGCCTCCCATATTCACT</t>
  </si>
  <si>
    <t>CQQRSNWPPIFTF</t>
  </si>
  <si>
    <t>CACATAGCATATGCTG</t>
  </si>
  <si>
    <t>GTTTCCATTCGGTGATCAGCACTGAACACAGAGGACTCACCATGGAGTTTGGGCTGAGCTGGGTTTTCCTCGTTGCTCTTTTAAGAGGTGTCCAGTGTCAGGTGCAGCTGGTGGAGTCTGGGGGAGGCGTGGTCCAGCCTGGGAGGTCCCTGAGACTCTCCTGTGCAGCCTCTGGATTCACCTTCAGTAATTATGCCATGCACTGGGTCCGCCAGGCTCCAGGCAAGGGGCTGGACTGGGTGGGTCTTATATCATATAATGGAGAAAATGAACACTATGCAGACTCCGTGAAGGGCCGATTCACCATCTCCAGAGACAGTTCCAAGAACACGCTGTATCTGCAAATGAACAGCCTGAGACCTGAGGACACCGCTATTTATTACTGTGCGAAAGTCGATACCATGATGGTTGTGGTTTCCCCATTTGTCTCCTGGGGCCAGGGAACCCTGGTCACCGTCTCCCCAGCTTCCACCAAGGGCCCATCGGTCTTCCCCCTGGCGCCCT</t>
  </si>
  <si>
    <t>CAGGTGCAGCTGGTGGAGTCTGGGGGAGGCGTGGTCCAGCCTGGGAGGTCCCTGAGACTCTCCTGTGCAGCCTCTGGATTCACCTTCAGTAATTATGCCATGCACTGGGTCCGCCAGGCTCCAGGCAAGGGGCTGGACTGGGTGGGTCTTATATCATATAATGGAGAAAATGAACACTATGCAGACTCCGTGAAGGGCCGATTCACCATCTCCAGAGACAGTTCCAAGAACACGCTGTATCTGCAAATGAACAGCCTGAGACCTGAGGACACCGCTATTTATTACTGTGCGAAAGTCGATACCATGATGGTTGTGGTTTCCCCATTTGTCTCCTGGGGCCAGGGAACCCTGGTCACCGTCTCCCCAG</t>
  </si>
  <si>
    <t>CAGGTGCAGCTGGTGGAGTCTGGGGGA...GGCGTGGTCCAGCCTGGGAGGTCCCTGAGACTCTCCTGTGCAGCCTCTGGATTCACCTTC............AGTAATTATGCCATGCACTGGGTCCGCCAGGCTCCAGGCAAGGGGCTGGACTGGGTGGGTCTTATATCATATAAT......GGAGAAAATGAACACTATGCAGACTCCGTGAAG...GGCCGATTCACCATCTCCAGAGACAGTTCCAAGAACACGCTGTATCTGCAAATGAACAGCCTGAGACCTGAGGACACCGCTATTTATTACTGTGCGAAAGTCGATACCATGATGGTTGTGGTTTCCCCATTTGTCTCCTGGGGCCAGGGAACCCTGGTCACCGTCTCCCCAG</t>
  </si>
  <si>
    <t>TGTGCGAAAGTCGATACCATGATGGTTGTGGTTTCCCCATTTGTCTCCTGG</t>
  </si>
  <si>
    <t>ATGCACTGGGTCCGCCAGGCTCCAGGCAAGGGGCTGGACTGGGTGGGTCTT</t>
  </si>
  <si>
    <t>CACTATGCAGACTCCGTGAAG...GGCCGATTCACCATCTCCAGAGACAGTTCCAAGAACACGCTGTATCTGCAAATGAACAGCCTGAGACCTGAGGACACCGCTATTTATTACTGT</t>
  </si>
  <si>
    <t>TGGGGCCAGGGAACCCTGGTCACCGTCTCCCCAG</t>
  </si>
  <si>
    <t>GGATTCACCTTC............AGTAATTATGCC</t>
  </si>
  <si>
    <t>ATATCATATAAT......GGAGAAAATGAA</t>
  </si>
  <si>
    <t>GCGAAAGTCGATACCATGATGGTTGTGGTTTCCCCATTTGTCTCC</t>
  </si>
  <si>
    <t>IGHG3</t>
  </si>
  <si>
    <t>CAKVDTMMVVVSPFVSW</t>
  </si>
  <si>
    <t>TGGGGGCTGGGGTCTCAGGAGGCAGCGCTCTCGGGACGTCTCCACCATGGCCTGGGCTCTGCTATTCCTCACCCTCCTCACTCAGGGCACAGGGTCCTGGGCCCAGTCTGCCCTGACTCAGCCTGCCTCCGTGTCTGGGTCTCCTGGACAGTCGATCACCATCTCCTGCACTGGAACCACCAGTGACGTTGGTGGTTATAACTCTGTCTCCTGGTACCAACAAAACCCAGGCAAAGCCCCCAAACTCATGATTTATGATGTCAGTAATCGGCCCTCAGGGATTTCTAATCGCTTCTCTGACTCCAAGTCTGGCAACACGGCCTCCCTGACCATCTCTGGGCTCCAGGCTGACGACGAGACTGATTATTACTGCACCTCATATACAAACGACAACAATTCTCAGGTA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</si>
  <si>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CCAGTGACGTTGGTGGTTATAACTCTGTCTCCTGGTACCAACAAAACCCAGGCAAAGCCCCCAAACTCATGATTTATGATGTCAGTAATCGGCCCTCAGGGATTTCTAATCGCTTCTCTGACTCCAAGTCTGGCAACACGGCCTCCCTGACCATCTCTGGGCTCCAGGCTGACGACGAGACTGATTATTACTGCACCTCATATACAAACGACAACAATTCTCAGGTATTCGGCGGAGGGACCAAGCTGACCGTCCTAC</t>
  </si>
  <si>
    <t>CAGTCTGCCCTGACTCAGCCTGCCTCC...GTGTCTGGGTCTCCTGGACAGTCGATCACCATCTCCTGCACTGGAACCACCAGTGACGTTGGT.........GGTTATAACTCTGTCTCCTGGTACCAACAAAACCCAGGCAAAGCCCCCAAACTCATGATTTATGATGTC.....................AGTAATCGGCCCTCAGGGATTTCT...AATCGCTTCTCTGACTCCAAG......TCTGGCAACACGGCCTCCCTGACCATCTCTGGGCTCCAGGCTGACGACGAGACTGATTATTACTGCACCTCATATACAAACGACAACAATTCTCAGGTATTCGGCGGAGGGACCAAGCTGACCGTCCTAC</t>
  </si>
  <si>
    <t>TGCACCTCATATACAAACGACAACAATTCTCAGGTATTC</t>
  </si>
  <si>
    <t>AATCGGCCCTCAGGGATTTCT...AATCGCTTCTCTGACTCCAAG......TCTGGCAACACGGCCTCCCTGACCATCTCTGGGCTCCAGGCTGACGACGAGACTGATTATTACTGC</t>
  </si>
  <si>
    <t>TTCGGCGGAGGGACCAAGCTGACCGTCCTAC</t>
  </si>
  <si>
    <t>ACCAGTGACGTTGGT.........GGTTATAACTCT</t>
  </si>
  <si>
    <t>GATGTC.....................AGT</t>
  </si>
  <si>
    <t>ACCTCATATACAAACGACAACAATTCTCAGGTA</t>
  </si>
  <si>
    <t>CTSYTNDNNSQVF</t>
  </si>
  <si>
    <t>CACCTTGGTAGAGCTG</t>
  </si>
  <si>
    <t>AGCTCTGAGAGAGGAGCCCAGCCCTGGGATTTTCAGGTGTTTTCATTTGGTGATCAGGACTGAACAGAGAGAACTCACCATGGAGTTTGGGCTGAGCTGGCTTTTTCTTGTGGCTATTTTAAAAGGTGTCCAGTGTGAGGTGCAGGTGTTGGAGTCTGGGGGAGGCTTGGTACAGCCGGGGGGGTCCCTGAGACTCTCCTGTGCAGCCTCTGGCTTCACCTTTAGCAGCTATGCCATGACCTGGGTCCGCCAGGCTCCAGGGAAGGGACTGGAATGGGTCTCATCTATTACTATTAGTGGTGGTGGTACACAATACGCGGAGTCCGTGAGGGGCCGGTTCACCATCTCCAGGGACAATTCGAAGAGCACCCTGTTCCTGCAAATGAACAGCCTGAGAGCCGAGGACACGGCCCTATATTTCTGTGCGAAGAGCGGGAGGGCGCAATCCGCAACTAGTGGTCATTACTACTTTGACCAATGGGGCCAGGGAACCCTGGTCACCGTCTCCTCAGGGAGTGCATCCGCCCCAACCCTTTTCCCCCTCGTCTCCTGTGAGAATTCCCCGTCGGATACGAGCAGCGTG</t>
  </si>
  <si>
    <t>GAGGTGCAGGTGTTGGAGTCTGGGGGAGGCTTGGTACAGCCGGGGGGGTCCCTGAGACTCTCCTGTGCAGCCTCTGGCTTCACCTTTAGCAGCTATGCCATGACCTGGGTCCGCCAGGCTCCAGGGAAGGGACTGGAATGGGTCTCATCTATTACTATTAGTGGTGGTGGTACACAATACGCGGAGTCCGTGAGGGGCCGGTTCACCATCTCCAGGGACAATTCGAAGAGCACCCTGTTCCTGCAAATGAACAGCCTGAGAGCCGAGGACACGGCCCTATATTTCTGTGCGAAGAGCGGGAGGGCGCAATCCGCAACTAGTGGTCATTACTACTTTGACCAATGGGGCCAGGGAACCCTGGTCACCGTCTCCTCAG</t>
  </si>
  <si>
    <t>GAGGTGCAGGTGTTGGAGTCTGGGGGA...GGCTTGGTACAGCCGGGGGGGTCCCTGAGACTCTCCTGTGCAGCCTCTGGCTTCACCTTT............AGCAGCTATGCCATGACCTGGGTCCGCCAGGCTCCAGGGAAGGGACTGGAATGGGTCTCATCTATTACTATTAGT......GGTGGTGGTACACAATACGCGGAGTCCGTGAGG...GGCCGGTTCACCATCTCCAGGGACAATTCGAAGAGCACCCTGTTCCTGCAAATGAACAGCCTGAGAGCCGAGGACACGGCCCTATATTTCTGTGCGAAGAGCGGGAGGGCGCAATCCGCAACTAGTGGTCATTACTACTTTGACCAATGGGGCCAGGGAACCCTGGTCACCGTCTCCTCAG</t>
  </si>
  <si>
    <t>TGTGCGAAGAGCGGGAGGGCGCAATCCGCAACTAGTGGTCATTACTACTTTGACCAATGG</t>
  </si>
  <si>
    <t>GAGGTGCAGGTGTTGGAGTCTGGGGGA...GGCTTGGTACAGCCGGGGGGGTCCCTGAGACTCTCCTGTGCAGCCTCT</t>
  </si>
  <si>
    <t>ATGACCTGGGTCCGCCAGGCTCCAGGGAAGGGACTGGAATGGGTCTCATCT</t>
  </si>
  <si>
    <t>CAATACGCGGAGTCCGTGAGG...GGCCGGTTCACCATCTCCAGGGACAATTCGAAGAGCACCCTGTTCCTGCAAATGAACAGCCTGAGAGCCGAGGACACGGCCCTATATTTCTGT</t>
  </si>
  <si>
    <t>GGCTTCACCTTT............AGCAGCTATGCC</t>
  </si>
  <si>
    <t>ATTACTATTAGT......GGTGGTGGTACA</t>
  </si>
  <si>
    <t>GCGAAGAGCGGGAGGGCGCAATCCGCAACTAGTGGTCATTACTACTTTGACCAA</t>
  </si>
  <si>
    <t>CAKSGRAQSATSGHYYFDQW</t>
  </si>
  <si>
    <t>GGGAGAGCCCTGGGGAGGAACTGCTCAGTTAGGACCCAGAGGGAACCATGGAAGCCCCAGCTCAGCTTCTCTTCCTCCTGCTACTCTGGCTCCCAGGTACCACCGGAGAAATTGTGTTGACACAGTCTCCAGCCACCCTGTCTTTGTCTCCAGGGGAAAGAGCCACCCTCTCCTGCAGGGCCAGTCAGAGTGTTAGCAGCTCCTTAGCCTGGTATCAACAGAAACCTGGCCAGGCTCCCAGGCTCCTCATTTATGATGCATCCAACAGGGCCACTGGCATCCCAGCCAGGTTCAGTGGCTCTGGGTCTGGGACAGACTTCACTCTCACCATCAGCAGCCTAGAGCCTGAAGATTTTGCAGTTTATTACTGTCAGCAGCGCAGCAACTGGCCGCTCACTTTCGGCGGAGGGACCAAGGTGGAGGTCAAACGAACTGTGGCTGCACCATCTGTCTTCATCTTCCCGCCATCTGATGAGCAGTTGAAATCTGGAACTGCCTCTGTTGTGTGCCTGCTGAATAACTTCTATCCCAGAGAGGCCAAAGTACAGTGGAAGGTGGATAACGC</t>
  </si>
  <si>
    <t>GAAATTGTGTTGACACAGTCTCCAGCCACCCTGTCTTTGTCTCCAGGGGAAAGAGCCACCCTCTCCTGCAGGGCCAGTCAGAGTGTTAGCAGCTCCTTAGCCTGGTATCAACAGAAACCTGGCCAGGCTCCCAGGCTCCTCATTTATGATGCATCCAACAGGGCCACTGGCATCCCAGCCAGGTTCAGTGGCTCTGGGTCTGGGACAGACTTCACTCTCACCATCAGCAGCCTAGAGCCTGAAGATTTTGCAGTTTATTACTGTCAGCAGCGCAGCAACTGGCCGCTCACTTTCGGCGGAGGGACCAAGGTGGAGGTCAAAC</t>
  </si>
  <si>
    <t>GAAATTGTGTTGACACAGTCTCCAGCCACCCTGTCTTTGTCTCCAGGGGAAAGAGCCACCCTCTCCTGCAGGGCCAGTCAGAGTGTT..................AGCAGCTCCTTAGCCTGGTATCAACAGAAACCTGGCCAGGCTCCCAGGCTCCTCATTTATGATGCA.....................TCCAACAGGGCCACTGGCATCCCA...GCCAGGTTCAGTGGCTCTGGG......TCTGGGACAGACTTCACTCTCACCATCAGCAGCCTAGAGCCTGAAGATTTTGCAGTTTATTACTGTCAGCAGCGCAGCAACTGGCCGCTCACTTTCGGCGGAGGGACCAAGGTGGAGGTCAAAC</t>
  </si>
  <si>
    <t>TGTCAGCAGCGCAGCAACTGGCCGCTCACTTTC</t>
  </si>
  <si>
    <t>TTAGCCTGGTATCAACAGAAACCTGGCCAGGCTCCCAGGCTCCTCATTTAT</t>
  </si>
  <si>
    <t>AACAGGGCCACTGGCATCCCA...GCCAGGTTCAGTGGCTCTGGG......TCTGGGACAGACTTCACTCTCACCATCAGCAGCCTAGAGCCTGAAGATTTTGCAGTTTATTACTGT</t>
  </si>
  <si>
    <t>TTCGGCGGAGGGACCAAGGTGGAGGTCAAAC</t>
  </si>
  <si>
    <t>CAGAGTGTT..................AGCAGCTCC</t>
  </si>
  <si>
    <t>CAGCAGCGCAGCAACTGGCCGCTCACT</t>
  </si>
  <si>
    <t>CQQRSNWPLTF</t>
  </si>
  <si>
    <t>CACTCCAAGTACTTGC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</si>
  <si>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GTATAGCAGCAGCTGGTACCCTTCTCTGGGGCCAGGGAACCCTGGTCACCGTCTCCTCAGGGAGTGCATCCGCCCCAACCCTTTTCCCCCTCGTCTCCTGTGAGAATTCCCCGTCGGATACGAGCAGCGTG</t>
  </si>
  <si>
    <t>IGHD6-13</t>
  </si>
  <si>
    <t>IGHJ1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</si>
  <si>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GTATAGCAGCAGCTGGTACCCTTCT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</si>
  <si>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GGTATAGCAGCAGCTGGTACCCTTCTCTGGGGCCAGGGAACCCTGGTCACCGTCTCCTCAG</t>
  </si>
  <si>
    <t>TGTGCGAGGGGTATAGCAGCAGCTGGTACCCTTCTCTGG</t>
  </si>
  <si>
    <t>GCGAGGGGTATAGCAGCAGCTGGTACCCTTCTC</t>
  </si>
  <si>
    <t>CARGIAAAGTLLW</t>
  </si>
  <si>
    <t>TCTGAGGATACGCGTGACAGATAAGAAGGGCTGGTGGGATCAGTCCTGGTGGTAGCTCAGGAAGCAGAGCCTGGAGCATCTCCACTATGGCCTGGGCTCCACTACTTCTCACCCTCCTCGCTCACTGCACAGGTTCTTGGGCC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ATCTTGGGTGTTCGGCGGAGGGACCAAGCTGACCGTCCTAGGTCAGCCCAAGGCTGCCCCCTCGGTCACTCTGTTCCCACCCTCCTCTGAGGAGCTTCAAGCCAACAAGGCCACACTGGTGTGTCTCATAAGTGACTTCTACCCGGGAGCCGTGACAGTGGCCTGGAAGGCAGATAGCAGCCCCGTCAAGGCGGGAGTGGAGACCACCACACCCTCCAAACAAAGCAACAACAAGTACGCGGCCAGCAGCTA</t>
  </si>
  <si>
    <t>IGLV6-57</t>
  </si>
  <si>
    <t>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ATCTTGGGTGTTCGGCGGAGGGACCAAGCTGACCGTCCTAG</t>
  </si>
  <si>
    <t>AATTTTATGCTGACTCAGCCG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AATCTTGGGTGTTCGGCGGAGGGACCAAGCTGACCGTCCTAG</t>
  </si>
  <si>
    <t>TGTCAGTCTTATGATAGCAGCAAATCTTGGGTGTTC</t>
  </si>
  <si>
    <t>AATTTTATGCTGACTCAGCCGCACTCT...GTGTCGGAGTCTCCGGGGAAGACGGTAACCATCTCCTGCACCCGCAGC</t>
  </si>
  <si>
    <t>GTGCAGTGGTACCAGCAGCGCCCGGGCAGTGCCCCCACCACTGTGATCTAT</t>
  </si>
  <si>
    <t>CAAAGACCCTCTGGGGTCCCT...GATCGGTTCTCTGGCTCCATCGACAGCTCCTCCAACTCTGCCTCCCTCACCATCTCTGGACTGAAGACTGAGGACGAGGCTGACTACTACTGT</t>
  </si>
  <si>
    <t>AGTGGCAGCATT............GCCAGCAACTAT</t>
  </si>
  <si>
    <t>GAGGAT.....................AAC</t>
  </si>
  <si>
    <t>CAGTCTTATGATAGCAGCAAATCTTGGGTG</t>
  </si>
  <si>
    <t>CQSYDSSKSWVF</t>
  </si>
  <si>
    <t>CAGATCAAGAGTGACC</t>
  </si>
  <si>
    <t>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GACTAACTGGAACTATCCCGACAGGGGGTCATACTGGTTCGACCCCTGGGGCCAGGGAACCCTGGTCACCGTCTCCTCAGGGAGTGCATCCGCCCCAACCCTTTTCCCCCTCGTCTCCTGTGAGAATTCCCCGTCGGATACGAGCAGCGTG</t>
  </si>
  <si>
    <t>IGHV4-30-4</t>
  </si>
  <si>
    <t>IGHD1-7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</si>
  <si>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GACTAACTGGAACTATCCCGACAGGGGGTCATACTGGTTCGACCC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</si>
  <si>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GACTAACTGGAACTATCCCGACAGGGGGTCATACTGGTTCGACCCCTGGGGCCAGGGAACCCTGGTCACCGTCTCCTCAG</t>
  </si>
  <si>
    <t>TGTGCCAGGACTAACTGGAACTATCCCGACAGGGGGTCATACTGGTTCGACCCCTGG</t>
  </si>
  <si>
    <t>TGGAGTTGGATCCGCCAGCCCCCAGGGAAGGGCCTGGAGTGGATTGGGTAC</t>
  </si>
  <si>
    <t>TACTACAACCCGTCCCTCAAG...AGTCGAGTTACCATATCAGTAGACACGTCCAAGAACCAGTTCTCCCTGAAGCTGAGCTCTGTGACTGCCGCAGACACGGCCGTGTATTACTGT</t>
  </si>
  <si>
    <t>GGTGGCTCCATCAGC......AGTGGTGATTACTAC</t>
  </si>
  <si>
    <t>GCCAGGACTAACTGGAACTATCCCGACAGGGGGTCATACTGGTTCGACCCC</t>
  </si>
  <si>
    <t>CARTNWNYPDRGSYWFDPW</t>
  </si>
  <si>
    <t>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</si>
  <si>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IGLV3-1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</si>
  <si>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</si>
  <si>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TGGTATTCGGCGGAGGGACCAAGCTGACCGTCCTAG</t>
  </si>
  <si>
    <t>TGTCAGGCGTGGGACAGCAGCACTGTGGTATTC</t>
  </si>
  <si>
    <t>TCCTATGAGCTGACTCAGCCACCCTCA...GTGTCCGTGTCCCCAGGACAGACAGCCAGCATCACCTGCTCTGGAGAT</t>
  </si>
  <si>
    <t>GCTTGCTGGTATCAGCAGAAGCCAGGCCAGTCCCCTGTGCTGGTCATCTAT</t>
  </si>
  <si>
    <t>AAGCGGCCCTCAGGGATCCCT...GAGCGATTCTCTGGCTCCAAC......TCTGGGAACACAGCCACTCTGACCATCAGCGGGACCCAGGCTATGGATGAGGCTGACTATTACTGT</t>
  </si>
  <si>
    <t>AAATTGGGG..................GATAAATAT</t>
  </si>
  <si>
    <t>CAAGAT.....................AGC</t>
  </si>
  <si>
    <t>CAGGCGTGGGACAGCAGCACTGTGGTA</t>
  </si>
  <si>
    <t>CQAWDSSTVVF</t>
  </si>
  <si>
    <t>CATGGCGGTCATACTG</t>
  </si>
  <si>
    <t>GGAGCCCCAGCCCTGGGATTCCCAGCTGTTTCTGCTTGCTGATCAGGACTGCACACAGAGAACTCACCATGGAATTTGGGCTGAGCTGGGTTTTCCTTGTTGCTATTTTAAAAGGTGTCCAGTGTGAGGTGCAGCTGGTGGAGTCCGGGGGAGGCTTAGTTCAGCCTGGGGGGTCCCTGAGACTCTCCTGTGCAACCTCTGGATTCACCTTCAGTAGCTACTGGCTGCACTGGGTCCGCCAAGCTCCAGGGAAGGGGCTGGTGTGGGTCTCACGTATTAATAGTGATGGGAGTAGCACAGCCTACGCGGACTCCGTGAGGGGCCGATTCACCATCTCCAGAGACAACGCCAAGAACACGCTATATCTGCAAATGAACAGTCTGAGAGCCGAGGACACGGCTGTGTATTTCTGTGCAAGAGGGAGGCAAAGTGGGAGCTCTTGGGGCCAGGGAACCCTGGTCACCGTCTCCTCAGGGAGTGCATCCGCCCCAACCCTTTTCCCCCTCGTCTCCTGTGAGAATTCCCCGTCGGATACGAGCAGCGTG</t>
  </si>
  <si>
    <t>GAGGTGCAGCTGGTGGAGTCCGGGGGAGGCTTAGTTCAGCCTGGGGGGTCCCTGAGACTCTCCTGTGCAACCTCTGGATTCACCTTCAGTAGCTACTGGCTGCACTGGGTCCGCCAAGCTCCAGGGAAGGGGCTGGTGTGGGTCTCACGTATTAATAGTGATGGGAGTAGCACAGCCTACGCGGACTCCGTGAGGGGCCGATTCACCATCTCCAGAGACAACGCCAAGAACACGCTATATCTGCAAATGAACAGTCTGAGAGCCGAGGACACGGCTGTGTATTTCTGTGCAAGAGGGAGGCAAAGTGGGAGCTCTTGGGGCCAGGGAACCCTGGTCACCGTCTCCTCAG</t>
  </si>
  <si>
    <t>GAGGTGCAGCTGGTGGAGTCCGGGGGA...GGCTTAGTTCAGCCTGGGGGGTCCCTGAGACTCTCCTGTGCAACCTCTGGATTCACCTTC............AGTAGCTACTGGCTGCACTGGGTCCGCCAAGCTCCAGGGAAGGGGCTGGTGTGGGTCTCACGTATTAATAGTGAT......GGGAGTAGCACAGCCTACGCGGACTCCGTGAGG...GGCCGATTCACCATCTCCAGAGACAACGCCAAGAACACGCTATATCTGCAAATGAACAGTCTGAGAGCCGAGGACACGGCTGTGTATTTCTGTGCAAGAGGGAGGCAAAGTGGGAGCTCTTGGGGCCAGGGAACCCTGGTCACCGTCTCCTCAG</t>
  </si>
  <si>
    <t>TGTGCAAGAGGGAGGCAAAGTGGGAGCTCTTGG</t>
  </si>
  <si>
    <t>GAGGTGCAGCTGGTGGAGTCCGGGGGA...GGCTTAGTTCAGCCTGGGGGGTCCCTGAGACTCTCCTGTGCAACCTCT</t>
  </si>
  <si>
    <t>CTGCACTGGGTCCGCCAAGCTCCAGGGAAGGGGCTGGTGTGGGTCTCACGT</t>
  </si>
  <si>
    <t>GCCTACGCGGACTCCGTGAGG...GGCCGATTCACCATCTCCAGAGACAACGCCAAGAACACGCTATATCTGCAAATGAACAGTCTGAGAGCCGAGGACACGGCTGTGTATTTCTGT</t>
  </si>
  <si>
    <t>GCAAGAGGGAGGCAAAGTGGGAGCTCT</t>
  </si>
  <si>
    <t>CARGRQSGSSW</t>
  </si>
  <si>
    <t>AGCTGGGAAGCCTGAGAACACTTAGCCTTCATGAGTGTCCCCACCATGGCCTGGATGATGCTTCTCCTCGGACTCCTTGCTTATGGATCAGGAGTGGATTCTCAGACTGTGGTGACCCAGGAGCCATCGTTCTCAGTGTCCCCTGGAGGGACAGTCACACTCACTTGTGGCTTGAGCTCTGGCTCAGTCTCTACTAGTTACTATCCCAGCTGGTACCAGCAGACCCCAGGCCAGGCTCCACGCACACTCATATACAACACAAACACTCGCTCTTCTGGAGTCCCTGATCGCTTCTCTGGCTCCATCCTTGGGAACAAAGCTGCCCTCACCATCACGGGGGCCCAGGCAGATGATGAATCTGATTATTACTGTGTGCTGTATATGGGTAC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</si>
  <si>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IGLV8-61</t>
  </si>
  <si>
    <t>CAGACTGTGGTGACCCAGGAGCCATCGTTCTCAGTGTCCCCTGGAGGGACAGTCACACTCACTTGTGGCTTGAGCTCTGGCTCAGTCTCTACTAGTTACTATCCCAGCTGGTACCAGCAGACCCCAGGCCAGGCTCCACGCACACTCATATACAACACAAACACTCGCTCTTCTGGAGTCCCTGATCGCTTCTCTGGCTCCATCCTTGGGAACAAAGCTGCCCTCACCATCACGGGGGCCCAGGCAGATGATGAATCTGATTATTACTGTGTGCTGTATATGGGTACTGGCATTTGGGTGTTCGGCGGAGGGACCAAGCTGACCGTCCTAG</t>
  </si>
  <si>
    <t>CAGACTGTGGTGACCCAGGAGCCATCG...TTCTCAGTGTCCCCTGGAGGGACAGTCACACTCACTTGTGGCTTGAGCTCTGGCTCAGTCTCT.........ACTAGTTACTATCCCAGCTGGTACCAGCAGACCCCAGGCCAGGCTCCACGCACACTCATATACAACACA.....................AACACTCGCTCTTCTGGAGTCCCT...GATCGCTTCTCTGGCTCCATC......CTTGGGAACAAAGCTGCCCTCACCATCACGGGGGCCCAGGCAGATGATGAATCTGATTATTACTGTGTGCTGTATATGGGTACTGGCATTTGGGTGTTCGGCGGAGGGACCAAGCTGACCGTCCTAG</t>
  </si>
  <si>
    <t>TGTGTGCTGTATATGGGTACTGGCATTTGGGTGTTC</t>
  </si>
  <si>
    <t>CAGACTGTGGTGACCCAGGAGCCATCG...TTCTCAGTGTCCCCTGGAGGGACAGTCACACTCACTTGTGGCTTGAGC</t>
  </si>
  <si>
    <t>CCCAGCTGGTACCAGCAGACCCCAGGCCAGGCTCCACGCACACTCATATAC</t>
  </si>
  <si>
    <t>ACTCGCTCTTCTGGAGTCCCT...GATCGCTTCTCTGGCTCCATC......CTTGGGAACAAAGCTGCCCTCACCATCACGGGGGCCCAGGCAGATGATGAATCTGATTATTACTGT</t>
  </si>
  <si>
    <t>TCTGGCTCAGTCTCT.........ACTAGTTACTAT</t>
  </si>
  <si>
    <t>AACACA.....................AAC</t>
  </si>
  <si>
    <t>GTGCTGTATATGGGTACTGGCATTTGGGTG</t>
  </si>
  <si>
    <t>CVLYMGTGIWVF</t>
  </si>
  <si>
    <t>CCAATCCTCGACAGCC</t>
  </si>
  <si>
    <t>CCAGCCCTGAGATTCCCACGTGTTTCCATTCAGTGATCAGCACTGAACACAGAGGACTCGCCATGGAGTTTGGGCTGAGCTGGGTTTTCCTTGTTGCTATTTTAAAAGGTGTCCAGTGTGAGGTGCAGCTGGTGGAGTCTGGGGGAGGTGTGGTACGGCCTGGGGGGTCCCTGAGACTCTCCTGTGCAGCCTCTGGATTCAAGTTTGATGATTATGGCGTGAGCTGGGTCCGCCAAGCTCCAGGGAGGGGGCTGGAGTGGGTCTCTGGTATTAACTGGAATGGCGGTAACACAGGTTATGCAGACTCTGTGAAGGGCCGATTCACCATCTCCAGAGACAACGCCAAGAACTCCCTGTATCTGCAAATGAACAGTCTGAGAGCCGAGGACACGGCCTTGTATCACTGTGCGAGAGGAGGCCCCCTTTATTCTTACCAGTTGACGTATCACTCTTATGCTTTTGATATCTGGGGCCAAGGGACAATGGTCACCGTCTCTTCAGCCTCCACCAAGGGCCCATCGGTCTTCCCCCTGGCACCCTCCTCCAAGAGCACCTCTGGGGGCACAGCGGCCCTGGGCTGCCTGGTCAAGGACTACTTCCCCGAACCGGTGACGGTGTCGTGGAACTCAGGCGCCCTGACCAGCGGCGTGCACACCTTCCCGGCTGTCCTACAGTCCTCAGGA</t>
  </si>
  <si>
    <t>IGHV3-20</t>
  </si>
  <si>
    <t>GAGGTGCAGCTGGTGGAGTCTGGGGGAGGTGTGGTACGGCCTGGGGGGTCCCTGAGACTCTCCTGTGCAGCCTCTGGATTCAAGTTTGATGATTATGGCGTGAGCTGGGTCCGCCAAGCTCCAGGGAGGGGGCTGGAGTGGGTCTCTGGTATTAACTGGAATGGCGGTAACACAGGTTATGCAGACTCTGTGAAGGGCCGATTCACCATCTCCAGAGACAACGCCAAGAACTCCCTGTATCTGCAAATGAACAGTCTGAGAGCCGAGGACACGGCCTTGTATCACTGTGCGAGAGGAGGCCCCCTTTATTCTTACCAGTTGACGTATCACTCTTATGCTTTTGATATCTGGGGCCAAGGGACAATGGTCACCGTCTCTTCAG</t>
  </si>
  <si>
    <t>GAGGTGCAGCTGGTGGAGTCTGGGGGA...GGTGTGGTACGGCCTGGGGGGTCCCTGAGACTCTCCTGTGCAGCCTCTGGATTCAAGTTT............GATGATTATGGCGTGAGCTGGGTCCGCCAAGCTCCAGGGAGGGGGCTGGAGTGGGTCTCTGGTATTAACTGGAAT......GGCGGTAACACAGGTTATGCAGACTCTGTGAAG...GGCCGATTCACCATCTCCAGAGACAACGCCAAGAACTCCCTGTATCTGCAAATGAACAGTCTGAGAGCCGAGGACACGGCCTTGTATCACTGTGCGAGAGGAGGCCCCCTTTATTCTTACCAGTTGACGTATCACTCTTATGCTTTTGATATCTGGGGCCAAGGGACAATGGTCACCGTCTCTTCAG</t>
  </si>
  <si>
    <t>TGTGCGAGAGGAGGCCCCCTTTATTCTTACCAGTTGACGTATCACTCTTATGCTTTTGATATCTGG</t>
  </si>
  <si>
    <t>GAGGTGCAGCTGGTGGAGTCTGGGGGA...GGTGTGGTACGGCCTGGGGGGTCCCTGAGACTCTCCTGTGCAGCCTCT</t>
  </si>
  <si>
    <t>GTGAGCTGGGTCCGCCAAGCTCCAGGGAGGGGGCTGGAGTGGGTCTCTGGT</t>
  </si>
  <si>
    <t>GGTTATGCAGACTCTGTGAAG...GGCCGATTCACCATCTCCAGAGACAACGCCAAGAACTCCCTGTATCTGCAAATGAACAGTCTGAGAGCCGAGGACACGGCCTTGTATCACTGT</t>
  </si>
  <si>
    <t>GGATTCAAGTTT............GATGATTATGGC</t>
  </si>
  <si>
    <t>ATTAACTGGAAT......GGCGGTAACACA</t>
  </si>
  <si>
    <t>GCGAGAGGAGGCCCCCTTTATTCTTACCAGTTGACGTATCACTCTTATGCTTTTGATATC</t>
  </si>
  <si>
    <t>CARGGPLYSYQLTYHSYAFDIW</t>
  </si>
  <si>
    <t>GGGGAGGAACTGCTCAGTTAGGACCCAGACGGAACCATGGAAGCCCCAGCGCAGCTTCTCTTCCTCCTGCTACTCTGGCTCCCAGATATCACTGGAGAAATAGTGATGACGCAGTCTCCAGCCACCCTGTCTGTGTCTCCAGGGGAAAGAGCCACCCTCTCCTGCAGGGCCAGTCAGAGTGTTAGCAGCAACTTAGCCTGGTACCAGCAGAAACCTGGCCAGGCTCCCAGGCTCCTCATCTATGGTGCATCCACCAGGGCCACTGGTATCCCAGCCAGGTTCAGTGGCAGTGGGTCTGGGACAGAATTCACTCTCACCATCAGCAGCCTGCAGTCTGAAGATTTTGCAGTTTATTACTGTCAGCAATATAATAACTGGCCTCCGCTCACTTTCGGCGGAGGGACCAAGGTGGAGATCAAC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</si>
  <si>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ATTCACTCTCACCATCAGCAGCCTGCAGTCTGAAGATTTTGCAGTTTATTACTGTCAGCAATATAATAACTGGCCTCCGCTCACTTTCGGCGGAGGGACCAAGGTGGAGATCAAC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</si>
  <si>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ATTCACTCTCACCATCAGCAGCCTGCAGTCTGAAGATTTTGCAGTTTATTACTGTCAGCAATATAATAACTGGCCTCCGCTCACTTTCGGCGGAGGGACCAAGGTGGAGATCAACC</t>
  </si>
  <si>
    <t>TGTCAGCAATATAATAACTGGCCTCCGCTCACTTTC</t>
  </si>
  <si>
    <t>GAAATAGTGATGACGCAGTCTCCAGCCACCCTGTCTGTGTCTCCAGGGGAAAGAGCCACCCTCTCCTGCAGGGCCAGT</t>
  </si>
  <si>
    <t>TTCGGCGGAGGGACCAAGGTGGAGATCAACC</t>
  </si>
  <si>
    <t>CAGAGTGTT..................AGCAGCAAC</t>
  </si>
  <si>
    <t>CAGCAATATAATAACTGGCCTCCGCTCACT</t>
  </si>
  <si>
    <t>CQQYNNWPPLTF</t>
  </si>
  <si>
    <t>CCACGGAAGACGACGT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</si>
  <si>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CTACTATGATAGTAGTGGTTATTACCCTAACTGGTTCGACCCCTGGGGCCAGGGAACCCTGGTCACCGTCTCCTCAGGGAGTGCATCCGCCCCAACCCTTTTCCCCCTCGTCTCCTGTGAGAATTCCCCGTCGGATACGAGCAGCGTG</t>
  </si>
  <si>
    <t>IGHV4-30-2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</si>
  <si>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CTACTATGATAGTAGTGGTTATTACCCTAACTGGTTCGACCC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</si>
  <si>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ACTACTATGATAGTAGTGGTTATTACCCTAACTGGTTCGACCCCTGGGGCCAGGGAACCCTGGTCACCGTCTCCTCAG</t>
  </si>
  <si>
    <t>TGTGCCAGAGACTACTATGATAGTAGTGGTTATTACCCTAACTGGTTCGACCCCTGG</t>
  </si>
  <si>
    <t>CAGCTGCAGCTGCAGGAGTCCGGCTCA...GGACTGGTGAAGCCTTCACAGACCCTGTCCCTCACCTGCGCTGTCTCT</t>
  </si>
  <si>
    <t>TGGAGCTGGATCCGGCAGCCACCAGGGAAGGGCCTGGAGTGGATTGGGTAC</t>
  </si>
  <si>
    <t>TACTACAACCCGTCCCTCAAG...AGTCGAGTCACCATATCAGTAGACAGGTCCAAGAACCAGTTCTCCCTGAAGCTGAGCTCTGTGACCGCCGCGGACACGGCCGTGTATTACTGT</t>
  </si>
  <si>
    <t>GGTGGCTCCATCAGC......AGTGGTGGTTACTCC</t>
  </si>
  <si>
    <t>ATCTATCATAGT.........GGGAGCACC</t>
  </si>
  <si>
    <t>GCCAGAGACTACTATGATAGTAGTGGTTATTACCCTAACTGGTTCGACCCC</t>
  </si>
  <si>
    <t>CARDYYDSSGYYPNWFDPW</t>
  </si>
  <si>
    <t>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</si>
  <si>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</si>
  <si>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ACGTTCGGCCAAGGGACCAAGGTGGAAATCAAAC</t>
  </si>
  <si>
    <t>TGTCAACAGAGTTACAGTACCCCTCGGACGTTC</t>
  </si>
  <si>
    <t>TTAAATTGGTATCAGCAGAAACCAGGGAAAGCCCCTAAGCTCCTGATCTAT</t>
  </si>
  <si>
    <t>AGTTTGCAAAGTGGGGTCCCA...TCAAGGTTCAGTGGCAGTGGA......TCTGGGACAGATTTCACTCTCACCATCAGCAGTCTGCAACCTGAAGATTTTGCAACTTACTACTGT</t>
  </si>
  <si>
    <t>CAGAGCATT..................AGCAGCTAT</t>
  </si>
  <si>
    <t>CAACAGAGTTACAGTACCCCTCGGACG</t>
  </si>
  <si>
    <t>CQQSYSTPRTF</t>
  </si>
  <si>
    <t>CCTCTGACATTCACTT</t>
  </si>
  <si>
    <t>TGGGGAGCTCTGGGAGAGGAGCCCCAGGCCCGGGATTCCCAGGTGTTTCCATTCAGTGATCAGCACTGAAGACAGAAGACTCATCATGGAGTTCTGGCTGAGCTGGGTTCTCCTTGTTGCCATTTTAAAAGATGTCCAGTGTGAGGTGCAGCTGGTGGAGTCTGGGGGAGGCTTGGTCCAGCCTGGGGGGTCCCTGAGACTCTCCTGTTCAGCCTCTGGATTCACCTTCAGTACTTTTGCTATGCACTGGGTCCGCCAGGCTCCAGGGAAGGGACCGGAATATGTTTCAGCTATTAGTAGAGATGGGGGTCTCACATACTACGCAGACTCCGTGAAGGACAGATTCACCATCTCCAGAGACAATTCCAAGAACACGCTGTATCTTCAAATGAGCAGTCTGAGAGCTGAGGACACGGCTGTATACTACTGTGTGAAGCAAGTACCAATAATTGGGATCTGGTACTTCGATCTCTGGGGCCGTGGCACCCGGGTCACTGTCTCCTCAGCCTCCACCAAGGGCCCATCGGTCTTCCCCCTGGCGCCCTGCTCCAGGAGCACCTCCGAGAGCACAGCGGCCCTGGGCTGCCTGGTCAAGGACTACTTCCCCGAACCGGTGACGGTGTCGTGGAACTCAGGCGCTCTGACCAGCGGCGTGCACACCTTCCCGGCTGTCCTACAGTCCTCAGGA</t>
  </si>
  <si>
    <t>GAAGAGCTGCTCAGTTAGGACCCAGAGGGAACCATGGAAACCCCAGCGCAGCTTCTCTTCCTCCTGCTACTCTGGCTCCCAGATAACGCCGGAGAAATTGTGTTGACGCAGTCTCCAGGCACCCTGTCTTTGTCTGCAGGGGAAAGAGCCACCCTCTCCTGCAGGGCCAGTCAGAGTGTTAGTTACTTAGCCTGGTACCAACACAAACCTGGCCAGGCTCCCAGGCTCCTCATCTATGGTGCATCCAGCAGAGCCACTGGCATCCCAGACAGGTTCAGTGGCAGTGGGTCTGGGACAGACTTCACTCTCACCATCAGCAGACTGGAGCCTGAAGATTTTGCACTGTATTACTGTCAGCAGTATGGTAGCTCACCGGGGTACACTTTTGGCCAGGGGACCAAGCTGGAGATCAAACGAACTGTGGCTGCACCATCTGTCTTCATCTTCCCGCCATCTGATGAGCAGTTGAAATCTGGAACTGCCTCTGTTGTGTGCCTGCTGAATAACTTCTATCCCAGAGAGGCCAAAGTACAGTGGAAGGTGGATAACGC</t>
  </si>
  <si>
    <t>GAAATTGTGTTGACGCAGTCTCCAGGCACCCTGTCTTTGTCTGCAGGGGAAAGAGCCACCCTCTCCTGCAGGGCCAGTCAGAGTGTTAGTTACTTAGCCTGGTACCAACACAAACCTGGCCAGGCTCCCAGGCTCCTCATCTATGGTGCATCCAGCAGAGCCACTGGCATCCCAGACAGGTTCAGTGGCAGTGGGTCTGGGACAGACTTCACTCTCACCATCAGCAGACTGGAGCCTGAAGATTTTGCACTGTATTACTGTCAGCAGTATGGTAGCTCACCGGGGTACACTTTTGGCCAGGGGACCAAGCTGGAGATCAAAC</t>
  </si>
  <si>
    <t>GAAATTGTGTTGACGCAGTCTCCAGGCACCCTGTCTTTGTCTGCAGGGGAAAGAGCCACCCTCTCCTGCAGGGCCAGTCAGAGTGTT.....................AGTTACTTAGCCTGGTACCAACACAAACCTGGCCAGGCTCCCAGGCTCCTCATCTATGGTGCA.....................TCCAGCAGAGCCACTGGCATCCCA...GACAGGTTCAGTGGCAGTGGG......TCTGGGACAGACTTCACTCTCACCATCAGCAGACTGGAGCCTGAAGATTTTGCACTGTATTACTGTCAGCAGTATGGTAGCTCACCGGGGTACACTTTTGGCCAGGGGACCAAGCTGGAGATCAAAC</t>
  </si>
  <si>
    <t>GAAATTGTGTTGACGCAGTCTCCAGGCACCCTGTCTTTGTCTGCAGGGGAAAGAGCCACCCTCTCCTGCAGGGCCAGT</t>
  </si>
  <si>
    <t>TTAGCCTGGTACCAACACAAACCTGGCCAGGCTCCCAGGCTCCTCATCTAT</t>
  </si>
  <si>
    <t>CAGAGTGTT.....................AGTTAC</t>
  </si>
  <si>
    <t>CCTTCCCGTCTAAACC</t>
  </si>
  <si>
    <t>GGTGATCAGGACTGAACAGAGAGAACTCACCATGGAGTTTGGGCTGAGCTGGCTTTTTCTTGTGGCTATTTTGAAAGGTGTCCAGTGTGACGTGTACCTATTGGAGTCTGGGGGAGGCTTGGTGCAGCCTGGGGGGTCCCTGAGACTCTCCTGTGCAGCCTCTGGATTCACATTTAGCAACTATGGCATGAGCTGGGTCCGCCAGGCTCCAGGGAAGGGGCTGGAGTGGGTCTCAACTGTCAGTGGTGATGGTTCTAACACACACTACGCAGACTCCGTACAGGGCCGCTTCACCATCTCAAGAGACAATTCCGAGAACAGGCTGTATCTGCAAATGAGTGGCCTGACCACCGAGGACACGGCCGTATATTTCTGTGCGAAAGATGGGCAGTACCCCGACCTCTACTGGGGCCAGGGAACCCTGGTCACCGTCTCCTCAGGGAGTGCATCCGCCCCAACCCTTTTCCCCCTCGTCTCCTGTGAGAATTCCCCGTCGGATACGAGCAGCGTG</t>
  </si>
  <si>
    <t>GACGTGTACCTATTGGAGTCTGGGGGAGGCTTGGTGCAGCCTGGGGGGTCCCTGAGACTCTCCTGTGCAGCCTCTGGATTCACATTTAGCAACTATGGCATGAGCTGGGTCCGCCAGGCTCCAGGGAAGGGGCTGGAGTGGGTCTCAACTGTCAGTGGTGATGGTTCTAACACACACTACGCAGACTCCGTACAGGGCCGCTTCACCATCTCAAGAGACAATTCCGAGAACAGGCTGTATCTGCAAATGAGTGGCCTGACCACCGAGGACACGGCCGTATATTTCTGTGCGAAAGATGGGCAGTACCCCGACCTCTACTGGGGCCAGGGAACCCTGGTCACCGTCTCCTCAG</t>
  </si>
  <si>
    <t>GACGTGTACCTATTGGAGTCTGGGGGA...GGCTTGGTGCAGCCTGGGGGGTCCCTGAGACTCTCCTGTGCAGCCTCTGGATTCACATTT............AGCAACTATGGCATGAGCTGGGTCCGCCAGGCTCCAGGGAAGGGGCTGGAGTGGGTCTCAACTGTCAGTGGTGAT......GGTTCTAACACACACTACGCAGACTCCGTACAG...GGCCGCTTCACCATCTCAAGAGACAATTCCGAGAACAGGCTGTATCTGCAAATGAGTGGCCTGACCACCGAGGACACGGCCGTATATTTCTGTGCGAAAGATGGGCAGTACCCCGACCTCTACTGGGGCCAGGGAACCCTGGTCACCGTCTCCTCAG</t>
  </si>
  <si>
    <t>TGTGCGAAAGATGGGCAGTACCCCGACCTCTACTGG</t>
  </si>
  <si>
    <t>GACGTGTACCTATTGGAGTCTGGGGGA...GGCTTGGTGCAGCCTGGGGGGTCCCTGAGACTCTCCTGTGCAGCCTCT</t>
  </si>
  <si>
    <t>ATGAGCTGGGTCCGCCAGGCTCCAGGGAAGGGGCTGGAGTGGGTCTCAACT</t>
  </si>
  <si>
    <t>CACTACGCAGACTCCGTACAG...GGCCGCTTCACCATCTCAAGAGACAATTCCGAGAACAGGCTGTATCTGCAAATGAGTGGCCTGACCACCGAGGACACGGCCGTATATTTCTGT</t>
  </si>
  <si>
    <t>GGATTCACATTT............AGCAACTATGGC</t>
  </si>
  <si>
    <t>GTCAGTGGTGAT......GGTTCTAACACA</t>
  </si>
  <si>
    <t>GCGAAAGATGGGCAGTACCCCGACCTCTAC</t>
  </si>
  <si>
    <t>CAKDGQYPDLYW</t>
  </si>
  <si>
    <t>AATTAGGACTCCTCAGGTCACCTTCTCACAATGAGGCTCCTTGCTCAGCTTCTGGGGCTGCTAATGCTCTGGGTCCCTGGATCCGGTGGGGATATTGTGATGACCCAGACTCCACTCTCCTCCCCTGTCACCCTTGGACAGCCGGCCTCCATCTCCTGCAGGTCTAGTCAAAACCTCGTGCACACTAATGGAAACACCTACTTAAGTTGGCTTCATCAGAGGCCAGGCCAGCCTCCAAGACTCCTAATTTATAAGATTTCTAACCGGTTCCCTGGGGTCCCAGACAGATTCAGTGGCAGTGGGGCAGGGACAGATTTCACACTGAAAATCAGCAGAGTGGAAGCTGAGGATGTCGGGGTTTATTATTGCATGCAAGCTACAGACTTTCCTCGGACGTTCGGCCAAGGGACCAAGGTGGAAATCAAACGAACTGTGGCTGCACCATCTGTCTTCATCTTCCCGCCATCTGATGAGCAGTTGAAATCTGGAACTGCCTCTGTTGTGTGCCTGCTGAATAACTTCTATCCCAGAGAGGCCAAAGTACAGTGGAAGGTGGATAACGC</t>
  </si>
  <si>
    <t>IGKV2-24</t>
  </si>
  <si>
    <t>GATATTGTGATGACCCAGACTCCACTCTCCTCCCCTGTCACCCTTGGACAGCCGGCCTCCATCTCCTGCAGGTCTAGTCAAAACCTCGTGCACACTAATGGAAACACCTACTTAAGTTGGCTTCATCAGAGGCCAGGCCAGCCTCCAAGACTCCTAATTTATAAGATTTCTAACCGGTTCCCTGGGGTCCCAGACAGATTCAGTGGCAGTGGGGCAGGGACAGATTTCACACTGAAAATCAGCAGAGTGGAAGCTGAGGATGTCGGGGTTTATTATTGCATGCAAGCTACAGACTTTCCTCGGACGTTCGGCCAAGGGACCAAGGTGGAAATCAAAC</t>
  </si>
  <si>
    <t>GATATTGTGATGACCCAGACTCCACTCTCCTCCCCTGTCACCCTTGGACAGCCGGCCTCCATCTCCTGCAGGTCTAGTCAAAACCTCGTGCACACT...AATGGAAACACCTACTTAAGTTGGCTTCATCAGAGGCCAGGCCAGCCTCCAAGACTCCTAATTTATAAGATT.....................TCTAACCGGTTCCCTGGGGTCCCA...GACAGATTCAGTGGCAGTGGG......GCAGGGACAGATTTCACACTGAAAATCAGCAGAGTGGAAGCTGAGGATGTCGGGGTTTATTATTGCATGCAAGCTACAGACTTTCCTCGGACGTTCGGCCAAGGGACCAAGGTGGAAATCAAAC</t>
  </si>
  <si>
    <t>TGCATGCAAGCTACAGACTTTCCTCGGACGTTC</t>
  </si>
  <si>
    <t>GATATTGTGATGACCCAGACTCCACTCTCCTCCCCTGTCACCCTTGGACAGCCGGCCTCCATCTCCTGCAGGTCTAGT</t>
  </si>
  <si>
    <t>TTAAGTTGGCTTCATCAGAGGCCAGGCCAGCCTCCAAGACTCCTAATTTAT</t>
  </si>
  <si>
    <t>AACCGGTTCCCTGGGGTCCCA...GACAGATTCAGTGGCAGTGGG......GCAGGGACAGATTTCACACTGAAAATCAGCAGAGTGGAAGCTGAGGATGTCGGGGTTTATTATTGC</t>
  </si>
  <si>
    <t>CAAAACCTCGTGCACACT...AATGGAAACACCTAC</t>
  </si>
  <si>
    <t>AAGATT.....................TCT</t>
  </si>
  <si>
    <t>ATGCAAGCTACAGACTTTCCTCGGACG</t>
  </si>
  <si>
    <t>CMQATDFPRTF</t>
  </si>
  <si>
    <t>CGAACATAGCCATCGC</t>
  </si>
  <si>
    <t>ACTTTCTGGGAGTCCTGGACCTCCTGTGCAAGAACATGAAACATCTGTGGTTCTTCCTTCTCCTGGCGGCAGCTCCCAGATGGGTCCTGTCCCAGGTGCGGCTGCAGGAGTCGGGCCCAGGACTGGTGAAGCCTTCGGAGACCCTGTCCCTCACCTGCGCTGTCTCTGGTGCCTCCATCAGTCGTTTCTACTGGAGTTGGATCCGGCAGTCCCCAGGAAAGGGACTGGAGTGGGTTGCCTATGTTTCTCACAGTGCGGAGACCAACTACAACCCCTCCCTCCAGAGTCGACTCACCATATCATTGGACACGTCTAAGAATCAATTCTCCCTGCAGGTGATGTCTGTGACCGCTGCGGACACGGCCATTTATTATTGTGCGAGACATGACAATTCGGGAACTTATCCCCTTGACTACTGGGGCCAGGGAATCCTGGTCACCGTCTCATCAGCCTCCACCAAGGGCCCATCGGTCTTCCCCCTGGCGCCCTGCTCCAGGAGCACCTCCGAGAGCACAGCGGCCCTGGGCTGCCTGGTCAAGGACTACTTCCCCGAACCGGTGACGGTGTCGTGGAACTCAGGCGCTCTGACCAGCGGCGTGCACACCTTCCCGGCTGTCCTACAGTCCTCAGGA</t>
  </si>
  <si>
    <t>IGHV4-59</t>
  </si>
  <si>
    <t>IGHD3-10</t>
  </si>
  <si>
    <t>CAGGTGCGGCTGCAGGAGTCGGGCCCAGGACTGGTGAAGCCTTCGGAGACCCTGTCCCTCACCTGCGCTGTCTCTGGTGCCTCCATCAGTCGTTTCTACTGGAGTTGGATCCGGCAGTCCCCAGGAAAGGGACTGGAGTGGGTTGCCTATGTTTCTCACAGTGCGGAGACCAACTACAACCCCTCCCTCCAGAGTCGACTCACCATATCATTGGACACGTCTAAGAATCAATTCTCCCTGCAGGTGATGTCTGTGACCGCTGCGGACACGGCCATTTATTATTGTGCGAGACATGACAATTCGGGAACTTATCCCCTTGACTACTGGGGCCAGGGAATCCTGGTCACCGTCTCATCAG</t>
  </si>
  <si>
    <t>CAGGTGCGGCTGCAGGAGTCGGGCCCA...GGACTGGTGAAGCCTTCGGAGACCCTGTCCCTCACCTGCGCTGTCTCTGGTGCCTCCATC............AGTCGTTTCTACTGGAGTTGGATCCGGCAGTCCCCAGGAAAGGGACTGGAGTGGGTTGCCTATGTTTCTCACAGT.........GCGGAGACCAACTACAACCCCTCCCTCCAG...AGTCGACTCACCATATCATTGGACACGTCTAAGAATCAATTCTCCCTGCAGGTGATGTCTGTGACCGCTGCGGACACGGCCATTTATTATTGTGCGAGACATGACAATTCGGGAACTTATCCCCTTGACTACTGGGGCCAGGGAATCCTGGTCACCGTCTCATCAG</t>
  </si>
  <si>
    <t>TGTGCGAGACATGACAATTCGGGAACTTATCCCCTTGACTACTGG</t>
  </si>
  <si>
    <t>CAGGTGCGGCTGCAGGAGTCGGGCCCA...GGACTGGTGAAGCCTTCGGAGACCCTGTCCCTCACCTGCGCTGTCTCT</t>
  </si>
  <si>
    <t>TGGAGTTGGATCCGGCAGTCCCCAGGAAAGGGACTGGAGTGGGTTGCCTAT</t>
  </si>
  <si>
    <t>AACTACAACCCCTCCCTCCAG...AGTCGACTCACCATATCATTGGACACGTCTAAGAATCAATTCTCCCTGCAGGTGATGTCTGTGACCGCTGCGGACACGGCCATTTATTATTGT</t>
  </si>
  <si>
    <t>TGGGGCCAGGGAATCCTGGTCACCGTCTCATCAG</t>
  </si>
  <si>
    <t>GGTGCCTCCATC............AGTCGTTTCTAC</t>
  </si>
  <si>
    <t>GTTTCTCACAGT.........GCGGAGACC</t>
  </si>
  <si>
    <t>GCGAGACATGACAATTCGGGAACTTATCCCCTTGACTAC</t>
  </si>
  <si>
    <t>CARHDNSGTYPLDYW</t>
  </si>
  <si>
    <t>TGGGGGATCAGGACTCCTCAGTTCACCTTCTCACAATGAGGCTCCCTGCTCAGCTCCTGGGGCTGCTAATGCTCTGGGTCTCTGGATCCAGTGGGGATATTATGATGACTCAGTCTCCACTCTCCCTGCCCGTCACCCCTGGAGAGCCGGCCTCCATCTCCTGCAGGTCTAGTCAGAGCCTCCTGCATAACAATGGATACAACTATTTGGATTGGTACCTGCAGAAGCCAGGGCAGTCTCCACAGCTTCTGATTTATTCGGGTTCTAATCGGGCCTCCGGGGTCCCTGACAGGTTCAGTGGCAGTGGATCAGGCAAAGATTTTACACTGAAAATCAGCAGAGTGGAGGCTGAGGATGTTGGGGTTTATTACTGCATGCAAGCTCTACAAAGTCCTCGGACGTTCGGCCAAGGGACCAAGGTGGAAATCAAACGAACTGTGGCTGCACCATCTGTCTTCATCTTCCCGCCATCTGATGAGCAGTTGAAATCTGGAACTGCCTCTGTTGTGTGCCTGCTGAATAACTTCTATCCCAGAGAGGCCAAAGTACAGTGGAAGGTGGATAACGC</t>
  </si>
  <si>
    <t>IGKV2-28</t>
  </si>
  <si>
    <t>GATATTATGATGACTCAGTCTCCACTCTCCCTGCCCGTCACCCCTGGAGAGCCGGCCTCCATCTCCTGCAGGTCTAGTCAGAGCCTCCTGCATAACAATGGATACAACTATTTGGATTGGTACCTGCAGAAGCCAGGGCAGTCTCCACAGCTTCTGATTTATTCGGGTTCTAATCGGGCCTCCGGGGTCCCTGACAGGTTCAGTGGCAGTGGATCAGGCAAAGATTTTACACTGAAAATCAGCAGAGTGGAGGCTGAGGATGTTGGGGTTTATTACTGCATGCAAGCTCTACAAAGTCCTCGGACGTTCGGCCAAGGGACCAAGGTGGAAATCAAAC</t>
  </si>
  <si>
    <t>GATATTATGATGACTCAGTCTCCACTCTCCCTGCCCGTCACCCCTGGAGAGCCGGCCTCCATCTCCTGCAGGTCTAGTCAGAGCCTCCTGCATAAC...AATGGATACAACTATTTGGATTGGTACCTGCAGAAGCCAGGGCAGTCTCCACAGCTTCTGATTTATTCGGGT.....................TCTAATCGGGCCTCCGGGGTCCCT...GACAGGTTCAGTGGCAGTGGA......TCAGGCAAAGATTTTACACTGAAAATCAGCAGAGTGGAGGCTGAGGATGTTGGGGTTTATTACTGCATGCAAGCTCTACAAAGTCCTCGGACGTTCGGCCAAGGGACCAAGGTGGAAATCAAAC</t>
  </si>
  <si>
    <t>TGCATGCAAGCTCTACAAAGTCCTCGGACGTTC</t>
  </si>
  <si>
    <t>GATATTATGATGACTCAGTCTCCACTCTCCCTGCCCGTCACCCCTGGAGAGCCGGCCTCCATCTCCTGCAGGTCTAGT</t>
  </si>
  <si>
    <t>TTGGATTGGTACCTGCAGAAGCCAGGGCAGTCTCCACAGCTTCTGATTTAT</t>
  </si>
  <si>
    <t>AATCGGGCCTCCGGGGTCCCT...GACAGGTTCAGTGGCAGTGGA......TCAGGCAAAGATTTTACACTGAAAATCAGCAGAGTGGAGGCTGAGGATGTTGGGGTTTATTACTGC</t>
  </si>
  <si>
    <t>CAGAGCCTCCTGCATAAC...AATGGATACAACTAT</t>
  </si>
  <si>
    <t>TCGGGT.....................TCT</t>
  </si>
  <si>
    <t>ATGCAAGCTCTACAAAGTCCTCGGACG</t>
  </si>
  <si>
    <t>CMQALQSPRTF</t>
  </si>
  <si>
    <t>CGAGAAGAGATGTGTA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</si>
  <si>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TTTACGTTTGGGGGAGTTATCGTCC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</si>
  <si>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TTTACGTTTGGGGGAGTTATCGTC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</si>
  <si>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TTTACGTTTGGGGGAGTTATCGTCCTACTACTACTACGGTATGGACGTCTGGGGCCAAGGGACCACGGTCACCGTCTCCTCA</t>
  </si>
  <si>
    <t>TGTGCGAAAGATCGTTTACGTTTGGGGGAGTTATCGTCCTACTACTACTACGGTATGGACGTCTGG</t>
  </si>
  <si>
    <t>GCGAAAGATCGTTTACGTTTGGGGGAGTTATCGTCCTACTACTACTACGGTATGGACGTC</t>
  </si>
  <si>
    <t>CAKDRLRLGELSSYYYYGMDVW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</si>
  <si>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TTCCT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</si>
  <si>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TTCCT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</si>
  <si>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TTCCTCTCACTTTCGGCGGAGGGACCAAGGTGGAGATCAAAC</t>
  </si>
  <si>
    <t>TGCATGCAAGCTCTACAAATTCCTCTCACTTTC</t>
  </si>
  <si>
    <t>GATATTGTGATGACTCAGTCTCCACTCTCCCTGCCCGTCACCCCTGGAGAGCCGGCCTCCATCTCCTGCAGGTCTAGT</t>
  </si>
  <si>
    <t>TTGGATTGGTACCTGCAGAAGCCAGGGCAGTCTCCACAGCTCCTGATCTAT</t>
  </si>
  <si>
    <t>AATCGGGCCTCCGGGGTCCCT...GACAGGTTCAGTGGCAGTGGA......TCAGGCACAGATTTTACACTGAAAATCAGCAGAGTGGAGGCTGAGGATGTTGGGGTTTATTACTGC</t>
  </si>
  <si>
    <t>CAGAGCCTCCTGCATAGT...AATGGATACAACTAT</t>
  </si>
  <si>
    <t>TTGGGT.....................TCT</t>
  </si>
  <si>
    <t>ATGCAAGCTCTACAAATTCCTCTCACT</t>
  </si>
  <si>
    <t>CMQALQIPLTF</t>
  </si>
  <si>
    <t>CGAGCCAGTTACTGAC</t>
  </si>
  <si>
    <t>AGCTCTGGGAGAGGAGCCCCAGCCTTGGGATTCCCAAGTGTATTCATTCAGTGGTCAGGACTGAACACAGAGGACTCACCATGGAGTTTGGGCTGAGCTGGATTTTCCTTGTTGCTTTTTTAAAAGGTGTCCAGTGTGAGGTGCAGCTGGTGGAATCTGGGGGAGGCTTGGTGAAGCCTGGGGGGTCCCTTAGACTCTCCTGTGCAGCCTCTGGATTCACTTTCAGTAACGCCTGGATGACCTGGGTCCGCCAGGCTCCAGGGAAGGGGCTGGAGTGGATTGGCCATATTAAAAGCAAAACTAATGGCGGGACAGCAAACTACGCTGCACCCGTGAAAGGCAGATTCACCATCTCAAGAGATGATTCAAAAAACACCCTGTATTTGCAAATGAACAGCCTGAAAGCCGAGGACACAGGCATGTATTTCTGTACCACAAACCCCCTTGGGGCTTTTTATGATGGTTTTGCCGACTGGGGCCAAGGGACAACGGTCACCGTCTCTTCAGCCTCCACCAAGGGCCCATCGGTCTTCCCCCTGGCACCCTCCTCCAAGAGCACCTCTGGGGGCACAGCGGCCCTGGGCTGCCTGGTCAAGGACTACTTCCCCGAACCGGTGACGGTGTCGTGGAACTCAGGCGCCCTGACCAGCGGCGTGCACACCTTCCCGGCTGTCCTACAGTCCTCAGGA</t>
  </si>
  <si>
    <t>IGHV3-15</t>
  </si>
  <si>
    <t>GAGGTGCAGCTGGTGGAATCTGGGGGAGGCTTGGTGAAGCCTGGGGGGTCCCTTAGACTCTCCTGTGCAGCCTCTGGATTCACTTTCAGTAACGCCTGGATGACCTGGGTCCGCCAGGCTCCAGGGAAGGGGCTGGAGTGGATTGGCCATATTAAAAGCAAAACTAATGGCGGGACAGCAAACTACGCTGCACCCGTGAAAGGCAGATTCACCATCTCAAGAGATGATTCAAAAAACACCCTGTATTTGCAAATGAACAGCCTGAAAGCCGAGGACACAGGCATGTATTTCTGTACCACAAACCCCCTTGGGGCTTTTTATGATGGTTTTGCCGACTGGGGCCAAGGGACAACGGTCACCGTCTCTTCAG</t>
  </si>
  <si>
    <t>GAGGTGCAGCTGGTGGAATCTGGGGGA...GGCTTGGTGAAGCCTGGGGGGTCCCTTAGACTCTCCTGTGCAGCCTCTGGATTCACTTTC............AGTAACGCCTGGATGACCTGGGTCCGCCAGGCTCCAGGGAAGGGGCTGGAGTGGATTGGCCATATTAAAAGCAAAACTAATGGCGGGACAGCAAACTACGCTGCACCCGTGAAA...GGCAGATTCACCATCTCAAGAGATGATTCAAAAAACACCCTGTATTTGCAAATGAACAGCCTGAAAGCCGAGGACACAGGCATGTATTTCTGTACCACAAACCCCCTTGGGGCTTTTTATGATGGTTTTGCCGACTGGGGCCAAGGGACAACGGTCACCGTCTCTTCAG</t>
  </si>
  <si>
    <t>TGTACCACAAACCCCCTTGGGGCTTTTTATGATGGTTTTGCCGACTGG</t>
  </si>
  <si>
    <t>GAGGTGCAGCTGGTGGAATCTGGGGGA...GGCTTGGTGAAGCCTGGGGGGTCCCTTAGACTCTCCTGTGCAGCCTCT</t>
  </si>
  <si>
    <t>ATGACCTGGGTCCGCCAGGCTCCAGGGAAGGGGCTGGAGTGGATTGGCCAT</t>
  </si>
  <si>
    <t>AACTACGCTGCACCCGTGAAA...GGCAGATTCACCATCTCAAGAGATGATTCAAAAAACACCCTGTATTTGCAAATGAACAGCCTGAAAGCCGAGGACACAGGCATGTATTTCTGT</t>
  </si>
  <si>
    <t>TGGGGCCAAGGGACAACGGTCACCGTCTCTTCAG</t>
  </si>
  <si>
    <t>GGATTCACTTTC............AGTAACGCCTGG</t>
  </si>
  <si>
    <t>ATTAAAAGCAAAACTAATGGCGGGACAGCA</t>
  </si>
  <si>
    <t>ACCACAAACCCCCTTGGGGCTTTTTATGATGGTTTTGCCGAC</t>
  </si>
  <si>
    <t>CTTNPLGAFYDGFADW</t>
  </si>
  <si>
    <t>GGGGTCACAAGAGGCAGCGCTCTCGGGACGTCTCCACCATGGCCTGGGCTCTGCTGCTCCTCACCCTCCTCACTCAGGACACAGGGTCCTGGGCCCAGTCTGCCCTGACTCAGCCTGCCTCCGTGTCTGGGTCTCCTGGACAGTCGATCACCATCTCCTGCACTGGAACCAGCAGTGATGTTGGGAATTATAACCTTGTCTCCTGGTACCAACGGCACCCAGGCAAAGCCCCCAAACTCATAATTTATGAGGTCAATCAGCGGCCCTCAGGGGTTTCTAATCGCATCTCTGGCTCCAAGTCTGGCAACACGGCCTCCCTGACAATCTCTGGGCTGCAGCCTGAGGACGAGGCTGATTATTACTGCTGCTCATATGCAGGTTTTAGCACTTCCCTTTATGTCTTCGGAACTGGAACCG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</si>
  <si>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ATTATAACCTTGTCTCCTGGTACCAACGGCACCCAGGCAAAGCCCCCAAACTCATAATTTATGAGGTCAATCAGCGGCCCTCAGGGGTTTCTAATCGCATCTCTGGCTCCAAGTCTGGCAACACGGCCTCCCTGACAATCTCTGGGCTGCAGCCTGAGGACGAGGCTGATTATTACTGCTGCTCATATGCAGGTTTTAGCACTTCCCTTTATGTCTTCGGAACTGGAACCGAGGTCACCGTCCTAG</t>
  </si>
  <si>
    <t>CAGTCTGCCCTGACTCAGCCTGCCTCC...GTGTCTGGGTCTCCTGGACAGTCGATCACCATCTCCTGCACTGGAACCAGCAGTGATGTTGGG.........AATTATAACCTTGTCTCCTGGTACCAACGGCACCCAGGCAAAGCCCCCAAACTCATAATTTATGAGGTC.....................AATCAGCGGCCCTCAGGGGTTTCT...AATCGCATCTCTGGCTCCAAG......TCTGGCAACACGGCCTCCCTGACAATCTCTGGGCTGCAGCCTGAGGACGAGGCTGATTATTACTGCTGCTCATATGCAGGTTTTAGCACTTCCCTTTATGTCTTCGGAACTGGAACCGAGGTCACCGTCCTAG</t>
  </si>
  <si>
    <t>TGCTGCTCATATGCAGGTTTTAGCACTTCCCTTTATGTCTTC</t>
  </si>
  <si>
    <t>GTCTCCTGGTACCAACGGCACCCAGGCAAAGCCCCCAAACTCATAATTTAT</t>
  </si>
  <si>
    <t>CAGCGGCCCTCAGGGGTTTCT...AATCGCATCTCTGGCTCCAAG......TCTGGCAACACGGCCTCCCTGACAATCTCTGGGCTGCAGCCTGAGGACGAGGCTGATTATTACTGC</t>
  </si>
  <si>
    <t>TTCGGAACTGGAACCGAGGTCACCGTCCTAG</t>
  </si>
  <si>
    <t>AGCAGTGATGTTGGG.........AATTATAACCTT</t>
  </si>
  <si>
    <t>GAGGTC.....................AAT</t>
  </si>
  <si>
    <t>TGCTCATATGCAGGTTTTAGCACTTCCCTTTATGTC</t>
  </si>
  <si>
    <t>CCSYAGFSTSLYVF</t>
  </si>
  <si>
    <t>CGATGGCCAATAAGCA</t>
  </si>
  <si>
    <t>GAGCTCTGGGAGAGGAGCCCAGCACTAGAAGTCGGCGGTGTTTCCATTCGGTGATCAGCACTGAACACAGAGGACTCACCATGGAGTTTGGGCTGAGCTGCGTTTTCCTCGTTGCTCTTTTAAGAGGTGTGCAGTGTCAGGTGCAGCTGGTGGAGTCTGGGGGAGGCGTGGTCCAGCCTGGGAGGTCCCTGAGACTGTCGTGTACAGCGTCTGGATTCATCTTCAACAACTATGGCATGCACTGGGTCCGCCAGGCGCCAGGCAAGGGGCTGGAATGGCTGGCAGTTATTTGGTTTGATGGAAGTAATATAGAGTATGCAGACTCCGTGAAGGGCCGCTTCACCATCTCCAGAGACAACTCCAAGAATACGTTGCATTTGCAAATGAAGTCCCTGAGAGTCGAGGACACGGCTGTCTACTATTGTGCGAGAAGGGGGCCCAACGAGGGGGCCTTTTCCCTTGACTACTGGGGCCAGGGAACCCTGGTCACCGTCTCCTCAGCCTCCACCAAGGGCCCATCGGTCTTCCCCCTGGCGCCCTGCTCCAGGAGCACCTCCGAGAGCACAGCGGCCCTGGGCTGCCTGGTCAAGGACTACTTCCCCGAACCGGTGACGGTGTCGTGGAACTCAGGCGCTCTGACCAGCGGCGTGCACACCTTCCCGGCTGTCCTACAGTCCTCAGGA</t>
  </si>
  <si>
    <t>IGHV3-33</t>
  </si>
  <si>
    <t>CAGGTGCAGCTGGTGGAGTCTGGGGGAGGCGTGGTCCAGCCTGGGAGGTCCCTGAGACTGTCGTGTACAGCGTCTGGATTCATCTTCAACAACTATGGCATGCACTGGGTCCGCCAGGCGCCAGGCAAGGGGCTGGAATGGCTGGCAGTTATTTGGTTTGATGGAAGTAATATAGAGTATGCAGACTCCGTGAAGGGCCGCTTCACCATCTCCAGAGACAACTCCAAGAATACGTTGCATTTGCAAATGAAGTCCCTGAGAGTCGAGGACACGGCTGTCTACTATTGTGCGAGAAGGGGGCCCAACGAGGGGGCCTTTTCCCTTGACTACTGGGGCCAGGGAACCCTGGTCACCGTCTCCTCAG</t>
  </si>
  <si>
    <t>CAGGTGCAGCTGGTGGAGTCTGGGGGA...GGCGTGGTCCAGCCTGGGAGGTCCCTGAGACTGTCGTGTACAGCGTCTGGATTCATCTTC............AACAACTATGGCATGCACTGGGTCCGCCAGGCGCCAGGCAAGGGGCTGGAATGGCTGGCAGTTATTTGGTTTGAT......GGAAGTAATATAGAGTATGCAGACTCCGTGAAG...GGCCGCTTCACCATCTCCAGAGACAACTCCAAGAATACGTTGCATTTGCAAATGAAGTCCCTGAGAGTCGAGGACACGGCTGTCTACTATTGTGCGAGAAGGGGGCCCAACGAGGGGGCCTTTTCCCTTGACTACTGGGGCCAGGGAACCCTGGTCACCGTCTCCTCAG</t>
  </si>
  <si>
    <t>TGTGCGAGAAGGGGGCCCAACGAGGGGGCCTTTTCCCTTGACTACTGG</t>
  </si>
  <si>
    <t>CAGGTGCAGCTGGTGGAGTCTGGGGGA...GGCGTGGTCCAGCCTGGGAGGTCCCTGAGACTGTCGTGTACAGCGTCT</t>
  </si>
  <si>
    <t>ATGCACTGGGTCCGCCAGGCGCCAGGCAAGGGGCTGGAATGGCTGGCAGTT</t>
  </si>
  <si>
    <t>GAGTATGCAGACTCCGTGAAG...GGCCGCTTCACCATCTCCAGAGACAACTCCAAGAATACGTTGCATTTGCAAATGAAGTCCCTGAGAGTCGAGGACACGGCTGTCTACTATTGT</t>
  </si>
  <si>
    <t>GGATTCATCTTC............AACAACTATGGC</t>
  </si>
  <si>
    <t>ATTTGGTTTGAT......GGAAGTAATATA</t>
  </si>
  <si>
    <t>GCGAGAAGGGGGCCCAACGAGGGGGCCTTTTCCCTTGACTAC</t>
  </si>
  <si>
    <t>CARRGPNEGAFSLDYW</t>
  </si>
  <si>
    <t>AGTCTGGGCCTAAGGAAGCAGCACTGGTGGTGCCTCAGCCATGGCCTGGACCGTTCTCCTCCTCGGCCTCCTCTCTCACTGCACAGGCTCTGCGACTTCCTATGTGCTGACTCAGCCGCCCTCAGTGTCAGTGGCCCCAGGACAGACGGCCACCATTACCTGTGTGGGGAACAACATCGGAGATAAAAGTGTGCACTGGTATCAGCAGAAGCCAGGCGAGGCCCCTGTGTTGGTCATCTCTTATGATTACGACCGGCCCTCAGGGATCCCTGGGCGAATCTCTGGCTCCAACTCTGGGGGCACAGCCACCCTGACCATCACCGGGGTCGAAGCCGAGGATGAGGCCGACTATTACTGTCAGATATGGGATAGTAATAATGATCATCGGGT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</si>
  <si>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GCCCTCAGTGTCAGTGGCCCCAGGACAGACGGCCACCATTACCTGTGTGGGGAACAACATCGGAGATAAAAGTGTGCACTGGTATCAGCAGAAGCCAGGCGAGGCCCCTGTGTTGGTCATCTCTTATGATTACGACCGGCCCTCAGGGATCCCTGGGCGAATCTCTGGCTCCAACTCTGGGGGCACAGCCACCCTGACCATCACCGGGGTCGAAGCCGAGGATGAGGCCGACTATTACTGTCAGATATGGGATAGTAATAATGATCATCGGGTGGTGTTCGGCGGAGGGACCAAGCTGACCGTCCTAG</t>
  </si>
  <si>
    <t>TCCTATGTGCTGACTCAGCCGCCCTCA...GTGTCAGTGGCCCCAGGACAGACGGCCACCATTACCTGTGTGGGGAACAACATCGGA..................GATAAAAGTGTGCACTGGTATCAGCAGAAGCCAGGCGAGGCCCCTGTGTTGGTCATCTCTTATGAT.....................TACGACCGGCCCTCAGGGATCCCT...GGGCGAATCTCTGGCTCCAAC......TCTGGGGGCACAGCCACCCTGACCATCACCGGGGTCGAAGCCGAGGATGAGGCCGACTATTACTGTCAGATATGGGATAGTAATAATGATCATCGGGTGGTGTTCGGCGGAGGGACCAAGCTGACCGTCCTAG</t>
  </si>
  <si>
    <t>TGTCAGATATGGGATAGTAATAATGATCATCGGGTGGTGTTC</t>
  </si>
  <si>
    <t>TCCTATGTGCTGACTCAGCCGCCCTCA...GTGTCAGTGGCCCCAGGACAGACGGCCACCATTACCTGTGTGGGGAAC</t>
  </si>
  <si>
    <t>GTGCACTGGTATCAGCAGAAGCCAGGCGAGGCCCCTGTGTTGGTCATCTCT</t>
  </si>
  <si>
    <t>GACCGGCCCTCAGGGATCCCT...GGGCGAATCTCTGGCTCCAAC......TCTGGGGGCACAGCCACCCTGACCATCACCGGGGTCGAAGCCGAGGATGAGGCCGACTATTACTGT</t>
  </si>
  <si>
    <t>AACATCGGA..................GATAAAAGT</t>
  </si>
  <si>
    <t>TATGAT.....................TAC</t>
  </si>
  <si>
    <t>CAGATATGGGATAGTAATAATGATCATCGGGTGGTG</t>
  </si>
  <si>
    <t>CQIWDSNNDHRVVF</t>
  </si>
  <si>
    <t>CGCGTTTAGTCGTTTG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</si>
  <si>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CCGGGGATATTGTAGTGGTGGTAGCTGCTACAGCTACTTTGACTACTGGGGCCAGGGAACCCTGGTCACCGTCTCCTCAGGGAGTGCATCCGCCCCAACCCTTTTCCCCCTCGTCTCCTGTGAGAATTCCCCGTCGGATACGAGCAGCGTG</t>
  </si>
  <si>
    <t>IGHV4-61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</si>
  <si>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CCGGGGATATTGTAGTGGTGGTAGCTGCTACAGCTAC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</si>
  <si>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TCCGGGGATATTGTAGTGGTGGTAGCTGCTACAGCTACTTTGACTACTGGGGCCAGGGAACCCTGGTCACCGTCTCCTCAG</t>
  </si>
  <si>
    <t>TGTGCGAGAGTCCGGGGATATTGTAGTGGTGGTAGCTGCTACAGCTACTTTGACTACTGG</t>
  </si>
  <si>
    <t>AACTACAACCCCTCCCTCAAG...AGTCGAGTCACCATATCAGTAGACACGTCCAAGAACCAGTTCTCCCTGAAGCTGAGCTCTGTGACCGCCGCAGACACGGCCGTGTATTACTGT</t>
  </si>
  <si>
    <t>GGTGGCTCCATCAGC......AGTGGTAGTTACTAC</t>
  </si>
  <si>
    <t>GCGAGAGTCCGGGGATATTGTAGTGGTGGTAGCTGCTACAGCTACTTTGACTAC</t>
  </si>
  <si>
    <t>CARVRGYCSGGSCYSYFDYW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</si>
  <si>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TGGA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</si>
  <si>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TGGA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</si>
  <si>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TGGAGTTCGGCCAAGGGACCAAGGTGGAAATCAAAC</t>
  </si>
  <si>
    <t>TGTCAACAGAGTTACAGTACCCCCCTGGAGTTC</t>
  </si>
  <si>
    <t>CAACAGAGTTACAGTACCCCCCTGGAG</t>
  </si>
  <si>
    <t>CQQSYSTPLEF</t>
  </si>
  <si>
    <t>CGGACACAGCCGCCTA</t>
  </si>
  <si>
    <t>GGAGCCCCAGCCCTGGGATTCCCAGCTGTTTGTGCTTGCTGATCAGGACTGCACACAGAGAACTCACCATGGAGTTTGGGCTGAGCTGGATTTTCCTTGTTGCAATTTTAAAAGGTGTCCAATGTGAGGTGCAACTAGTGGAGTCCGGGGGAGGCCTAGTCCAGCCTGGGGGGTCCCTGAGACTCTCCTGTGCAGCCTCTGGATTCACTTTCAATAATTACTGGATGAACTGGGTCCGCCAAATTCCAGGGAAGGGGCCAATATGGGTCTCACGTATTAATTATGATGGGGGTAACACAGGCTATGCGGAGTCCGTGAGGGGCCGCTTCACCGTCTCCAGAGACAACGCCAAGAACACCCTATACCTGGAAATGACGAGTCTGACAGCCGAGGACACGGCTATGTATTATTGTGTGAGAGACGGCCGTGCCGGTGTGGCTGGGAGTTTCTACGATTACTGGGGCCAGGGAACCCTGGTCACCGTCTCCTCGGCATCCCCGACCAGCCCCAAGGTCTTCCCGCTGAGCCTCTGCAGCACCCAGCCAGATGGGAACGTGGTCATCGCCTGCCTGGTCCAGGGCTTCTTCCCCCAGGAGCCACTCAGTGTGACCTGGAGCGAAAGCGGACAGGGCGTGACCGCCAGAAACTTCCC</t>
  </si>
  <si>
    <t>GAGGTGCAACTAGTGGAGTCCGGGGGAGGCCTAGTCCAGCCTGGGGGGTCCCTGAGACTCTCCTGTGCAGCCTCTGGATTCACTTTCAATAATTACTGGATGAACTGGGTCCGCCAAATTCCAGGGAAGGGGCCAATATGGGTCTCACGTATTAATTATGATGGGGGTAACACAGGCTATGCGGAGTCCGTGAGGGGCCGCTTCACCGTCTCCAGAGACAACGCCAAGAACACCCTATACCTGGAAATGACGAGTCTGACAGCCGAGGACACGGCTATGTATTATTGTGTGAGAGACGGCCGTGCCGGTGTGGCTGGGAGTTTCTACGATTACTGGGGCCAGGGAACCCTGGTCACCGTCTCCTCGG</t>
  </si>
  <si>
    <t>GAGGTGCAACTAGTGGAGTCCGGGGGA...GGCCTAGTCCAGCCTGGGGGGTCCCTGAGACTCTCCTGTGCAGCCTCTGGATTCACTTTC............AATAATTACTGGATGAACTGGGTCCGCCAAATTCCAGGGAAGGGGCCAATATGGGTCTCACGTATTAATTATGAT......GGGGGTAACACAGGCTATGCGGAGTCCGTGAGG...GGCCGCTTCACCGTCTCCAGAGACAACGCCAAGAACACCCTATACCTGGAAATGACGAGTCTGACAGCCGAGGACACGGCTATGTATTATTGTGTGAGAGACGGCCGTGCCGGTGTGGCTGGGAGTTTCTACGATTACTGGGGCCAGGGAACCCTGGTCACCGTCTCCTCGG</t>
  </si>
  <si>
    <t>TGTGTGAGAGACGGCCGTGCCGGTGTGGCTGGGAGTTTCTACGATTACTGG</t>
  </si>
  <si>
    <t>GAGGTGCAACTAGTGGAGTCCGGGGGA...GGCCTAGTCCAGCCTGGGGGGTCCCTGAGACTCTCCTGTGCAGCCTCT</t>
  </si>
  <si>
    <t>ATGAACTGGGTCCGCCAAATTCCAGGGAAGGGGCCAATATGGGTCTCACGT</t>
  </si>
  <si>
    <t>GGCTATGCGGAGTCCGTGAGG...GGCCGCTTCACCGTCTCCAGAGACAACGCCAAGAACACCCTATACCTGGAAATGACGAGTCTGACAGCCGAGGACACGGCTATGTATTATTGT</t>
  </si>
  <si>
    <t>TGGGGCCAGGGAACCCTGGTCACCGTCTCCTCGG</t>
  </si>
  <si>
    <t>GGATTCACTTTC............AATAATTACTGG</t>
  </si>
  <si>
    <t>ATTAATTATGAT......GGGGGTAACACA</t>
  </si>
  <si>
    <t>GTGAGAGACGGCCGTGCCGGTGTGGCTGGGAGTTTCTACGATTAC</t>
  </si>
  <si>
    <t>IGHA1</t>
  </si>
  <si>
    <t>CVRDGRAGVAGSFYDYW</t>
  </si>
  <si>
    <t>AGGAGTCAGTCCCAACCAGGACACAGCATGGACATGAGGGTCCCTGCTCAGCTCCTGGGGCTCCTGCTGCTCTGGCTCTCACGTGCCAGATGTGACATCCAGATGACCCAGTCTCCATCCTCCCTGTCTGCATCTGTAGGAGACAGAGTCACCATCACTTGTCAGGCGAGTCAGGACATTAGCAACAATTTAAATTGGTATCAGCAGAGACCAGGAAAAGCCCCTAAACTCCTGATCTTCGATGCATCCAATTGGAACACAGGGGTCCCATCAAGATTCACTGGCAGTGGATCTGGATCACATTTTACTTTCACCATCAGTAGCCTGCAGCCTGAAGATATTGCAACATATTGGTGTCAGCAATATCATCATCTCCCTCTCAACTTCGGCGGGGGGACCAAAGTGGACATCAAACGAACTGTGGCTGCACCATCTGTCTTCATCTTCCCGCCATCTGATGAGCAGTTGAAATCTGGAACTGCCTCTGTTGTGTGCCTGCTGAATAACTTCTATCCCAGAGAGGCCAAAGTACAGTGGAAGGTGGATAACGC</t>
  </si>
  <si>
    <t>IGKV1-33</t>
  </si>
  <si>
    <t>GACATCCAGATGACCCAGTCTCCATCCTCCCTGTCTGCATCTGTAGGAGACAGAGTCACCATCACTTGTCAGGCGAGTCAGGACATTAGCAACAATTTAAATTGGTATCAGCAGAGACCAGGAAAAGCCCCTAAACTCCTGATCTTCGATGCATCCAATTGGAACACAGGGGTCCCATCAAGATTCACTGGCAGTGGATCTGGATCACATTTTACTTTCACCATCAGTAGCCTGCAGCCTGAAGATATTGCAACATATTGGTGTCAGCAATATCATCATCTCCCTCTCAACTTCGGCGGGGGGACCAAAGTGGACATCAAAC</t>
  </si>
  <si>
    <t>GACATCCAGATGACCCAGTCTCCATCCTCCCTGTCTGCATCTGTAGGAGACAGAGTCACCATCACTTGTCAGGCGAGTCAGGACATT..................AGCAACAATTTAAATTGGTATCAGCAGAGACCAGGAAAAGCCCCTAAACTCCTGATCTTCGATGCA.....................TCCAATTGGAACACAGGGGTCCCA...TCAAGATTCACTGGCAGTGGA......TCTGGATCACATTTTACTTTCACCATCAGTAGCCTGCAGCCTGAAGATATTGCAACATATTGGTGTCAGCAATATCATCATCTCCCTCTCAACTTCGGCGGGGGGACCAAAGTGGACATCAAAC</t>
  </si>
  <si>
    <t>TGTCAGCAATATCATCATCTCCCTCTCAACTTC</t>
  </si>
  <si>
    <t>GACATCCAGATGACCCAGTCTCCATCCTCCCTGTCTGCATCTGTAGGAGACAGAGTCACCATCACTTGTCAGGCGAGT</t>
  </si>
  <si>
    <t>TTAAATTGGTATCAGCAGAGACCAGGAAAAGCCCCTAAACTCCTGATCTTC</t>
  </si>
  <si>
    <t>AATTGGAACACAGGGGTCCCA...TCAAGATTCACTGGCAGTGGA......TCTGGATCACATTTTACTTTCACCATCAGTAGCCTGCAGCCTGAAGATATTGCAACATATTGGTGT</t>
  </si>
  <si>
    <t>TTCGGCGGGGGGACCAAAGTGGACATCAAAC</t>
  </si>
  <si>
    <t>CAGGACATT..................AGCAACAAT</t>
  </si>
  <si>
    <t>CAGCAATATCATCATCTCCCTCTCAAC</t>
  </si>
  <si>
    <t>CQQYHHLPLNF</t>
  </si>
  <si>
    <t>CTAGCCTAGGTGCTAG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</si>
  <si>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GCCGGGGTGTAGTAGTACCAGCTGCTAATAAAGGAGGCTCCACAGGGTGG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</si>
  <si>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GCCGGGGTGTAGTAGTACCAGCTGCTAATAAAGGAGGCTCCACAGGGTG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</si>
  <si>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GCCGGGGTGTAGTAGTACCAGCTGCTAATAAAGGAGGCTCCACAGGGTGGTTCGACCCCTGGGGCCAGGGAACCCTGGTCACCGTCTCCTCAG</t>
  </si>
  <si>
    <t>TGTGCGAGAGATTGCCGGGGTGTAGTAGTACCAGCTGCTAATAAAGGAGGCTCCACAGGGTGGTTCGACCCCTGG</t>
  </si>
  <si>
    <t>GCGAGAGATTGCCGGGGTGTAGTAGTACCAGCTGCTAATAAAGGAGGCTCCACAGGGTGGTTCGACCCC</t>
  </si>
  <si>
    <t>CARDCRGVVVPAANKGGSTGWFDPW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</si>
  <si>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</si>
  <si>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IGKV1-8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</si>
  <si>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</si>
  <si>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GTTCGGCCAAGGGACCAAGGTGGAAATCAAAC</t>
  </si>
  <si>
    <t>TGTCAACAGTATTATAGTTACCCTCGGACGTTC</t>
  </si>
  <si>
    <t>GCCATCCGGATGACCCAGTCTCCATCCTCATTCTCTGCATCTACAGGAGACAGAGTCACCATCACTTGTCGGGCGAGT</t>
  </si>
  <si>
    <t>ACTTTGCAAAGTGGGGTCCCA...TCAAGGTTCAGCGGCAGTGGA......TCTGGGACAGATTTCACTCTCACCATCAGCTGCCTGCAGTCTGAAGATTTTGCAACTTATTACTGT</t>
  </si>
  <si>
    <t>CAGGGTATT..................AGCAGTTAT</t>
  </si>
  <si>
    <t>CAACAGTATTATAGTTACCCTCGGACG</t>
  </si>
  <si>
    <t>CQQYYSYPRTF</t>
  </si>
  <si>
    <t>CTCACACGTCGGCATC</t>
  </si>
  <si>
    <t>AGCTCTGGGAGAAGAGCCCCAGCCCCAGAATTCCCAGGAGTTTCCATTCGGTGATCAGCACTGAACACAGAGGACTCACCATGGAGTTTGGGCTGAGCTGGGTTTTCCTTGTTGCTATTATAAAAGGTGTCCAGTGTCAGGTGCAACTGGTGGAGTCTGGGGGAGGCTTGGTCAAGCCTGGAGGGTCCCTGAGACTCTCCTGTGCAGCCTCTGGATTCACCTTCAGTGACTACTACATGAGCTGGATCCGCCAGGCTCCAGGGAAGGGGCTGGAGTGGGTTTCATACATTAGTATGAGTAGTACTAGCGTACACTACGCAGACTCTGTGAGGGGCCGATTCTCCATCTCCAGGGACAACGCCAAGAACTCAATGTCTCTGCAAATTAACAACCTGAGAGCCGAGGACACGGCCGTCTATTACTGTGCGAGAGCGGGTTATCGGTATGCTGGTGGTGGCTATTACGGAAGGTTCGATTCCTGGGGCCAGGGAGCCCTGGTCACCGTCTCCTCAGCCTCCACCAAGGGCCCATCGGTCTTCCCCCTGGCGCCCTGCTCCAGGAGCACCTCCGAGAGCACAGCGGCCCTGGGCTGCCTGGTCAAGGACTACTTCCCCGAACCGGTGACGGTGTCGTGGAACTCAGGCGCTCTGACCAGCGGCGTGCACACCTTCCCGGCTGTCCTACAGTCCTCAGGA</t>
  </si>
  <si>
    <t>IGHV3-11</t>
  </si>
  <si>
    <t>CAGGTGCAACTGGTGGAGTCTGGGGGAGGCTTGGTCAAGCCTGGAGGGTCCCTGAGACTCTCCTGTGCAGCCTCTGGATTCACCTTCAGTGACTACTACATGAGCTGGATCCGCCAGGCTCCAGGGAAGGGGCTGGAGTGGGTTTCATACATTAGTATGAGTAGTACTAGCGTACACTACGCAGACTCTGTGAGGGGCCGATTCTCCATCTCCAGGGACAACGCCAAGAACTCAATGTCTCTGCAAATTAACAACCTGAGAGCCGAGGACACGGCCGTCTATTACTGTGCGAGAGCGGGTTATCGGTATGCTGGTGGTGGCTATTACGGAAGGTTCGATTCCTGGGGCCAGGGAGCCCTGGTCACCGTCTCCTCAG</t>
  </si>
  <si>
    <t>CAGGTGCAACTGGTGGAGTCTGGGGGA...GGCTTGGTCAAGCCTGGAGGGTCCCTGAGACTCTCCTGTGCAGCCTCTGGATTCACCTTC............AGTGACTACTACATGAGCTGGATCCGCCAGGCTCCAGGGAAGGGGCTGGAGTGGGTTTCATACATTAGTATGAGT......AGTACTAGCGTACACTACGCAGACTCTGTGAGG...GGCCGATTCTCCATCTCCAGGGACAACGCCAAGAACTCAATGTCTCTGCAAATTAACAACCTGAGAGCCGAGGACACGGCCGTCTATTACTGTGCGAGAGCGGGTTATCGGTATGCTGGTGGTGGCTATTACGGAAGGTTCGATTCCTGGGGCCAGGGAGCCCTGGTCACCGTCTCCTCAG</t>
  </si>
  <si>
    <t>TGTGCGAGAGCGGGTTATCGGTATGCTGGTGGTGGCTATTACGGAAGGTTCGATTCCTGG</t>
  </si>
  <si>
    <t>CAGGTGCAACTGGTGGAGTCTGGGGGA...GGCTTGGTCAAGCCTGGAGGGTCCCTGAGACTCTCCTGTGCAGCCTCT</t>
  </si>
  <si>
    <t>ATGAGCTGGATCCGCCAGGCTCCAGGGAAGGGGCTGGAGTGGGTTTCATAC</t>
  </si>
  <si>
    <t>CACTACGCAGACTCTGTGAGG...GGCCGATTCTCCATCTCCAGGGACAACGCCAAGAACTCAATGTCTCTGCAAATTAACAACCTGAGAGCCGAGGACACGGCCGTCTATTACTGT</t>
  </si>
  <si>
    <t>TGGGGCCAGGGAGCCCTGGTCACCGTCTCCTCAG</t>
  </si>
  <si>
    <t>GGATTCACCTTC............AGTGACTACTAC</t>
  </si>
  <si>
    <t>ATTAGTATGAGT......AGTACTAGCGTA</t>
  </si>
  <si>
    <t>GCGAGAGCGGGTTATCGGTATGCTGGTGGTGGCTATTACGGAAGGTTCGATTCC</t>
  </si>
  <si>
    <t>CARAGYRYAGGGYYGRFDSW</t>
  </si>
  <si>
    <t>GGGGAGGAACTGCTCAGTTAGGACCCAGACGGAACCATGGAAGCCCCAGCGCAGCTTCTCTTCCTCCTGCTACTCTGGCTCCCAGAGACCCCTGGAGAAATAGTGATGACGCAGTCTCCAGCCACCCTGTCTGTGTCTCCAGGGGAAAGTGCCACCCTCTCCTGCAGGGCCAGTCAGAGTGTTAGCAGCAACTTAGCCTGGTACCAGCAGAGACCTGGCCAGGCTCCCAGCCTCCTCATCGATGGTTCATCCACCAGGGCCACTGGTATCCCAGCCAGGTTCAGTGGCAGTGGGTCTGGGACAGAGTTCACTCTCACCATCAGCAGCCTGCAGTCTGAAGATTTTGCAGTTTATTACTGTCAGCAGTATAATGACTGGCCTCTCACTTTCGGCGGAGGGACCAAGGTGGAGATCAAACGAACTGTGGCTGCACCATCTGTCTTCATCTTCCCGCCATCTGATGAGCAGTTGAAATCTGGAACTGCCTCTGTTGTGTGCCTGCTGAATAACTTCTATCCCAGAGAGGCCAAAGTACAGTGGAAGGTGGATAACGC</t>
  </si>
  <si>
    <t>GAAATAGTGATGACGCAGTCTCCAGCCACCCTGTCTGTGTCTCCAGGGGAAAGTGCCACCCTCTCCTGCAGGGCCAGTCAGAGTGTTAGCAGCAACTTAGCCTGGTACCAGCAGAGACCTGGCCAGGCTCCCAGCCTCCTCATCGATGGTTCATCCACCAGGGCCACTGGTATCCCAGCCAGGTTCAGTGGCAGTGGGTCTGGGACAGAGTTCACTCTCACCATCAGCAGCCTGCAGTCTGAAGATTTTGCAGTTTATTACTGTCAGCAGTATAATGACTGGCCTCTCACTTTCGGCGGAGGGACCAAGGTGGAGATCAAAC</t>
  </si>
  <si>
    <t>GAAATAGTGATGACGCAGTCTCCAGCCACCCTGTCTGTGTCTCCAGGGGAAAGTGCCACCCTCTCCTGCAGGGCCAGTCAGAGTGTT..................AGCAGCAACTTAGCCTGGTACCAGCAGAGACCTGGCCAGGCTCCCAGCCTCCTCATCGATGGTTCA.....................TCCACCAGGGCCACTGGTATCCCA...GCCAGGTTCAGTGGCAGTGGG......TCTGGGACAGAGTTCACTCTCACCATCAGCAGCCTGCAGTCTGAAGATTTTGCAGTTTATTACTGTCAGCAGTATAATGACTGGCCTCTCACTTTCGGCGGAGGGACCAAGGTGGAGATCAAAC</t>
  </si>
  <si>
    <t>TGTCAGCAGTATAATGACTGGCCTCTCACTTTC</t>
  </si>
  <si>
    <t>GAAATAGTGATGACGCAGTCTCCAGCCACCCTGTCTGTGTCTCCAGGGGAAAGTGCCACCCTCTCCTGCAGGGCCAGT</t>
  </si>
  <si>
    <t>TTAGCCTGGTACCAGCAGAGACCTGGCCAGGCTCCCAGCCTCCTCATCGAT</t>
  </si>
  <si>
    <t>ACCAGGGCCACTGGTATCCCA...GCCAGGTTCAGTGGCAGTGGG......TCTGGGACAGAGTTCACTCTCACCATCAGCAGCCTGCAGTCTGAAGATTTTGCAGTTTATTACTGT</t>
  </si>
  <si>
    <t>GGTTCA.....................TCC</t>
  </si>
  <si>
    <t>CAGCAGTATAATGACTGGCCTCTCACT</t>
  </si>
  <si>
    <t>CQQYNDWPLTF</t>
  </si>
  <si>
    <t>CTCACACTCACATGCA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</si>
  <si>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AAGTGGTTATTACTTCAGCGACGTCTGAATACTTCCAGCACTGGGGCCAGGGC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</si>
  <si>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AAGTGGTTATTACTTCAGCGACGTCTGAATACTTCCAGCACTGGGGCCAGGGC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</si>
  <si>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AAGTGGTTATTACTTCAGCGACGTCTGAATACTTCCAGCACTGGGGCCAGGGCACCCTGGTCACCGTCTCCTCAG</t>
  </si>
  <si>
    <t>TGTGCGAGAGAGGAAGTGGTTATTACTTCAGCGACGTCTGAATACTTCCAGCACTGG</t>
  </si>
  <si>
    <t>CAGGTGCAGCTGGTGGAGTCTGGGGGA...GGCGTGGTCCAGCCTGGGAGGTCCCTGAGACTCTCCTGTGCAGCGTCT</t>
  </si>
  <si>
    <t>TACTATGCAGACTCCGTGAAG...GGCCGATTCACCATCTCCAGAGACAATTCCAAGAACACGCTGTATCTGCAAATGAACAGCCTGAGAGCCGAGGACACGGCTGTGTATTACTGT</t>
  </si>
  <si>
    <t>TGGGGCCAGGGCACCCTGGTCACCGTCTCCTCAG</t>
  </si>
  <si>
    <t>ATATGGTATGAT......GGAAGTAATAAA</t>
  </si>
  <si>
    <t>GCGAGAGAGGAAGTGGTTATTACTTCAGCGACGTCTGAATACTTCCAGCAC</t>
  </si>
  <si>
    <t>CAREEVVITSATSEYFQHW</t>
  </si>
  <si>
    <t>G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C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</si>
  <si>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C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</si>
  <si>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CACGTTCGGCCAAGGGACCAAGGTGGAAATCAAAC</t>
  </si>
  <si>
    <t>TGTCAACAGAGTTACAGTACCCCTCGCACGTTC</t>
  </si>
  <si>
    <t>CAACAGAGTTACAGTACCCCTCGCACG</t>
  </si>
  <si>
    <t>CTCCTAGGTCTAACGT</t>
  </si>
  <si>
    <t>GAGCTCTGGGAGAGGAGCCCAGCACTAGAAGTCGGCGGTGTTTCCATTCGGTGATCAGCACTGAACACAGAGGACTCACCATGGAGTTTGGGCTGAGCTGGGTTTTCCTCGTTGCTCTTTTAAGAGGTGTCCAGTGTCAGGTGCTGCTGGTGGAGTCTGGGGGAGGCGTGGTCCAGCCTGGGAGGTCCCTGAGACTCTCCTGTGCAGCGTCTGGATTCACCTTCAGTAGCAGTGGCATGCACTGGGTCCGCCAGGCTCCAGGCAAGGGGCTGGAGTGGGTGGCACTTATATGGTATGATGGAAGTAATAAATACTATGCAGACTCCGTGAAGGGCCGATTCACCGTCTCCAGAGACAATTCCAGGAACACGCTGTATCTGCAAATGAACAGCCTGAGAGCCGAGGACACGGCTGTCTATTACTGTGCGAGATGGATCGTTAATACTACCCCTACAAATCCAGGAAACAATTGGTTCGACCCCTGGGGCCAGGGAACCCTGGTCACCGTCTCCTCAGCCTCCACCAAGGGCCCATCGGTCTTCCCCCTGGCACCCTCCTCCAAGAGCACCTCTGGGGGCACAGCGGCCCTGGGCTGCCTGGTCAAGGACTACTTCCCCGAACCGGTGACGGTGTCGTGGAACTCAGGCGCCCTGACCAGCGGCGTGCACACCTTCCCGGCTGTCCTACAGTCCTCAGGA</t>
  </si>
  <si>
    <t>CAGGTGCTGCTGGTGGAGTCTGGGGGAGGCGTGGTCCAGCCTGGGAGGTCCCTGAGACTCTCCTGTGCAGCGTCTGGATTCACCTTCAGTAGCAGTGGCATGCACTGGGTCCGCCAGGCTCCAGGCAAGGGGCTGGAGTGGGTGGCACTTATATGGTATGATGGAAGTAATAAATACTATGCAGACTCCGTGAAGGGCCGATTCACCGTCTCCAGAGACAATTCCAGGAACACGCTGTATCTGCAAATGAACAGCCTGAGAGCCGAGGACACGGCTGTCTATTACTGTGCGAGATGGATCGTTAATACTACCCCTACAAATCCAGGAAACAATTGGTTCGACCCCTGGGGCCAGGGAACCCTGGTCACCGTCTCCTCAG</t>
  </si>
  <si>
    <t>CAGGTGCTGCTGGTGGAGTCTGGGGGA...GGCGTGGTCCAGCCTGGGAGGTCCCTGAGACTCTCCTGTGCAGCGTCTGGATTCACCTTC............AGTAGCAGTGGCATGCACTGGGTCCGCCAGGCTCCAGGCAAGGGGCTGGAGTGGGTGGCACTTATATGGTATGAT......GGAAGTAATAAATACTATGCAGACTCCGTGAAG...GGCCGATTCACCGTCTCCAGAGACAATTCCAGGAACACGCTGTATCTGCAAATGAACAGCCTGAGAGCCGAGGACACGGCTGTCTATTACTGTGCGAGATGGATCGTTAATACTACCCCTACAAATCCAGGAAACAATTGGTTCGACCCCTGGGGCCAGGGAACCCTGGTCACCGTCTCCTCAG</t>
  </si>
  <si>
    <t>TGTGCGAGATGGATCGTTAATACTACCCCTACAAATCCAGGAAACAATTGGTTCGACCCCTGG</t>
  </si>
  <si>
    <t>CAGGTGCTGCTGGTGGAGTCTGGGGGA...GGCGTGGTCCAGCCTGGGAGGTCCCTGAGACTCTCCTGTGCAGCGTCT</t>
  </si>
  <si>
    <t>ATGCACTGGGTCCGCCAGGCTCCAGGCAAGGGGCTGGAGTGGGTGGCACTT</t>
  </si>
  <si>
    <t>TACTATGCAGACTCCGTGAAG...GGCCGATTCACCGTCTCCAGAGACAATTCCAGGAACACGCTGTATCTGCAAATGAACAGCCTGAGAGCCGAGGACACGGCTGTCTATTACTGT</t>
  </si>
  <si>
    <t>GGATTCACCTTC............AGTAGCAGTGGC</t>
  </si>
  <si>
    <t>GCGAGATGGATCGTTAATACTACCCCTACAAATCCAGGAAACAATTGGTTCGACCCC</t>
  </si>
  <si>
    <t>CARWIVNTTPTNPGNNWFDPW</t>
  </si>
  <si>
    <t>CTCTCCTAGGTCTAACGTACGTATTGTTTTTCTATTATGGGAGTCAGTCTCAGTCAGGACACAGCATGGACATGAGGGTCCCCGCTCAGCTCCTGGGGCTCCTGCTACTCTGGCTCCGAGGTGCCAGATGTGACATCCAGATGACCCAGTCTCCATCCTCCCTGTCTGCATCTGTTAGAGACAGAGTCACCATCACTTGCCGGGCAAGTCAGAACATTCGCACCTATTTAAATTGGTATCAGCAGAAACCAGGGAAAGCCCCTAACCTCCTGATCTATGCTGCATCCAGTTTGCAAAGTGGGGTCCCATCAAGGTTCAGTGGCAGTGGATCTGGGACAGATTTCACTCTCACCATCAGCAGTCTGCAACCTGAAGATTTTGCAACTTACTACTGTCAACAGAGTTACAATACCCCTCCGACTTTCGGCGGAGGGACCAAGGTGGAGATCAAACGAACTGTGGCTGCACCATCTGTCTTCATCTTCCCGCCATCTGATGAGCAGTTGAAATCTGGAACTGCCTCTGTTGTGTGCCTGCTGAATAACTTCTATCCCAGAGAGGCCAAAGTACAGTGGAAGGTGGATAACGC</t>
  </si>
  <si>
    <t>GACATCCAGATGACCCAGTCTCCATCCTCCCTGTCTGCATCTGTTAGAGACAGAGTCACCATCACTTGCCGGGCAAGTCAGAACATTCGCACCTATTTAAATTGGTATCAGCAGAAACCAGGGAAAGCCCCTAACCTCCTGATCTATGCTGCATCCAGTTTGCAAAGTGGGGTCCCATCAAGGTTCAGTGGCAGTGGATCTGGGACAGATTTCACTCTCACCATCAGCAGTCTGCAACCTGAAGATTTTGCAACTTACTACTGTCAACAGAGTTACAATACCCCTCCGACTTTCGGCGGAGGGACCAAGGTGGAGATCAAAC</t>
  </si>
  <si>
    <t>GACATCCAGATGACCCAGTCTCCATCCTCCCTGTCTGCATCTGTTAGAGACAGAGTCACCATCACTTGCCGGGCAAGTCAGAACATT..................CGCACCTATTTAAATTGGTATCAGCAGAAACCAGGGAAAGCCCCTAACCTCCTGATCTATGCTGCA.....................TCCAGTTTGCAAAGTGGGGTCCCA...TCAAGGTTCAGTGGCAGTGGA......TCTGGGACAGATTTCACTCTCACCATCAGCAGTCTGCAACCTGAAGATTTTGCAACTTACTACTGTCAACAGAGTTACAATACCCCTCCGACTTTCGGCGGAGGGACCAAGGTGGAGATCAAAC</t>
  </si>
  <si>
    <t>TGTCAACAGAGTTACAATACCCCTCCGACTTTC</t>
  </si>
  <si>
    <t>GACATCCAGATGACCCAGTCTCCATCCTCCCTGTCTGCATCTGTTAGAGACAGAGTCACCATCACTTGCCGGGCAAGT</t>
  </si>
  <si>
    <t>TTAAATTGGTATCAGCAGAAACCAGGGAAAGCCCCTAACCTCCTGATCTAT</t>
  </si>
  <si>
    <t>CAGAACATT..................CGCACCTAT</t>
  </si>
  <si>
    <t>CAACAGAGTTACAATACCCCTCCGACT</t>
  </si>
  <si>
    <t>CQQSYNTPPTF</t>
  </si>
  <si>
    <t>CTCGTACAGGTTACCT</t>
  </si>
  <si>
    <t>CTGGGACCCAAAAACCACACCCCTCCTTGGGAGAATCCCCTAGATCACAGCTCCTCACCATGGACTGGACCTGGAGCATCCTTTTCTTGGTGGCAGCAGCAACAGGTGCCCACTCCCAGGTTCAGCTGGTGCAGTCTGGAGCTGAGGTGAAGAAGCCTGGGGCCTCAGTGAAGGTCTCCTGCAAGGCTTCTGGTTACACCTTTACCAGCTATGGTATCAGCTGGGTGCGACAGGCCCCTGGACAAGGGCTTGAGTGGATGGGATGGATCAGCGCTTACTATGGGAACACAAACTATGCACAGAGGCTCCAGGGCAGAGTCACCATGACCACAGACACATCGACGACCACAGCCTACATGGAGCTGAGGAGCCTGAGATCTGACGACACGGCCGTCTATTACTGTGCGAGAGATCAGTATGATGATAGTAGTGGTAATTACCTGGACTACTGGGGCCAGGGAACCCTGGTCACCGTCTCCTCAGCCTCCACCAAGGGCCCATCGGTCTTCCCCCTGGCACCCTCCTCCAAGAGCACCTCTGGGGGCACAGCGGCCCTGGGCTGCCTGGTCAAGGACTACTTCCCCGAACCGGTGACGGTGTCGTGGAACTCAGGCGCCCTGACCAGCGGCGTGCACACCTTCCCGGCTGTCCTACAGTCCTCAGGA</t>
  </si>
  <si>
    <t>IGHV1-18</t>
  </si>
  <si>
    <t>CAGGTTCAGCTGGTGCAGTCTGGAGCTGAGGTGAAGAAGCCTGGGGCCTCAGTGAAGGTCTCCTGCAAGGCTTCTGGTTACACCTTTACCAGCTATGGTATCAGCTGGGTGCGACAGGCCCCTGGACAAGGGCTTGAGTGGATGGGATGGATCAGCGCTTACTATGGGAACACAAACTATGCACAGAGGCTCCAGGGCAGAGTCACCATGACCACAGACACATCGACGACCACAGCCTACATGGAGCTGAGGAGCCTGAGATCTGACGACACGGCCGTCTATTACTGTGCGAGAGATCAGTATGATGATAGTAGTGGTAATTACCTGGACTACTGGGGCCAGGGAACCCTGGTCACCGTCTCCTCAG</t>
  </si>
  <si>
    <t>CAGGTTCAGCTGGTGCAGTCTGGAGCT...GAGGTGAAGAAGCCTGGGGCCTCAGTGAAGGTCTCCTGCAAGGCTTCTGGTTACACCTTT............ACCAGCTATGGTATCAGCTGGGTGCGACAGGCCCCTGGACAAGGGCTTGAGTGGATGGGATGGATCAGCGCTTAC......TATGGGAACACAAACTATGCACAGAGGCTCCAG...GGCAGAGTCACCATGACCACAGACACATCGACGACCACAGCCTACATGGAGCTGAGGAGCCTGAGATCTGACGACACGGCCGTCTATTACTGTGCGAGAGATCAGTATGATGATAGTAGTGGTAATTACCTGGACTACTGGGGCCAGGGAACCCTGGTCACCGTCTCCTCAG</t>
  </si>
  <si>
    <t>TGTGCGAGAGATCAGTATGATGATAGTAGTGGTAATTACCTGGACTACTGG</t>
  </si>
  <si>
    <t>CAGGTTCAGCTGGTGCAGTCTGGAGCT...GAGGTGAAGAAGCCTGGGGCCTCAGTGAAGGTCTCCTGCAAGGCTTCT</t>
  </si>
  <si>
    <t>ATCAGCTGGGTGCGACAGGCCCCTGGACAAGGGCTTGAGTGGATGGGATGG</t>
  </si>
  <si>
    <t>AACTATGCACAGAGGCTCCAG...GGCAGAGTCACCATGACCACAGACACATCGACGACCACAGCCTACATGGAGCTGAGGAGCCTGAGATCTGACGACACGGCCGTCTATTACTGT</t>
  </si>
  <si>
    <t>GGTTACACCTTT............ACCAGCTATGGT</t>
  </si>
  <si>
    <t>ATCAGCGCTTAC......TATGGGAACACA</t>
  </si>
  <si>
    <t>GCGAGAGATCAGTATGATGATAGTAGTGGTAATTACCTGGACTAC</t>
  </si>
  <si>
    <t>CARDQYDDSSGNYLDYW</t>
  </si>
  <si>
    <t>GGTAGCTCAGGAAGCAGAGCCTGGAGCATCTCCACTATGGCCTGGGCTCCACTACTTCTCACCCTCCTCGCTCACTGCACAGGTTCTTGGGCCAATTTTATGCTGACTCAGCCGCACTCTGTGTCGGAGTCTCCGGGGAAGACGGTAACCATCTCCTGCACCCGCAGCAGTGGCAGCATTGCCAGCAACTATGTGCAGTGGTACCAGCAGCGCCCGGGCAGTGCCCCCACCACTGTGATCTCTGAGGATAACCAAAGACCCTCTGGGGTCCCTGATCGCTTCTCTGGCTCCATCGACAGCTCCTCCAACTCTGCCTCCCTCAGCATCTCTGGACTGAAGACTGAGGACGAGGCTGACTACTACTGTCAGTCTTATGATAGCAGCAATCAGGGGGTGATATTCGGCGGAGGGACCAAGCTGACCGTCCTACGTCAGCCCAAGGCTGCCCCCTCGGTCACTCTGTTCCCGCCCTCCTCTGAGGAGCTTCAAGCCAACAAGGCCACACTGGTGTGTCTCATAAGTGACTTCTACCCGGGAGCCGTGACAGTGGCCTGGAAGGCAGATAGCAGCCCCGTCAAGGCGGGAGTGGAGACCACCACACCCTCCAAACAAAGCAACAACAAGTACGCGGCCAGCAGCTA</t>
  </si>
  <si>
    <t>AATTTTATGCTGACTCAGCCGCACTCTGTGTCGGAGTCTCCGGGGAAGACGGTAACCATCTCCTGCACCCGCAGCAGTGGCAGCATTGCCAGCAACTATGTGCAGTGGTACCAGCAGCGCCCGGGCAGTGCCCCCACCACTGTGATCTCTGAGGATAACCAAAGACCCTCTGGGGTCCCTGATCGCTTCTCTGGCTCCATCGACAGCTCCTCCAACTCTGCCTCCCTCAGCATCTCTGGACTGAAGACTGAGGACGAGGCTGACTACTACTGTCAGTCTTATGATAGCAGCAATCAGGGGGTGATATTCGGCGGAGGGACCAAGCTGACCGTCCTAC</t>
  </si>
  <si>
    <t>AATTTTATGCTGACTCAGCCGCACTCT...GTGTCGGAGTCTCCGGGGAAGACGGTAACCATCTCCTGCACCCGCAGCAGTGGCAGCATT............GCCAGCAACTATGTGCAGTGGTACCAGCAGCGCCCGGGCAGTGCCCCCACCACTGTGATCTCTGAGGAT.....................AACCAAAGACCCTCTGGGGTCCCT...GATCGCTTCTCTGGCTCCATCGACAGCTCCTCCAACTCTGCCTCCCTCAGCATCTCTGGACTGAAGACTGAGGACGAGGCTGACTACTACTGTCAGTCTTATGATAGCAGCAATCAGGGGGTGATATTCGGCGGAGGGACCAAGCTGACCGTCCTAC</t>
  </si>
  <si>
    <t>TGTCAGTCTTATGATAGCAGCAATCAGGGGGTGATATTC</t>
  </si>
  <si>
    <t>GTGCAGTGGTACCAGCAGCGCCCGGGCAGTGCCCCCACCACTGTGATCTCT</t>
  </si>
  <si>
    <t>CAAAGACCCTCTGGGGTCCCT...GATCGCTTCTCTGGCTCCATCGACAGCTCCTCCAACTCTGCCTCCCTCAGCATCTCTGGACTGAAGACTGAGGACGAGGCTGACTACTACTGT</t>
  </si>
  <si>
    <t>CAGTCTTATGATAGCAGCAATCAGGGGGTGATA</t>
  </si>
  <si>
    <t>CQSYDSSNQGVIF</t>
  </si>
  <si>
    <t>CTCTGGTGTTAAAGTG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</si>
  <si>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GGCGTATAGTGGGAGCTACAAGTCGGT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</si>
  <si>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GGGCGTATAGTGGGAGCTACAAGTCGGT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</si>
  <si>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GGGCGTATAGTGGGAGCTACAAGTCGGTACTACTTTGACTACTGGGGCCAGGGAACCCTGGTCACCGTCTCCTCAG</t>
  </si>
  <si>
    <t>TGTGCGAGAGATGGGCGTATAGTGGGAGCTACAAGTCGGTACTACTTTGACTACTGG</t>
  </si>
  <si>
    <t>AACTATGCACAGAAGTTTCAG...GGCAGGGTCACCATGACCAGGGACACGTCCATCAGCACAGCCTACATGGAGCTGAGCAGGCTGAGATCTGACGACACGGCCGTGTATTACTGT</t>
  </si>
  <si>
    <t>GGATACACCTTC............ACCGGCTACTAT</t>
  </si>
  <si>
    <t>GCGAGAGATGGGCGTATAGTGGGAGCTACAAGTCGGTACTACTTTGACTAC</t>
  </si>
  <si>
    <t>CARDGRIVGATSRYYFDYW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</si>
  <si>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</si>
  <si>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</si>
  <si>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CTCACTTTCGGCGGAGGGACCAAGGTGGAGATCAAAC</t>
  </si>
  <si>
    <t>TGTCAGCAGCGTAGCAACTGGCCCCTCACTTTC</t>
  </si>
  <si>
    <t>CAGCAGCGTAGCAACTGGCCCCTCACT</t>
  </si>
  <si>
    <t>CTGCCTAGTTAGATGA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</si>
  <si>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GGAAGTAGGGCTCGAGCAGTGGCTGGTACCGGCTCT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</si>
  <si>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GGAAGTAGGGCTCGAGCAGTGGCTGGTACCGGCTCT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</si>
  <si>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GGAAGTAGGGCTCGAGCAGTGGCTGGTACCGGCTCTCTTTGACTACTGGGGCCAGGGAACCCTGGTCACCGTCTCCTCAG</t>
  </si>
  <si>
    <t>TGTGCGAGAGCGGAAGTAGGGCTCGAGCAGTGGCTGGTACCGGCTCTCTTTGACTACTGG</t>
  </si>
  <si>
    <t>GCGAGAGCGGAAGTAGGGCTCGAGCAGTGGCTGGTACCGGCTCTCTTTGACTAC</t>
  </si>
  <si>
    <t>CARAEVGLEQWLVPALFDYW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</si>
  <si>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ACCGTCG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</si>
  <si>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ACCGTCG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</si>
  <si>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ACCGTCGCTTTTGGCCAGGGGACCAAGCTGGAGATCAAAC</t>
  </si>
  <si>
    <t>TGTCAGCAGTATGGTAGCTCAACCGTCGCTTTT</t>
  </si>
  <si>
    <t>CAGCAGTATGGTAGCTCAACCGTCGCT</t>
  </si>
  <si>
    <t>CQQYGSSTVAF</t>
  </si>
  <si>
    <t>CTGCGGAGTCTGGTCG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</si>
  <si>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GCCAGGGATCGATATTGTAGTAGTACCAGCTGCCCACCGTACT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</si>
  <si>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GCCAGGGATCGATATTGTAGTAGTACCAGCTGCCCACCGTACT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</si>
  <si>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GGGCCAGGGATCGATATTGTAGTAGTACCAGCTGCCCACCGTACTACTTTGACTACTGGGGCCAGGGAACCCTGGTCACCGTCTCCTCAG</t>
  </si>
  <si>
    <t>TGTGCGAGAGATAGGGCCAGGGATCGATATTGTAGTAGTACCAGCTGCCCACCGTACTACTTTGACTACTGG</t>
  </si>
  <si>
    <t>AACTATGCACAGAAGCTCCAG...GGCAGAGTCACCATGACCACAGACACATCCACGAGCACAGCCTACATGGAGCTGAGGAGCCTGAGATCTGACGACACGGCCGTGTATTACTGT</t>
  </si>
  <si>
    <t>ATCAGCGCTTAC......AATGGTAACACA</t>
  </si>
  <si>
    <t>GCGAGAGATAGGGCCAGGGATCGATATTGTAGTAGTACCAGCTGCCCACCGTACTACTTTGACTAC</t>
  </si>
  <si>
    <t>CARDRARDRYCSSTSCPPYYFDYW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</si>
  <si>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</si>
  <si>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</si>
  <si>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GACGTTCGGCCAAGGGACCAAGGTGGAAATCAAAC</t>
  </si>
  <si>
    <t>TGCCAACAGTATAATAGTTATTCTCGGACGTTC</t>
  </si>
  <si>
    <t>CAACAGTATAATAGTTATTCTCGGACG</t>
  </si>
  <si>
    <t>CQQYNSYSRTF</t>
  </si>
  <si>
    <t>CTGTGCTAGATGTCGG</t>
  </si>
  <si>
    <t>CTGTGCTAGATGTCGGAGACCCGTCTTGTCTTATCTGGGGGCTTTCTGAGAGTCATGGATCTCATGTGCAAGAAAATGAAGCACCTGTGGTTCTTCCTCCTGCTGGTGGCGGCTCCCAGATGGGTCCTGTCCCAGCTGCAGCTGCAGGAGTCGGGCCCAGGACTGGTAAAGCCTTCGGAGACCCTGTCCCTCACCTGCACTGTCTCTGGTGCCTCCTTCAGCAGTACAAATTACTACTGGGGCTGGATCCGCCAGCCCCCAGGGAAGGGGCTGGAGTGGGTTGGGACTGTCTATAATAGCGGGAGCGCCTACTATAATCAGTCCCTCAGGAGTCGAGTCACCATATCCGTAGACACGTCCAAGAGCCAGCTCTCCCTGCAGCTGACTTCTGTGACCGCCGCAGACACGGCTGTGTATTACTGCGCGAGACATAAGGGCAGTGGTTCCATGTTTTTCGACTACTGGGGCCAGGGAGCCCTGGTCACCGTCTCCTCCGCATCCCCGACCAGCCCCAAGGTCTTCCCGCTGAGCCTCTGCAGCACCCAGCCAGATGGGAACGTGGTCATCGCCTGCCTGGTCCAGGGCTTCTTCCCCCAGGAGCCACTCAGTGTGACCTGGAGCGAAAGCGGACAGGGCGTGACCGCCAGAAACTTCCC</t>
  </si>
  <si>
    <t>IGHV4-39</t>
  </si>
  <si>
    <t>CAGCTGCAGCTGCAGGAGTCGGGCCCAGGACTGGTAAAGCCTTCGGAGACCCTGTCCCTCACCTGCACTGTCTCTGGTGCCTCCTTCAGCAGTACAAATTACTACTGGGGCTGGATCCGCCAGCCCCCAGGGAAGGGGCTGGAGTGGGTTGGGACTGTCTATAATAGCGGGAGCGCCTACTATAATCAGTCCCTCAGGAGTCGAGTCACCATATCCGTAGACACGTCCAAGAGCCAGCTCTCCCTGCAGCTGACTTCTGTGACCGCCGCAGACACGGCTGTGTATTACTGCGCGAGACATAAGGGCAGTGGTTCCATGTTTTTCGACTACTGGGGCCAGGGAGCCCTGGTCACCGTCTCCTCCG</t>
  </si>
  <si>
    <t>CAGCTGCAGCTGCAGGAGTCGGGCCCA...GGACTGGTAAAGCCTTCGGAGACCCTGTCCCTCACCTGCACTGTCTCTGGTGCCTCCTTCAGC......AGTACAAATTACTACTGGGGCTGGATCCGCCAGCCCCCAGGGAAGGGGCTGGAGTGGGTTGGGACTGTCTATAATAGC.........GGGAGCGCCTACTATAATCAGTCCCTCAGG...AGTCGAGTCACCATATCCGTAGACACGTCCAAGAGCCAGCTCTCCCTGCAGCTGACTTCTGTGACCGCCGCAGACACGGCTGTGTATTACTGCGCGAGACATAAGGGCAGTGGTTCCATGTTTTTCGACTACTGGGGCCAGGGAGCCCTGGTCACCGTCTCCTCCG</t>
  </si>
  <si>
    <t>TGCGCGAGACATAAGGGCAGTGGTTCCATGTTTTTCGACTACTGG</t>
  </si>
  <si>
    <t>CAGCTGCAGCTGCAGGAGTCGGGCCCA...GGACTGGTAAAGCCTTCGGAGACCCTGTCCCTCACCTGCACTGTCTCT</t>
  </si>
  <si>
    <t>TGGGGCTGGATCCGCCAGCCCCCAGGGAAGGGGCTGGAGTGGGTTGGGACT</t>
  </si>
  <si>
    <t>TACTATAATCAGTCCCTCAGG...AGTCGAGTCACCATATCCGTAGACACGTCCAAGAGCCAGCTCTCCCTGCAGCTGACTTCTGTGACCGCCGCAGACACGGCTGTGTATTACTGC</t>
  </si>
  <si>
    <t>TGGGGCCAGGGAGCCCTGGTCACCGTCTCCTCCG</t>
  </si>
  <si>
    <t>GGTGCCTCCTTCAGC......AGTACAAATTACTAC</t>
  </si>
  <si>
    <t>GTCTATAATAGC.........GGGAGCGCC</t>
  </si>
  <si>
    <t>GCGAGACATAAGGGCAGTGGTTCCATGTTTTTCGACTAC</t>
  </si>
  <si>
    <t>CARHKGSGSMFFDYW</t>
  </si>
  <si>
    <t>GGAGTCAGACCCAGTCAGGACACAGCATGGACATGAGGGTCCCCGCTCAGCTCCTGGGGCTCCTGCTGCTCTGGCTCCCAGGTGCCAAATGTGACATCCAGATGACCCAGTCTCCTTCCACCCTGTCTGCATCTGTAGGAGACAGAGTCACCATCACTTGCCGGGCCAGTCAGAGTATTAGTATCTGGGTGGCCTGGTATCAGCAGAAGCCAGGGGAAGCCCCTAACCTCCTGATCTTTAAGGCGTCTACTTTACAAAGTGGGGTCCCATCAAGGTTCAGCGGCAGTGGATCTGGGACAGAATTCACTCTCACCATCAGCAGCCTGCAGCCTGATGATTTTGCAACTTATTACTGCCTACAGTATAAAAGTTATTGGGCGTTCGGCCAGGGGACCAAGGTGGAAATCAGACGAACTGTGGCTGCACCATCTGTCTTCATCTTCCCGCCATCTGATGAGCAGTTGAAATCTGGAACTGCCTCTGTTGTGTGCCTGCTGAATAACTTCTATCCCAGAGAGGCCAAAGTACAGTGGAAGGTGGATAACGC</t>
  </si>
  <si>
    <t>GACATCCAGATGACCCAGTCTCCTTCCACCCTGTCTGCATCTGTAGGAGACAGAGTCACCATCACTTGCCGGGCCAGTCAGAGTATTAGTATCTGGGTGGCCTGGTATCAGCAGAAGCCAGGGGAAGCCCCTAACCTCCTGATCTTTAAGGCGTCTACTTTACAAAGTGGGGTCCCATCAAGGTTCAGCGGCAGTGGATCTGGGACAGAATTCACTCTCACCATCAGCAGCCTGCAGCCTGATGATTTTGCAACTTATTACTGCCTACAGTATAAAAGTTATTGGGCGTTCGGCCAGGGGACCAAGGTGGAAATCAGAC</t>
  </si>
  <si>
    <t>GACATCCAGATGACCCAGTCTCCTTCCACCCTGTCTGCATCTGTAGGAGACAGAGTCACCATCACTTGCCGGGCCAGTCAGAGTATT..................AGTATCTGGGTGGCCTGGTATCAGCAGAAGCCAGGGGAAGCCCCTAACCTCCTGATCTTTAAGGCG.....................TCTACTTTACAAAGTGGGGTCCCA...TCAAGGTTCAGCGGCAGTGGA......TCTGGGACAGAATTCACTCTCACCATCAGCAGCCTGCAGCCTGATGATTTTGCAACTTATTACTGCCTACAGTATAAAAGTTATTGGGCGTTCGGCCAGGGGACCAAGGTGGAAATCAGAC</t>
  </si>
  <si>
    <t>TGCCTACAGTATAAAAGTTATTGGGCGTTC</t>
  </si>
  <si>
    <t>GTGGCCTGGTATCAGCAGAAGCCAGGGGAAGCCCCTAACCTCCTGATCTTT</t>
  </si>
  <si>
    <t>ACTTTACAAAGTGGGGTCCCA...TCAAGGTTCAGCGGCAGTGGA......TCTGGGACAGAATTCACTCTCACCATCAGCAGCCTGCAGCCTGATGATTTTGCAACTTATTACTGC</t>
  </si>
  <si>
    <t>TTCGGCCAGGGGACCAAGGTGGAAATCAGAC</t>
  </si>
  <si>
    <t>CAGAGTATT..................AGTATCTGG</t>
  </si>
  <si>
    <t>CTACAGTATAAAAGTTATTGGGCG</t>
  </si>
  <si>
    <t>CLQYKSYWAF</t>
  </si>
  <si>
    <t>CTGTTTATCTTGTACT</t>
  </si>
  <si>
    <t>AGCTCTGAGAGAGGAGCCTAGCCCTGGATTCCAAGGCCTATCCACTTGGTGATCAGCACTGAGCACCGAGGATTCACCATGGAACTGGGGCTCCGCTGGGTTTTCCTTGTTGCTCTCTTAGAAGGTGTCCACTGTGAGGTGCGACTGGAGGAGTCTGGGGGCGGCCTGGTCAAGCCGGGGGGGTCCCTGAGACTCTCCTGCGCAGCCTCTGGGTTCAGCCTCAGTAGTCATGCCATGGCCTGGGTCCGCCAGGTTCCAGGGAAGGGGCCTCTTTGGGTCGCGTCCGTTAGTCTTCTTGGTGACTTCATACACTATGCAGACTCAGTGAAGGGCCGATTCACCATCTCCAGAGACAACAACCAGAATTCAGTGTTTCTACAAATGAACGAACTGAGAGCCGAAGACACGGCTGTCTATTTCTGTGCGAGAGGCAGTGCTTTCCGTGTCGGCTACTGTACTAGCACAAGTCCGCTTGGGTGCGGCCTGGACGTCTGGGGCCAAGGGACCACGGTCACCGTGTCCTCAGCCTCCACCAAGGGCCCATCGGTCTTCCCCCTGGCACCCTCCTCCAAGAGCACCTCTGGGGGCACAGCGGCCCTGGGCTGCCTGGTCAAGGACTACTTCCCCGAACCGGTGACGGTGTCGTGGAACTCAGGCGCCCTGACCAGCGGCGTGCACACCTTCCCGGCTGTCCTACAGTCCTCAGGA</t>
  </si>
  <si>
    <t>GAGGTGCGACTGGAGGAGTCTGGGGGCGGCCTGGTCAAGCCGGGGGGGTCCCTGAGACTCTCCTGCGCAGCCTCTGGGTTCAGCCTCAGTAGTCATGCCATGGCCTGGGTCCGCCAGGTTCCAGGGAAGGGGCCTCTTTGGGTCGCGTCCGTTAGTCTTCTTGGTGACTTCATACACTATGCAGACTCAGTGAAGGGCCGATTCACCATCTCCAGAGACAACAACCAGAATTCAGTGTTTCTACAAATGAACGAACTGAGAGCCGAAGACACGGCTGTCTATTTCTGTGCGAGAGGCAGTGCTTTCCGTGTCGGCTACTGTACTAGCACAAGTCCGCTTGGGTGCGGCCTGGACGTCTGGGGCCAAGGGACCACGGTCACCGTGTCCTCAG</t>
  </si>
  <si>
    <t>GAGGTGCGACTGGAGGAGTCTGGGGGC...GGCCTGGTCAAGCCGGGGGGGTCCCTGAGACTCTCCTGCGCAGCCTCTGGGTTCAGCCTC............AGTAGTCATGCCATGGCCTGGGTCCGCCAGGTTCCAGGGAAGGGGCCTCTTTGGGTCGCGTCCGTTAGTCTTCTT......GGTGACTTCATACACTATGCAGACTCAGTGAAG...GGCCGATTCACCATCTCCAGAGACAACAACCAGAATTCAGTGTTTCTACAAATGAACGAACTGAGAGCCGAAGACACGGCTGTCTATTTCTGTGCGAGAGGCAGTGCTTTCCGTGTCGGCTACTGTACTAGCACAAGTCCGCTTGGGTGCGGCCTGGACGTCTGGGGCCAAGGGACCACGGTCACCGTGTCCTCAG</t>
  </si>
  <si>
    <t>TGTGCGAGAGGCAGTGCTTTCCGTGTCGGCTACTGTACTAGCACAAGTCCGCTTGGGTGCGGCCTGGACGTCTGG</t>
  </si>
  <si>
    <t>GAGGTGCGACTGGAGGAGTCTGGGGGC...GGCCTGGTCAAGCCGGGGGGGTCCCTGAGACTCTCCTGCGCAGCCTCT</t>
  </si>
  <si>
    <t>ATGGCCTGGGTCCGCCAGGTTCCAGGGAAGGGGCCTCTTTGGGTCGCGTCC</t>
  </si>
  <si>
    <t>CACTATGCAGACTCAGTGAAG...GGCCGATTCACCATCTCCAGAGACAACAACCAGAATTCAGTGTTTCTACAAATGAACGAACTGAGAGCCGAAGACACGGCTGTCTATTTCTGT</t>
  </si>
  <si>
    <t>TGGGGCCAAGGGACCACGGTCACCGTGTCCTCAG</t>
  </si>
  <si>
    <t>GGGTTCAGCCTC............AGTAGTCATGCC</t>
  </si>
  <si>
    <t>GTTAGTCTTCTT......GGTGACTTCATA</t>
  </si>
  <si>
    <t>GCGAGAGGCAGTGCTTTCCGTGTCGGCTACTGTACTAGCACAAGTCCGCTTGGGTGCGGCCTGGACGTC</t>
  </si>
  <si>
    <t>CARGSAFRVGYCTSTSPLGCGLDVW</t>
  </si>
  <si>
    <t>AGAGCTCTGGAGAAGAGCTGCTCAGTTAGGACCCAGAGGGAACCATGGAAACCCCAGCGCAGCTTCTCTTCCTCCTGCTACTCTGGCTCCCAGATACCACCGGAGAAATTGTGTTGACGCAATCACCAGACACCCTGGCCTTGTCTCCAGGGGAGAGGGCCACCCTCTCCTGCAGGGCCAGTCAGGTTGTTCAAACGAGCTACTTAGCCTGGTATCATCAGAAGCCTGGCCGGGCTCCCAGGCTCCTCATTTATGGTGCGTCCTACAGGGCCCCTGGCATCCCAGACAGGTTCAGTGCCAGTGGGGGTGGGACACAGTTCACTCTCACGATCAGCAGACTGGAGCCTGAAGATTTTGCAGTCTATTATTGTCAACACTATAGGATCTCACCTTACACTTTTGGCCCGGGGACCAAGCTGGAGATCAAACGAACTGTGGCTGCACCATCTGTCTTCATCTTCCCGCCATCTGATGAGCAGTTGAAATCTGGAACTGCCTCTGTTGTGTGCCTGCTGAATAACTTCTATCCCAGAGAGGCCAAAGTACAGTGGAAGGTGGATAACGC</t>
  </si>
  <si>
    <t>GAAATTGTGTTGACGCAATCACCAGACACCCTGGCCTTGTCTCCAGGGGAGAGGGCCACCCTCTCCTGCAGGGCCAGTCAGGTTGTTCAAACGAGCTACTTAGCCTGGTATCATCAGAAGCCTGGCCGGGCTCCCAGGCTCCTCATTTATGGTGCGTCCTACAGGGCCCCTGGCATCCCAGACAGGTTCAGTGCCAGTGGGGGTGGGACACAGTTCACTCTCACGATCAGCAGACTGGAGCCTGAAGATTTTGCAGTCTATTATTGTCAACACTATAGGATCTCACCTTACACTTTTGGCCCGGGGACCAAGCTGGAGATCAAAC</t>
  </si>
  <si>
    <t>GAAATTGTGTTGACGCAATCACCAGACACCCTGGCCTTGTCTCCAGGGGAGAGGGCCACCCTCTCCTGCAGGGCCAGTCAGGTTGTTCAA...............ACGAGCTACTTAGCCTGGTATCATCAGAAGCCTGGCCGGGCTCCCAGGCTCCTCATTTATGGTGCG.....................TCCTACAGGGCCCCTGGCATCCCA...GACAGGTTCAGTGCCAGTGGG......GGTGGGACACAGTTCACTCTCACGATCAGCAGACTGGAGCCTGAAGATTTTGCAGTCTATTATTGTCAACACTATAGGATCTCACCTTACACTTTTGGCCCGGGGACCAAGCTGGAGATCAAAC</t>
  </si>
  <si>
    <t>TGTCAACACTATAGGATCTCACCTTACACTTTT</t>
  </si>
  <si>
    <t>GAAATTGTGTTGACGCAATCACCAGACACCCTGGCCTTGTCTCCAGGGGAGAGGGCCACCCTCTCCTGCAGGGCCAGT</t>
  </si>
  <si>
    <t>TTAGCCTGGTATCATCAGAAGCCTGGCCGGGCTCCCAGGCTCCTCATTTAT</t>
  </si>
  <si>
    <t>TACAGGGCCCCTGGCATCCCA...GACAGGTTCAGTGCCAGTGGG......GGTGGGACACAGTTCACTCTCACGATCAGCAGACTGGAGCCTGAAGATTTTGCAGTCTATTATTGT</t>
  </si>
  <si>
    <t>TTTGGCCCGGGGACCAAGCTGGAGATCAAAC</t>
  </si>
  <si>
    <t>CAGGTTGTTCAA...............ACGAGCTAC</t>
  </si>
  <si>
    <t>GGTGCG.....................TCC</t>
  </si>
  <si>
    <t>CAACACTATAGGATCTCACCTTACACT</t>
  </si>
  <si>
    <t>CQHYRISPYTF</t>
  </si>
  <si>
    <t>GAACATCAGTCGTACT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</si>
  <si>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TGCGGAGGCTACTGCCTCTGGGGCCAGGGAACCCTGGTCACCGTCTCCTCAGGGAGTGCATCCGCCCCAACCCTTTTCCCCCTCGTCTCCTGTGAGAATTCCCCGTCGGATACGAGCAGCGTG</t>
  </si>
  <si>
    <t>IGHD6-25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</si>
  <si>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TGCGGAGGCTACTGCCT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</si>
  <si>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TTGCGGAGGCTACTGCCTCTGGGGCCAGGGAACCCTGGTCACCGTCTCCTCAG</t>
  </si>
  <si>
    <t>TGTGCGAGAGATTGCGGAGGCTACTGCCTCTGG</t>
  </si>
  <si>
    <t>CAGGTGCAGCTGGTGGAGTCTGGGGGA...GGCTTGGTCAAGCCTGGAGGGTCCCTGAGACTCTCCTGTGCAGCCTCT</t>
  </si>
  <si>
    <t>TACTACGCAGACTCTGTGAAG...GGCCGATTCACCATCTCCAGGGACAACGCCAAGAACTCACTGTATCTGCAAATGAACAGCCTGAGAGCCGAGGACACGGCCGTGTATTACTGT</t>
  </si>
  <si>
    <t>ATTAGTAGTAGT......GGTAGTACCATA</t>
  </si>
  <si>
    <t>GCGAGAGATTGCGGAGGCTACTGCCTC</t>
  </si>
  <si>
    <t>CARDCGGYCLW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</si>
  <si>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</si>
  <si>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</si>
  <si>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AGACGTTCGGCCAAGGGACCAAGGTGGAAATCAAAC</t>
  </si>
  <si>
    <t>TGCATGCAAGCTCTACAAACTCCTCAGACGTTC</t>
  </si>
  <si>
    <t>ATGCAAGCTCTACAAACTCCTCAGACG</t>
  </si>
  <si>
    <t>CMQALQTPQTF</t>
  </si>
  <si>
    <t>GAACCTATCCCATTAT</t>
  </si>
  <si>
    <t>GGGGTCTCCCTCACTGCCCAGCTGGGATCTCAGGGCTTCATTTGCTGTCCTCCACCATCATGGGGTCAACCGCCATCCTCGCCCTCCTCCTGGCTGTTCTCCAAGGAGTCTGTGCCGAGGTGCAGCTGGTTCAGTCTGGAGCAGAGGTGAAAAAGCCGGGGGAGTCTCTGAAGATCTCTTGTAAGGGTTCTGGATACACCTTCAGCACCCATTGGATCGCCTGGGTGCGTCAGATGCCCGGGAAAGGCCTGGAGTGGATGGGGATTATCCATCCTGGTGACTCTGAGACCAGATATAGCCCGTCCTTCCAAGGCCAGGTCACCATCTCAGCCGACATGTCCATCAGCACCGCCTTCCTGCAGTGGACCAGCCTGAAGGCCTCGGACACCGCCATGTATTATTGTGCGAGACCCGGGCGTTCGGGGAATACTCCCAATATCCTCACCTTTGACTACTGGGGCCACGGAACCCTGGTCACCGTCTCCTCACCCTCCACCAAGGGCCCATCGGTCTTCCCCCTGGCGCCCTGCTCCAGGAGCACCTCCGAGAGCACAGCGGCCCTGGGCTGCCTGGTCAAGGACTACTTCCCCGAACCGGTGACGGTGTCGTGGAACTCAGGCGCTCTGACCAGCGGCGTGCACACCTTCCCGGCTGTCCTACAGTCCTCAGGA</t>
  </si>
  <si>
    <t>IGHV5-51</t>
  </si>
  <si>
    <t>GAGGTGCAGCTGGTTCAGTCTGGAGCAGAGGTGAAAAAGCCGGGGGAGTCTCTGAAGATCTCTTGTAAGGGTTCTGGATACACCTTCAGCACCCATTGGATCGCCTGGGTGCGTCAGATGCCCGGGAAAGGCCTGGAGTGGATGGGGATTATCCATCCTGGTGACTCTGAGACCAGATATAGCCCGTCCTTCCAAGGCCAGGTCACCATCTCAGCCGACATGTCCATCAGCACCGCCTTCCTGCAGTGGACCAGCCTGAAGGCCTCGGACACCGCCATGTATTATTGTGCGAGACCCGGGCGTTCGGGGAATACTCCCAATATCCTCACCTTTGACTACTGGGGCCACGGAACCCTGGTCACCGTCTCCTCAC</t>
  </si>
  <si>
    <t>GAGGTGCAGCTGGTTCAGTCTGGAGCA...GAGGTGAAAAAGCCGGGGGAGTCTCTGAAGATCTCTTGTAAGGGTTCTGGATACACCTTC............AGCACCCATTGGATCGCCTGGGTGCGTCAGATGCCCGGGAAAGGCCTGGAGTGGATGGGGATTATCCATCCTGGT......GACTCTGAGACCAGATATAGCCCGTCCTTCCAA...GGCCAGGTCACCATCTCAGCCGACATGTCCATCAGCACCGCCTTCCTGCAGTGGACCAGCCTGAAGGCCTCGGACACCGCCATGTATTATTGTGCGAGACCCGGGCGTTCGGGGAATACTCCCAATATCCTCACCTTTGACTACTGGGGCCACGGAACCCTGGTCACCGTCTCCTCAC</t>
  </si>
  <si>
    <t>TGTGCGAGACCCGGGCGTTCGGGGAATACTCCCAATATCCTCACCTTTGACTACTGG</t>
  </si>
  <si>
    <t>GAGGTGCAGCTGGTTCAGTCTGGAGCA...GAGGTGAAAAAGCCGGGGGAGTCTCTGAAGATCTCTTGTAAGGGTTCT</t>
  </si>
  <si>
    <t>ATCGCCTGGGTGCGTCAGATGCCCGGGAAAGGCCTGGAGTGGATGGGGATT</t>
  </si>
  <si>
    <t>AGATATAGCCCGTCCTTCCAA...GGCCAGGTCACCATCTCAGCCGACATGTCCATCAGCACCGCCTTCCTGCAGTGGACCAGCCTGAAGGCCTCGGACACCGCCATGTATTATTGT</t>
  </si>
  <si>
    <t>TGGGGCCACGGAACCCTGGTCACCGTCTCCTCAC</t>
  </si>
  <si>
    <t>GGATACACCTTC............AGCACCCATTGG</t>
  </si>
  <si>
    <t>ATCCATCCTGGT......GACTCTGAGACC</t>
  </si>
  <si>
    <t>GCGAGACCCGGGCGTTCGGGGAATACTCCCAATATCCTCACCTTTGACTAC</t>
  </si>
  <si>
    <t>CARPGRSGNTPNILTFDYW</t>
  </si>
  <si>
    <t>GCTGGGGTCTCAGGAGGCAGCGCTCTCAGGACGTCACCACCATGGCCTGGGCTCTGCTCCTCCTCAGCCTCCTCACTCAGGGCACAGGGTCCTGGGCCCAATCTGTCCTGACTCAGCCTCCCTCCGCGTCCGGGTCTCCTGGACAGTCAGTCACCATCTCCTGCACTGGAACCAGCAGTGACGTTGGTCGTTATAACTATGTCTCCTGGTACCAACAGCACCCAGGCAAAGCCCCCAAACTCATAATCTATGAGGTCGGTGAGCGGCCCTCAGGGGTCCCTTATCGCTTCTCTGGCTCCAAGTCTGGCAACACGGCCTCCCTGACCGTCTCTGGGCTCCAGGCTGAGGATGAGGCTGATTATTATTGCACCTCTTATGCAGGCAGCGACAATTATGTGGTATTCGGCGGAGGGACCAAGCTGACCGTCCTAAGTCAGCCCAAGGCTGCCCCCTCGGTCACTCTGTTCCCGCCCTCCTCTGAGGAGCTTCAAGCCAACAAGGCCACACTGGTGTGTCTCATAAGTGACTTCTACCCGGGAGCCGTGACAGTGGCCTGGAAGGCAGATAGCAGCCCCGTCAAGGCGGGAGTGGAGACCACCACACCCTCCAAACAAAGCAACAACAAGTACGCGGCCAGCAGCTA</t>
  </si>
  <si>
    <t>IGLV2-8</t>
  </si>
  <si>
    <t>CAATCTGTCCTGACTCAGCCTCCCTCCGCGTCCGGGTCTCCTGGACAGTCAGTCACCATCTCCTGCACTGGAACCAGCAGTGACGTTGGTCGTTATAACTATGTCTCCTGGTACCAACAGCACCCAGGCAAAGCCCCCAAACTCATAATCTATGAGGTCGGTGAGCGGCCCTCAGGGGTCCCTTATCGCTTCTCTGGCTCCAAGTCTGGCAACACGGCCTCCCTGACCGTCTCTGGGCTCCAGGCTGAGGATGAGGCTGATTATTATTGCACCTCTTATGCAGGCAGCGACAATTATGTGGTATTCGGCGGAGGGACCAAGCTGACCGTCCTAA</t>
  </si>
  <si>
    <t>CAATCTGTCCTGACTCAGCCTCCCTCC...GCGTCCGGGTCTCCTGGACAGTCAGTCACCATCTCCTGCACTGGAACCAGCAGTGACGTTGGT.........CGTTATAACTATGTCTCCTGGTACCAACAGCACCCAGGCAAAGCCCCCAAACTCATAATCTATGAGGTC.....................GGTGAGCGGCCCTCAGGGGTCCCT...TATCGCTTCTCTGGCTCCAAG......TCTGGCAACACGGCCTCCCTGACCGTCTCTGGGCTCCAGGCTGAGGATGAGGCTGATTATTATTGCACCTCTTATGCAGGCAGCGACAATTATGTGGTATTCGGCGGAGGGACCAAGCTGACCGTCCTAA</t>
  </si>
  <si>
    <t>TGCACCTCTTATGCAGGCAGCGACAATTATGTGGTATTC</t>
  </si>
  <si>
    <t>CAATCTGTCCTGACTCAGCCTCCCTCC...GCGTCCGGGTCTCCTGGACAGTCAGTCACCATCTCCTGCACTGGAACC</t>
  </si>
  <si>
    <t>GTCTCCTGGTACCAACAGCACCCAGGCAAAGCCCCCAAACTCATAATCTAT</t>
  </si>
  <si>
    <t>GAGCGGCCCTCAGGGGTCCCT...TATCGCTTCTCTGGCTCCAAG......TCTGGCAACACGGCCTCCCTGACCGTCTCTGGGCTCCAGGCTGAGGATGAGGCTGATTATTATTGC</t>
  </si>
  <si>
    <t>TTCGGCGGAGGGACCAAGCTGACCGTCCTAA</t>
  </si>
  <si>
    <t>AGCAGTGACGTTGGT.........CGTTATAACTAT</t>
  </si>
  <si>
    <t>GAGGTC.....................GGT</t>
  </si>
  <si>
    <t>ACCTCTTATGCAGGCAGCGACAATTATGTGGTA</t>
  </si>
  <si>
    <t>CTSYAGSDNYVVF</t>
  </si>
  <si>
    <t>GACCTGGAGCTAACAA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</si>
  <si>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GGGTTTTTGGAGTGGTTGTCCC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</si>
  <si>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GGGTTTTTGGAGTGGTTGTCCC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</si>
  <si>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GGGTTTTTGGAGTGGTTGTCCCTTGACTACTGGGGCCAGGGAACCCTGGTCACCGTCTCCTCAG</t>
  </si>
  <si>
    <t>TGTGCGAAAGGAGGGTTTTTGGAGTGGTTGTCCCTTGACTACTGG</t>
  </si>
  <si>
    <t>GCGAAAGGAGGGTTTTTGGAGTGGTTGTCCCTTGACTAC</t>
  </si>
  <si>
    <t>CAKGGFLEWLSLDYW</t>
  </si>
  <si>
    <t>TATCTG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T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</si>
  <si>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TCT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</si>
  <si>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CCTCTATGTCTTCGGAACTGGGACCAAGGTCACCGTCCTAG</t>
  </si>
  <si>
    <t>TGCAGCTCATATACAAGCAGCAGCACCCTCTATGTCTTC</t>
  </si>
  <si>
    <t>GTCTCCTGGTACCAACAACACCCAGGCAAAGCCCCCAAACTCATGATTTAT</t>
  </si>
  <si>
    <t>AGCTCATATACAAGCAGCAGCACCCTCTATGTC</t>
  </si>
  <si>
    <t>CSSYTSSSTLYVF</t>
  </si>
  <si>
    <t>GACGTGCAGCTGCCCA</t>
  </si>
  <si>
    <t>CGAGCCCAGCACTGGAAGTCGCCGGTGTTTCCATTCGGTGATCATCACTGAACACAGAGGACTCACCATGGAGTTTGGGCTGAGCTGGGTTTTCCTCGTTGCTCTTTTAAGAGGTGTCCAGTGTCAGGTGCAGGTGGTGGAGTCTGGGGGAGGCGTGGTCCAGCCTGGGAGGTCCCTGAGACTCTCCTGTGCAGCCTCTGGATTCACCTTCAGTAGCTATGCTATACACTGGGTCCGCCAGGCTCCAGGCAAGGGGCTGGAGTGGGTGGCAATTATATCAAATGATGGAAGCAAAAAATACTACGCAGACTCCGTGAAGGGCCGATTCACCATCTCCAGAGACAATTCCAAGAACACGCTGTATCTTCAAATGAACAGCCTGAGAGCTGAGGACACGGCTGTTTATTACTGTGCGAGAGATCCGGGAGTACCAGCTGCTATCTGGTACTTCGATCTCTGGGGCCGTGGCACCCTGGTCACTGTCTCCTCAGCTTCCACCAAGGGCCCATCGGTCTTCCCCCTGGCGCCCTGCTCCAGGAGCACCTCTGGGGGCACAGCGGCCCTGGGCTGCCTGGTCAAGGACTACTTCCCCGAACCGGTGACGGTGTCGTGGAACTCAGGCGCCCTGACCAGCGGCGTGCACACCTTCCCGGCTGTCCTACAGTCCTCAGGA</t>
  </si>
  <si>
    <t>CAGGTGCAGGTGGTGGAGTCTGGGGGAGGCGTGGTCCAGCCTGGGAGGTCCCTGAGACTCTCCTGTGCAGCCTCTGGATTCACCTTCAGTAGCTATGCTATACACTGGGTCCGCCAGGCTCCAGGCAAGGGGCTGGAGTGGGTGGCAATTATATCAAATGATGGAAGCAAAAAATACTACGCAGACTCCGTGAAGGGCCGATTCACCATCTCCAGAGACAATTCCAAGAACACGCTGTATCTTCAAATGAACAGCCTGAGAGCTGAGGACACGGCTGTTTATTACTGTGCGAGAGATCCGGGAGTACCAGCTGCTATCTGGTACTTCGATCTCTGGGGCCGTGGCACCCTGGTCACTGTCTCCTCAG</t>
  </si>
  <si>
    <t>CAGGTGCAGGTGGTGGAGTCTGGGGGA...GGCGTGGTCCAGCCTGGGAGGTCCCTGAGACTCTCCTGTGCAGCCTCTGGATTCACCTTC............AGTAGCTATGCTATACACTGGGTCCGCCAGGCTCCAGGCAAGGGGCTGGAGTGGGTGGCAATTATATCAAATGAT......GGAAGCAAAAAATACTACGCAGACTCCGTGAAG...GGCCGATTCACCATCTCCAGAGACAATTCCAAGAACACGCTGTATCTTCAAATGAACAGCCTGAGAGCTGAGGACACGGCTGTTTATTACTGTGCGAGAGATCCGGGAGTACCAGCTGCTATCTGGTACTTCGATCTCTGGGGCCGTGGCACCCTGGTCACTGTCTCCTCAG</t>
  </si>
  <si>
    <t>TGTGCGAGAGATCCGGGAGTACCAGCTGCTATCTGGTACTTCGATCTCTGG</t>
  </si>
  <si>
    <t>CAGGTGCAGGTGGTGGAGTCTGGGGGA...GGCGTGGTCCAGCCTGGGAGGTCCCTGAGACTCTCCTGTGCAGCCTCT</t>
  </si>
  <si>
    <t>ATACACTGGGTCCGCCAGGCTCCAGGCAAGGGGCTGGAGTGGGTGGCAATT</t>
  </si>
  <si>
    <t>TACTACGCAGACTCCGTGAAG...GGCCGATTCACCATCTCCAGAGACAATTCCAAGAACACGCTGTATCTTCAAATGAACAGCCTGAGAGCTGAGGACACGGCTGTTTATTACTGT</t>
  </si>
  <si>
    <t>TGGGGCCGTGGCACCCTGGTCACTGTCTCCTCAG</t>
  </si>
  <si>
    <t>ATATCAAATGAT......GGAAGCAAAAAA</t>
  </si>
  <si>
    <t>GCGAGAGATCCGGGAGTACCAGCTGCTATCTGGTACTTCGATCTC</t>
  </si>
  <si>
    <t>CARDPGVPAAIWYFDLW</t>
  </si>
  <si>
    <t>AGTCTGGGCCTAAGGAAGCAGCACTGGTGGTGCCTCAGCCATGGCCTGGACCGTTCTCCTCCTCGGCCTCCTCTCTCACTGCACAGGCTCTGTGACCTCCTATGTGCTGACTCAGCCACCCTCAGTGTCAGTGGCCCCAGGAAAGACGGCCATGATTACCTGTGGGGGAAACAACATTGGAAGTAAAGATGTGCACTGGTACCAGCAGAAGCCAGGCCAGGCCCCTATGCTAGTCATCTATTATGATAACGACCGGCCCTCAGGGATCCCTGAGCGATTCTCTGGCTCCAACTCTGGGAACACGGCCACCCTGACCATCAGCAGGGTCGAAGCCGGGGATGAGGCCGACTATTACTGTCAGGTGTGGGATGCTAGTAGTGATCATCGA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</si>
  <si>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TGATTACCTGTGGGGGAAACAACATTGGAAGTAAAGATGTGCACTGGTACCAGCAGAAGCCAGGCCAGGCCCCTATGCTAGTCATCTATTATGATAACGACCGGCCCTCAGGGATCCCTGAGCGATTCTCTGGCTCCAACTCTGGGAACACGGCCACCCTGACCATCAGCAGGGTCGAAGCCGGGGATGAGGCCGACTATTACTGTCAGGTGTGGGATGCTAGTAGTGATCATCGAGGGGTATTCGGCGGAGGGACCAAGCTGACCGTCCTAG</t>
  </si>
  <si>
    <t>TCCTATGTGCTGACTCAGCCACCCTCA...GTGTCAGTGGCCCCAGGAAAGACGGCCATGATTACCTGTGGGGGAAACAACATTGGA..................AGTAAAGATGTGCACTGGTACCAGCAGAAGCCAGGCCAGGCCCCTATGCTAGTCATCTATTATGAT.....................AACGACCGGCCCTCAGGGATCCCT...GAGCGATTCTCTGGCTCCAAC......TCTGGGAACACGGCCACCCTGACCATCAGCAGGGTCGAAGCCGGGGATGAGGCCGACTATTACTGTCAGGTGTGGGATGCTAGTAGTGATCATCGAGGGGTATTCGGCGGAGGGACCAAGCTGACCGTCCTAG</t>
  </si>
  <si>
    <t>TGTCAGGTGTGGGATGCTAGTAGTGATCATCGAGGGGTATTC</t>
  </si>
  <si>
    <t>TCCTATGTGCTGACTCAGCCACCCTCA...GTGTCAGTGGCCCCAGGAAAGACGGCCATGATTACCTGTGGGGGAAAC</t>
  </si>
  <si>
    <t>GTGCACTGGTACCAGCAGAAGCCAGGCCAGGCCCCTATGCTAGTCATCTAT</t>
  </si>
  <si>
    <t>AACATTGGA..................AGTAAAGAT</t>
  </si>
  <si>
    <t>TATGAT.....................AAC</t>
  </si>
  <si>
    <t>CAGGTGTGGGATGCTAGTAGTGATCATCGAGGGGTA</t>
  </si>
  <si>
    <t>CQVWDASSDHRGVF</t>
  </si>
  <si>
    <t>GACGTTATCCGAACGC</t>
  </si>
  <si>
    <t>AGCTCTGGGAGAGGAGCCCCAGCCTTGGGATTCCCAAGTGTTTTCATTCAGTGATCAGGACTGAACACAGAGGACTCACCATGGAGTTTGGGCTGAGCTGGATTTTCCTTGCTGCTATTTTAAAAGGTGTCCAGTGTGCGGCGCACCTGGAGGAGTCTGGGGGAGGCTTAGTAAAGCCTGAGGGGTCCCTTAGACTCTCCTGTTCAGTCTCTGGATTCACTTTCAGTAACGGCTGGATGAGCTGGGTCCGCCAGGCTCCAGGGAAGGGGCTGGAGTGGGTTGGCCGTATTAAGAGCAACAATGATGGTGGGACGACAGACTACGCTGCACCCGTGAAAGGCAGATTCAGCATCTCAAGAGATGATTCAAAAAACACGCTGTATCTGCAAATGAACAGCCTGAAAACCGAGGACACAGCCGTGTATTACTGTACCACAGATAATGTGGGAATCTTTGACTACTGGGGCCACGGAACCCTGGTCACCGTCTCCCCAGCCTCCACCAAGGGCCCATCGGTCTTCCCCCTGGCGCCCTGCTCCAGGAGCACCTCCGAGAGCACAGCGGCCCTGGGCTGCCTGGTCAAGGACTACTTCCCCGAACCGGTGACGGTGTCGTGGAACTCAGGCGCTCTGACCAGCGGCGTGCACACCTTCCCGGCTGTCCTACAGTCCTCAGGA</t>
  </si>
  <si>
    <t>GCGGCGCACCTGGAGGAGTCTGGGGGAGGCTTAGTAAAGCCTGAGGGGTCCCTTAGACTCTCCTGTTCAGTCTCTGGATTCACTTTCAGTAACGGCTGGATGAGCTGGGTCCGCCAGGCTCCAGGGAAGGGGCTGGAGTGGGTTGGCCGTATTAAGAGCAACAATGATGGTGGGACGACAGACTACGCTGCACCCGTGAAAGGCAGATTCAGCATCTCAAGAGATGATTCAAAAAACACGCTGTATCTGCAAATGAACAGCCTGAAAACCGAGGACACAGCCGTGTATTACTGTACCACAGATAATGTGGGAATCTTTGACTACTGGGGCCACGGAACCCTGGTCACCGTCTCCCCAG</t>
  </si>
  <si>
    <t>GCGGCGCACCTGGAGGAGTCTGGGGGA...GGCTTAGTAAAGCCTGAGGGGTCCCTTAGACTCTCCTGTTCAGTCTCTGGATTCACTTTC............AGTAACGGCTGGATGAGCTGGGTCCGCCAGGCTCCAGGGAAGGGGCTGGAGTGGGTTGGCCGTATTAAGAGCAACAATGATGGTGGGACGACAGACTACGCTGCACCCGTGAAA...GGCAGATTCAGCATCTCAAGAGATGATTCAAAAAACACGCTGTATCTGCAAATGAACAGCCTGAAAACCGAGGACACAGCCGTGTATTACTGTACCACAGATAATGTGGGAATCTTTGACTACTGGGGCCACGGAACCCTGGTCACCGTCTCCCCAG</t>
  </si>
  <si>
    <t>TGTACCACAGATAATGTGGGAATCTTTGACTACTGG</t>
  </si>
  <si>
    <t>GCGGCGCACCTGGAGGAGTCTGGGGGA...GGCTTAGTAAAGCCTGAGGGGTCCCTTAGACTCTCCTGTTCAGTCTCT</t>
  </si>
  <si>
    <t>ATGAGCTGGGTCCGCCAGGCTCCAGGGAAGGGGCTGGAGTGGGTTGGCCGT</t>
  </si>
  <si>
    <t>GACTACGCTGCACCCGTGAAA...GGCAGATTCAGCATCTCAAGAGATGATTCAAAAAACACGCTGTATCTGCAAATGAACAGCCTGAAAACCGAGGACACAGCCGTGTATTACTGT</t>
  </si>
  <si>
    <t>TGGGGCCACGGAACCCTGGTCACCGTCTCCCCAG</t>
  </si>
  <si>
    <t>GGATTCACTTTC............AGTAACGGCTGG</t>
  </si>
  <si>
    <t>ATTAAGAGCAACAATGATGGTGGGACGACA</t>
  </si>
  <si>
    <t>ACCACAGATAATGTGGGAATCTTTGACTAC</t>
  </si>
  <si>
    <t>CTTDNVGIFDYW</t>
  </si>
  <si>
    <t>CTGGGCCTCAGGAAGCAGCATCGGAGGTGCCTCAGCCATGGCATGGATCCCTCTCTTCCTCGGCGTCCTTGCTTACTGCACAGGATCCGTGGCCTCCTATGAGCTGACTCAGGCACCCTCTGTGTCCGTGTCCCCAGGACAGACAGCCAGTATCACCTGCTCTGGAGATGAATTGGGGGATAAATATGTTTGCTGGTATCAGCAGAGGCCAGGCCAGTCCCCTGTGTTGGTCATCTATCATAATACCAAGCGGCCATCAGGGATCCCTGAGCGATTCTCTGGCTCCAACTCTGGGAACTCTGCCACTCTGACCATCAGCGGGACCCAGGCTATGGATGAGGCTGACTATTACTGTCAGGCGTGGGACACCAGCACTGGCCTGTTCGGCGGAGGGACCAGGCTGACCGTCCTCGGTCAGCCCAAGGCTGCCCCCTCGGTCACTCTGTTCCCGCCCTCCTCTGAGGAGCTTCAAGCCAACAAGGCCACACTGGTGTGTCTCATAAGTGACTTCTACCCGGGAGCCGTGACAGTGGCCTGGAAGGCAGATAGCAGCCCCGTCAAGGCGGGAGTGGAGACCACCACACCCTCCAAACAAAGCAACAACAAGTACGCGGCCAGCAGCTA</t>
  </si>
  <si>
    <t>TCCTATGAGCTGACTCAGGCACCCTCTGTGTCCGTGTCCCCAGGACAGACAGCCAGTATCACCTGCTCTGGAGATGAATTGGGGGATAAATATGTTTGCTGGTATCAGCAGAGGCCAGGCCAGTCCCCTGTGTTGGTCATCTATCATAATACCAAGCGGCCATCAGGGATCCCTGAGCGATTCTCTGGCTCCAACTCTGGGAACTCTGCCACTCTGACCATCAGCGGGACCCAGGCTATGGATGAGGCTGACTATTACTGTCAGGCGTGGGACACCAGCACTGGCCTGTTCGGCGGAGGGACCAGGCTGACCGTCCTCG</t>
  </si>
  <si>
    <t>TCCTATGAGCTGACTCAGGCACCCTCT...GTGTCCGTGTCCCCAGGACAGACAGCCAGTATCACCTGCTCTGGAGATGAATTGGGG..................GATAAATATGTTTGCTGGTATCAGCAGAGGCCAGGCCAGTCCCCTGTGTTGGTCATCTATCATAAT.....................ACCAAGCGGCCATCAGGGATCCCT...GAGCGATTCTCTGGCTCCAAC......TCTGGGAACTCTGCCACTCTGACCATCAGCGGGACCCAGGCTATGGATGAGGCTGACTATTACTGTCAGGCGTGGGACACCAGCACTGGCCTGTTCGGCGGAGGGACCAGGCTGACCGTCCTCG</t>
  </si>
  <si>
    <t>TGTCAGGCGTGGGACACCAGCACTGGCCTGTTC</t>
  </si>
  <si>
    <t>TCCTATGAGCTGACTCAGGCACCCTCT...GTGTCCGTGTCCCCAGGACAGACAGCCAGTATCACCTGCTCTGGAGAT</t>
  </si>
  <si>
    <t>GTTTGCTGGTATCAGCAGAGGCCAGGCCAGTCCCCTGTGTTGGTCATCTAT</t>
  </si>
  <si>
    <t>AAGCGGCCATCAGGGATCCCT...GAGCGATTCTCTGGCTCCAAC......TCTGGGAACTCTGCCACTCTGACCATCAGCGGGACCCAGGCTATGGATGAGGCTGACTATTACTGT</t>
  </si>
  <si>
    <t>TTCGGCGGAGGGACCAGGCTGACCGTCCTCG</t>
  </si>
  <si>
    <t>GAATTGGGG..................GATAAATAT</t>
  </si>
  <si>
    <t>CATAAT.....................ACC</t>
  </si>
  <si>
    <t>CAGGCGTGGGACACCAGCACTGGCCTG</t>
  </si>
  <si>
    <t>CQAWDTSTGLF</t>
  </si>
  <si>
    <t>GACTACAGTGCACCAC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</si>
  <si>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CGGGGCTTCAGTCCAGCTGCTTTGT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</si>
  <si>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CGGGGCTTCAGTCCAGCTGCTTTGT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</si>
  <si>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GCGGGGCTTCAGTCCAGCTGCTTTGTACTACTTTGACTACTGGGGCCAGGGAACCCTGGTCACCGTCTCCTCAG</t>
  </si>
  <si>
    <t>TGTGCGAGGCGGGGCTTCAGTCCAGCTGCTTTGTACTACTTTGACTACTGG</t>
  </si>
  <si>
    <t>GCGAGGCGGGGCTTCAGTCCAGCTGCTTTGTACTACTTTGACTAC</t>
  </si>
  <si>
    <t>CARRGFSPAALYYFDYW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</si>
  <si>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ATCACCTTCGGCCAAGGGACACGACTGGAGATTAAACGAACTGTGGCTGCACCATCTGTCTTCATCTTCCCGCCATCTGATGAGCAGTTGAAATCTGGAACTGCCTCTGTTGTGTGCCTGCTGAATAACTTCTATCCCAGAGAGGCCAAAGTACAGTGGAAGGTGGATAACGC</t>
  </si>
  <si>
    <t>IGKJ5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</si>
  <si>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ATC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</si>
  <si>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ATCACCTTCGGCCAAGGGACACGACTGGAGATTAAAC</t>
  </si>
  <si>
    <t>TGCATGCAAGCTCTACAAACTATCACCTTC</t>
  </si>
  <si>
    <t>TTCGGCCAAGGGACACGACTGGAGATTAAAC</t>
  </si>
  <si>
    <t>ATGCAAGCTCTACAAACTATCACC</t>
  </si>
  <si>
    <t>CMQALQTITF</t>
  </si>
  <si>
    <t>GAGCAGATCGGTGTCG</t>
  </si>
  <si>
    <t>GGGGGACCCAAAAACCACACCCCTCCTTGGGAGAATCCCCTAGATCACAGCTCCTCACCATGGACTGGACCTGGAGCATCCTTTTCTTGGTGGCAGCAGCAACAGGTGCCCACTCCCAGGTTCAGTTGGTGCAGTCTGGAGCAGAGGTGAAGAAGCCTGGGGCCTCAGTGAAGGTCTCCTGCCAGGCTTCAGGTTACACCTTTGCCAGCTTTGGTATCACCTGGGTGCGACAGGCCCCTGGACAAGGCCTTGAGTGGGTGGGATGGATCAGCCCCTACAACGGTGACACAAAGTATGGACAGAAGGTCCAGGGCAGAGTCACCATGACAACAGACAAATCCACGTACACAGCCTACTTGGAGCTGAGGAGTCTGACATCTGACGACACGGCCATTTATTACTGTGCGAGAAATCAAGAGCAACTCGTCCCGGACTACTGTGACCACTGGGGCCTGGGAACCCTGGTCACCGTCTCCTCAGCCTCCACCAAGGGCCCATCGGTCTTCCCCCTGGCGCCCTGCTCCAGGAGCACCTCCGAGAGCACAGCGGCCCTGGGCTGCCTGGTCAAGGACTACTTCCCCGAACCGGTGACGGTGTCGTGGAACTCAGGCGCTCTGACCAGCGGCGTGCACACCTTCCCGGCTGTCCTACAGTCCTCAGGA</t>
  </si>
  <si>
    <t>CAGGTTCAGTTGGTGCAGTCTGGAGCAGAGGTGAAGAAGCCTGGGGCCTCAGTGAAGGTCTCCTGCCAGGCTTCAGGTTACACCTTTGCCAGCTTTGGTATCACCTGGGTGCGACAGGCCCCTGGACAAGGCCTTGAGTGGGTGGGATGGATCAGCCCCTACAACGGTGACACAAAGTATGGACAGAAGGTCCAGGGCAGAGTCACCATGACAACAGACAAATCCACGTACACAGCCTACTTGGAGCTGAGGAGTCTGACATCTGACGACACGGCCATTTATTACTGTGCGAGAAATCAAGAGCAACTCGTCCCGGACTACTGTGACCACTGGGGCCTGGGAACCCTGGTCACCGTCTCCTCAG</t>
  </si>
  <si>
    <t>CAGGTTCAGTTGGTGCAGTCTGGAGCA...GAGGTGAAGAAGCCTGGGGCCTCAGTGAAGGTCTCCTGCCAGGCTTCAGGTTACACCTTT............GCCAGCTTTGGTATCACCTGGGTGCGACAGGCCCCTGGACAAGGCCTTGAGTGGGTGGGATGGATCAGCCCCTAC......AACGGTGACACAAAGTATGGACAGAAGGTCCAG...GGCAGAGTCACCATGACAACAGACAAATCCACGTACACAGCCTACTTGGAGCTGAGGAGTCTGACATCTGACGACACGGCCATTTATTACTGTGCGAGAAATCAAGAGCAACTCGTCCCGGACTACTGTGACCACTGGGGCCTGGGAACCCTGGTCACCGTCTCCTCAG</t>
  </si>
  <si>
    <t>TGTGCGAGAAATCAAGAGCAACTCGTCCCGGACTACTGTGACCACTGG</t>
  </si>
  <si>
    <t>CAGGTTCAGTTGGTGCAGTCTGGAGCA...GAGGTGAAGAAGCCTGGGGCCTCAGTGAAGGTCTCCTGCCAGGCTTCA</t>
  </si>
  <si>
    <t>ATCACCTGGGTGCGACAGGCCCCTGGACAAGGCCTTGAGTGGGTGGGATGG</t>
  </si>
  <si>
    <t>AAGTATGGACAGAAGGTCCAG...GGCAGAGTCACCATGACAACAGACAAATCCACGTACACAGCCTACTTGGAGCTGAGGAGTCTGACATCTGACGACACGGCCATTTATTACTGT</t>
  </si>
  <si>
    <t>TGGGGCCTGGGAACCCTGGTCACCGTCTCCTCAG</t>
  </si>
  <si>
    <t>GGTTACACCTTT............GCCAGCTTTGGT</t>
  </si>
  <si>
    <t>ATCAGCCCCTAC......AACGGTGACACA</t>
  </si>
  <si>
    <t>GCGAGAAATCAAGAGCAACTCGTCCCGGACTACTGTGACCAC</t>
  </si>
  <si>
    <t>CARNQEQLVPDYCDHW</t>
  </si>
  <si>
    <t>GTCGAGCCACTCTGGCCCGCCCCGACGCTCGTCCGCTCGGAGCAGATCGGTGTCGCTGCTCATCATTTCGTATCTGGGGGAGCTACAACAGGCAGGCAGGGGCAGCAAGATGGTGTTGCAGACCCAGGTCTTCATTTCTCTGTTGCTCTGGATCTCTGGTGCCTACGGGGACATCGTGATGACCCAGTCGCCAGACTCCCTGGCTGTGTCTCTGGGCGAGAGGGCCACCATCAACTGCAAGTCCAGTCAGAGTGTTTTGAACAGTGCCAACAATAAGATCAACTTAGCTTGGTACCAGCAGAAACCAGGACAGCCTCCTAAACTGCTCATTTTCTGGGCATCTCTCCGGGAGTCCGGGGTCCCTGCCCGTTTCAGTGGCAGCGGGTCTGGTACAGATTTCACTCTCACCATCAGCAGCCTGCAGGCTGAAGATGTGGCAGTTTATTACTGTCAGCAATTTTATAGTACTCCATTCACTTTCGGCCCTGGGACCAAAGTGGATCTCAAACGAACTGTGGCTGCACCATCTGTCTTCATCTTCCCGCCATCTGATGAGCAGTTGAAATCTGGAACTGCCTCTGTTGTGTGCCTGCTGAATAACTTCTATCCCAGAGAGGCCAAAGTACAGTGGAAGGTGGATAACGC</t>
  </si>
  <si>
    <t>GACATCGTGATGACCCAGTCGCCAGACTCCCTGGCTGTGTCTCTGGGCGAGAGGGCCACCATCAACTGCAAGTCCAGTCAGAGTGTTTTGAACAGTGCCAACAATAAGATCAACTTAGCTTGGTACCAGCAGAAACCAGGACAGCCTCCTAAACTGCTCATTTTCTGGGCATCTCTCCGGGAGTCCGGGGTCCCTGCCCGTTTCAGTGGCAGCGGGTCTGGTACAGATTTCACTCTCACCATCAGCAGCCTGCAGGCTGAAGATGTGGCAGTTTATTACTGTCAGCAATTTTATAGTACTCCATTCACTTTCGGCCCTGGGACCAAAGTGGATCTCAAAC</t>
  </si>
  <si>
    <t>GACATCGTGATGACCCAGTCGCCAGACTCCCTGGCTGTGTCTCTGGGCGAGAGGGCCACCATCAACTGCAAGTCCAGTCAGAGTGTTTTGAACAGTGCCAACAATAAGATCAACTTAGCTTGGTACCAGCAGAAACCAGGACAGCCTCCTAAACTGCTCATTTTCTGGGCA.....................TCTCTCCGGGAGTCCGGGGTCCCT...GCCCGTTTCAGTGGCAGCGGG......TCTGGTACAGATTTCACTCTCACCATCAGCAGCCTGCAGGCTGAAGATGTGGCAGTTTATTACTGTCAGCAATTTTATAGTACTCCATTCACTTTCGGCCCTGGGACCAAAGTGGATCTCAAAC</t>
  </si>
  <si>
    <t>TGTCAGCAATTTTATAGTACTCCATTCACTTTC</t>
  </si>
  <si>
    <t>GACATCGTGATGACCCAGTCGCCAGACTCCCTGGCTGTGTCTCTGGGCGAGAGGGCCACCATCAACTGCAAGTCCAGT</t>
  </si>
  <si>
    <t>TTAGCTTGGTACCAGCAGAAACCAGGACAGCCTCCTAAACTGCTCATTTTC</t>
  </si>
  <si>
    <t>CTCCGGGAGTCCGGGGTCCCT...GCCCGTTTCAGTGGCAGCGGG......TCTGGTACAGATTTCACTCTCACCATCAGCAGCCTGCAGGCTGAAGATGTGGCAGTTTATTACTGT</t>
  </si>
  <si>
    <t>TTCGGCCCTGGGACCAAAGTGGATCTCAAAC</t>
  </si>
  <si>
    <t>CAGAGTGTTTTGAACAGTGCCAACAATAAGATCAAC</t>
  </si>
  <si>
    <t>CAGCAATTTTATAGTACTCCATTCACT</t>
  </si>
  <si>
    <t>CQQFYSTPFTF</t>
  </si>
  <si>
    <t>GATCAGTGTTGTACAC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</si>
  <si>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GCCCGGTGGCGATTCCCGATTACTACTACTACTACTACATGGACGTCTGGGGCAAAGGGACCAC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</si>
  <si>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GCCCGGTGGCGATTCCCGATTACTA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</si>
  <si>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AGCCCGGTGGCGATTCCCGATTACTACTACTACTACTACATGGACGTCTGGGGCAAAGGGACCACGGTCACCGTCTCCTCA</t>
  </si>
  <si>
    <t>TGTGCGAGAGATAGCCCGGTGGCGATTCCCGATTACTACTACTACTACTACATGGACGTCTGG</t>
  </si>
  <si>
    <t>GCGAGAGATAGCCCGGTGGCGATTCCCGATTACTACTACTACTACTACATGGACGTC</t>
  </si>
  <si>
    <t>IGHD</t>
  </si>
  <si>
    <t>CARDSPVAIPDYYYYYYMDVW</t>
  </si>
  <si>
    <t>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GA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</si>
  <si>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GA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</si>
  <si>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GAACGTTCGGCCAAGGGACCAAGGTGGAAATCAAAC</t>
  </si>
  <si>
    <t>TGTCTACAGCATAATAGTTACCCTCGAACGTTC</t>
  </si>
  <si>
    <t>TTAGGCTGGTATCAGCAGAAACCAGGGAAAGCCCCTAAGCGCCTGATCTAT</t>
  </si>
  <si>
    <t>AGTTTGCAAAGTGGGGTCCCA...TCAAGGTTCAGCGGCAGTGGA......TCTGGGACAGAATTCACTCTCACAATCAGCAGCCTGCAGCCTGAAGATTTTGCAACTTATTACTGT</t>
  </si>
  <si>
    <t>CAGGGCATT..................AGAAATGAT</t>
  </si>
  <si>
    <t>CTACAGCATAATAGTTACCCTCGAACG</t>
  </si>
  <si>
    <t>CLQHNSYPRTF</t>
  </si>
  <si>
    <t>GATGAGGAGCACCGTC</t>
  </si>
  <si>
    <t>AGCTCTGGGAGAGGAGCCCCAGCCTTGGGATTCCCAAGTGTTTTCATTCAGTGATCAGGACTGAACACAGAGGACTCACCATGGAGTTTGGGCTGAGCTGGATTTTCCTTGCTGCTATTTTAAAAGGTGTCCAGTGTGAGGTGCAGCTGGTGGAATCTGGGGGAGGCTTGGTAAAGCCTGGGGGGTCCCTTAGACTCTCCTGTGTAGTCTCTGGATTCACTTTCAGTAACGCCTGGATGAGCTGGGTCCGCCAGGCTCCAGGGAAGGGGCTGGAGTGGGTTGGCCGTATTAGAAGCAAAACTGATGGTGGGACAACAGACTACGCTGCACCCGTGAAAGGCAGATTCACCATCTCAAGAGATGATTCAAAAAACACGCTGTATCTGCAAATGAACAGCCTGAAAACCGAGGACACAGCCGTGTATTACTGTACTGCTATTTACCATTTGCTCCCGTGGGGCCAGGGAACTCTGGTCACCGTCTCCTCAGGGAGTGCATCCGCCCCAACCCTTTTCCCCCTCGTCTCCTGTGAGAATTCCCCGTCGGATACGAGCAGCGTG</t>
  </si>
  <si>
    <t>GAGGTGCAGCTGGTGGAATCTGGGGGAGGCTTGGTAAAGCCTGGGGGGTCCCTTAGACTCTCCTGTGTAGTCTCTGGATTCACTTTCAGTAACGCCTGGATGAGCTGGGTCCGCCAGGCTCCAGGGAAGGGGCTGGAGTGGGTTGGCCGTATTAGAAGCAAAACTGATGGTGGGACAACAGACTACGCTGCACCCGTGAAAGGCAGATTCACCATCTCAAGAGATGATTCAAAAAACACGCTGTATCTGCAAATGAACAGCCTGAAAACCGAGGACACAGCCGTGTATTACTGTACTGCTATTTACCATTTGCTCCCGTGGGGCCAGGGAACTCTGGTCACCGTCTCCTCAG</t>
  </si>
  <si>
    <t>GAGGTGCAGCTGGTGGAATCTGGGGGA...GGCTTGGTAAAGCCTGGGGGGTCCCTTAGACTCTCCTGTGTAGTCTCTGGATTCACTTTC............AGTAACGCCTGGATGAGCTGGGTCCGCCAGGCTCCAGGGAAGGGGCTGGAGTGGGTTGGCCGTATTAGAAGCAAAACTGATGGTGGGACAACAGACTACGCTGCACCCGTGAAA...GGCAGATTCACCATCTCAAGAGATGATTCAAAAAACACGCTGTATCTGCAAATGAACAGCCTGAAAACCGAGGACACAGCCGTGTATTACTGTACTGCTATTTACCATTTGCTCCCGTGGGGCCAGGGAACTCTGGTCACCGTCTCCTCAG</t>
  </si>
  <si>
    <t>TGTACTGCTATTTACCATTTGCTCCCGTGG</t>
  </si>
  <si>
    <t>GAGGTGCAGCTGGTGGAATCTGGGGGA...GGCTTGGTAAAGCCTGGGGGGTCCCTTAGACTCTCCTGTGTAGTCTCT</t>
  </si>
  <si>
    <t>GACTACGCTGCACCCGTGAAA...GGCAGATTCACCATCTCAAGAGATGATTCAAAAAACACGCTGTATCTGCAAATGAACAGCCTGAAAACCGAGGACACAGCCGTGTATTACTGT</t>
  </si>
  <si>
    <t>TGGGGCCAGGGAACTCTGGTCACCGTCTCCTCAG</t>
  </si>
  <si>
    <t>ATTAGAAGCAAAACTGATGGTGGGACAACA</t>
  </si>
  <si>
    <t>ACTGCTATTTACCATTTGCTCCCG</t>
  </si>
  <si>
    <t>CTAIYHLLPW</t>
  </si>
  <si>
    <t>ACTGCGGGGGTAAGAGGTTGTGTCCACCATGGCCTGGACTCCTCTCCTCCTCCTGTTCCTCTCTCACTGCACAGGCTCCCTCTCGCAGGCTGTGCTGACTCAGCCGTCTTCCCTCTCTGCATCTCCTGGAGCATCAGCCAGTCTCACCTGCACCTTGCGCAGTGGCCTCAATGTTGGTACCTACACGATATACTGGTACCAGCAGAAGCCAGGGAGTCCTCCCCAGTATCTCCTGAGGTACAAATCAGGCTCAGATAAGCAGCAGGGCTCTGGAGTCCCCAGCCGCTTCTCTGGATCCAAAGATGCTTCGGCCAATGCAGGGATTTTACTCATCTCTGGGCTCCAGTCTGAGGATGAGGCTGACTATTACTGCATGATTTGGCACAGCAGCGCTTCTTTCCAGGGGTATGTCTTCGGAAGTGGGACTAAGGTCACCGTCCTAGGTCAGCCCAAGGCCAACCCCACTGTCACTCTGTTCCCGCCCTCCTCTGAGGAGCTCCAAGCCAACAAGGCCACACTAGTGTGTCTGATCAGTGACTTCTACCCGGGAGCTGTGACAGTGGCCTGGAAGGCAGATGGCAGCCCCGTCAAGGCGGGAGTGGAGACCACCAAACCCTCCAAACAGAGCAACAACAAGTACGCGGCCAGCAGCTA</t>
  </si>
  <si>
    <t>IGLV5-45</t>
  </si>
  <si>
    <t>CAGGCTGTGCTGACTCAGCCGTCTTCCCTCTCTGCATCTCCTGGAGCATCAGCCAGTCTCACCTGCACCTTGCGCAGTGGCCTCAATGTTGGTACCTACACGATATACTGGTACCAGCAGAAGCCAGGGAGTCCTCCCCAGTATCTCCTGAGGTACAAATCAGGCTCAGATAAGCAGCAGGGCTCTGGAGTCCCCAGCCGCTTCTCTGGATCCAAAGATGCTTCGGCCAATGCAGGGATTTTACTCATCTCTGGGCTCCAGTCTGAGGATGAGGCTGACTATTACTGCATGATTTGGCACAGCAGCGCTTCTTTCCAGGGGTATGTCTTCGGAAGTGGGACTAAGGTCACCGTCCTAG</t>
  </si>
  <si>
    <t>CAGGCTGTGCTGACTCAGCCGTCTTCC...CTCTCTGCATCTCCTGGAGCATCAGCCAGTCTCACCTGCACCTTGCGCAGTGGCCTCAATGTT.........GGTACCTACACGATATACTGGTACCAGCAGAAGCCAGGGAGTCCTCCCCAGTATCTCCTGAGGTACAAATCAGGC.........TCAGATAAGCAGCAGGGCTCTGGAGTCCCC...AGCCGCTTCTCTGGATCCAAAGATGCTTCGGCCAATGCAGGGATTTTACTCATCTCTGGGCTCCAGTCTGAGGATGAGGCTGACTATTACTGCATGATTTGGCACAGCAGCGCTTCTTTCCAGGGGTATGTCTTCGGAAGTGGGACTAAGGTCACCGTCCTAG</t>
  </si>
  <si>
    <t>TGCATGATTTGGCACAGCAGCGCTTCTTTCCAGGGGTATGTCTTC</t>
  </si>
  <si>
    <t>CAGGCTGTGCTGACTCAGCCGTCTTCC...CTCTCTGCATCTCCTGGAGCATCAGCCAGTCTCACCTGCACCTTGCGC</t>
  </si>
  <si>
    <t>ATATACTGGTACCAGCAGAAGCCAGGGAGTCCTCCCCAGTATCTCCTGAGG</t>
  </si>
  <si>
    <t>CAGCAGGGCTCTGGAGTCCCC...AGCCGCTTCTCTGGATCCAAAGATGCTTCGGCCAATGCAGGGATTTTACTCATCTCTGGGCTCCAGTCTGAGGATGAGGCTGACTATTACTGC</t>
  </si>
  <si>
    <t>TTCGGAAGTGGGACTAAGGTCACCGTCCTAG</t>
  </si>
  <si>
    <t>AGTGGCCTCAATGTT.........GGTACCTACACG</t>
  </si>
  <si>
    <t>TACAAATCAGGC.........TCAGATAAG</t>
  </si>
  <si>
    <t>ATGATTTGGCACAGCAGCGCTTCTTTCCAGGGGTATGTC</t>
  </si>
  <si>
    <t>CMIWHSSASFQGYVF</t>
  </si>
  <si>
    <t>GCACTCTCAGCCTGTG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</si>
  <si>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TTGGGGGTAGTGGTTCACTCGGCGG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</si>
  <si>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TTGGGGGTAGTGGTTCACTCGGCGG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</si>
  <si>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TTGGGGGTAGTGGTTCACTCGGCGGCTGGTTCGACCCCTGGGGCCAGGGAACCCTGGTCACCGTCTCCTCAG</t>
  </si>
  <si>
    <t>TGTGCGAGAATTGGGGGTAGTGGTTCACTCGGCGGCTGGTTCGACCCCTGG</t>
  </si>
  <si>
    <t>AACTACAACCCGTCCCTCAAG...AGTCGAGTCACCATATCAGTAGACACGTCCAAGAACCAGTTCTCCCTGAAGCTGAGCTCTGTGACCGCCGCGGACACGGCTGTGTATTACTGT</t>
  </si>
  <si>
    <t>GCGAGAATTGGGGGTAGTGGTTCACTCGGCGGCTGGTTCGACCCC</t>
  </si>
  <si>
    <t>CARIGGSGSLGGWFDPW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</si>
  <si>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ATTCGGCGGAGGGACCAAGCTGACCGTCCTAGGTCAGCCCAAGGCTGCCCCCTCGGTCACTCTGTTCCCGCCCTCCTCTGAGGAGCTTCAAGCCAACAAGGCCACACTGGTGTGTCTCATAAGTGACTTCTACCCGGGAGCCGTGACAGTGGCCTGGAAGGCAGATAGCAGCCCCGTCAAGGCGGGAGTGGAGACCACCACACCCTCCAAACAAAGCAACAACAAGTACGCGGCCAGCAGCTA</t>
  </si>
  <si>
    <t>IGLV1-47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</si>
  <si>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</si>
  <si>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CGGTATTCGGCGGAGGGACCAAGCTGACCGTCCTAG</t>
  </si>
  <si>
    <t>TGTGCAGCATGGGATGACAGCCTGAGTGGTCCGGTATTC</t>
  </si>
  <si>
    <t>CAGTCTGTGCTGACTCAGCCACCCTCA...GCGTCTGGGACCCCCGGGCAGAGGGTCACCATCTCTTGTTCTGGAAGC</t>
  </si>
  <si>
    <t>GTATACTGGTACCAGCAGCTCCCAGGAACGGCCCCCAAACTCCTCATCTAT</t>
  </si>
  <si>
    <t>CAGCGGCCCTCAGGGGTCCCT...GACCGATTCTCTGGCTCCAAG......TCTGGCACCTCAGCCTCCCTGGCCATCAGTGGGCTCCGGTCCGAGGATGAGGCTGATTATTACTGT</t>
  </si>
  <si>
    <t>AGCTCCAACATC............GGAAGTAATTAT</t>
  </si>
  <si>
    <t>AGGAAT.....................AAT</t>
  </si>
  <si>
    <t>GCAGCATGGGATGACAGCCTGAGTGGTCCGGTA</t>
  </si>
  <si>
    <t>CAAWDDSLSGPVF</t>
  </si>
  <si>
    <t>GCTGCTTAGGTCATCT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</si>
  <si>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GACAGGACCGACTACTACTACTACTACTACATGGACGTCTGGGGCAAAGGGACCACGGTCACCGTCTCCTCAGGGAGTGCATCCGCCCCAACCCTTTTCCCCCTCGTCTCCTGTGAGAATTCCCCGTCGGATACGAGCAGCGTG</t>
  </si>
  <si>
    <t>IGHD1-1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</si>
  <si>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GACAGGACCGACTACTACTACT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</si>
  <si>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CGACAGGACCGACTACTACTACTACTACTACATGGACGTCTGGGGCAAAGGGACCACGGTCACCGTCTCCTCA</t>
  </si>
  <si>
    <t>TGTGCGAAAGGCGACAGGACCGACTACTACTACTACTACTACATGGACGTCTGG</t>
  </si>
  <si>
    <t>GCGAAAGGCGACAGGACCGACTACTACTACTACTACTACATGGACGTC</t>
  </si>
  <si>
    <t>CAKGDRTDYYYYYYMDVW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</si>
  <si>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CCCTCTCACTTTCGGCGGAGGGACCAAGGTGGAGATCAAACGAACTGTGGCTGCACCATCTGTCTTCATCTTCCCGCCATCTGATGAGCAGTTGAAATCTGGAACTGCCTCTGTTGTGTGCCTGCTGAATAACTTCTATCCCAGAGAGGCCAAAGTACAGTGGAAGGTGGATAACGC</t>
  </si>
  <si>
    <t>IGKV3D-15</t>
  </si>
  <si>
    <t>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CCCTCTCACTTTCGGCGGAGGGACCAAGGTGGAGATCAAAC</t>
  </si>
  <si>
    <t>GAAATAGTGATGACGCAGTCTCCAGCCACCCTGTCTGTGTCTCCAGGGGAAAGAGCCACCCTCTCCTGCAGGGCCAGTCAGAGTGTT..................AGCAGCAACTTAGCCTGGTACCAGCAGAAACCTGGCCAGGCTCCCAGGCTCCTCATCTATGGTGCA.....................TCCACCAGGGCCACTGGCATCCCA...GCCAGGTTCAGTGGCAGTGGG......TCTGGGACAGAGTTCACTCTCACCATCAGCAGCCTGCAGTCTGAAGATTTTGCAGTTTATTACTGTCAGCAGTATAATAACTGGCCCCCTCTCACTTTCGGCGGAGGGACCAAGGTGGAGATCAAAC</t>
  </si>
  <si>
    <t>TGTCAGCAGTATAATAACTGGCCCCCTCTCACTTTC</t>
  </si>
  <si>
    <t>ACCAGGGCCACTGGCATCCCA...GCCAGGTTCAGTGGCAGTGGG......TCTGGGACAGAGTTCACTCTCACCATCAGCAGCCTGCAGTCTGAAGATTTTGCAGTTTATTACTGT</t>
  </si>
  <si>
    <t>CAGCAGTATAATAACTGGCCCCCTCTCACT</t>
  </si>
  <si>
    <t>GGGACCTAGGACTGGT</t>
  </si>
  <si>
    <t>GAGAGAGGAGCCCAGCCCTGGGATTTTCAGGTGTTTTCATTTGGTGATCAGGACTGAACAGAGAGAACTCACCATGGAGTTTGGGCTGAGCTGGCTTTTTCTTGTGGCTATTTTAAAAGGTGTCCAGTGTGAGGTGCAACTGTCGGAGTCTGGGGGAGGCTTGGTACAGCCTGGGGGGTCCCTAAGACTCTCCTGTGCAGGCTCTGGATTCACCTTTAGCAACTATGCCATGAGCTGGGTCCGCCAGGCTCCAGGGAAGGGGCTGGAGTGGGTCTCAGCTATTACTGGTCGTGGTGGTAACACATACTACGCAGACTCCGTGAAGGGCCGGTTCACCATTTCCAGAGACAATTCCAAGAACACGCTGTATCTGCAAATGAACAGCCTGAGAGTCGAGGACACGGCCGTATATTACTGTGCGAGAGTTGGGGGGCTTACGATTTTTGGAGTGGTCACCCTCTTTGACTACTGGGGCCAGGGAACCCTGATCACCGTCTCCTCAGCCTCCACCAAGGGCCCATCGGTCTTCCCCCTGGCACCCTCCTCCAAGAGCACCTCTGGGGGCACAGCGGCCCTGGGCTGCCTGGTCAAGGACTACTTCCCCGAACCGGTGACGGTGTCGTGGAACTCAGGCGCCCTGACCAGCGGCGTGCACACCTTCCCGGCTGTCCTACAGTCCTCAGGA</t>
  </si>
  <si>
    <t>GAGGTGCAACTGTCGGAGTCTGGGGGAGGCTTGGTACAGCCTGGGGGGTCCCTAAGACTCTCCTGTGCAGGCTCTGGATTCACCTTTAGCAACTATGCCATGAGCTGGGTCCGCCAGGCTCCAGGGAAGGGGCTGGAGTGGGTCTCAGCTATTACTGGTCGTGGTGGTAACACATACTACGCAGACTCCGTGAAGGGCCGGTTCACCATTTCCAGAGACAATTCCAAGAACACGCTGTATCTGCAAATGAACAGCCTGAGAGTCGAGGACACGGCCGTATATTACTGTGCGAGAGTTGGGGGGCTTACGATTTTTGGAGTGGTCACCCTCTTTGACTACTGGGGCCAGGGAACCCTGATCACCGTCTCCTCAG</t>
  </si>
  <si>
    <t>GAGGTGCAACTGTCGGAGTCTGGGGGA...GGCTTGGTACAGCCTGGGGGGTCCCTAAGACTCTCCTGTGCAGGCTCTGGATTCACCTTT............AGCAACTATGCCATGAGCTGGGTCCGCCAGGCTCCAGGGAAGGGGCTGGAGTGGGTCTCAGCTATTACTGGTCGT......GGTGGTAACACATACTACGCAGACTCCGTGAAG...GGCCGGTTCACCATTTCCAGAGACAATTCCAAGAACACGCTGTATCTGCAAATGAACAGCCTGAGAGTCGAGGACACGGCCGTATATTACTGTGCGAGAGTTGGGGGGCTTACGATTTTTGGAGTGGTCACCCTCTTTGACTACTGGGGCCAGGGAACCCTGATCACCGTCTCCTCAG</t>
  </si>
  <si>
    <t>TGTGCGAGAGTTGGGGGGCTTACGATTTTTGGAGTGGTCACCCTCTTTGACTACTGG</t>
  </si>
  <si>
    <t>GAGGTGCAACTGTCGGAGTCTGGGGGA...GGCTTGGTACAGCCTGGGGGGTCCCTAAGACTCTCCTGTGCAGGCTCT</t>
  </si>
  <si>
    <t>TACTACGCAGACTCCGTGAAG...GGCCGGTTCACCATTTCCAGAGACAATTCCAAGAACACGCTGTATCTGCAAATGAACAGCCTGAGAGTCGAGGACACGGCCGTATATTACTGT</t>
  </si>
  <si>
    <t>TGGGGCCAGGGAACCCTGATCACCGTCTCCTCAG</t>
  </si>
  <si>
    <t>GGATTCACCTTT............AGCAACTATGCC</t>
  </si>
  <si>
    <t>ATTACTGGTCGT......GGTGGTAACACA</t>
  </si>
  <si>
    <t>GCGAGAGTTGGGGGGCTTACGATTTTTGGAGTGGTCACCCTCTTTGACTAC</t>
  </si>
  <si>
    <t>CARVGGLTIFGVVTLFDYW</t>
  </si>
  <si>
    <t>AGCTTCAGCTGTGGGTAGAGAAGACAGGACTCAGGACAATCTCCAGCATGGCCAGCTTCCCTCTCCTCCTCACCCTCCTCACTCACTGTGCAGGGTCCTGGGCCCAGTCTGTGCTGACTCAGCCACCCTCAGCGTCTGGGACCCCCGGCCAGAAGGTCAGCATCACTTGTTCTGGAAGCAGCTCCAACATCGGAAGTAATACTGTAAACTGGTTCCAGCAGCTCCCAGGAACGGCCCCCAAACTCCTCCTGTATAGTAATAATCAGCGGCCCTCGGGGGTCCCTGACCGATTCTCCGGCTCCAAGTCTGGCACCTCAGCCTCCCTGGCCATCAGTGGCCTCCACTCTGAGGATGAGACTGATTATTACTGTGCAGTATGGGATGACAGCCTGAATGGTGTGGTATTCGGCGGAGGGACCAAGCTGACCGTCCTAGGTCAGCCCAAGGCTGCCCCCTCGGTCACTCTGTTCCCACCCTCCTCTGAGGAGCTTCAAGCCAACAAGGCCACACTGGTGTGTCTCATAAGTGACTTCTACCCGGGAGCCGTGACAGTGGCCTGGAAGGCAGATAGCAGCCCCGTCAAGGCGGGAGTGGAGACCACCACACCCTCCAAACAAAGCAACAACAAGTACGCGGCCAGCAGCTA</t>
  </si>
  <si>
    <t>IGLV1-44</t>
  </si>
  <si>
    <t>CAGTCTGTGCTGACTCAGCCACCCTCAGCGTCTGGGACCCCCGGCCAGAAGGTCAGCATCACTTGTTCTGGAAGCAGCTCCAACATCGGAAGTAATACTGTAAACTGGTTCCAGCAGCTCCCAGGAACGGCCCCCAAACTCCTCCTGTATAGTAATAATCAGCGGCCCTCGGGGGTCCCTGACCGATTCTCCGGCTCCAAGTCTGGCACCTCAGCCTCCCTGGCCATCAGTGGCCTCCACTCTGAGGATGAGACTGATTATTACTGTGCAGTATGGGATGACAGCCTGAATGGTGTGGTATTCGGCGGAGGGACCAAGCTGACCGTCCTAG</t>
  </si>
  <si>
    <t>CAGTCTGTGCTGACTCAGCCACCCTCA...GCGTCTGGGACCCCCGGCCAGAAGGTCAGCATCACTTGTTCTGGAAGCAGCTCCAACATC............GGAAGTAATACTGTAAACTGGTTCCAGCAGCTCCCAGGAACGGCCCCCAAACTCCTCCTGTATAGTAAT.....................AATCAGCGGCCCTCGGGGGTCCCT...GACCGATTCTCCGGCTCCAAG......TCTGGCACCTCAGCCTCCCTGGCCATCAGTGGCCTCCACTCTGAGGATGAGACTGATTATTACTGTGCAGTATGGGATGACAGCCTGAATGGTGTGGTATTCGGCGGAGGGACCAAGCTGACCGTCCTAG</t>
  </si>
  <si>
    <t>TGTGCAGTATGGGATGACAGCCTGAATGGTGTGGTATTC</t>
  </si>
  <si>
    <t>CAGTCTGTGCTGACTCAGCCACCCTCA...GCGTCTGGGACCCCCGGCCAGAAGGTCAGCATCACTTGTTCTGGAAGC</t>
  </si>
  <si>
    <t>GTAAACTGGTTCCAGCAGCTCCCAGGAACGGCCCCCAAACTCCTCCTGTAT</t>
  </si>
  <si>
    <t>CAGCGGCCCTCGGGGGTCCCT...GACCGATTCTCCGGCTCCAAG......TCTGGCACCTCAGCCTCCCTGGCCATCAGTGGCCTCCACTCTGAGGATGAGACTGATTATTACTGT</t>
  </si>
  <si>
    <t>AGCTCCAACATC............GGAAGTAATACT</t>
  </si>
  <si>
    <t>AGTAAT.....................AAT</t>
  </si>
  <si>
    <t>GCAGTATGGGATGACAGCCTGAATGGTGTGGTA</t>
  </si>
  <si>
    <t>CAVWDDSLNGVVF</t>
  </si>
  <si>
    <t>GGGATGAAGTGTTAGA</t>
  </si>
  <si>
    <t>ATCACATAACAACCACATTCCTCCTCTAAAGAAGCCCCTGGGAGCACAGCTCATCACCATGGACTGGACCTGGAGGTTCCTCTTTGTGGTGGCAGCAGCTACAGGTGTCCAGTCCCAGGTGCAGCTGGTGCAGTCTGGGGCTGAGGTGAAGAAGCCTGGGTCCTCGGTGAAGGTCTCCTGCAAGGCTTCTGGAGGCACCTTCAGCACCTTTGCTATCAGCTGGGTGCGACAGGCCCCTGGACAAGGGCTTGAGTGGATGGGAGGGATCAACCCTATCTTTGGAGCACCAAACTACGCACAGAAGTTCCAGGGCAGAGTCACGATTACCGCGGACGAATCCACGAGCACAGCCTACATGGAGCTGAATAGCCTGAGATCTGAGGACACGGCCGTGTATTACTGTGCGAGAGGAGGGGGGCAGCTTGTGGGCTACTACTACTACATGGACGTCTGGGCCAAAGGGACCACGGTCACCGTCTCCTCAGGGAGTGCATCCGCCCCAACCCTTTTCCCCCTCGTCTCCTGTGAGAATTCCCCGTCGGATACGAGCAGCGTG</t>
  </si>
  <si>
    <t>CAGGTGCAGCTGGTGCAGTCTGGGGCTGAGGTGAAGAAGCCTGGGTCCTCGGTGAAGGTCTCCTGCAAGGCTTCTGGAGGCACCTTCAGCACCTTTGCTATCAGCTGGGTGCGACAGGCCCCTGGACAAGGGCTTGAGTGGATGGGAGGGATCAACCCTATCTTTGGAGCACCAAACTACGCACAGAAGTTCCAGGGCAGAGTCACGATTACCGCGGACGAATCCACGAGCACAGCCTACATGGAGCTGAATAGCCTGAGATCTGAGGACACGGCCGTGTATTACTGTGCGAGAGGAGGGGGGCAGCTTGTGGGCTACTACTACTACATGGACGTCTGGGCCAAAGGGACCACGGTCACCGTCTCCTCA</t>
  </si>
  <si>
    <t>CAGGTGCAGCTGGTGCAGTCTGGGGCT...GAGGTGAAGAAGCCTGGGTCCTCGGTGAAGGTCTCCTGCAAGGCTTCTGGAGGCACCTTC............AGCACCTTTGCTATCAGCTGGGTGCGACAGGCCCCTGGACAAGGGCTTGAGTGGATGGGAGGGATCAACCCTATC......TTTGGAGCACCAAACTACGCACAGAAGTTCCAG...GGCAGAGTCACGATTACCGCGGACGAATCCACGAGCACAGCCTACATGGAGCTGAATAGCCTGAGATCTGAGGACACGGCCGTGTATTACTGTGCGAGAGGAGGGGGGCAGCTTGTGGGCTACTACTACTACATGGACGTCTGGGCCAAAGGGACCACGGTCACCGTCTCCTCA</t>
  </si>
  <si>
    <t>TGTGCGAGAGGAGGGGGGCAGCTTGTGGGCTACTACTACTACATGGACGTCTGG</t>
  </si>
  <si>
    <t>AACTACGCACAGAAGTTCCAG...GGCAGAGTCACGATTACCGCGGACGAATCCACGAGCACAGCCTACATGGAGCTGAATAGCCTGAGATCTGAGGACACGGCCGTGTATTACTGT</t>
  </si>
  <si>
    <t>TGGGCCAAAGGGACCACGGTCACCGTCTCCTCA</t>
  </si>
  <si>
    <t>GGAGGCACCTTC............AGCACCTTTGCT</t>
  </si>
  <si>
    <t>ATCAACCCTATC......TTTGGAGCACCA</t>
  </si>
  <si>
    <t>GCGAGAGGAGGGGGGCAGCTTGTGGGCTACTACTACTACATGGACGTC</t>
  </si>
  <si>
    <t>CARGGGQLVGYYYYMDVW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</si>
  <si>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CTTTAGAAAGTGGAGTCCCATCAAGGTTCAGCGGCAGTGGATCTGGGACAGAATTCACTCTCACCATCAGCAGCCTGCAGCCTGATGATTTTGCAACTTATTACTGCCAACAGTATAGTAGTTATTCA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</si>
  <si>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CTTTAGAAAGTGGAGTCCCATCAAGGTTCAGCGGCAGTGGATCTGGGACAGAATTCACTCTCACCATCAGCAGCCTGCAGCCTGATGATTTTGCAACTTATTACTGCCAACAGTATAGTAGTTATTCAGGGACGTTCGGCCAAGGGACCAAGGTGGAAATCAAAC</t>
  </si>
  <si>
    <t>GACATCCAGATGACCCAGTCTCCTTCCACCCTGTCTGCATCTGTAGGAGACAGAGTCACCATCACTTGCCGGGCCAGTCAGAGTATT..................AGTAGCTGGTTGGCCTGGTATCAGCAGAAACCAGGGAAAGCCCCTAAGCTCCTGATCTATAAGGCG.....................TCTACTTTAGAAAGTGGAGTCCCA...TCAAGGTTCAGCGGCAGTGGA......TCTGGGACAGAATTCACTCTCACCATCAGCAGCCTGCAGCCTGATGATTTTGCAACTTATTACTGCCAACAGTATAGTAGTTATTCAGGGACGTTCGGCCAAGGGACCAAGGTGGAAATCAAAC</t>
  </si>
  <si>
    <t>TGCCAACAGTATAGTAGTTATTCAGGGACGTTC</t>
  </si>
  <si>
    <t>ACTTTAGAAAGTGGAGTCCCA...TCAAGGTTCAGCGGCAGTGGA......TCTGGGACAGAATTCACTCTCACCATCAGCAGCCTGCAGCCTGATGATTTTGCAACTTATTACTGC</t>
  </si>
  <si>
    <t>CAACAGTATAGTAGTTATTCAGGGACG</t>
  </si>
  <si>
    <t>CQQYSSYSGTF</t>
  </si>
  <si>
    <t>GGGCATCAGACAATAC</t>
  </si>
  <si>
    <t>AGGTCTCAGAGAGGAGCCTTAGCCCTGGACTCCAAGGCCTTTCCACTTGGTGTTCAGCACTGAGCACAGAGGACTCACCATGGAATTGGGGCTGAGCTGGGTTTTCCTTGTTGCTATTTTAGAAGGTGTCCAGTGTGAGGTGCAGCTGGTGGAGTCCGGGGGAGCCTTAGTCCAGCCTGGGGGGTCCCTGAGACTCTCCTGTGCAGGCTCTGGATTCAGTTTTGATAGGTATTGGATGGTCTGGGTCCGCCAGGCTCCGGGGAAGGGGCTGGAGTGGGTGGCCAACATAAACCAAGATGGACGTCAGATTTACTATGAGGACTCTATGAAGGGCCGGTTCACCATCTCCAGAGACAACGCCAAGAGCTCTCTGTATCTTCAAATGAACAGCCTGAGAACCGAGGACACGGCTGTATATTTTTGTTCGATATCTACAGTGCCCTGGGGTCTTGACTACTGGGGCCAGGGAACCCTGGTCACCGTCTCCTCAGCCTCCACCAAGGGCCCATCGGTCTTCCCCCTGGCGCCCTGCTCCAGGAGCACCTCCGAGAGCACAGCGGCCCTGGGCTGCCTGGTCAAGGACTACTTCCCCGAACCGGTGACGGTGTCGTGGAACTCAGGCGCTCTGACCAGCGGCGTGCACACCTTCCCGGCTGTCCTACAGTCCTCAGGA</t>
  </si>
  <si>
    <t>IGHD4-11</t>
  </si>
  <si>
    <t>GAGGTGCAGCTGGTGGAGTCCGGGGGAGCCTTAGTCCAGCCTGGGGGGTCCCTGAGACTCTCCTGTGCAGGCTCTGGATTCAGTTTTGATAGGTATTGGATGGTCTGGGTCCGCCAGGCTCCGGGGAAGGGGCTGGAGTGGGTGGCCAACATAAACCAAGATGGACGTCAGATTTACTATGAGGACTCTATGAAGGGCCGGTTCACCATCTCCAGAGACAACGCCAAGAGCTCTCTGTATCTTCAAATGAACAGCCTGAGAACCGAGGACACGGCTGTATATTTTTGTTCGATATCTACAGTGCCCTGGGGTCTTGACTACTGGGGCCAGGGAACCCTGGTCACCGTCTCCTCAG</t>
  </si>
  <si>
    <t>GAGGTGCAGCTGGTGGAGTCCGGGGGA...GCCTTAGTCCAGCCTGGGGGGTCCCTGAGACTCTCCTGTGCAGGCTCTGGATTCAGTTTT............GATAGGTATTGGATGGTCTGGGTCCGCCAGGCTCCGGGGAAGGGGCTGGAGTGGGTGGCCAACATAAACCAAGAT......GGACGTCAGATTTACTATGAGGACTCTATGAAG...GGCCGGTTCACCATCTCCAGAGACAACGCCAAGAGCTCTCTGTATCTTCAAATGAACAGCCTGAGAACCGAGGACACGGCTGTATATTTTTGTTCGATATCTACAGTGCCCTGGGGTCTTGACTACTGGGGCCAGGGAACCCTGGTCACCGTCTCCTCAG</t>
  </si>
  <si>
    <t>TGTTCGATATCTACAGTGCCCTGGGGTCTTGACTACTGG</t>
  </si>
  <si>
    <t>GAGGTGCAGCTGGTGGAGTCCGGGGGA...GCCTTAGTCCAGCCTGGGGGGTCCCTGAGACTCTCCTGTGCAGGCTCT</t>
  </si>
  <si>
    <t>ATGGTCTGGGTCCGCCAGGCTCCGGGGAAGGGGCTGGAGTGGGTGGCCAAC</t>
  </si>
  <si>
    <t>TACTATGAGGACTCTATGAAG...GGCCGGTTCACCATCTCCAGAGACAACGCCAAGAGCTCTCTGTATCTTCAAATGAACAGCCTGAGAACCGAGGACACGGCTGTATATTTTTGT</t>
  </si>
  <si>
    <t>GGATTCAGTTTT............GATAGGTATTGG</t>
  </si>
  <si>
    <t>ATAAACCAAGAT......GGACGTCAGATT</t>
  </si>
  <si>
    <t>TCGATATCTACAGTGCCCTGGGGTCTTGACTAC</t>
  </si>
  <si>
    <t>CSISTVPWGLDYW</t>
  </si>
  <si>
    <t>GAAGAGCTGCTCAGTTAGGACCCAGAGGGAACCATGGAAACCCCAGCGCAGCTTCTCTTCCTCCTGCTACTCTGGCTCCCAGATACCACCGGTGAAAGTGTGTTGACGCAGTCTCCAGGCACGCTGTCTTTGTCTCCAGGGGAAAGAGCCACCCTCTCCTGCAGGGCCAGGCACAGTGTTGACAGCAAGTACTTAGCCTGGTACCAGCAGAAACCTGGCCAGGCTCCCAGGCTCCTCATCTATGGTGCATCCACTAGGGCCACTGGCATCCCAGACAGGTTCAGTGGCGGTGGGTCTGGGACAGACTTCACTCTCACCATCAGCAGACTGGAGCCTGAAGATTTTGCAGTGTATTACTGTCAGCAGTATGCTACCTCTTTCGGCGGAGGGACCGAGGTGGAGATCAAGCGAACTGTGGCTGCACCATCTGTCTTCATCTTCCCGCCATCTGATGAGCAGTTGAAATCTGGAACTGCCTCTGTTGTGTGCCTGCTGAATAACTTCTATCCCAGAGAGGCCAAAGTACAGTGGAAGGTGGATAACGC</t>
  </si>
  <si>
    <t>GAAAGTGTGTTGACGCAGTCTCCAGGCACGCTGTCTTTGTCTCCAGGGGAAAGAGCCACCCTCTCCTGCAGGGCCAGGCACAGTGTTGACAGCAAGTACTTAGCCTGGTACCAGCAGAAACCTGGCCAGGCTCCCAGGCTCCTCATCTATGGTGCATCCACTAGGGCCACTGGCATCCCAGACAGGTTCAGTGGCGGTGGGTCTGGGACAGACTTCACTCTCACCATCAGCAGACTGGAGCCTGAAGATTTTGCAGTGTATTACTGTCAGCAGTATGCTACCTCTTTCGGCGGAGGGACCGAGGTGGAGATCAAGC</t>
  </si>
  <si>
    <t>GAAAGTGTGTTGACGCAGTCTCCAGGCACGCTGTCTTTGTCTCCAGGGGAAAGAGCCACCCTCTCCTGCAGGGCCAGGCACAGTGTTGAC...............AGCAAGTACTTAGCCTGGTACCAGCAGAAACCTGGCCAGGCTCCCAGGCTCCTCATCTATGGTGCA.....................TCCACTAGGGCCACTGGCATCCCA...GACAGGTTCAGTGGCGGTGGG......TCTGGGACAGACTTCACTCTCACCATCAGCAGACTGGAGCCTGAAGATTTTGCAGTGTATTACTGTCAGCAGTATGCTACCTCTTTCGGCGGAGGGACCGAGGTGGAGATCAAGC</t>
  </si>
  <si>
    <t>TGTCAGCAGTATGCTACCTCTTTC</t>
  </si>
  <si>
    <t>GAAAGTGTGTTGACGCAGTCTCCAGGCACGCTGTCTTTGTCTCCAGGGGAAAGAGCCACCCTCTCCTGCAGGGCCAGG</t>
  </si>
  <si>
    <t>ACTAGGGCCACTGGCATCCCA...GACAGGTTCAGTGGCGGTGGG......TCTGGGACAGACTTCACTCTCACCATCAGCAGACTGGAGCCTGAAGATTTTGCAGTGTATTACTGT</t>
  </si>
  <si>
    <t>TTCGGCGGAGGGACCGAGGTGGAGATCAAGC</t>
  </si>
  <si>
    <t>CACAGTGTTGAC...............AGCAAGTAC</t>
  </si>
  <si>
    <t>CAGCAGTATGCTACCTCT</t>
  </si>
  <si>
    <t>CQQYATSF</t>
  </si>
  <si>
    <t>GGGTCTGCAGTCAGAG</t>
  </si>
  <si>
    <t>TGGGGACTCAACAACCACATCTGTCCTCTAGAGAAAACCCTGTGAGCACAGCTCCTCACCATGGACTGGACCTGGAGGATCCTCTTCTTGGTGGCAGCAGCTACAAGTGCCCACTCCCAGGTGCGGCTGGTGCAGTCTGGGGCTGAGGTGAAGAAGCCTGGGGCCTCAGTGAAGGTCTCCTGCAAGGCTTCTGGATACACCTTCGCCAATTATGATATCAACTGGGTGCGACAGGCCCCTGGACAAGGGCTTGAGTGGATGGGATGGATGAGCCCTAACAGTGGTAACACAGGCTATGCACAGAAGTTCCAGGGCAGAGTCACCATGACCAGGGACACCCCCATAAGTACAGCCTTCATGGAGCTGAGCAGCCTGACATCTGAGGACACGGCCGTATATTACTGCGCGAGGAACCCGTATGGCAGCGGCTGGTTCGACCCCTGGGGCCAGGGAACCCTGGTCACCGTCTCCTCAGCCTCCACCAAGGGCCCATCGGTCTTCCCCCTGGCGCCCTGCTCCAGGAGCACCTCCGAGAGCACAGCGGCCCTGGGCTGCCTGGTCAAGGACTACTTCCCCGAACCGGTGACGGTGTCGTGGAACTCAGGCGCTCTGACCAGCGGCGTGCACACCTTCCCGGCTGTCCTACAGTCCTCAGGA</t>
  </si>
  <si>
    <t>IGHV1-8</t>
  </si>
  <si>
    <t>CAGGTGCGGCTGGTGCAGTCTGGGGCTGAGGTGAAGAAGCCTGGGGCCTCAGTGAAGGTCTCCTGCAAGGCTTCTGGATACACCTTCGCCAATTATGATATCAACTGGGTGCGACAGGCCCCTGGACAAGGGCTTGAGTGGATGGGATGGATGAGCCCTAACAGTGGTAACACAGGCTATGCACAGAAGTTCCAGGGCAGAGTCACCATGACCAGGGACACCCCCATAAGTACAGCCTTCATGGAGCTGAGCAGCCTGACATCTGAGGACACGGCCGTATATTACTGCGCGAGGAACCCGTATGGCAGCGGCTGGTTCGACCCCTGGGGCCAGGGAACCCTGGTCACCGTCTCCTCAG</t>
  </si>
  <si>
    <t>CAGGTGCGGCTGGTGCAGTCTGGGGCT...GAGGTGAAGAAGCCTGGGGCCTCAGTGAAGGTCTCCTGCAAGGCTTCTGGATACACCTTC............GCCAATTATGATATCAACTGGGTGCGACAGGCCCCTGGACAAGGGCTTGAGTGGATGGGATGGATGAGCCCTAAC......AGTGGTAACACAGGCTATGCACAGAAGTTCCAG...GGCAGAGTCACCATGACCAGGGACACCCCCATAAGTACAGCCTTCATGGAGCTGAGCAGCCTGACATCTGAGGACACGGCCGTATATTACTGCGCGAGGAACCCGTATGGCAGCGGCTGGTTCGACCCCTGGGGCCAGGGAACCCTGGTCACCGTCTCCTCAG</t>
  </si>
  <si>
    <t>TGCGCGAGGAACCCGTATGGCAGCGGCTGGTTCGACCCCTGG</t>
  </si>
  <si>
    <t>CAGGTGCGGCTGGTGCAGTCTGGGGCT...GAGGTGAAGAAGCCTGGGGCCTCAGTGAAGGTCTCCTGCAAGGCTTCT</t>
  </si>
  <si>
    <t>ATCAACTGGGTGCGACAGGCCCCTGGACAAGGGCTTGAGTGGATGGGATGG</t>
  </si>
  <si>
    <t>GGCTATGCACAGAAGTTCCAG...GGCAGAGTCACCATGACCAGGGACACCCCCATAAGTACAGCCTTCATGGAGCTGAGCAGCCTGACATCTGAGGACACGGCCGTATATTACTGC</t>
  </si>
  <si>
    <t>GGATACACCTTC............GCCAATTATGAT</t>
  </si>
  <si>
    <t>ATGAGCCCTAAC......AGTGGTAACACA</t>
  </si>
  <si>
    <t>GCGAGGAACCCGTATGGCAGCGGCTGGTTCGACCCC</t>
  </si>
  <si>
    <t>CARNPYGSGWFDPW</t>
  </si>
  <si>
    <t>ACTGTGGGGGTAAGAGGTTGTGTCCACCATGGCCTGGACTCCTCTCCTCCTCCTGTTCCTCTCTCACTGCACAGGTTCCCTCTCGCAGGCTGTGGTGACTCAGCCGTCTTCCCTCTCTGCATCTCCTGGAGCATCAGCCAGTCTCACCTGCACCTTACGCAGTGGCATCAATGTTGGTGCCTACAGCATATACTGGTTGCAGCAGAAGCCAGGGAGTCCTCCCCAGTGTCTCCTGAGGTACAAGTCAGACTCAGATAAGCAGCAGGGCTCTGGCGTCCCCAGCCGCTTCTCTGGATCCAAAGACGCTTCGGCCAATGCAGGAATTCTACTCATCTCTGGGCTCCAGTCTGAGGATGAGGCTGACTATTACTGTATGATTTGGCACAGCAGC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</si>
  <si>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GCTGTGGTGACTCAGCCGTCTTCCCTCTCTGCATCTCCTGGAGCATCAGCCAGTCTCACCTGCACCTTACGCAGTGGCATCAATGTTGGTGCCTACAGCATATACTGGTTGCAGCAGAAGCCAGGGAGTCCTCCCCAGTGTCTCCTGAGGTACAAGTCAGACTCAGATAAGCAGCAGGGCTCTGGCGTCCCCAGCCGCTTCTCTGGATCCAAAGACGCTTCGGCCAATGCAGGAATTCTACTCATCTCTGGGCTCCAGTCTGAGGATGAGGCTGACTATTACTGTATGATTTGGCACAGCAGCGCTTGGGTGTTCGGCGGAGGGACCAAGCTGACCGTCCTAG</t>
  </si>
  <si>
    <t>CAGGCTGTGGTGACTCAGCCGTCTTCC...CTCTCTGCATCTCCTGGAGCATCAGCCAGTCTCACCTGCACCTTACGCAGTGGCATCAATGTT.........GGTGCCTACAGCATATACTGGTTGCAGCAGAAGCCAGGGAGTCCTCCCCAGTGTCTCCTGAGGTACAAGTCAGAC.........TCAGATAAGCAGCAGGGCTCTGGCGTCCCC...AGCCGCTTCTCTGGATCCAAAGACGCTTCGGCCAATGCAGGAATTCTACTCATCTCTGGGCTCCAGTCTGAGGATGAGGCTGACTATTACTGTATGATTTGGCACAGCAGCGCTTGGGTGTTCGGCGGAGGGACCAAGCTGACCGTCCTAG</t>
  </si>
  <si>
    <t>TGTATGATTTGGCACAGCAGCGCTTGGGTGTTC</t>
  </si>
  <si>
    <t>CAGGCTGTGGTGACTCAGCCGTCTTCC...CTCTCTGCATCTCCTGGAGCATCAGCCAGTCTCACCTGCACCTTACGC</t>
  </si>
  <si>
    <t>ATATACTGGTTGCAGCAGAAGCCAGGGAGTCCTCCCCAGTGTCTCCTGAGG</t>
  </si>
  <si>
    <t>CAGCAGGGCTCTGGCGTCCCC...AGCCGCTTCTCTGGATCCAAAGACGCTTCGGCCAATGCAGGAATTCTACTCATCTCTGGGCTCCAGTCTGAGGATGAGGCTGACTATTACTGT</t>
  </si>
  <si>
    <t>AGTGGCATCAATGTT.........GGTGCCTACAGC</t>
  </si>
  <si>
    <t>TACAAGTCAGAC.........TCAGATAAG</t>
  </si>
  <si>
    <t>ATGATTTGGCACAGCAGCGCTTGGGTG</t>
  </si>
  <si>
    <t>CMIWHSSAWVF</t>
  </si>
  <si>
    <t>GTCAAGTCAAAGTCAA</t>
  </si>
  <si>
    <t>AGCTCTCAGAGAGGTGCCTTAGCCCTGGATTCCAAGGCATTTCCACTTGGTGATCAGCACTGAACACAGAGGACTCACCATGGAGTTGGGGCTGTGCTGGGTTTTCCTTGTTGCTATTTTAGAAGGTGTCCAGTGTGAGGTGCAGCTGGTGGAGTCTGGGGGAGACTTGGTACAGCCTGGGGGGTCCCTGAGACTCTCCTGTGCAGCCTCTGGATTCACCTTCAGTAGTTATAGCATGAACTGGGTCCGCCAGGCTCCAGGGAAGGGGCTGGAGTGGCTTTCATACATTAGTTATAGTAGTAGTACCATATACAACGCAGACTCTGTGAAGGGCCGATTCACCATCTCCAGAGACAATGCCAAGAACTCACTGTATCTGCAAATGAACAGCCTGACAGCCGAGGACACGGCTGTGTATTACTGTGCGAGAAGTTTCTACTGGGCCATTGAATACTGGGGCCAGGGAACCCTGGTCACCGTCTCCTCAGCCTCCACCAAGGGCCCATCGGTCTTCCCCCTGGCGCCCTGCTCCAGGAGCACCTCCGAGAGCACAGCGGCCCTGGGCTGCCTGGTCAAGGACTACTTCCCCGAACCGGTGACGGTGTCGTGGAACTCAGGCGCTCTGACCAGCGGCGTGCACACCTTCCCGGCTGTCCTACAGTCCTCAGGA</t>
  </si>
  <si>
    <t>IGHV3-48</t>
  </si>
  <si>
    <t>GAGGTGCAGCTGGTGGAGTCTGGGGGAGACTTGGTACAGCCTGGGGGGTCCCTGAGACTCTCCTGTGCAGCCTCTGGATTCACCTTCAGTAGTTATAGCATGAACTGGGTCCGCCAGGCTCCAGGGAAGGGGCTGGAGTGGCTTTCATACATTAGTTATAGTAGTAGTACCATATACAACGCAGACTCTGTGAAGGGCCGATTCACCATCTCCAGAGACAATGCCAAGAACTCACTGTATCTGCAAATGAACAGCCTGACAGCCGAGGACACGGCTGTGTATTACTGTGCGAGAAGTTTCTACTGGGCCATTGAATACTGGGGCCAGGGAACCCTGGTCACCGTCTCCTCAG</t>
  </si>
  <si>
    <t>GAGGTGCAGCTGGTGGAGTCTGGGGGA...GACTTGGTACAGCCTGGGGGGTCCCTGAGACTCTCCTGTGCAGCCTCTGGATTCACCTTC............AGTAGTTATAGCATGAACTGGGTCCGCCAGGCTCCAGGGAAGGGGCTGGAGTGGCTTTCATACATTAGTTATAGT......AGTAGTACCATATACAACGCAGACTCTGTGAAG...GGCCGATTCACCATCTCCAGAGACAATGCCAAGAACTCACTGTATCTGCAAATGAACAGCCTGACAGCCGAGGACACGGCTGTGTATTACTGTGCGAGAAGTTTCTACTGGGCCATTGAATACTGGGGCCAGGGAACCCTGGTCACCGTCTCCTCAG</t>
  </si>
  <si>
    <t>TGTGCGAGAAGTTTCTACTGGGCCATTGAATACTGG</t>
  </si>
  <si>
    <t>GAGGTGCAGCTGGTGGAGTCTGGGGGA...GACTTGGTACAGCCTGGGGGGTCCCTGAGACTCTCCTGTGCAGCCTCT</t>
  </si>
  <si>
    <t>ATGAACTGGGTCCGCCAGGCTCCAGGGAAGGGGCTGGAGTGGCTTTCATAC</t>
  </si>
  <si>
    <t>TACAACGCAGACTCTGTGAAG...GGCCGATTCACCATCTCCAGAGACAATGCCAAGAACTCACTGTATCTGCAAATGAACAGCCTGACAGCCGAGGACACGGCTGTGTATTACTGT</t>
  </si>
  <si>
    <t>GGATTCACCTTC............AGTAGTTATAGC</t>
  </si>
  <si>
    <t>ATTAGTTATAGT......AGTAGTACCATA</t>
  </si>
  <si>
    <t>GCGAGAAGTTTCTACTGGGCCATTGAATAC</t>
  </si>
  <si>
    <t>CARSFYWAIEYW</t>
  </si>
  <si>
    <t>GCTGGGGTCTCAGGAGGCAGCGCTCTCAGGACGTCACCACCATGGCCTGGGCTCTGCTCCTCCTCAGCCTCCTCACTCAGGGCACAGGGTCCTGGGCCCAGTCTGCCCTGACTCAGCCTCCCTCCGCGTCCGGGTCTCCTGGACAGTCAGTCACCATCTCCTGCACTGGAACCAGCAGTGACGTTGGTGGTTATAACTATGTCTCCTGGTACCAACAGCACCCAGGCAAAGCCCCCCAACTCATGATTTATGAAGTCAGTAAGCGGCCCTCAGGGGTCCCTGATCGCTTCTCTGGCTCCAAGTCTGGCAACACGGCCTCCCTGACCGTCTCTGGGCTCCAGGCTGAGGATGAGGCTGCTTATTACTGCAGCTCATATGCAGGCAGCAACAATGTGGTATTCGGCGGAGGGACCAAGCTGACCGTCCTAGGTCAC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</si>
  <si>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CAACTCATGATTTATGAAGTCAGTAAGCGGCCCTCAGGGGTCCCTGATCGCTTCTCTGGCTCCAAGTCTGGCAACACGGCCTCCCTGACCGTCTCTGGGCTCCAGGCTGAGGATGAGGCTGCTTATTACTGCAGCTCATATGCAGGCAGCAACAATGTGGTATTCGGCGGAGGGACCAAGCTGACCGTCCTAG</t>
  </si>
  <si>
    <t>CAGTCTGCCCTGACTCAGCCTCCCTCC...GCGTCCGGGTCTCCTGGACAGTCAGTCACCATCTCCTGCACTGGAACCAGCAGTGACGTTGGT.........GGTTATAACTATGTCTCCTGGTACCAACAGCACCCAGGCAAAGCCCCCCAACTCATGATTTATGAAGTC.....................AGTAAGCGGCCCTCAGGGGTCCCT...GATCGCTTCTCTGGCTCCAAG......TCTGGCAACACGGCCTCCCTGACCGTCTCTGGGCTCCAGGCTGAGGATGAGGCTGCTTATTACTGCAGCTCATATGCAGGCAGCAACAATGTGGTATTCGGCGGAGGGACCAAGCTGACCGTCCTAG</t>
  </si>
  <si>
    <t>TGCAGCTCATATGCAGGCAGCAACAATGTGGTATTC</t>
  </si>
  <si>
    <t>CAGTCTGCCCTGACTCAGCCTCCCTCC...GCGTCCGGGTCTCCTGGACAGTCAGTCACCATCTCCTGCACTGGAACC</t>
  </si>
  <si>
    <t>GTCTCCTGGTACCAACAGCACCCAGGCAAAGCCCCCCAACTCATGATTTAT</t>
  </si>
  <si>
    <t>AAGCGGCCCTCAGGGGTCCCT...GATCGCTTCTCTGGCTCCAAG......TCTGGCAACACGGCCTCCCTGACCGTCTCTGGGCTCCAGGCTGAGGATGAGGCTGCTTATTACTGC</t>
  </si>
  <si>
    <t>GAAGTC.....................AGT</t>
  </si>
  <si>
    <t>AGCTCATATGCAGGCAGCAACAATGTGGTA</t>
  </si>
  <si>
    <t>CSSYAGSNNVVF</t>
  </si>
  <si>
    <t>GTCCTCAAGACTAGGC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</si>
  <si>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GTACTACTACTACATGGACGTCTGGGGCA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</si>
  <si>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GTACTACTACTACATGGACGTCTGGGGCA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</si>
  <si>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GTACTACTACTACATGGACGTCTGGGGCAAAGGGACCACGGTCACCGTCTCCTCA</t>
  </si>
  <si>
    <t>TGTGCGAGAGAGTACTACTACTACATGGACGTCTGG</t>
  </si>
  <si>
    <t>GCGAGAGAGTACTACTACTACATGGACGTC</t>
  </si>
  <si>
    <t>CAREYYYYMDVW</t>
  </si>
  <si>
    <t>TCCTCAAGACTAGGCAATCAGCGCCTTTCTGAG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</si>
  <si>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TTGG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</si>
  <si>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TTGGGTGTTCGGCGGAGGGACCAAGCTGACCGTCCTAG</t>
  </si>
  <si>
    <t>TGCAGCTCATATACAAGCAGCAGCACTCTTTGGGTGTTC</t>
  </si>
  <si>
    <t>AGCTCATATACAAGCAGCAGCACTCTTTGGGTG</t>
  </si>
  <si>
    <t>CSSYTSSSTLWVF</t>
  </si>
  <si>
    <t>GTCGTAAGTCCTCCAT</t>
  </si>
  <si>
    <t>TGGGGAGGGTCCTGCTCACATGGGAAATACTGTCTGAGAGTCCTGGACCTCCTGTGCAAGAACATGAAACACCTGTGGTTCTTCCTCCTGCTGGTGGCAGCTCCCAGATGGGTCCTGTCCCAGGTGCAGCTGCAGGAGTCGGGCCCAGGACTGGTGAAGCCTTCACAGACCCTGTCCCTCACCTGCAGTGTCTCTGGTTCCTCCATAAGCAGTGGTGGTTTCTACTGGGGCTGGATCCGCCAGCGCCCAGGGAAGGGCCTGGAGTGCATTGGGTATATCTATAAAAGTGGGAGTCCATACTACAACCCGTCCCTCAAGAGCCGAGCTACCGTATCAGTGGACACGTCTAAGAACCAGTTCTCCCTGCAGCTGAGGTCTGTCACGGCCGCGGACACGGCCGTGTATTACTGTGCGAGACGCTCTGGGGGCTACGAGCCGTACAACTGGTTCGACCCCTGGGGCCGGGGAACCCTGGTCACCGTCTCCTCAGCATCCCCGACCAGCCCCAAGGTCTTCCCGCTGAGCCTCTGCAGCACCCAGCCAGATGGGAACGTGGTCATCGCCTGCCTGGTCCAGGGCTTCTTCCCCCAGGAGCCACTCAGTGTGACCTGGAGCGAAAGCGGACAGGGCGTGACCGCCAGAAACTTCCC</t>
  </si>
  <si>
    <t>CAGGTGCAGCTGCAGGAGTCGGGCCCAGGACTGGTGAAGCCTTCACAGACCCTGTCCCTCACCTGCAGTGTCTCTGGTTCCTCCATAAGCAGTGGTGGTTTCTACTGGGGCTGGATCCGCCAGCGCCCAGGGAAGGGCCTGGAGTGCATTGGGTATATCTATAAAAGTGGGAGTCCATACTACAACCCGTCCCTCAAGAGCCGAGCTACCGTATCAGTGGACACGTCTAAGAACCAGTTCTCCCTGCAGCTGAGGTCTGTCACGGCCGCGGACACGGCCGTGTATTACTGTGCGAGACGCTCTGGGGGCTACGAGCCGTACAACTGGTTCGACCCCTGGGGCCGGGGAACCCTGGTCACCGTCTCCTCAG</t>
  </si>
  <si>
    <t>CAGGTGCAGCTGCAGGAGTCGGGCCCA...GGACTGGTGAAGCCTTCACAGACCCTGTCCCTCACCTGCAGTGTCTCTGGTTCCTCCATAAGC......AGTGGTGGTTTCTACTGGGGCTGGATCCGCCAGCGCCCAGGGAAGGGCCTGGAGTGCATTGGGTATATCTATAAAAGT.........GGGAGTCCATACTACAACCCGTCCCTCAAG...AGCCGAGCTACCGTATCAGTGGACACGTCTAAGAACCAGTTCTCCCTGCAGCTGAGGTCTGTCACGGCCGCGGACACGGCCGTGTATTACTGTGCGAGACGCTCTGGGGGCTACGAGCCGTACAACTGGTTCGACCCCTGGGGCCGGGGAACCCTGGTCACCGTCTCCTCAG</t>
  </si>
  <si>
    <t>TGTGCGAGACGCTCTGGGGGCTACGAGCCGTACAACTGGTTCGACCCCTGG</t>
  </si>
  <si>
    <t>CAGGTGCAGCTGCAGGAGTCGGGCCCA...GGACTGGTGAAGCCTTCACAGACCCTGTCCCTCACCTGCAGTGTCTCT</t>
  </si>
  <si>
    <t>TGGGGCTGGATCCGCCAGCGCCCAGGGAAGGGCCTGGAGTGCATTGGGTAT</t>
  </si>
  <si>
    <t>TACTACAACCCGTCCCTCAAG...AGCCGAGCTACCGTATCAGTGGACACGTCTAAGAACCAGTTCTCCCTGCAGCTGAGGTCTGTCACGGCCGCGGACACGGCCGTGTATTACTGT</t>
  </si>
  <si>
    <t>TGGGGCCGGGGAACCCTGGTCACCGTCTCCTCAG</t>
  </si>
  <si>
    <t>GGTTCCTCCATAAGC......AGTGGTGGTTTCTAC</t>
  </si>
  <si>
    <t>ATCTATAAAAGT.........GGGAGTCCA</t>
  </si>
  <si>
    <t>GCGAGACGCTCTGGGGGCTACGAGCCGTACAACTGGTTCGACCCC</t>
  </si>
  <si>
    <t>CARRSGGYEPYNWFDPW</t>
  </si>
  <si>
    <t>GCTCTGCTTCAGCTGTGGGCACAAGAGGCAGCACTCAGGACAATCTCCAGCATGGCCTGGTCTCCTCTCCTCCTCACTCTCCTCGCTCACTGCACAGGGTCATGGGCCCAGTCTGTGCTGACGCAGCCGCCCTCAGTGTCTGGGGCCCCAGGACAGAGTGTCACCATCTCCTGCAGTGGGGGCAGCTCCAACCTCGGGGCAGGTTATGATGTAAACTGGTACCAGCAATTCCCAGGAGGAGCCCCCAAACTCCTCATCTATGGTAATAACATTCGACCCTCAGGGGTCCCTGACCGATTCTCCGGCTCCAAGTCTGGCACCTCAGCCTCCCTGGCCATCACAGGGCTCCTGGCTGCGGATGAGGCTGATTATTACTGCCAATCGTATGACAACGGCCTGGGTGGTCCGGAGTTATTTGGCGGAGGGACCAAGTTGACCGTCCTCGGTCAGCCCAAGGCTGCCCCCTCGGTCACTCTGTTCCCGCCCTCCTCTGAGGAGCTTCAAGCCAACAAGGCCACACTGGTGTGTCTCATAAGTGACTTCTACCCGGGAGCCGTGACAGTGGCCTGGAAGGCAGATAGCAGCCCCGTCAAGGCGGGAGTGGAGACCACCACACCCTCCAAACAAAGCAACAACAAGTACGCGGCCAGCAGCTA</t>
  </si>
  <si>
    <t>IGLV1-40</t>
  </si>
  <si>
    <t>CAGTCTGTGCTGACGCAGCCGCCCTCAGTGTCTGGGGCCCCAGGACAGAGTGTCACCATCTCCTGCAGTGGGGGCAGCTCCAACCTCGGGGCAGGTTATGATGTAAACTGGTACCAGCAATTCCCAGGAGGAGCCCCCAAACTCCTCATCTATGGTAATAACATTCGACCCTCAGGGGTCCCTGACCGATTCTCCGGCTCCAAGTCTGGCACCTCAGCCTCCCTGGCCATCACAGGGCTCCTGGCTGCGGATGAGGCTGATTATTACTGCCAATCGTATGACAACGGCCTGGGTGGTCCGGAGTTATTTGGCGGAGGGACCAAGTTGACCGTCCTCG</t>
  </si>
  <si>
    <t>CAGTCTGTGCTGACGCAGCCGCCCTCA...GTGTCTGGGGCCCCAGGACAGAGTGTCACCATCTCCTGCAGTGGGGGCAGCTCCAACCTCGGG.........GCAGGTTATGATGTAAACTGGTACCAGCAATTCCCAGGAGGAGCCCCCAAACTCCTCATCTATGGTAAT.....................AACATTCGACCCTCAGGGGTCCCT...GACCGATTCTCCGGCTCCAAG......TCTGGCACCTCAGCCTCCCTGGCCATCACAGGGCTCCTGGCTGCGGATGAGGCTGATTATTACTGCCAATCGTATGACAACGGCCTGGGTGGTCCGGAGTTATTTGGCGGAGGGACCAAGTTGACCGTCCTCG</t>
  </si>
  <si>
    <t>TGCCAATCGTATGACAACGGCCTGGGTGGTCCGGAGTTATTT</t>
  </si>
  <si>
    <t>CAGTCTGTGCTGACGCAGCCGCCCTCA...GTGTCTGGGGCCCCAGGACAGAGTGTCACCATCTCCTGCAGTGGGGGC</t>
  </si>
  <si>
    <t>GTAAACTGGTACCAGCAATTCCCAGGAGGAGCCCCCAAACTCCTCATCTAT</t>
  </si>
  <si>
    <t>ATTCGACCCTCAGGGGTCCCT...GACCGATTCTCCGGCTCCAAG......TCTGGCACCTCAGCCTCCCTGGCCATCACAGGGCTCCTGGCTGCGGATGAGGCTGATTATTACTGC</t>
  </si>
  <si>
    <t>TTTGGCGGAGGGACCAAGTTGACCGTCCTCG</t>
  </si>
  <si>
    <t>AGCTCCAACCTCGGG.........GCAGGTTATGAT</t>
  </si>
  <si>
    <t>GGTAAT.....................AAC</t>
  </si>
  <si>
    <t>CAATCGTATGACAACGGCCTGGGTGGTCCGGAGTTA</t>
  </si>
  <si>
    <t>CQSYDNGLGGPELF</t>
  </si>
  <si>
    <t>TAAGCGTTCTGTCTCG</t>
  </si>
  <si>
    <t>CGAGCCCAGCACTGGAAGTCGCCGGTGTTTCCATTCGGTGATCATCACTGAACACAGAGGACTCACCATGGAGTTTGGGCTGAGCTGGGTTTTCCTCGTTGCTCTTTTAAGAGGTGTCCAGTGTCAGGTACAGCTGGTGGAGTCTGGGGGAGGCGTGGTCCAGCCTGGGGGGTCCCTGAGACTCTCCTGTGCAGCCTCTGGACTCACCTTCAATGATTATGCCATGCATTGGGTCCGCCAGGCTCCAGGCAAGGGGCCGGAGTGGGTGGCAGTGATATCGTCTGATGGAACAAGCCATAAATATTACGCAGACTCCGTGAAGGGCCGATTCACCATCTCCAGAGACAATTCCAAGGACACGATGTATCTGCAGATGAACAGCCTGAGAGTTGAGGATACGGCTCTATATTACTGTGCGAGAGACTGGGTTGGCGGTGTACCCGACTACTTGGACCACTGGGGCCAGGGAGCCCAGGTCACCGTCTCCTCAGCCTCCACCAAGGGCCCATCGGTCTTCCCCCTGGCGCCCTGCTCCAGGAGCACCTCCGAGAGCACAGCGGCCCTGGGCTGCCTGGTCAAGGACTACTTCCCCGAACCGGTGACGGTGTCGTGGAACTCAGGCGCTCTGACCAGCGGCGTGCACACCTTCCCGGCTGTCCTACAGTCCTCAGGA</t>
  </si>
  <si>
    <t>CAGGTACAGCTGGTGGAGTCTGGGGGAGGCGTGGTCCAGCCTGGGGGGTCCCTGAGACTCTCCTGTGCAGCCTCTGGACTCACCTTCAATGATTATGCCATGCATTGGGTCCGCCAGGCTCCAGGCAAGGGGCCGGAGTGGGTGGCAGTGATATCGTCTGATGGAAGCCATAAATATTACGCAGACTCCGTGAAGGGCCGATTCACCATCTCCAGAGACAATTCCAAGGACACGATGTATCTGCAGATGAACAGCCTGAGAGTTGAGGATACGGCTCTATATTACTGTGCGAGAGACTGGGTTGGCGGTGTACCCGACTACTTGGACCACTGGGGCCAGGGAGCCCAGGTCACCGTCTCCTCAG</t>
  </si>
  <si>
    <t>CAGGTACAGCTGGTGGAGTCTGGGGGA...GGCGTGGTCCAGCCTGGGGGGTCCCTGAGACTCTCCTGTGCAGCCTCTGGACTCACCTTC............AATGATTATGCCATGCATTGGGTCCGCCAGGCTCCAGGCAAGGGGCCGGAGTGGGTGGCAGTGATATCGTCTGAT......GGAAGCCATAAATATTACGCAGACTCCGTGAAG...GGCCGATTCACCATCTCCAGAGACAATTCCAAGGACACGATGTATCTGCAGATGAACAGCCTGAGAGTTGAGGATACGGCTCTATATTACTGTGCGAGAGACTGGGTTGGCGGTGTACCCGACTACTTGGACCACTGGGGCCAGGGAGCCCAGGTCACCGTCTCCTCAG</t>
  </si>
  <si>
    <t>TGTGCGAGAGACTGGGTTGGCGGTGTACCCGACTACTTGGACCACTGG</t>
  </si>
  <si>
    <t>CAGGTACAGCTGGTGGAGTCTGGGGGA...GGCGTGGTCCAGCCTGGGGGGTCCCTGAGACTCTCCTGTGCAGCCTCT</t>
  </si>
  <si>
    <t>ATGCATTGGGTCCGCCAGGCTCCAGGCAAGGGGCCGGAGTGGGTGGCAGTG</t>
  </si>
  <si>
    <t>TATTACGCAGACTCCGTGAAG...GGCCGATTCACCATCTCCAGAGACAATTCCAAGGACACGATGTATCTGCAGATGAACAGCCTGAGAGTTGAGGATACGGCTCTATATTACTGT</t>
  </si>
  <si>
    <t>TGGGGCCAGGGAGCCCAGGTCACCGTCTCCTCAG</t>
  </si>
  <si>
    <t>GGACTCACCTTC............AATGATTATGCC</t>
  </si>
  <si>
    <t>ATATCGTCTGAT......GGAAGCCATAAA</t>
  </si>
  <si>
    <t>GCGAGAGACTGGGTTGGCGGTGTACCCGACTACTTGGACCAC</t>
  </si>
  <si>
    <t>CARDWVGGVPDYLDHW</t>
  </si>
  <si>
    <t>GGCTGGGGTCTCAGGAGGCAGCACTCTCGGGACGTCTCCACCATGGCCTGGGCTCTGCTCCTCCTCAGCCTCCTCACTCAGGGCACAGGATCCTGGGCTCAGTCTGCCCTGACTCAGCCTCGCTCAGTGTCCGGGTCTCCTGGACAGTCAGTCACCATCTCCTGCGCTGGAACCAGCAGTGATATTGGTGGTTATAATTATGTCTCCTGGTACCAACAACACCCAGGCAAAGCCCCCAAAATCATGATTTATGATGTCACTAAGCGGCCCTCAGGGGTCCCTGATCGCTTCTCTGGCTCCAAGTCTGCGAACACGGCCTCCCTGACCATCTCTGGGCTCCAGCCTGAGGATGAGGCTGATTATTACTGCTGCTCATTTGCAGGCGGCTACCCCGTGGTTTTCGGCGGAGGGACCAAGGTGACCGTCGTAGGTCAGCCCAAGGCTGCCCCCTCGGTCACTCTGTTCCCGCCCTCCTCTGAGGAGCTTCAAGCCAACAAGGCCACACTGGTGTGTCTCATAAGTGACTTCTACCCGGGAGCCGTGACAGTGGCCTGGAAGGCAGATAGCAGCCCCGTCAAGGCGGGAGTGGAGACCACCACACCCTCCAAACAAAGCAACAACAAGTACGCGGCCAGCAGCTA</t>
  </si>
  <si>
    <t>IGLV2-11</t>
  </si>
  <si>
    <t>CAGTCTGCCCTGACTCAGCCTCGCTCAGTGTCCGGGTCTCCTGGACAGTCAGTCACCATCTCCTGCGCTGGAACCAGCAGTGATATTGGTGGTTATAATTATGTCTCCTGGTACCAACAACACCCAGGCAAAGCCCCCAAAATCATGATTTATGATGTCACTAAGCGGCCCTCAGGGGTCCCTGATCGCTTCTCTGGCTCCAAGTCTGCGAACACGGCCTCCCTGACCATCTCTGGGCTCCAGCCTGAGGATGAGGCTGATTATTACTGCTGCTCATTTGCAGGCGGCTACCCCGTGGTTTTCGGCGGAGGGACCAAGGTGACCGTCGTAG</t>
  </si>
  <si>
    <t>CAGTCTGCCCTGACTCAGCCTCGCTCA...GTGTCCGGGTCTCCTGGACAGTCAGTCACCATCTCCTGCGCTGGAACCAGCAGTGATATTGGT.........GGTTATAATTATGTCTCCTGGTACCAACAACACCCAGGCAAAGCCCCCAAAATCATGATTTATGATGTC.....................ACTAAGCGGCCCTCAGGGGTCCCT...GATCGCTTCTCTGGCTCCAAG......TCTGCGAACACGGCCTCCCTGACCATCTCTGGGCTCCAGCCTGAGGATGAGGCTGATTATTACTGCTGCTCATTTGCAGGCGGCTACCCCGTGGTTTTCGGCGGAGGGACCAAGGTGACCGTCGTAG</t>
  </si>
  <si>
    <t>TGCTGCTCATTTGCAGGCGGCTACCCCGTGGTTTTC</t>
  </si>
  <si>
    <t>CAGTCTGCCCTGACTCAGCCTCGCTCA...GTGTCCGGGTCTCCTGGACAGTCAGTCACCATCTCCTGCGCTGGAACC</t>
  </si>
  <si>
    <t>GTCTCCTGGTACCAACAACACCCAGGCAAAGCCCCCAAAATCATGATTTAT</t>
  </si>
  <si>
    <t>AAGCGGCCCTCAGGGGTCCCT...GATCGCTTCTCTGGCTCCAAG......TCTGCGAACACGGCCTCCCTGACCATCTCTGGGCTCCAGCCTGAGGATGAGGCTGATTATTACTGC</t>
  </si>
  <si>
    <t>TTCGGCGGAGGGACCAAGGTGACCGTCGTAG</t>
  </si>
  <si>
    <t>AGCAGTGATATTGGT.........GGTTATAATTAT</t>
  </si>
  <si>
    <t>TGCTCATTTGCAGGCGGCTACCCCGTGGTT</t>
  </si>
  <si>
    <t>CCSFAGGYPVVF</t>
  </si>
  <si>
    <t>TACCTATTCCATGCTC</t>
  </si>
  <si>
    <t>AGCATCACATAACAACCACATTCCTCCTCTGAAGAAGCCCCTGGGAGCACAGCTCATCACCATGGACTGGACCTGGAGGTTCCTCTTTGTGGTGGCAGCAGCTACAGGTGTCCAGTCCCAGGTGCAGCTGGTGCAGTCTGGGGCTGAGGTGAAGAAGCCTGGGTCGTCGGTGAAGGTCTCCTGCAAGGCTTCTGGAGGCACCTTCAGCAGCTATGCTATCAGCTGGGTGCGACAGGCCCCTGGACAAGGGCTTGAGTGGATGGGAGGGATCATCCCTATCTTTGGTACAGCAAACTCCGCACAGAAGTTCCAGGGCAGAGTCACGATTACCGCGGACAAATCCACGAGCACAGCCTACATGGAGCTGAGCAGCCTGAGATCTGAGGACACGGCCGTGTATTACTGTGCGAGCGGATACTATGATAGTAGTGGTTTTTACTACTACTTTGACTACTGGGGCCAGGGAACCCTGGTCACCGTCTCCTCAGGGAGTGCATCCGCCCCAACCCTTTTCCCCCTCGTCTCCTGTGAGAATTCCCCGTCGGATACGAGCAGCGTG</t>
  </si>
  <si>
    <t>CAGGTGCAGCTGGTGCAGTCTGGGGCTGAGGTGAAGAAGCCTGGGTCGTCGGTGAAGGTCTCCTGCAAGGCTTCTGGAGGCACCTTCAGCAGCTATGCTATCAGCTGGGTGCGACAGGCCCCTGGACAAGGGCTTGAGTGGATGGGAGGGATCATCCCTATCTTTGGTACAGCAAACTCCGCACAGAAGTTCCAGGGCAGAGTCACGATTACCGCGGACAAATCCACGAGCACAGCCTACATGGAGCTGAGCAGCCTGAGATCTGAGGACACGGCCGTGTATTACTGTGCGAGCGGATACTATGATAGTAGTGGTTTTTACTACTACTTTGACTACTGGGGCCAGGGAACCCTGGTCACCGTCTCCTCAG</t>
  </si>
  <si>
    <t>CAGGTGCAGCTGGTGCAGTCTGGGGCT...GAGGTGAAGAAGCCTGGGTCGTCGGTGAAGGTCTCCTGCAAGGCTTCTGGAGGCACCTTC............AGCAGCTATGCTATCAGCTGGGTGCGACAGGCCCCTGGACAAGGGCTTGAGTGGATGGGAGGGATCATCCCTATC......TTTGGTACAGCAAACTCCGCACAGAAGTTCCAG...GGCAGAGTCACGATTACCGCGGACAAATCCACGAGCACAGCCTACATGGAGCTGAGCAGCCTGAGATCTGAGGACACGGCCGTGTATTACTGTGCGAGCGGATACTATGATAGTAGTGGTTTTTACTACTACTTTGACTACTGGGGCCAGGGAACCCTGGTCACCGTCTCCTCAG</t>
  </si>
  <si>
    <t>TGTGCGAGCGGATACTATGATAGTAGTGGTTTTTACTACTACTTTGACTACTGG</t>
  </si>
  <si>
    <t>CAGGTGCAGCTGGTGCAGTCTGGGGCT...GAGGTGAAGAAGCCTGGGTCGTCGGTGAAGGTCTCCTGCAAGGCTTCT</t>
  </si>
  <si>
    <t>AACTCCGCACAGAAGTTCCAG...GGCAGAGTCACGATTACCGCGGACAAATCCACGAGCACAGCCTACATGGAGCTGAGCAGCCTGAGATCTGAGGACACGGCCGTGTATTACTGT</t>
  </si>
  <si>
    <t>ATCATCCCTATC......TTTGGTACAGCA</t>
  </si>
  <si>
    <t>GCGAGCGGATACTATGATAGTAGTGGTTTTTACTACTACTTTGACTAC</t>
  </si>
  <si>
    <t>CASGYYDSSGFYYYFDYW</t>
  </si>
  <si>
    <t>ATGGGGGCTGGGGTCTCAGGAGGCAGCGCTCTCGGGACGTCTCCACCATGGCCTGGGCTCTGCTATTCCTCACCCTCCTCACTCAGGGCACAGGGTCCTGGGCCCAGTCTGCCCTGACTCAACCTGCCTCCGTGTCTGGGTCTCCTGGACAGTCGATCACCATCTCCTGCACTGGAACCAGCAGTGACGTTGGTGGTTATAACTCTGTCTCCTGGTACCAACAAAACCCAGGCAAAGCCCCCAAACTCATGATTTATGATGTCAGTAATCGGCCCTCAGGGATTTCTAATCGCTTCTCTGGCTCCAAGTCTGACAACACGGCCTCCCTGACCATCTCTGGGCTCCAGGCTGACGACGAGACTGATTATTACTGCACCTCATATACAAACGACAT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</si>
  <si>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ACCTGCCTCCGTGTCTGGGTCTCCTGGACAGTCGATCACCATCTCCTGCACTGGAACCAGCAGTGACGTTGGTGGTTATAACTCTGTCTCCTGGTACCAACAAAACCCAGGCAAAGCCCCCAAACTCATGATTTATGATGTCAGTAATCGGCCCTCAGGGATTTCTAATCGCTTCTCTGGCTCCAAGTCTGACAACACGGCCTCCCTGACCATCTCTGGGCTCCAGGCTGACGACGAGACTGATTATTACTGCACCTCATATACAAACGACATCAATTCTCAGGTATTCGGCGGAGGGACCAAGCTGACCGTCCTAG</t>
  </si>
  <si>
    <t>CAGTCTGCCCTGACTCAACCTGCCTCC...GTGTCTGGGTCTCCTGGACAGTCGATCACCATCTCCTGCACTGGAACCAGCAGTGACGTTGGT.........GGTTATAACTCTGTCTCCTGGTACCAACAAAACCCAGGCAAAGCCCCCAAACTCATGATTTATGATGTC.....................AGTAATCGGCCCTCAGGGATTTCT...AATCGCTTCTCTGGCTCCAAG......TCTGACAACACGGCCTCCCTGACCATCTCTGGGCTCCAGGCTGACGACGAGACTGATTATTACTGCACCTCATATACAAACGACATCAATTCTCAGGTATTCGGCGGAGGGACCAAGCTGACCGTCCTAG</t>
  </si>
  <si>
    <t>TGCACCTCATATACAAACGACATCAATTCTCAGGTATTC</t>
  </si>
  <si>
    <t>CAGTCTGCCCTGACTCAACCTGCCTCC...GTGTCTGGGTCTCCTGGACAGTCGATCACCATCTCCTGCACTGGAACC</t>
  </si>
  <si>
    <t>AATCGGCCCTCAGGGATTTCT...AATCGCTTCTCTGGCTCCAAG......TCTGACAACACGGCCTCCCTGACCATCTCTGGGCTCCAGGCTGACGACGAGACTGATTATTACTGC</t>
  </si>
  <si>
    <t>AGCAGTGACGTTGGT.........GGTTATAACTCT</t>
  </si>
  <si>
    <t>ACCTCATATACAAACGACATCAATTCTCAGGTA</t>
  </si>
  <si>
    <t>CTSYTNDINSQVF</t>
  </si>
  <si>
    <t>TACGGGCAGACTCGGA</t>
  </si>
  <si>
    <t>CTACGGGCAGACTCGGATTCATACTCAGTACTTATCTG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GGGGGGGGCTATGTGGTTCGGCCCCCCCAACCCGGTTACTCCGCCGACTTTGACTACTGGGGCCAGGGAACCCTGGTCACCGTCTCCTCAGGGAGTGCATCCGCCCCAACCCTTTTCCCCCTCGTCTCCTGTGAGAATTCCCCGTCGGATACGAGCAGCGTG</t>
  </si>
  <si>
    <t>IGHV2-5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</si>
  <si>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GGGGGGGGCTATGTGGTTCGGCCCCCCCAACCCGGTTACTCCGCCGAC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</si>
  <si>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AGGGGGGGGCTATGTGGTTCGGCCCCCCCAACCCGGTTACTCCGCCGACTTTGACTACTGGGGCCAGGGAACCCTGGTCACCGTCTCCTCAG</t>
  </si>
  <si>
    <t>TGTGCACACAGAGGGGGGGGCTATGTGGTTCGGCCCCCCCAACCCGGTTACTCCGCCGACTTTGACTACTGG</t>
  </si>
  <si>
    <t>CAGATCACCTTGAAGGAGTCTGGTCCT...ACGCTGGTGAAACCCACACAGACCCTCACGCTGACCTGCACCTTCTCT</t>
  </si>
  <si>
    <t>GTGGGCTGGATCCGTCAGCCCCCAGGAAAGGCCCTGGAGTGGCTTGCACTC</t>
  </si>
  <si>
    <t>CGCTACAGCCCATCTCTGAAG...AGCAGGCTCACCATCACCAAGGACACCTCCAAAAACCAGGTGGTCCTTACAATGACCAACATGGACCCTGTGGACACAGCCACATATTACTGT</t>
  </si>
  <si>
    <t>GGGTTCTCACTCAGC......ACTAGTGGAGTGGGT</t>
  </si>
  <si>
    <t>ATTTATTGGGAT.........GATGATAAG</t>
  </si>
  <si>
    <t>GCACACAGAGGGGGGGGCTATGTGGTTCGGCCCCCCCAACCCGGTTACTCCGCCGACTTTGACTAC</t>
  </si>
  <si>
    <t>CAHRGGGYVVRPPQPGYSADFDYW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</si>
  <si>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GGC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</si>
  <si>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GGC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</si>
  <si>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CGGCTGGGTGTTCGGCGGAGGGACCAAGCTGACCGTCCTAG</t>
  </si>
  <si>
    <t>TGCGGAACATGGGATAGCAGCCTGAGTGCTGGCGGCTGGGTGTTC</t>
  </si>
  <si>
    <t>GGAACATGGGATAGCAGCCTGAGTGCTGGCGGCTGGGTG</t>
  </si>
  <si>
    <t>CGTWDSSLSAGGWVF</t>
  </si>
  <si>
    <t>TACGGGCCAGCTCGCA</t>
  </si>
  <si>
    <t>ATCACATAACAACCAGATTCCTCCTCTAAAGAAGCCCCTGGGAGCACAGCTCATCACCATGGACTGGACCTGGAGGTTCCTCTTTGTGGTGGCAGCAGCTACAGGTGTCCAGTCC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ACAGGAACCGTATTACTATGATAGTAGTGGTTATTCTGGCTTGACTTACTGGGGCCAGGGAACCCTGGTCACCGTCTCCTCAGGGAGTGCATCCGCCCCAACCCTTTTCCCCCTCGTCTCCTGTGAGAATTCCCCGTCGGATACGAGCAGCGTG</t>
  </si>
  <si>
    <t>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ACAGGAACCGTATTACTATGATAGTAGTGGTTATTCTGGCTTGACTTACTGGGGCCAGGGAACCCTGGTCACCGTCTCCTCAG</t>
  </si>
  <si>
    <t>CAGGTCCAGCTGGTGCAATCTGGGGCT...GAGGTGAAGAAGCCTGGGTCCTCGGTGAAGGTCTCCTGCAAGGCTTCTGGAGGCACCTTC............AGCAGCTATACTATCAGCTGGGTGCGACAGGCCCCTGGACAAGGGCTTGAGTGGATGGGAAGGATCATCCCTATC......CTTGGTATAGCAAACTACGCACAGAAGTTCCAG...GGCAGAGTCACGATTACCGCGGACAAATCCACGAGCACAGCCTACATGGAGCTGAGCAGCCTGAGATCTGAGGACACGGCCGTGTATTACTGTGCGAGAGAACAGGAACCGTATTACTATGATAGTAGTGGTTATTCTGGCTTGACTTACTGGGGCCAGGGAACCCTGGTCACCGTCTCCTCAG</t>
  </si>
  <si>
    <t>TGTGCGAGAGAACAGGAACCGTATTACTATGATAGTAGTGGTTATTCTGGCTTGACTTACTGG</t>
  </si>
  <si>
    <t>CAGGTCCAGCTGGTGCAATCTGGGGCT...GAGGTGAAGAAGCCTGGGTCCTCGGTGAAGGTCTCCTGCAAGGCTTCT</t>
  </si>
  <si>
    <t>ATCAGCTGGGTGCGACAGGCCCCTGGACAAGGGCTTGAGTGGATGGGAAGG</t>
  </si>
  <si>
    <t>AACTACGCACAGAAGTTCCAG...GGCAGAGTCACGATTACCGCGGACAAATCCACGAGCACAGCCTACATGGAGCTGAGCAGCCTGAGATCTGAGGACACGGCCGTGTATTACTGT</t>
  </si>
  <si>
    <t>GGAGGCACCTTC............AGCAGCTATACT</t>
  </si>
  <si>
    <t>ATCATCCCTATC......CTTGGTATAGCA</t>
  </si>
  <si>
    <t>GCGAGAGAACAGGAACCGTATTACTATGATAGTAGTGGTTATTCTGGCTTGACTTAC</t>
  </si>
  <si>
    <t>CAREQEPYYYDSSGYSGLTYW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</si>
  <si>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</si>
  <si>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CTCA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</si>
  <si>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GCTCACTTTCGGCGGAGGGACCAAGGTGGAGATCAAAC</t>
  </si>
  <si>
    <t>TGTCAACAGCTTAATAGTTACCCGCTCACTTTC</t>
  </si>
  <si>
    <t>GACATCCAGTTGACCCAGTCTCCATCCTTCCTGTCTGCATCTGTAGGAGACAGAGTCACCATCACTTGCCGGGCCAGT</t>
  </si>
  <si>
    <t>CAACAGCTTAATAGTTACCCGCTCACT</t>
  </si>
  <si>
    <t>CQQLNSYPLTF</t>
  </si>
  <si>
    <t>TACTTGTGTCAGATAA</t>
  </si>
  <si>
    <t>GGAGCCCCAGCCCTGGGATTCCCAGCTGTTTCTGCTTGCTGATCAGGACTGCACACAGAGAACTCACCATGGAGTTTGGGCTGAGCTGGGTTTTCCTTGTTGCTATTTTAAAAGGTGTCCAGTGTGAGGTGCAGCTGGTGGAGTCCGGGGGAGGCTTAGTTCAGCCTGGGGAGTTCCTGAGACTCTCCTGTGCAGCCTCTGGATTCACCTTCAGTAGCTACTGGATGCACTGGGTCCGCCAAGCTCCAGGGAAGGGGCTGGTGTGGGTCTCACGTATTAATAGTGATGGGAGTAGCACAAGCTACGCGGACTCCGTGAAGGGCCGATTCACCATCTCCAGAGACAACGCCAAGAACACGCTGTATCTGCAAATGAACAGTCTGAGAGCCGAGGACACGGCTGTTTATTACTGTGCAAGAGCGGGGGGTAGGGCTGGTCTCTCTTATGACTACTGGGGCCAGGGAACCCTGGTCACCGTCTCCTCAGGGAGTGCATCCGCCCCAACCCTTTTCCCCCTCGTCTCCTGTGAGAATTCCCCGTCGGATACGAGCAGCGTG</t>
  </si>
  <si>
    <t>GAGGTGCAGCTGGTGGAGTCCGGGGGAGGCTTAGTTCAGCCTGGGGAGTTCCTGAGACTCTCCTGTGCAGCCTCTGGATTCACCTTCAGTAGCTACTGGATGCACTGGGTCCGCCAAGCTCCAGGGAAGGGGCTGGTGTGGGTCTCACGTATTAATAGTGATGGGAGTAGCACAAGCTACGCGGACTCCGTGAAGGGCCGATTCACCATCTCCAGAGACAACGCCAAGAACACGCTGTATCTGCAAATGAACAGTCTGAGAGCCGAGGACACGGCTGTTTATTACTGTGCAAGAGCGGGGGGTAGGGCTGGTCTCTCTTATGACTACTGGGGCCAGGGAACCCTGGTCACCGTCTCCTCAG</t>
  </si>
  <si>
    <t>GAGGTGCAGCTGGTGGAGTCCGGGGGA...GGCTTAGTTCAGCCTGGGGAGTTCCTGAGACTCTCCTGTGCAGCCTCTGGATTCACCTTC............AGTAGCTACTGGATGCACTGGGTCCGCCAAGCTCCAGGGAAGGGGCTGGTGTGGGTCTCACGTATTAATAGTGAT......GGGAGTAGCACAAGCTACGCGGACTCCGTGAAG...GGCCGATTCACCATCTCCAGAGACAACGCCAAGAACACGCTGTATCTGCAAATGAACAGTCTGAGAGCCGAGGACACGGCTGTTTATTACTGTGCAAGAGCGGGGGGTAGGGCTGGTCTCTCTTATGACTACTGGGGCCAGGGAACCCTGGTCACCGTCTCCTCAG</t>
  </si>
  <si>
    <t>TGTGCAAGAGCGGGGGGTAGGGCTGGTCTCTCTTATGACTACTGG</t>
  </si>
  <si>
    <t>GAGGTGCAGCTGGTGGAGTCCGGGGGA...GGCTTAGTTCAGCCTGGGGAGTTCCTGAGACTCTCCTGTGCAGCCTCT</t>
  </si>
  <si>
    <t>AGCTACGCGGACTCCGTGAAG...GGCCGATTCACCATCTCCAGAGACAACGCCAAGAACACGCTGTATCTGCAAATGAACAGTCTGAGAGCCGAGGACACGGCTGTTTATTACTGT</t>
  </si>
  <si>
    <t>GCAAGAGCGGGGGGTAGGGCTGGTCTCTCTTATGACTAC</t>
  </si>
  <si>
    <t>CARAGGRAGLSYDYW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</si>
  <si>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ACATCCAGCAGGGCCACTGGCATCCCAGACAGATTCAGTGGCGATGGGTCTGGGACAGACTTCACTCTCACCATCAGCAGACTGGAGCCTGAAGATTTTGCAGTGTATTACTGTCAGCAGTATGGTAACTCACCT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</si>
  <si>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ACATCCAGCAGGGCCACTGGCATCCCAGACAGATTCAGTGGCGATGGGTCTGGGACAGACTTCACTCTCACCATCAGCAGACTGGAGCCTGAAGATTTTGCAGTGTATTACTGTCAGCAGTATGGTAACTCACCTTGGACGTTCGGCCAAGGGACCAAGGTGGAAATCAAAC</t>
  </si>
  <si>
    <t>GAAATTGTGTTGACGCAGTCTCCAGGCACCCTGTCTTTGTCTCCAGGGGAAAGAGCCACCCTCTCCTGCAGGGCCAGTCAGAGTGTTAGC...............AGCAGCTACTTAGCCTGGTACCAGCAGAAACCTGGCCAGGCTCCCAGGCTCCTCATCTATGGTACA.....................TCCAGCAGGGCCACTGGCATCCCA...GACAGATTCAGTGGCGATGGG......TCTGGGACAGACTTCACTCTCACCATCAGCAGACTGGAGCCTGAAGATTTTGCAGTGTATTACTGTCAGCAGTATGGTAACTCACCTTGGACGTTCGGCCAAGGGACCAAGGTGGAAATCAAAC</t>
  </si>
  <si>
    <t>TGTCAGCAGTATGGTAACTCACCTTGGACGTTC</t>
  </si>
  <si>
    <t>AGCAGGGCCACTGGCATCCCA...GACAGATTCAGTGGCGATGGG......TCTGGGACAGACTTCACTCTCACCATCAGCAGACTGGAGCCTGAAGATTTTGCAGTGTATTACTGT</t>
  </si>
  <si>
    <t>GGTACA.....................TCC</t>
  </si>
  <si>
    <t>CAGCAGTATGGTAACTCACCTTGGACG</t>
  </si>
  <si>
    <t>CQQYGNSPWTF</t>
  </si>
  <si>
    <t>TAGCCGGGTTCCCTTG</t>
  </si>
  <si>
    <t>AGCTCTGAGAGAGGAGCCTTAGCCCTGGATTCCAAGGCCTATCCACTTGGTGATCAGCACTGAGCACCGAGGATTCACCATGGAACTGGGGCTCCGCTGGGTTTTCCTTGTTGCTATTTTAGAAGGTGTCCACTGTGACGTGCACCTGGTGGAGTCGGGGGGGGGCCTCGCCAGGCCGGGGGGGTCCCTGAGACTCTCCTGTACAGCCTCTGGATTCACATTCGGCAGTTATACCATGGACTGGGTCCGCCAGGCTCCGGGGAAGGGTCTGGAGTGGGTCGCATCCATTAGCAGTGGAAGTGGTTACGCTTACTACGGTGACTCCGTCAAGGGCCGATTCACCATCTCCAGAGACAACACCAAGAACGCAGTGTATCTTCAGATGAAGAGCCTGAGAGTCGAGGATACGGCTCTATATCACTGTGCGAGAGGTGGCGATGGGGGAAGGTTTCAGTGGTTATTCTTCTGGGGCCAGGGATCCCAGGTCACCGTCTCCTCAGCATCCCCGACCAGCCCCAAGGTCTTCCCGCTGAGCCTCTGCAGCACCCAGCCAGATGGGAACGTGGTCATCGCCTGCCTGGTCCAGGGCTTCTTCCCCCAGGAGCCACTCAGTGTGACCTGGAGCGAAAGCGGACAGGGCGTGACCGCCAGAAACTTCCC</t>
  </si>
  <si>
    <t>IGHD3-9</t>
  </si>
  <si>
    <t>GACGTGCACCTGGTGGAGTCGGGGGGGGGCCTCGCCAGGCCGGGGGGGTCCCTGAGACTCTCCTGTACAGCCTCTGGATTCACATTCGGCAGTTATACCATGGACTGGGTCCGCCAGGCTCCGGGGAAGGGTCTGGAGTGGGTCGCATCCATTAGCAGTGGAAGTGGTTACGCTTACTACGGTGACTCCGTCAAGGGCCGATTCACCATCTCCAGAGACAACACCAAGAACGCAGTGTATCTTCAGATGAAGAGCCTGAGAGTCGAGGATACGGCTCTATATCACTGTGCGAGAGGTGGCGATGGGGGAAGGTTTCAGTGGTTATTCTTCTGGGGCCAGGGATCCCAGGTCACCGTCTCCTCAG</t>
  </si>
  <si>
    <t>GACGTGCACCTGGTGGAGTCGGGGGGG...GGCCTCGCCAGGCCGGGGGGGTCCCTGAGACTCTCCTGTACAGCCTCTGGATTCACATTC............GGCAGTTATACCATGGACTGGGTCCGCCAGGCTCCGGGGAAGGGTCTGGAGTGGGTCGCATCCATTAGCAGTGGA......AGTGGTTACGCTTACTACGGTGACTCCGTCAAG...GGCCGATTCACCATCTCCAGAGACAACACCAAGAACGCAGTGTATCTTCAGATGAAGAGCCTGAGAGTCGAGGATACGGCTCTATATCACTGTGCGAGAGGTGGCGATGGGGGAAGGTTTCAGTGGTTATTCTTCTGGGGCCAGGGATCCCAGGTCACCGTCTCCTCAG</t>
  </si>
  <si>
    <t>TGTGCGAGAGGTGGCGATGGGGGAAGGTTTCAGTGGTTATTCTTCTGG</t>
  </si>
  <si>
    <t>GACGTGCACCTGGTGGAGTCGGGGGGG...GGCCTCGCCAGGCCGGGGGGGTCCCTGAGACTCTCCTGTACAGCCTCT</t>
  </si>
  <si>
    <t>ATGGACTGGGTCCGCCAGGCTCCGGGGAAGGGTCTGGAGTGGGTCGCATCC</t>
  </si>
  <si>
    <t>TACTACGGTGACTCCGTCAAG...GGCCGATTCACCATCTCCAGAGACAACACCAAGAACGCAGTGTATCTTCAGATGAAGAGCCTGAGAGTCGAGGATACGGCTCTATATCACTGT</t>
  </si>
  <si>
    <t>TGGGGCCAGGGATCCCAGGTCACCGTCTCCTCAG</t>
  </si>
  <si>
    <t>GGATTCACATTC............GGCAGTTATACC</t>
  </si>
  <si>
    <t>ATTAGCAGTGGA......AGTGGTTACGCT</t>
  </si>
  <si>
    <t>GCGAGAGGTGGCGATGGGGGAAGGTTTCAGTGGTTATTCTTC</t>
  </si>
  <si>
    <t>CARGGDGGRFQWLFFW</t>
  </si>
  <si>
    <t>AGGAGTCAGACCCAGTCAGGACACAGCATGGACATGAGGGTCCCCGCTCAGCTCCTGGGGCTCCTGCTGCTCTGGCTCCCAGGTGCCAAATGTGACATCCAGATGACCCAGTTTCCTTCCACCCTGTCTGCATCTGTAGGAGACAGAGTCACTATTACTTGCCGGACCAGTCAGAATATTAGTTCCTGGTTGGCCTGGTATCAGCAGAGACCAGGAAAAGCCCCTGCAGTCCTAATCTATAAGGCGTCCACTTTAAATAGTGGGGTCCCTTCAAGGTTCAGCGGCAGTGGATCTGGGACAGAATTCACTCTCACCATCACCAGCCTACAGCCTGATGATTTTGCAACTTACTACTGCCAACAATTTACTTTTAATTCTCGGGTGACGTTCGGCCCAGGGACACGACTGGAGATTAAGCGAACTGTGGCTGCACCATCTGTCTTCATCTTCCCGCCATCTGATGAGCAGTTGAAATCTGGAACTGCCTCTGTTGTGTGCCTGCTGAATAACTTCTATCCCAGAGAGGCCAAAGTACAGTGGAAGGTGGATAACGC</t>
  </si>
  <si>
    <t>GACATCCAGATGACCCAGTTTCCTTCCACCCTGTCTGCATCTGTAGGAGACAGAGTCACTATTACTTGCCGGACCAGTCAGAATATTAGTTCCTGGTTGGCCTGGTATCAGCAGAGACCAGGAAAAGCCCCTGCAGTCCTAATCTATAAGGCGTCCACTTTAAATAGTGGGGTCCCTTCAAGGTTCAGCGGCAGTGGATCTGGGACAGAATTCACTCTCACCATCACCAGCCTACAGCCTGATGATTTTGCAACTTACTACTGCCAACAATTTACTTTTAATTCTCGGGTGACGTTCGGCCCAGGGACACGACTGGAGATTAAGC</t>
  </si>
  <si>
    <t>GACATCCAGATGACCCAGTTTCCTTCCACCCTGTCTGCATCTGTAGGAGACAGAGTCACTATTACTTGCCGGACCAGTCAGAATATT..................AGTTCCTGGTTGGCCTGGTATCAGCAGAGACCAGGAAAAGCCCCTGCAGTCCTAATCTATAAGGCG.....................TCCACTTTAAATAGTGGGGTCCCT...TCAAGGTTCAGCGGCAGTGGA......TCTGGGACAGAATTCACTCTCACCATCACCAGCCTACAGCCTGATGATTTTGCAACTTACTACTGCCAACAATTTACTTTTAATTCTCGGGTGACGTTCGGCCCAGGGACACGACTGGAGATTAAGC</t>
  </si>
  <si>
    <t>TGCCAACAATTTACTTTTAATTCTCGGGTGACGTTC</t>
  </si>
  <si>
    <t>GACATCCAGATGACCCAGTTTCCTTCCACCCTGTCTGCATCTGTAGGAGACAGAGTCACTATTACTTGCCGGACCAGT</t>
  </si>
  <si>
    <t>TTGGCCTGGTATCAGCAGAGACCAGGAAAAGCCCCTGCAGTCCTAATCTAT</t>
  </si>
  <si>
    <t>ACTTTAAATAGTGGGGTCCCT...TCAAGGTTCAGCGGCAGTGGA......TCTGGGACAGAATTCACTCTCACCATCACCAGCCTACAGCCTGATGATTTTGCAACTTACTACTGC</t>
  </si>
  <si>
    <t>TTCGGCCCAGGGACACGACTGGAGATTAAGC</t>
  </si>
  <si>
    <t>CAGAATATT..................AGTTCCTGG</t>
  </si>
  <si>
    <t>AAGGCG.....................TCC</t>
  </si>
  <si>
    <t>CAACAATTTACTTTTAATTCTCGGGTGACG</t>
  </si>
  <si>
    <t>CQQFTFNSRVTF</t>
  </si>
  <si>
    <t>TAGTTGGAGATGTCGG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</si>
  <si>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GAGTATAGTGGGAGACCTATTT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</si>
  <si>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GAGTATAGTGGGAGACCTATTT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</si>
  <si>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GGAGTATAGTGGGAGACCTATTTGATGCTTTTGATATCTGGGGCCAAGGGACAATGGTCACCGTCTCTTCAG</t>
  </si>
  <si>
    <t>TGTGCGAGAGAGGGGAGTATAGTGGGAGACCTATTTGATGCTTTTGATATCTGG</t>
  </si>
  <si>
    <t>GCGAGAGAGGGGAGTATAGTGGGAGACCTATTTGATGCTTTTGATATC</t>
  </si>
  <si>
    <t>CAREGSIVGDLFDAFDIW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</si>
  <si>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</si>
  <si>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</si>
  <si>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ACTTTCGGCGGAGGGACCAAGGTGGAGATCAAAC</t>
  </si>
  <si>
    <t>TGTCAACAGAGTTACAGTACCCCTCCGACTTTC</t>
  </si>
  <si>
    <t>CAACAGAGTTACAGTACCCCTCCGACT</t>
  </si>
  <si>
    <t>CQQSYSTPPTF</t>
  </si>
  <si>
    <t>TCGCGAGCAGGCAGTA</t>
  </si>
  <si>
    <t>AGCTCTGGGAGAGGAGCCCAGCACTAGAAGTCGGCGGTGTTTCCATTCGGTGATCAGCACTGAACACAGAGGACTCACCATGGAGTTTGGGCTGAGCTGGGTTTTCCTCGTTGCTCTTTTAAGAGGTGTCCAGTGTCAGGTGCAGCTGGTGGAGTCTGGGGGAGGCGTGGTCCAGCCTGGGAGGTCCCTGAGACTCTCCTGTGCAGCCTCTGAATTCACCTTCAGTGGCTATGGCATGCACTGGGTCCGCCAGGCTCCAGGCAAGGGGCTGGAGTGGGTGGCAGTCATATCATATGATGGAAGTAATAAATACTATGCAGACTCCGTGAAGGGCCGAATCACCATCTCCAGAGACAATTCCAAGAACACGCTGTATCTGCAAATGAACAGCCTGAGAGGTGAGGACACGGCTGTGTATTACTGTGTGAAAGAAATGGAGATGGACAACGGGGGTCATTACTACTACTACATGGACGTCTGGGGCAAAGGGACCACGGTCACCGTCTCCTCAGCCTCCACCAAGGGCCCATCGGTCTTCCCCCTGGCACCCTCCTCCAAGAGCACCTCTGGGGGCACAGCGGCCCTGGGCTGCCTGGTCAAGGACTACTTCCCCGAACCGGTGACGGTGTCGTGGAACTCAGGCGCCCTGACCAGCGGCGTGCACACCTTCCCGGCTGTCCTACAGTCCTCAGGA</t>
  </si>
  <si>
    <t>IGHD4-23</t>
  </si>
  <si>
    <t>CAGGTGCAGCTGGTGGAGTCTGGGGGAGGCGTGGTCCAGCCTGGGAGGTCCCTGAGACTCTCCTGTGCAGCCTCTGAATTCACCTTCAGTGGCTATGGCATGCACTGGGTCCGCCAGGCTCCAGGCAAGGGGCTGGAGTGGGTGGCAGTCATATCATATGATGGAAGTAATAAATACTATGCAGACTCCGTGAAGGGCCGAATCACCATCTCCAGAGACAATTCCAAGAACACGCTGTATCTGCAAATGAACAGCCTGAGAGGTGAGGACACGGCTGTGTATTACTGTGTGAAAGAAATGGAGATGGACAACGGGGGTCATTACTACTACTACATGGACGTCTGGGGCAAAGGGACCACGGTCACCGTCTCCTCA</t>
  </si>
  <si>
    <t>CAGGTGCAGCTGGTGGAGTCTGGGGGA...GGCGTGGTCCAGCCTGGGAGGTCCCTGAGACTCTCCTGTGCAGCCTCTGAATTCACCTTC............AGTGGCTATGGCATGCACTGGGTCCGCCAGGCTCCAGGCAAGGGGCTGGAGTGGGTGGCAGTCATATCATATGAT......GGAAGTAATAAATACTATGCAGACTCCGTGAAG...GGCCGAATCACCATCTCCAGAGACAATTCCAAGAACACGCTGTATCTGCAAATGAACAGCCTGAGAGGTGAGGACACGGCTGTGTATTACTGTGTGAAAGAAATGGAGATGGACAACGGGGGTCATTACTACTACTACATGGACGTCTGGGGCAAAGGGACCACGGTCACCGTCTCCTCA</t>
  </si>
  <si>
    <t>TGTGTGAAAGAAATGGAGATGGACAACGGGGGTCATTACTACTACTACATGGACGTCTGG</t>
  </si>
  <si>
    <t>ATGCACTGGGTCCGCCAGGCTCCAGGCAAGGGGCTGGAGTGGGTGGCAGTC</t>
  </si>
  <si>
    <t>TACTATGCAGACTCCGTGAAG...GGCCGAATCACCATCTCCAGAGACAATTCCAAGAACACGCTGTATCTGCAAATGAACAGCCTGAGAGGTGAGGACACGGCTGTGTATTACTGT</t>
  </si>
  <si>
    <t>GAATTCACCTTC............AGTGGCTATGGC</t>
  </si>
  <si>
    <t>GTGAAAGAAATGGAGATGGACAACGGGGGTCATTACTACTACTACATGGACGTC</t>
  </si>
  <si>
    <t>CVKEMEMDNGGHYYYYMDVW</t>
  </si>
  <si>
    <t>GCTGGGGTCTCAGGAGGCAGCGCTCTCAGGACATCTCCACCATGGCCTGGGCTCTGCTGCTCCTCACCCTCCTCACTCAGGGCACAGGGTCCTGGGCCCAGTCTGCCCTGACTCAGCCTGCCTCCGTGTCTGGGTCTCCTGGACAGTCGATCACCATCTCCTGCACTGGAACCAGCAGTGACGTTGCTGGTTATAACTATGTCTCCTGGTACCAACAGCACCCAGGCAAAGCCCCCAAACTCATGATTTATGAGGTCAGTAATCGGCCCTCAGGGGTTTCTAATCGCTTCTCTGGCTCCAAGTCTGGCAACACGGCCTCCCTGACCATCTCTGGGCTCCAGGCTGAGGACGAGGCTGATTATTACTGCAGCTCATATACAAGCAGCAGCACCCG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</si>
  <si>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CTGGTTATAACTATGTCTCCTGGTACCAACAGCACCCAGGCAAAGCCCCCAAACTCATGATTTATGAGGTCAGTAATCGGCCCTCAGGGGTTTCTAATCGCTTCTCTGGCTCCAAGTCTGGCAACACGGCCTCCCTGACCATCTCTGGGCTCCAGGCTGAGGACGAGGCTGATTATTACTGCAGCTCATATACAAGCAGCAGCACCCGCTATGTCTTCGGAACTGGGACCAAGGTCACCGTCCTAG</t>
  </si>
  <si>
    <t>CAGTCTGCCCTGACTCAGCCTGCCTCC...GTGTCTGGGTCTCCTGGACAGTCGATCACCATCTCCTGCACTGGAACCAGCAGTGACGTTGCT.........GGTTATAACTATGTCTCCTGGTACCAACAGCACCCAGGCAAAGCCCCCAAACTCATGATTTATGAGGTC.....................AGTAATCGGCCCTCAGGGGTTTCT...AATCGCTTCTCTGGCTCCAAG......TCTGGCAACACGGCCTCCCTGACCATCTCTGGGCTCCAGGCTGAGGACGAGGCTGATTATTACTGCAGCTCATATACAAGCAGCAGCACCCGCTATGTCTTCGGAACTGGGACCAAGGTCACCGTCCTAG</t>
  </si>
  <si>
    <t>TGCAGCTCATATACAAGCAGCAGCACCCGCTATGTCTTC</t>
  </si>
  <si>
    <t>AGCAGTGACGTTGCT.........GGTTATAACTAT</t>
  </si>
  <si>
    <t>AGCTCATATACAAGCAGCAGCACCCGCTATGTC</t>
  </si>
  <si>
    <t>CSSYTSSSTRYVF</t>
  </si>
  <si>
    <t>TCTTCGGTCTGGCGAC</t>
  </si>
  <si>
    <t>AGCTCTGGGAGAGGAGCCCCAGCCTTGGGATTCCCAAGTGTTTTCATTCAGTGATCAGGACTGAACACAGAGGACTCACCATGGAGTTTGGGCTGAGCTGGATTTTCCTTGTTGCTATTTTAAAAGGTGTCCAGTGTGAGGTGCAGCTGGTGGAGTCTGGGGGAGGCTTGGTAAAGCCTGGGGGGTCCCTTAGACTCTCCTGTGCAGCCTCTGGATTCACTTTTAAAGACGCCTGGATGACCTGGGTCCGCCAGGCTCCAGGGAAGGGGCTGGAGTGGGTTGGCCGTGTTAAGAGCAAGTCTGAAGGTGGGACAATAGAGTACGCTGCACCCGTGAGAGGCAGATTCACCATCTCAAGAGATGATTCAGAAGACACGCACTATCTGCAACTCAACAGCCTGAAAACCGACGACACAGCCGTGTATTACTGTGCCATAGGGCTTTGTACCGGAAGCAGTTGCCATTGGGATGATGCTCTTGTTAGCTGGGGCCAAGGGACAATGGTCACCGTCTCTTCAGGGAGTGCATCCGCCCCAACCCTTTTCCCCCTCGTCTCCTGTGAGAATTCCCCGTCGGATACGAGCAGCGTG</t>
  </si>
  <si>
    <t>GAGGTGCAGCTGGTGGAGTCTGGGGGAGGCTTGGTAAAGCCTGGGGGGTCCCTTAGACTCTCCTGTGCAGCCTCTGGATTCACTTTTAAAGACGCCTGGATGACCTGGGTCCGCCAGGCTCCAGGGAAGGGGCTGGAGTGGGTTGGCCGTGTTAAGAGCAAGTCTGAAGGTGGGACAATAGAGTACGCTGCACCCGTGAGAGGCAGATTCACCATCTCAAGAGATGATTCAGAAGACACGCACTATCTGCAACTCAACAGCCTGAAAACCGACGACACAGCCGTGTATTACTGTGCCATAGGGCTTTGTACCGGAAGCAGTTGCCATTGGGATGATGCTCTTGTTAGCTGGGGCCAAGGGACAATGGTCACCGTCTCTTCAG</t>
  </si>
  <si>
    <t>GAGGTGCAGCTGGTGGAGTCTGGGGGA...GGCTTGGTAAAGCCTGGGGGGTCCCTTAGACTCTCCTGTGCAGCCTCTGGATTCACTTTT............AAAGACGCCTGGATGACCTGGGTCCGCCAGGCTCCAGGGAAGGGGCTGGAGTGGGTTGGCCGTGTTAAGAGCAAGTCTGAAGGTGGGACAATAGAGTACGCTGCACCCGTGAGA...GGCAGATTCACCATCTCAAGAGATGATTCAGAAGACACGCACTATCTGCAACTCAACAGCCTGAAAACCGACGACACAGCCGTGTATTACTGTGCCATAGGGCTTTGTACCGGAAGCAGTTGCCATTGGGATGATGCTCTTGTTAGCTGGGGCCAAGGGACAATGGTCACCGTCTCTTCAG</t>
  </si>
  <si>
    <t>TGTGCCATAGGGCTTTGTACCGGAAGCAGTTGCCATTGGGATGATGCTCTTGTTAGCTGG</t>
  </si>
  <si>
    <t>GAGGTGCAGCTGGTGGAGTCTGGGGGA...GGCTTGGTAAAGCCTGGGGGGTCCCTTAGACTCTCCTGTGCAGCCTCT</t>
  </si>
  <si>
    <t>ATGACCTGGGTCCGCCAGGCTCCAGGGAAGGGGCTGGAGTGGGTTGGCCGT</t>
  </si>
  <si>
    <t>GAGTACGCTGCACCCGTGAGA...GGCAGATTCACCATCTCAAGAGATGATTCAGAAGACACGCACTATCTGCAACTCAACAGCCTGAAAACCGACGACACAGCCGTGTATTACTGT</t>
  </si>
  <si>
    <t>GGATTCACTTTT............AAAGACGCCTGG</t>
  </si>
  <si>
    <t>GTTAAGAGCAAGTCTGAAGGTGGGACAATA</t>
  </si>
  <si>
    <t>GCCATAGGGCTTTGTACCGGAAGCAGTTGCCATTGGGATGATGCTCTTGTTAGC</t>
  </si>
  <si>
    <t>CAIGLCTGSSCHWDDALVSW</t>
  </si>
  <si>
    <t>GCTGGGGTCTCAGGAGGCAGCGCTCTCAGGACGTCACCACCATGGCCTGGGCTCTGCTCCTCCTCAGCCTCCTCGCTCAGGGCACAGGGTCCTGGGCCCAGTCTGCCCTGACTCAGCCTCCCTCCGCGTCCGGGTCTCCTGGACAGTCAGTCACCATCTCCTGCACTGGAACCAGCAGTGACGTTGGTGGTTATAACTATGTCTCCTGGTACCAACAGCACCCAGGCAAAGCCCCCAAACTCATAATTTATGTGGTCAGTAAGCGGCCCTCAGGGGTCCCTGATCGCTTCTCTGGCTCCAAGTCTGGCAACACGGCCTCCCTGACCGTCTCTGGGCTCCAGGCTGAGGATGAGGCTGATTATTACTGCAGCTCATATGCAGGCAGCAACATTATGT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</si>
  <si>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AATTTATGTGGTCAGTAAGCGGCCCTCAGGGGTCCCTGATCGCTTCTCTGGCTCCAAGTCTGGCAACACGGCCTCCCTGACCGTCTCTGGGCTCCAGGCTGAGGATGAGGCTGATTATTACTGCAGCTCATATGCAGGCAGCAACATTATGTTATTCGGCGGAGGGACCAAGCTGACCGTCCTAG</t>
  </si>
  <si>
    <t>CAGTCTGCCCTGACTCAGCCTCCCTCC...GCGTCCGGGTCTCCTGGACAGTCAGTCACCATCTCCTGCACTGGAACCAGCAGTGACGTTGGT.........GGTTATAACTATGTCTCCTGGTACCAACAGCACCCAGGCAAAGCCCCCAAACTCATAATTTATGTGGTC.....................AGTAAGCGGCCCTCAGGGGTCCCT...GATCGCTTCTCTGGCTCCAAG......TCTGGCAACACGGCCTCCCTGACCGTCTCTGGGCTCCAGGCTGAGGATGAGGCTGATTATTACTGCAGCTCATATGCAGGCAGCAACATTATGTTATTCGGCGGAGGGACCAAGCTGACCGTCCTAG</t>
  </si>
  <si>
    <t>TGCAGCTCATATGCAGGCAGCAACATTATGTTATTC</t>
  </si>
  <si>
    <t>GTCTCCTGGTACCAACAGCACCCAGGCAAAGCCCCCAAACTCATAATTTAT</t>
  </si>
  <si>
    <t>AAGCGGCCCTCAGGGGTCCCT...GATCGCTTCTCTGGCTCCAAG......TCTGGCAACACGGCCTCCCTGACCGTCTCTGGGCTCCAGGCTGAGGATGAGGCTGATTATTACTGC</t>
  </si>
  <si>
    <t>GTGGTC.....................AGT</t>
  </si>
  <si>
    <t>AGCTCATATGCAGGCAGCAACATTATGTTA</t>
  </si>
  <si>
    <t>CSSYAGSNIMLF</t>
  </si>
  <si>
    <t>TGACAACCAGACAGGT</t>
  </si>
  <si>
    <t>CGAGCCCAGCACTGGAAGTCGCCGGTGTTTCCATTCGGTGATCATCACTGAACACAGAGGACTCACCATGGAGTTTGGGCTGAGCTGGGTTTTCCTCGTTGCTCTTTTAAGAGGTGTCCAGTGTCAGGTGCAGCTGGTGGAGTCTGGGGGAGGCGTGGTCCAGCCTGGGAGGTCCCTGAGACTCTCCTGTGCAGCCTCTGGATTCACGTTCAGTAGCTATGCTATGCACTGGGTCCGCCAGGCTCCAGGCAAGGGGCTGGAGTGGGTGGCAGTTATTTCATATGATGGAGGCGGTAAATACTACGCAGACTCCGTGAAGGGCCGATTCACCATCTCCAGAGACAGTTCCAAGAACACGCTGTATCTGCAAATGAACAGCCTGAGAGCTGAAGACACGGCTGTGTATTACTGTGCGAGAGACCAAATTCGAGTGGCGCTGCACGACTGGTTCGACCCCTGGGGCCAGGGAACCCAGGTCACCGTCTCCTCAGCCTCCACCAAGGGCCCATCGGTCTTCCCCCTGGCACCCTCCTCCAAGAGCACCTCTGGGGGCACAGCGGCCCTGGGCTGCCTGGTCAAGGACTACTTCCCCGAACCGGTGACGGTGTCGTGGAACTCAGGCGCCCTGACCAGCGGCGTGCACACCTTCCCGGCTGTCCTACAGTCCTCAGG</t>
  </si>
  <si>
    <t>CAGGTGCAGCTGGTGGAGTCTGGGGGAGGCGTGGTCCAGCCTGGGAGGTCCCTGAGACTCTCCTGTGCAGCCTCTGGATTCACGTTCAGTAGCTATGCTATGCACTGGGTCCGCCAGGCTCCAGGCAAGGGGCTGGAGTGGGTGGCAGTTATTTCATATGATGGAGGCGGTAAATACTACGCAGACTCCGTGAAGGGCCGATTCACCATCTCCAGAGACAGTTCCAAGAACACGCTGTATCTGCAAATGAACAGCCTGAGAGCTGAAGACACGGCTGTGTATTACTGTGCGAGAGACCAAATTCGAGTGGCGCTGCACGACTGGTTCGACCCCTGGGGCCAGGGAACCCAGGTCACCGTCTCCTCAG</t>
  </si>
  <si>
    <t>CAGGTGCAGCTGGTGGAGTCTGGGGGA...GGCGTGGTCCAGCCTGGGAGGTCCCTGAGACTCTCCTGTGCAGCCTCTGGATTCACGTTC............AGTAGCTATGCTATGCACTGGGTCCGCCAGGCTCCAGGCAAGGGGCTGGAGTGGGTGGCAGTTATTTCATATGAT......GGAGGCGGTAAATACTACGCAGACTCCGTGAAG...GGCCGATTCACCATCTCCAGAGACAGTTCCAAGAACACGCTGTATCTGCAAATGAACAGCCTGAGAGCTGAAGACACGGCTGTGTATTACTGTGCGAGAGACCAAATTCGAGTGGCGCTGCACGACTGGTTCGACCCCTGGGGCCAGGGAACCCAGGTCACCGTCTCCTCAG</t>
  </si>
  <si>
    <t>TGTGCGAGAGACCAAATTCGAGTGGCGCTGCACGACTGGTTCGACCCCTGG</t>
  </si>
  <si>
    <t>TACTACGCAGACTCCGTGAAG...GGCCGATTCACCATCTCCAGAGACAGTTCCAAGAACACGCTGTATCTGCAAATGAACAGCCTGAGAGCTGAAGACACGGCTGTGTATTACTGT</t>
  </si>
  <si>
    <t>TGGGGCCAGGGAACCCAGGTCACCGTCTCCTCAG</t>
  </si>
  <si>
    <t>GGATTCACGTTC............AGTAGCTATGCT</t>
  </si>
  <si>
    <t>ATTTCATATGAT......GGAGGCGGTAAA</t>
  </si>
  <si>
    <t>GCGAGAGACCAAATTCGAGTGGCGCTGCACGACTGGTTCGACCCC</t>
  </si>
  <si>
    <t>CARDQIRVALHDWFDPW</t>
  </si>
  <si>
    <t>GCTCTGCTTCAGCTGTGGGCACAAGAGGCAGCACTCAGGACAATCTCCAGCATGGCCTGGTCTCCTCTCCTCCTCACTCTCCTCGCTCACTGCACAGGGTCCTGGGCCCAGTCTGCCCTGACTCAGCCTGCCTCCGTGTCTGGGTCTCCTGGACAGTCGATCACCATCTCCTGCACTGGGAGCAGCTCCAACATCGGGGCAGGTTATGATGTACACTGGTACCACCAACTTCCAGGAACAGCCCCCAAACTCCTCATCTATGGTAACACCAATCGGCCCTCAGGGGTCCCTGACCGATTCTCTGGCTCCAAGTCGGGCACCTCAGCCTCCCTGGCCATCACTGGGCTCCAGGCTGAGGATGAGGCTGATTATTACTGCCAGTCCTATGACAG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</si>
  <si>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GAGCAGCTCCAACATCGGGGCAGGTTATGATGTACACTGGTACCACCAACTTCCAGGAACAGCCCCCAAACTCCTCATCTATGGTAACACCAATCGGCCCTCAGGGGTCCCTGACCGATTCTCTGGCTCCAAGTCGGGCACCTCAGCCTCCCTGGCCATCACTGGGCTCCAGGCTGAGGATGAGGCTGATTATTACTGCCAGTCCTATGACAGCAGCCTGAGTGGTGTGGTATTCGGCGGAGGGACCAAGCTGACCGTCCTAG</t>
  </si>
  <si>
    <t>CAGTCTGCCCTGACTCAGCCTGCCTCC...GTGTCTGGGTCTCCTGGACAGTCGATCACCATCTCCTGCACTGGGAGCAGCTCCAACATCGGG.........GCAGGTTATGATGTACACTGGTACCACCAACTTCCAGGAACAGCCCCCAAACTCCTCATCTATGGTAAC.....................ACCAATCGGCCCTCAGGGGTCCCT...GACCGATTCTCTGGCTCCAAG......TCGGGCACCTCAGCCTCCCTGGCCATCACTGGGCTCCAGGCTGAGGATGAGGCTGATTATTACTGCCAGTCCTATGACAGCAGCCTGAGTGGTGTGGTATTCGGCGGAGGGACCAAGCTGACCGTCCTAG</t>
  </si>
  <si>
    <t>TGCCAGTCCTATGACAGCAGCCTGAGTGGTGTGGTATTC</t>
  </si>
  <si>
    <t>CAGTCTGCCCTGACTCAGCCTGCCTCC...GTGTCTGGGTCTCCTGGACAGTCGATCACCATCTCCTGCACTGGGAGC</t>
  </si>
  <si>
    <t>GTACACTGGTACCACCAACTTCCAGGAACAGCCCCCAAACTCCTCATCTAT</t>
  </si>
  <si>
    <t>AATCGGCCCTCAGGGGTCCCT...GACCGATTCTCTGGCTCCAAG......TCGGGCACCTCAGCCTCCCTGGCCATCACTGGGCTCCAGGCTGAGGATGAGGCTGATTATTACTGC</t>
  </si>
  <si>
    <t>AGCTCCAACATCGGG.........GCAGGTTATGAT</t>
  </si>
  <si>
    <t>GGTAAC.....................ACC</t>
  </si>
  <si>
    <t>CAGTCCTATGACAGCAGCCTGAGTGGTGTGGTA</t>
  </si>
  <si>
    <t>CQSYDSSLSGVVF</t>
  </si>
  <si>
    <t>TGACGGCCAAGCCTAT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</si>
  <si>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GGCTGGGCGGTATGGACGTCTGGGGCCAAGGGACCACGGTCACCGTCTCCTCAGGGAGTGCATCCGCCCCAACCCTTTTCCCCCTCGTCTCCTGTGAGAATTCCCCGTCGGATACGAGCAGCGTG</t>
  </si>
  <si>
    <t>IGHV3-53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</si>
  <si>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GGCTGGGCGGTATGGACGTCTGGGGCCAAGGGACCACGGTCACCGTCTCCTCA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</si>
  <si>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GCTGGGCGGTATGGACGTCTGGGGCCAAGGGACCACGGTCACCGTCTCCTCA</t>
  </si>
  <si>
    <t>TGTGCGAGAGGGCTGGGCGGTATGGACGTCTGG</t>
  </si>
  <si>
    <t>GAGGTGCAGCTGGTGGAGACTGGAGGA...GGCTTGATCCAGCCTGGGGGGTCCCTGAGACTCTCCTGTGCAGCCTCT</t>
  </si>
  <si>
    <t>ATGAGCTGGGTCCGCCAGGCTCCAGGGAAGGGGCTGGAGTGGGTCTCAGTT</t>
  </si>
  <si>
    <t>TACTACGCAGACTCCGTGAAG...GGCCGATTCACCATCTCCAGAGACAATTCCAAGAACACGCTGTATCTTCAAATGAACAGCCTGAGAGCCGAGGACACGGCCGTGTATTACTGT</t>
  </si>
  <si>
    <t>GGGTTCACCGTC............AGTAGCAACTAC</t>
  </si>
  <si>
    <t>ATTTATAGCGGT.........GGTAGCACA</t>
  </si>
  <si>
    <t>GCGAGAGGGCTGGGCGGTATGGACGTC</t>
  </si>
  <si>
    <t>CARGLGGMDVW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</si>
  <si>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</si>
  <si>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TGAGCATAGGTGCAAC</t>
  </si>
  <si>
    <t>AGCTCTGGGAGAGGAGCTCCAGCCTTGGGATTCCCAGCTGTCTCCACTCGGTGATCGGCACTGAATACAGGAGACTCACCATGGAGTTTGGGCTGAGCTGGGTTTTCCTTGTTGCTATTTTAAAAGGTGTCCAGTGTGAGGTGCAGCTGGTGGAGTCTGGGGGAGGCTTGGTCCAGCCTGGGGGGTCCCTGAAACTCTCCTGTGCAGCCTCTGGGTTCACCTTCAGCGACTCTACTGTGCACTGGGTCCGCCAGACTTCCGGGAAAGGGCTGGAGTGGATTGGCCGTATTAGAACCGAAGCTAAGTATTACGCGACAGAATATGCTGCGTCGCTGAGAGGCAGGTTCATCATCTCCCGAGATGATTCAGCGGGCACGGCATATCTACAAATGGACAGCCTGGCAACCGAGGACACGGCCGTCTATTTCTGTACCTCAACTCCCGTGTCCTGCTGGGGCCAGGGAACCCTGGTCACCGTCTCCTCAGGGAGTGCATCCGCCCCAACCCTTTTCCCCCTCGTCTCCTGTGAGAATTCCCCGTCGGATACGAGCAGCGTG</t>
  </si>
  <si>
    <t>IGHV3-73</t>
  </si>
  <si>
    <t>IGHD4-17</t>
  </si>
  <si>
    <t>GAGGTGCAGCTGGTGGAGTCTGGGGGAGGCTTGGTCCAGCCTGGGGGGTCCCTGAAACTCTCCTGTGCAGCCTCTGGGTTCACCTTCAGCGACTCTACTGTGCACTGGGTCCGCCAGACTTCCGGGAAAGGGCTGGAGTGGATTGGCCGTATTAGAACCGAAGCTAAGTATTACGCGACAGAATATGCTGCGTCGCTGAGAGGCAGGTTCATCATCTCCCGAGATGATTCAGCGGGCACGGCATATCTACAAATGGACAGCCTGGCAACCGAGGACACGGCCGTCTATTTCTGTACCTCAACTCCCGTGTCCTGCTGGGGCCAGGGAACCCTGGTCACCGTCTCCTCAG</t>
  </si>
  <si>
    <t>GAGGTGCAGCTGGTGGAGTCTGGGGGA...GGCTTGGTCCAGCCTGGGGGGTCCCTGAAACTCTCCTGTGCAGCCTCTGGGTTCACCTTC............AGCGACTCTACTGTGCACTGGGTCCGCCAGACTTCCGGGAAAGGGCTGGAGTGGATTGGCCGTATTAGAACCGAAGCTAAGTATTACGCGACAGAATATGCTGCGTCGCTGAGA...GGCAGGTTCATCATCTCCCGAGATGATTCAGCGGGCACGGCATATCTACAAATGGACAGCCTGGCAACCGAGGACACGGCCGTCTATTTCTGTACCTCAACTCCCGTGTCCTGCTGGGGCCAGGGAACCCTGGTCACCGTCTCCTCAG</t>
  </si>
  <si>
    <t>TGTACCTCAACTCCCGTGTCCTGCTGG</t>
  </si>
  <si>
    <t>GAGGTGCAGCTGGTGGAGTCTGGGGGA...GGCTTGGTCCAGCCTGGGGGGTCCCTGAAACTCTCCTGTGCAGCCTCT</t>
  </si>
  <si>
    <t>GTGCACTGGGTCCGCCAGACTTCCGGGAAAGGGCTGGAGTGGATTGGCCGT</t>
  </si>
  <si>
    <t>GAATATGCTGCGTCGCTGAGA...GGCAGGTTCATCATCTCCCGAGATGATTCAGCGGGCACGGCATATCTACAAATGGACAGCCTGGCAACCGAGGACACGGCCGTCTATTTCTGT</t>
  </si>
  <si>
    <t>GGGTTCACCTTC............AGCGACTCTACT</t>
  </si>
  <si>
    <t>ATTAGAACCGAAGCTAAGTATTACGCGACA</t>
  </si>
  <si>
    <t>ACCTCAACTCCCGTGTCCTGC</t>
  </si>
  <si>
    <t>CTSTPVSCW</t>
  </si>
  <si>
    <t>AATTAGGACTCCTCAGGTCACCTTCTCACAATGAGGCTCCTTGCTCAGCTTCTGGGGCTGCTGATGCTCTGGGTCCCTGGATCCAGTGGGGAAATTGTGATGACCCAGCCTCCAATCTCCTCCCCTGTCACCCTTGGACAGCCGGCCTCCATCTCCTGCAACTCTAGTCAAAGCCTCGTACACGGTGATGGAAACACCTACTTGAATTGGCTTCAGCAGAGGCCAGGCCAGCCTCCAAGACTCCTAATTTATAAGATTTCTAACCGGTTTTCTGGGGTCCCAGACAGATTCAGTGGCAGTGGGGCAGGGACAGATTTCACACTGAAAATCAGCAGGGTGGAAGCTGAGGATGTCGGAATTTATTACTGCATGCAAGCTACACAATTTCCTCTCACTTTCGGCGGAGGGACCAAGGTAGAGATCAAACGAACTGTGGCTGCACCATCTGTCTTCATCTTCCCGCCATCTGATGAGCAGTTGAAATCTGGAACTGCCTCTGTTGTGTGCCTGCTGAATAACTTCTATCCCAGAGAGGCCAAAGTACAGTGGAAGGTGGATAACGC</t>
  </si>
  <si>
    <t>GAAATTGTGATGACCCAGCCTCCAATCTCCTCCCCTGTCACCCTTGGACAGCCGGCCTCCATCTCCTGCAACTCTAGTCAAAGCCTCGTACACGGTGATGGAAACACCTACTTGAATTGGCTTCAGCAGAGGCCAGGCCAGCCTCCAAGACTCCTAATTTATAAGATTTCTAACCGGTTTTCTGGGGTCCCAGACAGATTCAGTGGCAGTGGGGCAGGGACAGATTTCACACTGAAAATCAGCAGGGTGGAAGCTGAGGATGTCGGAATTTATTACTGCATGCAAGCTACACAATTTCCTCTCACTTTCGGCGGAGGGACCAAGGTAGAGATCAAAC</t>
  </si>
  <si>
    <t>GAAATTGTGATGACCCAGCCTCCAATCTCCTCCCCTGTCACCCTTGGACAGCCGGCCTCCATCTCCTGCAACTCTAGTCAAAGCCTCGTACACGGT...GATGGAAACACCTACTTGAATTGGCTTCAGCAGAGGCCAGGCCAGCCTCCAAGACTCCTAATTTATAAGATT.....................TCTAACCGGTTTTCTGGGGTCCCA...GACAGATTCAGTGGCAGTGGG......GCAGGGACAGATTTCACACTGAAAATCAGCAGGGTGGAAGCTGAGGATGTCGGAATTTATTACTGCATGCAAGCTACACAATTTCCTCTCACTTTCGGCGGAGGGACCAAGGTAGAGATCAAAC</t>
  </si>
  <si>
    <t>TGCATGCAAGCTACACAATTTCCTCTCACTTTC</t>
  </si>
  <si>
    <t>GAAATTGTGATGACCCAGCCTCCAATCTCCTCCCCTGTCACCCTTGGACAGCCGGCCTCCATCTCCTGCAACTCTAGT</t>
  </si>
  <si>
    <t>TTGAATTGGCTTCAGCAGAGGCCAGGCCAGCCTCCAAGACTCCTAATTTAT</t>
  </si>
  <si>
    <t>AACCGGTTTTCTGGGGTCCCA...GACAGATTCAGTGGCAGTGGG......GCAGGGACAGATTTCACACTGAAAATCAGCAGGGTGGAAGCTGAGGATGTCGGAATTTATTACTGC</t>
  </si>
  <si>
    <t>TTCGGCGGAGGGACCAAGGTAGAGATCAAAC</t>
  </si>
  <si>
    <t>CAAAGCCTCGTACACGGT...GATGGAAACACCTAC</t>
  </si>
  <si>
    <t>ATGCAAGCTACACAATTTCCTCTCACT</t>
  </si>
  <si>
    <t>CMQATQFPLTF</t>
  </si>
  <si>
    <t>TGAGCATCAAGGTTTC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</si>
  <si>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TGCGGACTCCGTGAAGGGCCGATTCACCATCTCCAGAGACAATTCCAAGAACACGCTGTATCTGCAAATGAACAGCCTGAGAGCTGGGGACACGGCTGTGTATTATTGTGCGAGAGATCAGGATATTGTAGTGGTATCAACTTCTAGGGGTAACTGGTTCGACCC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</si>
  <si>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TGCGGACTCCGTGAAGGGCCGATTCACCATCTCCAGAGACAATTCCAAGAACACGCTGTATCTGCAAATGAACAGCCTGAGAGCTGGGGACACGGCTGTGTATTATTGTGCGAGAGATCAGGATATTGTAGTGGTATCAACTTCTAGGGGTAACTGGTTCGACCCCTGGGGCCAGGGAACCCTGGTCACCGTCTCCTCAG</t>
  </si>
  <si>
    <t>CAGGTGCAGCTGGTGGAGTCTGGGGGA...GGCGTGGTCCAGCCTGGGAGGTCCCTGAGACTCTCCTGTGCAGCCTCTGGATTCACCTTC............AGTAGCTATGCTATGCACTGGGTCCGCCAGGCTCCAGGCAAGGGGCTGGAGTGGGTGGCAGTTATATCATATGAT......GGAAGCAATAAATACTATGCGGACTCCGTGAAG...GGCCGATTCACCATCTCCAGAGACAATTCCAAGAACACGCTGTATCTGCAAATGAACAGCCTGAGAGCTGGGGACACGGCTGTGTATTATTGTGCGAGAGATCAGGATATTGTAGTGGTATCAACTTCTAGGGGTAACTGGTTCGACCCCTGGGGCCAGGGAACCCTGGTCACCGTCTCCTCAG</t>
  </si>
  <si>
    <t>TGTGCGAGAGATCAGGATATTGTAGTGGTATCAACTTCTAGGGGTAACTGGTTCGACCCCTGG</t>
  </si>
  <si>
    <t>TACTATGCGGACTCCGTGAAG...GGCCGATTCACCATCTCCAGAGACAATTCCAAGAACACGCTGTATCTGCAAATGAACAGCCTGAGAGCTGGGGACACGGCTGTGTATTATTGT</t>
  </si>
  <si>
    <t>GCGAGAGATCAGGATATTGTAGTGGTATCAACTTCTAGGGGTAACTGGTTCGACCCC</t>
  </si>
  <si>
    <t>CARDQDIVVVSTSRGNWFDPW</t>
  </si>
  <si>
    <t>TGGGGAGTCAGTCTCAGTCAGGACACAGCATGGACATGAGGGTCCCCGCTCAGCTCCTGGGGCTCCTGCTACTCTGGCTCCGAGGTGCCAGATGTGACATCCAGATGACCCAGTCTCCATCCTCCCTGTCTGCATCTGTAGGAGACAGAGTCACCATCACTTGCCGGCCAAGTCAGAGCATTAGCACCTATTTAAATTGGTATCAGCAGAAACCAGGGAAAGCCCCTAAGCTCCTGATCTATGCTGCATCCAATTTGCAAAGTGGGGTCCCATCAAGGTTCAGTGGCAGTGGATCTGGGACAGATTTCACTCTCACCATCAGCAGTCTGCAACCTGAAGATTTTGCAACTTACTACTGTCAACAGAGTTACAATACCCCTCGCACTTTTGGCCAGGGGACCAAGCTGGAGATCAAACGAACTGTGGCTGCACCATCTGTCTTCATCTTCCCGCCATCTGATGAGCAGTTGAAATCTGGAACTGCCTCTGTTGTGTGCCTGCTGAATAACTTCTATCCCAGAGAGGCCAAAGTACAGTGGAAGGTGGATAACGC</t>
  </si>
  <si>
    <t>GACATCCAGATGACCCAGTCTCCATCCTCCCTGTCTGCATCTGTAGGAGACAGAGTCACCATCACTTGCCGGCCAAGTCAGAGCATTAGCACCTATTTAAATTGGTATCAGCAGAAACCAGGGAAAGCCCCTAAGCTCCTGATCTATGCTGCATCCAATTTGCAAAGTGGGGTCCCATCAAGGTTCAGTGGCAGTGGATCTGGGACAGATTTCACTCTCACCATCAGCAGTCTGCAACCTGAAGATTTTGCAACTTACTACTGTCAACAGAGTTACAATACCCCTCGCACTTTTGGCCAGGGGACCAAGCTGGAGATCAAAC</t>
  </si>
  <si>
    <t>GACATCCAGATGACCCAGTCTCCATCCTCCCTGTCTGCATCTGTAGGAGACAGAGTCACCATCACTTGCCGGCCAAGTCAGAGCATT..................AGCACCTATTTAAATTGGTATCAGCAGAAACCAGGGAAAGCCCCTAAGCTCCTGATCTATGCTGCA.....................TCCAATTTGCAAAGTGGGGTCCCA...TCAAGGTTCAGTGGCAGTGGA......TCTGGGACAGATTTCACTCTCACCATCAGCAGTCTGCAACCTGAAGATTTTGCAACTTACTACTGTCAACAGAGTTACAATACCCCTCGCACTTTTGGCCAGGGGACCAAGCTGGAGATCAAAC</t>
  </si>
  <si>
    <t>TGTCAACAGAGTTACAATACCCCTCGCACTTTT</t>
  </si>
  <si>
    <t>GACATCCAGATGACCCAGTCTCCATCCTCCCTGTCTGCATCTGTAGGAGACAGAGTCACCATCACTTGCCGGCCAAGT</t>
  </si>
  <si>
    <t>AATTTGCAAAGTGGGGTCCCA...TCAAGGTTCAGTGGCAGTGGA......TCTGGGACAGATTTCACTCTCACCATCAGCAGTCTGCAACCTGAAGATTTTGCAACTTACTACTGT</t>
  </si>
  <si>
    <t>CAGAGCATT..................AGCACCTAT</t>
  </si>
  <si>
    <t>CAACAGAGTTACAATACCCCTCGCACT</t>
  </si>
  <si>
    <t>CQQSYNTPRTF</t>
  </si>
  <si>
    <t>TGCACCTCATGATCCA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</si>
  <si>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TAATAGCAGTGGCTGGTACGGGGGGTTTA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</si>
  <si>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TAATAGCAGTGGCTGGTACGGGGGGTTTA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</si>
  <si>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TTAATAGCAGTGGCTGGTACGGGGGGTTTATTTGACTACTGGGGCCAGGGAACCCTGGTCACCGTCTCCTCAG</t>
  </si>
  <si>
    <t>TGTGCGAGATTAATAGCAGTGGCTGGTACGGGGGGTTTATTTGACTACTGG</t>
  </si>
  <si>
    <t>GCGAGATTAATAGCAGTGGCTGGTACGGGGGGTTTATTTGACTAC</t>
  </si>
  <si>
    <t>CARLIAVAGTGGLFDYW</t>
  </si>
  <si>
    <t>GCTGGGGTCTCAGGAGGCAGCGCTCTCAGGACATCTCCACCATGGCCTGGGCTCTGCTGCTCCTCACCCTCCTCACTCAGGGCACAGGGTCCTGGGCCCAGTCTGCCCTGACTCAGCCTGCCTCCGTGTCTGGGTCTCCTGGACAGTCGATCACCATCTCCTGCACTGGAACTAGTAGTGACGTTGGTAGTAATGACTATGTCTCCTGGTACCAACAGCACCCCGGCAAAGGCCCCAAACTCATAATTTATGACGTCACTAATCGGCCCTCAGGGGTTTCTAATCGCTTCTCTGGCTCCAAGTCTGGCAACACGGCCTCCCTGACCATCTTTGGGCTCCAGGCTGAGGACGAGGCTGATTATTACTGCAACTCATATACAACCATCACCGCTGGGCTTTATGTCTTCGGACCTGGGACCAAGGTCACCGTCCTAA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</si>
  <si>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TAGTAGTGACGTTGGTAGTAATGACTATGTCTCCTGGTACCAACAGCACCCCGGCAAAGGCCCCAAACTCATAATTTATGACGTCACTAATCGGCCCTCAGGGGTTTCTAATCGCTTCTCTGGCTCCAAGTCTGGCAACACGGCCTCCCTGACCATCTTTGGGCTCCAGGCTGAGGACGAGGCTGATTATTACTGCAACTCATATACAACCATCACCGCTGGGCTTTATGTCTTCGGACCTGGGACCAAGGTCACCGTCCTAA</t>
  </si>
  <si>
    <t>CAGTCTGCCCTGACTCAGCCTGCCTCC...GTGTCTGGGTCTCCTGGACAGTCGATCACCATCTCCTGCACTGGAACTAGTAGTGACGTTGGT.........AGTAATGACTATGTCTCCTGGTACCAACAGCACCCCGGCAAAGGCCCCAAACTCATAATTTATGACGTC.....................ACTAATCGGCCCTCAGGGGTTTCT...AATCGCTTCTCTGGCTCCAAG......TCTGGCAACACGGCCTCCCTGACCATCTTTGGGCTCCAGGCTGAGGACGAGGCTGATTATTACTGCAACTCATATACAACCATCACCGCTGGGCTTTATGTCTTCGGACCTGGGACCAAGGTCACCGTCCTAA</t>
  </si>
  <si>
    <t>TGCAACTCATATACAACCATCACCGCTGGGCTTTATGTCTTC</t>
  </si>
  <si>
    <t>CAGTCTGCCCTGACTCAGCCTGCCTCC...GTGTCTGGGTCTCCTGGACAGTCGATCACCATCTCCTGCACTGGAACT</t>
  </si>
  <si>
    <t>GTCTCCTGGTACCAACAGCACCCCGGCAAAGGCCCCAAACTCATAATTTAT</t>
  </si>
  <si>
    <t>AATCGGCCCTCAGGGGTTTCT...AATCGCTTCTCTGGCTCCAAG......TCTGGCAACACGGCCTCCCTGACCATCTTTGGGCTCCAGGCTGAGGACGAGGCTGATTATTACTGC</t>
  </si>
  <si>
    <t>TTCGGACCTGGGACCAAGGTCACCGTCCTAA</t>
  </si>
  <si>
    <t>AGTAGTGACGTTGGT.........AGTAATGACTAT</t>
  </si>
  <si>
    <t>GACGTC.....................ACT</t>
  </si>
  <si>
    <t>AACTCATATACAACCATCACCGCTGGGCTTTATGTC</t>
  </si>
  <si>
    <t>CNSYTTITAGLYVF</t>
  </si>
  <si>
    <t>TGGGCGTTCAGCCTAA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</si>
  <si>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ACGGTTCGCGTTTTTGGAGTTTTTTGGGT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</si>
  <si>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ACGGTTCGCGTTTTTGGAGTTTTTTGGGT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</si>
  <si>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TACGGTTCGCGTTTTTGGAGTTTTTTGGGTTGGTTCGACCCCTGGGGCCAGGGAACCCTGGTCACCGTCTCCTCAG</t>
  </si>
  <si>
    <t>TGTGCGAGAGATTACGGTTCGCGTTTTTGGAGTTTTTTGGGTTGGTTCGACCCCTGG</t>
  </si>
  <si>
    <t>GCGAGAGATTACGGTTCGCGTTTTTGGAGTTTTTTGGGTTGGTTCGACCCC</t>
  </si>
  <si>
    <t>CARDYGSRFWSFLGWFDPW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</si>
  <si>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</si>
  <si>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TAT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</si>
  <si>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TATGTCTTCGGAACTGGGACCAAGGTCACCGTCCTAG</t>
  </si>
  <si>
    <t>TGCAGCTCATATACAAGCAGCAGCACTTATGTCTTC</t>
  </si>
  <si>
    <t>AGCTCATATACAAGCAGCAGCACTTATGTC</t>
  </si>
  <si>
    <t>CSSYTSSSTYVF</t>
  </si>
  <si>
    <t>TTTCCTCGTGTATGGG</t>
  </si>
  <si>
    <t>AGCTCTGAGAGAGGAGCCTTAGCCCTGGATTCCAAGGCCTATCCACTTGGTGATCAGCACTGAGCACCGAGGATTCACCATGGAACTGGGGCTCCGCTGGGTTTTCCTTGTTGCTATTTTAGAAGGTGTCCAGTGTGAGGTGCAGCTGGTGGAGTCTGGGGGAGGCCTGGTCAAGCCTGGGGGGTCCCTGAGACTCTCCTGTGCAGCCTCTGGATTCACCTTCAGTAGCTATACCATGAACTGGGTCCGCCAGGCTCCAGGGAAGGGGCTGGAGTGGGTCTCATCCATTAGTAGTAGTAGTAGTTACATCTACTACGCAGACTCAGTGAAGGGCCGATTCACCATCTCCAGAGACAACGCCAAGAACTCACTGTATCTGCAAATGAACAGCCTGAGAGCCGAGGACACGGCTGTGTATTACTGTGCGAGAGAAATGGGGGGGATATATAACAGTGGGGTTTACGGTATGGACGTCTGGGGCCAAGGGACCACGGTCACCGTCTCCTCAGCTTCCACCAAGGGCCCATCGGTCTTCCCCCTGGCGCCCTGCTCCAGGAGCACCTCTGGGGGCACAGCGGCCCTGGGCTGCCTGGTCAAGGACTACTTCCCCGAACCGGTGACGGTGTCGTGGAACTCAGGCGCCCTGACCAGCGGCGTGCACACCTTCCCGGCTGTCCTACAGTCCTCAGGA</t>
  </si>
  <si>
    <t>GAGGTGCAGCTGGTGGAGTCTGGGGGAGGCCTGGTCAAGCCTGGGGGGTCCCTGAGACTCTCCTGTGCAGCCTCTGGATTCACCTTCAGTAGCTATACCATGAACTGGGTCCGCCAGGCTCCAGGGAAGGGGCTGGAGTGGGTCTCATCCATTAGTAGTAGTAGTAGTTACATCTACTACGCAGACTCAGTGAAGGGCCGATTCACCATCTCCAGAGACAACGCCAAGAACTCACTGTATCTGCAAATGAACAGCCTGAGAGCCGAGGACACGGCTGTGTATTACTGTGCGAGAGAAATGGGGGGGATATATAACAGTGGGGTTTACGGTATGGACGTCTGGGGCCAAGGGACCACGGTCACCGTCTCCTCA</t>
  </si>
  <si>
    <t>GAGGTGCAGCTGGTGGAGTCTGGGGGA...GGCCTGGTCAAGCCTGGGGGGTCCCTGAGACTCTCCTGTGCAGCCTCTGGATTCACCTTC............AGTAGCTATACCATGAACTGGGTCCGCCAGGCTCCAGGGAAGGGGCTGGAGTGGGTCTCATCCATTAGTAGTAGT......AGTAGTTACATCTACTACGCAGACTCAGTGAAG...GGCCGATTCACCATCTCCAGAGACAACGCCAAGAACTCACTGTATCTGCAAATGAACAGCCTGAGAGCCGAGGACACGGCTGTGTATTACTGTGCGAGAGAAATGGGGGGGATATATAACAGTGGGGTTTACGGTATGGACGTCTGGGGCCAAGGGACCACGGTCACCGTCTCCTCA</t>
  </si>
  <si>
    <t>TGTGCGAGAGAAATGGGGGGGATATATAACAGTGGGGTTTACGGTATGGACGTCTGG</t>
  </si>
  <si>
    <t>GGATTCACCTTC............AGTAGCTATACC</t>
  </si>
  <si>
    <t>ATTAGTAGTAGT......AGTAGTTACATC</t>
  </si>
  <si>
    <t>GCGAGAGAAATGGGGGGGATATATAACAGTGGGGTTTACGGTATGGACGTC</t>
  </si>
  <si>
    <t>CAREMGGIYNSGVYGMDVW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</si>
  <si>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GGACTTTCGGCCCTGGGACCAAAGTGGATATCAAACGAACTGTGGCTGCACCATCTGTCTTCATCTTCCCGCCATCTGATGAGCAGTTGAAATCTGGAACTGCCTCTGTTGTGTGCCTGCTGAATAACTTCTATCCCAGAGAGGCCAAAGTACAGTGGAAGGTGGATAACGC</t>
  </si>
  <si>
    <t>IGKV1-12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</si>
  <si>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GGACTTTCGGCCCTGGGACCAAAGTGGAT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</si>
  <si>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GGACTTTCGGCCCTGGGACCAAAGTGGATATCAAAC</t>
  </si>
  <si>
    <t>TGTCAACAGGCTAACAGTTTCCCTCGGACTTTC</t>
  </si>
  <si>
    <t>GACATCCAGATGACCCAGTCTCCATCTTCCGTGTCTGCATCTGTAGGAGACAGAGTCACCATCACTTGTCGGGCGAGT</t>
  </si>
  <si>
    <t>TTAGCCTGGTATCAGCAGAAACCAGGGAAAGCCCCTAAGCTCCTGATCTAT</t>
  </si>
  <si>
    <t>AGTTTGCAAAGTGGGGTCCCA...TCAAGGTTCAGCGGCAGTGGA......TCTGGGACAGATTTCACTCTCACCATCAGCAGCCTGCAGCCTGAAGATTTTGCAACTTACTATTGT</t>
  </si>
  <si>
    <t>CAGGGTATT..................AGCAGCTGG</t>
  </si>
  <si>
    <t>CAACAGGCTAACAGTTTCCCTCGGACT</t>
  </si>
  <si>
    <t>CQQANSFPRTF</t>
  </si>
  <si>
    <t>FLU_HA_NC99+1</t>
  </si>
  <si>
    <t>HIV_BG505_D279K+1</t>
  </si>
  <si>
    <t>HIV_BG505_D368R+1</t>
  </si>
  <si>
    <t>HIV_BG505_K169E+1</t>
  </si>
  <si>
    <t>HIV_BG505_N160K+1</t>
  </si>
  <si>
    <t>HIV_BG505_N332T+1</t>
  </si>
  <si>
    <t>HIV_BG505_DKO+1</t>
  </si>
  <si>
    <t>HIV_BG505_T332N+1</t>
  </si>
  <si>
    <t>Geomean</t>
  </si>
  <si>
    <t>FLU_HA_NC99.CLR</t>
  </si>
  <si>
    <t>HIV_BG505_D279K.CLR</t>
  </si>
  <si>
    <t>HIV_BG505_D368R.CLR</t>
  </si>
  <si>
    <t>HIV_BG505_K169E.CLR</t>
  </si>
  <si>
    <t>HIV_BG505_N160K.CLR</t>
  </si>
  <si>
    <t>HIV_BG505_N332T.CLR</t>
  </si>
  <si>
    <t>HIV_BG505_DKO.CLR</t>
  </si>
  <si>
    <t>HIV_BG505_T332N.CLR</t>
  </si>
  <si>
    <t>6421.1_44</t>
  </si>
  <si>
    <t>6421.1_65</t>
  </si>
  <si>
    <t>6421.1_53</t>
  </si>
  <si>
    <t>6421.1_3</t>
  </si>
  <si>
    <t>6421.1_19</t>
  </si>
  <si>
    <t>6421.1_63</t>
  </si>
  <si>
    <t>6421.1_72</t>
  </si>
  <si>
    <t>mAb</t>
  </si>
  <si>
    <t>VH Gene</t>
  </si>
  <si>
    <t>CDR3-length</t>
  </si>
  <si>
    <t>VL Gene</t>
  </si>
  <si>
    <t>VL % Identity</t>
  </si>
  <si>
    <t>CDRL3 Length</t>
  </si>
  <si>
    <t>VJ Junction</t>
  </si>
  <si>
    <t>VH % Identity</t>
  </si>
  <si>
    <t>Isotype</t>
  </si>
  <si>
    <t>VDJ Junction</t>
  </si>
  <si>
    <t>CDRH3 length</t>
  </si>
  <si>
    <t>CDRL3 length</t>
  </si>
  <si>
    <t>HA         CLR</t>
  </si>
  <si>
    <t>D279K        CLR</t>
  </si>
  <si>
    <t>D368R   CLR</t>
  </si>
  <si>
    <t>K169E    CLR</t>
  </si>
  <si>
    <t>N160K       CLR</t>
  </si>
  <si>
    <t>N332T     CLR</t>
  </si>
  <si>
    <t>DKO         CLR</t>
  </si>
  <si>
    <t>T332N      CLR</t>
  </si>
  <si>
    <t>HA          LSS</t>
  </si>
  <si>
    <t>D279K        LSS</t>
  </si>
  <si>
    <t>D368R   LSS</t>
  </si>
  <si>
    <t>K169E    LSS</t>
  </si>
  <si>
    <t>N160K       LSS</t>
  </si>
  <si>
    <t>N332T     LSS</t>
  </si>
  <si>
    <t>DKO         LSS</t>
  </si>
  <si>
    <t>T332N      LSS</t>
  </si>
  <si>
    <t>FLU_HA_NC99.UMI</t>
  </si>
  <si>
    <t>HIV_BG505_D279K.UMI</t>
  </si>
  <si>
    <t>HIV_BG505_D368R.UMI</t>
  </si>
  <si>
    <t>HIV_BG505_K169E.UMI</t>
  </si>
  <si>
    <t>HIV_BG505_N160K.UMI</t>
  </si>
  <si>
    <t>HIV_BG505_N332T.UMI</t>
  </si>
  <si>
    <t>HIV_BG505_DKO.UMI</t>
  </si>
  <si>
    <t>HIV_BG505_T332N.UMI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</si>
</sst>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81"/>
  <sheetViews>
    <sheetView tabSelected="1" workbookViewId="0">
      <selection activeCell="BT1" sqref="BT1"/>
    </sheetView>
  </sheetViews>
  <sheetFormatPr defaultRowHeight="14.5" x14ac:dyDescent="0.35"/>
  <sheetData>
    <row r="1" spans="1:10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1823</v>
      </c>
      <c r="BK1" t="s">
        <v>1824</v>
      </c>
      <c r="BL1" t="s">
        <v>1825</v>
      </c>
      <c r="BM1" t="s">
        <v>1826</v>
      </c>
      <c r="BN1" t="s">
        <v>1827</v>
      </c>
      <c r="BO1" t="s">
        <v>1828</v>
      </c>
      <c r="BP1" t="s">
        <v>1829</v>
      </c>
      <c r="BQ1" t="s">
        <v>1830</v>
      </c>
      <c r="BR1" t="s">
        <v>1771</v>
      </c>
      <c r="BS1" t="s">
        <v>1772</v>
      </c>
      <c r="BT1" t="s">
        <v>1773</v>
      </c>
      <c r="BU1" t="s">
        <v>1774</v>
      </c>
      <c r="BV1" t="s">
        <v>1775</v>
      </c>
      <c r="BW1" t="s">
        <v>1776</v>
      </c>
      <c r="BX1" t="s">
        <v>1777</v>
      </c>
      <c r="BY1" t="s">
        <v>1778</v>
      </c>
      <c r="BZ1" t="s">
        <v>1779</v>
      </c>
      <c r="CA1" t="s">
        <v>1779</v>
      </c>
      <c r="CB1" t="s">
        <v>1779</v>
      </c>
      <c r="CC1" t="s">
        <v>1779</v>
      </c>
      <c r="CD1" t="s">
        <v>1779</v>
      </c>
      <c r="CE1" t="s">
        <v>1779</v>
      </c>
      <c r="CF1" t="s">
        <v>1779</v>
      </c>
      <c r="CG1" t="s">
        <v>1779</v>
      </c>
      <c r="CH1" t="s">
        <v>1780</v>
      </c>
      <c r="CI1" t="s">
        <v>1781</v>
      </c>
      <c r="CJ1" t="s">
        <v>1782</v>
      </c>
      <c r="CK1" t="s">
        <v>1783</v>
      </c>
      <c r="CL1" t="s">
        <v>1784</v>
      </c>
      <c r="CM1" t="s">
        <v>1785</v>
      </c>
      <c r="CN1" t="s">
        <v>1786</v>
      </c>
      <c r="CO1" t="s">
        <v>1787</v>
      </c>
      <c r="CP1" t="s">
        <v>30</v>
      </c>
      <c r="CQ1" t="s">
        <v>69</v>
      </c>
      <c r="CR1" t="s">
        <v>70</v>
      </c>
      <c r="CS1" t="s">
        <v>71</v>
      </c>
      <c r="CT1" t="s">
        <v>72</v>
      </c>
      <c r="CU1" t="s">
        <v>73</v>
      </c>
      <c r="CV1" t="s">
        <v>74</v>
      </c>
      <c r="CW1" t="s">
        <v>75</v>
      </c>
      <c r="CX1" t="s">
        <v>76</v>
      </c>
    </row>
    <row r="2" spans="1:102" x14ac:dyDescent="0.35">
      <c r="A2" t="s">
        <v>158</v>
      </c>
      <c r="B2" t="s">
        <v>78</v>
      </c>
      <c r="C2" t="s">
        <v>159</v>
      </c>
      <c r="D2" t="s">
        <v>80</v>
      </c>
      <c r="E2" t="s">
        <v>80</v>
      </c>
      <c r="F2" t="s">
        <v>81</v>
      </c>
      <c r="G2" t="s">
        <v>82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N2">
        <v>63</v>
      </c>
      <c r="O2" t="s">
        <v>89</v>
      </c>
      <c r="P2">
        <v>1326</v>
      </c>
      <c r="Q2">
        <v>0.96140000000000003</v>
      </c>
      <c r="R2">
        <v>193</v>
      </c>
      <c r="S2">
        <v>0.7903</v>
      </c>
      <c r="T2" t="s">
        <v>166</v>
      </c>
      <c r="U2" t="s">
        <v>167</v>
      </c>
      <c r="V2" t="s">
        <v>168</v>
      </c>
      <c r="W2" t="s">
        <v>169</v>
      </c>
      <c r="X2" t="s">
        <v>170</v>
      </c>
      <c r="Y2" t="s">
        <v>171</v>
      </c>
      <c r="Z2" t="s">
        <v>172</v>
      </c>
      <c r="AA2" t="s">
        <v>173</v>
      </c>
      <c r="AB2">
        <v>7508</v>
      </c>
      <c r="AC2">
        <v>158</v>
      </c>
      <c r="AD2" t="s">
        <v>174</v>
      </c>
      <c r="AE2">
        <v>1</v>
      </c>
      <c r="AF2" t="s">
        <v>99</v>
      </c>
      <c r="AG2" t="s">
        <v>175</v>
      </c>
      <c r="AH2" t="s">
        <v>80</v>
      </c>
      <c r="AI2" t="s">
        <v>80</v>
      </c>
      <c r="AJ2" t="s">
        <v>81</v>
      </c>
      <c r="AK2" t="s">
        <v>176</v>
      </c>
      <c r="AL2" t="s">
        <v>177</v>
      </c>
      <c r="AM2" t="s">
        <v>178</v>
      </c>
      <c r="AN2" t="s">
        <v>179</v>
      </c>
      <c r="AO2" t="s">
        <v>180</v>
      </c>
      <c r="AP2" t="s">
        <v>181</v>
      </c>
      <c r="AQ2">
        <v>39</v>
      </c>
      <c r="AR2" t="s">
        <v>89</v>
      </c>
      <c r="AS2">
        <v>1359</v>
      </c>
      <c r="AT2">
        <v>0.96879999999999999</v>
      </c>
      <c r="AU2">
        <v>172</v>
      </c>
      <c r="AV2">
        <v>0.94740000000000002</v>
      </c>
      <c r="AW2" t="s">
        <v>182</v>
      </c>
      <c r="AX2" t="s">
        <v>183</v>
      </c>
      <c r="AY2" t="s">
        <v>184</v>
      </c>
      <c r="AZ2" t="s">
        <v>185</v>
      </c>
      <c r="BA2" t="s">
        <v>186</v>
      </c>
      <c r="BB2" t="s">
        <v>187</v>
      </c>
      <c r="BC2" t="s">
        <v>188</v>
      </c>
      <c r="BD2" t="s">
        <v>189</v>
      </c>
      <c r="BE2">
        <v>51152</v>
      </c>
      <c r="BF2" t="s">
        <v>190</v>
      </c>
      <c r="BG2">
        <v>1364</v>
      </c>
      <c r="BH2" t="s">
        <v>89</v>
      </c>
      <c r="BI2">
        <v>1</v>
      </c>
      <c r="BJ2">
        <v>20481</v>
      </c>
      <c r="BK2">
        <v>0</v>
      </c>
      <c r="BL2">
        <v>175</v>
      </c>
      <c r="BM2">
        <v>128</v>
      </c>
      <c r="BN2">
        <v>129</v>
      </c>
      <c r="BO2">
        <v>202</v>
      </c>
      <c r="BP2">
        <v>115</v>
      </c>
      <c r="BQ2">
        <v>106</v>
      </c>
      <c r="BR2">
        <f t="shared" ref="BR2:BR33" si="0">BJ2+1</f>
        <v>20482</v>
      </c>
      <c r="BS2">
        <f t="shared" ref="BS2:BS33" si="1">BK2+1</f>
        <v>1</v>
      </c>
      <c r="BT2">
        <f t="shared" ref="BT2:BT33" si="2">BL2+1</f>
        <v>176</v>
      </c>
      <c r="BU2">
        <f t="shared" ref="BU2:BU33" si="3">BM2+1</f>
        <v>129</v>
      </c>
      <c r="BV2">
        <f t="shared" ref="BV2:BV33" si="4">BN2+1</f>
        <v>130</v>
      </c>
      <c r="BW2">
        <f t="shared" ref="BW2:BW33" si="5">BO2+1</f>
        <v>203</v>
      </c>
      <c r="BX2">
        <f t="shared" ref="BX2:BX33" si="6">BP2+1</f>
        <v>116</v>
      </c>
      <c r="BY2">
        <f t="shared" ref="BY2:BY33" si="7">BQ2+1</f>
        <v>107</v>
      </c>
      <c r="BZ2">
        <f t="shared" ref="BZ2:BZ33" si="8">GEOMEAN(BR2:BY2)</f>
        <v>140.55441344963342</v>
      </c>
      <c r="CA2">
        <v>140.55441344963342</v>
      </c>
      <c r="CB2">
        <v>140.55441344963342</v>
      </c>
      <c r="CC2">
        <v>140.55441344963342</v>
      </c>
      <c r="CD2">
        <v>140.55441344963342</v>
      </c>
      <c r="CE2">
        <v>140.55441344963342</v>
      </c>
      <c r="CF2">
        <v>140.55441344963342</v>
      </c>
      <c r="CG2">
        <v>140.55441344963342</v>
      </c>
      <c r="CH2">
        <f t="shared" ref="CH2:CH33" si="9">LOG(BR2/BZ2)</f>
        <v>2.163527874672408</v>
      </c>
      <c r="CI2">
        <f t="shared" ref="CI2:CI33" si="10">LOG(BS2/CA2)</f>
        <v>-2.1478444871311408</v>
      </c>
      <c r="CJ2">
        <f t="shared" ref="CJ2:CJ33" si="11">LOG(BT2/CB2)</f>
        <v>9.7668180683009156E-2</v>
      </c>
      <c r="CK2">
        <f t="shared" ref="CK2:CK33" si="12">LOG(BU2/CC2)</f>
        <v>-3.7254776831891712E-2</v>
      </c>
      <c r="CL2">
        <f t="shared" ref="CL2:CL33" si="13">LOG(BV2/CD2)</f>
        <v>-3.3901134824303923E-2</v>
      </c>
      <c r="CM2">
        <f t="shared" ref="CM2:CM33" si="14">LOG(BW2/CE2)</f>
        <v>0.15965155078207227</v>
      </c>
      <c r="CN2">
        <f t="shared" ref="CN2:CN33" si="15">LOG(BX2/CF2)</f>
        <v>-8.3386497904222215E-2</v>
      </c>
      <c r="CO2">
        <f t="shared" ref="CO2:CO33" si="16">LOG(BY2/CG2)</f>
        <v>-0.11846070944593101</v>
      </c>
      <c r="CP2">
        <v>1</v>
      </c>
      <c r="CQ2">
        <v>2.1793591255514402</v>
      </c>
      <c r="CR2">
        <v>-2.8101924918208301</v>
      </c>
      <c r="CS2">
        <v>0.77756354004919903</v>
      </c>
      <c r="CT2">
        <v>-0.23088629561988699</v>
      </c>
      <c r="CU2">
        <v>-0.182236962733969</v>
      </c>
      <c r="CV2">
        <v>-1.09277745148352</v>
      </c>
      <c r="CW2">
        <v>0.998774025499921</v>
      </c>
      <c r="CX2">
        <v>-0.47029439858502098</v>
      </c>
    </row>
    <row r="3" spans="1:102" x14ac:dyDescent="0.3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88</v>
      </c>
      <c r="N3">
        <v>48</v>
      </c>
      <c r="O3" t="s">
        <v>89</v>
      </c>
      <c r="P3">
        <v>1395</v>
      </c>
      <c r="Q3">
        <v>0.98260000000000003</v>
      </c>
      <c r="R3">
        <v>150</v>
      </c>
      <c r="S3">
        <v>0.79169999999999996</v>
      </c>
      <c r="T3" t="s">
        <v>90</v>
      </c>
      <c r="U3" t="s">
        <v>91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t="s">
        <v>97</v>
      </c>
      <c r="AB3">
        <v>2316</v>
      </c>
      <c r="AC3">
        <v>9</v>
      </c>
      <c r="AD3" t="s">
        <v>98</v>
      </c>
      <c r="AE3">
        <v>2</v>
      </c>
      <c r="AF3" t="s">
        <v>99</v>
      </c>
      <c r="AG3" t="s">
        <v>100</v>
      </c>
      <c r="AH3" t="s">
        <v>80</v>
      </c>
      <c r="AI3" t="s">
        <v>80</v>
      </c>
      <c r="AJ3" t="s">
        <v>81</v>
      </c>
      <c r="AK3" t="s">
        <v>101</v>
      </c>
      <c r="AL3" t="s">
        <v>102</v>
      </c>
      <c r="AM3" t="s">
        <v>103</v>
      </c>
      <c r="AN3" t="s">
        <v>104</v>
      </c>
      <c r="AO3" t="s">
        <v>105</v>
      </c>
      <c r="AP3" t="s">
        <v>106</v>
      </c>
      <c r="AQ3">
        <v>33</v>
      </c>
      <c r="AR3" t="s">
        <v>89</v>
      </c>
      <c r="AS3">
        <v>1341</v>
      </c>
      <c r="AT3">
        <v>0.97850000000000004</v>
      </c>
      <c r="AU3">
        <v>181</v>
      </c>
      <c r="AV3">
        <v>0.97370000000000001</v>
      </c>
      <c r="AW3" t="s">
        <v>107</v>
      </c>
      <c r="AX3" t="s">
        <v>108</v>
      </c>
      <c r="AY3" t="s">
        <v>109</v>
      </c>
      <c r="AZ3" t="s">
        <v>110</v>
      </c>
      <c r="BA3" t="s">
        <v>111</v>
      </c>
      <c r="BB3" t="s">
        <v>112</v>
      </c>
      <c r="BC3" t="s">
        <v>113</v>
      </c>
      <c r="BD3" t="s">
        <v>114</v>
      </c>
      <c r="BE3">
        <v>33808</v>
      </c>
      <c r="BF3" t="s">
        <v>115</v>
      </c>
      <c r="BG3">
        <v>39</v>
      </c>
      <c r="BH3" t="s">
        <v>89</v>
      </c>
      <c r="BI3">
        <v>2</v>
      </c>
      <c r="BJ3">
        <v>12132</v>
      </c>
      <c r="BK3">
        <v>15</v>
      </c>
      <c r="BL3">
        <v>74</v>
      </c>
      <c r="BM3">
        <v>22</v>
      </c>
      <c r="BN3">
        <v>20</v>
      </c>
      <c r="BO3">
        <v>57</v>
      </c>
      <c r="BP3">
        <v>54</v>
      </c>
      <c r="BQ3">
        <v>0</v>
      </c>
      <c r="BR3">
        <f t="shared" si="0"/>
        <v>12133</v>
      </c>
      <c r="BS3">
        <f t="shared" si="1"/>
        <v>16</v>
      </c>
      <c r="BT3">
        <f t="shared" si="2"/>
        <v>75</v>
      </c>
      <c r="BU3">
        <f t="shared" si="3"/>
        <v>23</v>
      </c>
      <c r="BV3">
        <f t="shared" si="4"/>
        <v>21</v>
      </c>
      <c r="BW3">
        <f t="shared" si="5"/>
        <v>58</v>
      </c>
      <c r="BX3">
        <f t="shared" si="6"/>
        <v>55</v>
      </c>
      <c r="BY3">
        <f t="shared" si="7"/>
        <v>1</v>
      </c>
      <c r="BZ3">
        <f t="shared" si="8"/>
        <v>46.650994582261269</v>
      </c>
      <c r="CA3">
        <v>46.650994582261269</v>
      </c>
      <c r="CB3">
        <v>46.650994582261269</v>
      </c>
      <c r="CC3">
        <v>46.650994582261269</v>
      </c>
      <c r="CD3">
        <v>46.650994582261269</v>
      </c>
      <c r="CE3">
        <v>46.650994582261269</v>
      </c>
      <c r="CF3">
        <v>46.650994582261269</v>
      </c>
      <c r="CG3">
        <v>46.650994582261269</v>
      </c>
      <c r="CH3">
        <f t="shared" si="9"/>
        <v>2.4151072904165738</v>
      </c>
      <c r="CI3">
        <f t="shared" si="10"/>
        <v>-0.46474092452591692</v>
      </c>
      <c r="CJ3">
        <f t="shared" si="11"/>
        <v>0.20620035620985833</v>
      </c>
      <c r="CK3">
        <f t="shared" si="12"/>
        <v>-0.30713307116424882</v>
      </c>
      <c r="CL3">
        <f t="shared" si="13"/>
        <v>-0.34664161244792241</v>
      </c>
      <c r="CM3">
        <f t="shared" si="14"/>
        <v>9.4567086381095566E-2</v>
      </c>
      <c r="CN3">
        <f t="shared" si="15"/>
        <v>7.1501782312402118E-2</v>
      </c>
      <c r="CO3">
        <f t="shared" si="16"/>
        <v>-1.6688609071818417</v>
      </c>
      <c r="CP3">
        <v>2</v>
      </c>
      <c r="CQ3">
        <v>2.5364156420322801</v>
      </c>
      <c r="CR3">
        <v>0.53042697382047899</v>
      </c>
      <c r="CS3">
        <v>1.0517517375610701</v>
      </c>
      <c r="CT3">
        <v>-0.83551780042639101</v>
      </c>
      <c r="CU3">
        <v>-0.96888356176369494</v>
      </c>
      <c r="CV3">
        <v>-1.22220378961336</v>
      </c>
      <c r="CW3">
        <v>1.3119040273765601</v>
      </c>
      <c r="CX3">
        <v>-3.48945987673619</v>
      </c>
    </row>
    <row r="4" spans="1:102" x14ac:dyDescent="0.35">
      <c r="A4" t="s">
        <v>77</v>
      </c>
      <c r="B4" t="s">
        <v>78</v>
      </c>
      <c r="C4" t="s">
        <v>79</v>
      </c>
      <c r="D4" t="s">
        <v>80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>
        <v>48</v>
      </c>
      <c r="O4" t="s">
        <v>89</v>
      </c>
      <c r="P4">
        <v>1395</v>
      </c>
      <c r="Q4">
        <v>0.98260000000000003</v>
      </c>
      <c r="R4">
        <v>150</v>
      </c>
      <c r="S4">
        <v>0.79169999999999996</v>
      </c>
      <c r="T4" t="s">
        <v>90</v>
      </c>
      <c r="U4" t="s">
        <v>91</v>
      </c>
      <c r="V4" t="s">
        <v>92</v>
      </c>
      <c r="W4" t="s">
        <v>93</v>
      </c>
      <c r="X4" t="s">
        <v>94</v>
      </c>
      <c r="Y4" t="s">
        <v>95</v>
      </c>
      <c r="Z4" t="s">
        <v>96</v>
      </c>
      <c r="AA4" t="s">
        <v>97</v>
      </c>
      <c r="AB4">
        <v>2316</v>
      </c>
      <c r="AC4">
        <v>9</v>
      </c>
      <c r="AD4" t="s">
        <v>98</v>
      </c>
      <c r="AE4">
        <v>2</v>
      </c>
      <c r="AF4" t="s">
        <v>116</v>
      </c>
      <c r="AG4" t="s">
        <v>117</v>
      </c>
      <c r="AH4" t="s">
        <v>80</v>
      </c>
      <c r="AI4" t="s">
        <v>80</v>
      </c>
      <c r="AJ4" t="s">
        <v>81</v>
      </c>
      <c r="AK4" t="s">
        <v>101</v>
      </c>
      <c r="AL4" t="s">
        <v>118</v>
      </c>
      <c r="AM4" t="s">
        <v>103</v>
      </c>
      <c r="AN4" t="s">
        <v>119</v>
      </c>
      <c r="AO4" t="s">
        <v>120</v>
      </c>
      <c r="AP4" t="s">
        <v>121</v>
      </c>
      <c r="AQ4">
        <v>33</v>
      </c>
      <c r="AR4" t="s">
        <v>89</v>
      </c>
      <c r="AS4">
        <v>1359</v>
      </c>
      <c r="AT4">
        <v>0.98570000000000002</v>
      </c>
      <c r="AU4">
        <v>190</v>
      </c>
      <c r="AV4">
        <v>1</v>
      </c>
      <c r="AW4" t="s">
        <v>122</v>
      </c>
      <c r="AX4" t="s">
        <v>123</v>
      </c>
      <c r="AY4" t="s">
        <v>124</v>
      </c>
      <c r="AZ4" t="s">
        <v>125</v>
      </c>
      <c r="BA4" t="s">
        <v>126</v>
      </c>
      <c r="BB4" t="s">
        <v>112</v>
      </c>
      <c r="BC4" t="s">
        <v>127</v>
      </c>
      <c r="BD4" t="s">
        <v>114</v>
      </c>
      <c r="BE4">
        <v>20442</v>
      </c>
      <c r="BF4" t="s">
        <v>128</v>
      </c>
      <c r="BG4">
        <v>21</v>
      </c>
      <c r="BH4" t="s">
        <v>89</v>
      </c>
      <c r="BI4">
        <v>2</v>
      </c>
      <c r="BJ4">
        <v>12132</v>
      </c>
      <c r="BK4">
        <v>15</v>
      </c>
      <c r="BL4">
        <v>74</v>
      </c>
      <c r="BM4">
        <v>22</v>
      </c>
      <c r="BN4">
        <v>20</v>
      </c>
      <c r="BO4">
        <v>57</v>
      </c>
      <c r="BP4">
        <v>54</v>
      </c>
      <c r="BQ4">
        <v>0</v>
      </c>
      <c r="BR4">
        <f t="shared" si="0"/>
        <v>12133</v>
      </c>
      <c r="BS4">
        <f t="shared" si="1"/>
        <v>16</v>
      </c>
      <c r="BT4">
        <f t="shared" si="2"/>
        <v>75</v>
      </c>
      <c r="BU4">
        <f t="shared" si="3"/>
        <v>23</v>
      </c>
      <c r="BV4">
        <f t="shared" si="4"/>
        <v>21</v>
      </c>
      <c r="BW4">
        <f t="shared" si="5"/>
        <v>58</v>
      </c>
      <c r="BX4">
        <f t="shared" si="6"/>
        <v>55</v>
      </c>
      <c r="BY4">
        <f t="shared" si="7"/>
        <v>1</v>
      </c>
      <c r="BZ4">
        <f t="shared" si="8"/>
        <v>46.650994582261269</v>
      </c>
      <c r="CA4">
        <v>46.650994582261269</v>
      </c>
      <c r="CB4">
        <v>46.650994582261269</v>
      </c>
      <c r="CC4">
        <v>46.650994582261269</v>
      </c>
      <c r="CD4">
        <v>46.650994582261269</v>
      </c>
      <c r="CE4">
        <v>46.650994582261269</v>
      </c>
      <c r="CF4">
        <v>46.650994582261269</v>
      </c>
      <c r="CG4">
        <v>46.650994582261269</v>
      </c>
      <c r="CH4">
        <f t="shared" si="9"/>
        <v>2.4151072904165738</v>
      </c>
      <c r="CI4">
        <f t="shared" si="10"/>
        <v>-0.46474092452591692</v>
      </c>
      <c r="CJ4">
        <f t="shared" si="11"/>
        <v>0.20620035620985833</v>
      </c>
      <c r="CK4">
        <f t="shared" si="12"/>
        <v>-0.30713307116424882</v>
      </c>
      <c r="CL4">
        <f t="shared" si="13"/>
        <v>-0.34664161244792241</v>
      </c>
      <c r="CM4">
        <f t="shared" si="14"/>
        <v>9.4567086381095566E-2</v>
      </c>
      <c r="CN4">
        <f t="shared" si="15"/>
        <v>7.1501782312402118E-2</v>
      </c>
      <c r="CO4">
        <f t="shared" si="16"/>
        <v>-1.6688609071818417</v>
      </c>
      <c r="CP4">
        <v>2</v>
      </c>
      <c r="CQ4">
        <v>2.5364156420322801</v>
      </c>
      <c r="CR4">
        <v>0.53042697382047899</v>
      </c>
      <c r="CS4">
        <v>1.0517517375610701</v>
      </c>
      <c r="CT4">
        <v>-0.83551780042639101</v>
      </c>
      <c r="CU4">
        <v>-0.96888356176369494</v>
      </c>
      <c r="CV4">
        <v>-1.22220378961336</v>
      </c>
      <c r="CW4">
        <v>1.3119040273765601</v>
      </c>
      <c r="CX4">
        <v>-3.48945987673619</v>
      </c>
    </row>
    <row r="5" spans="1:102" x14ac:dyDescent="0.35">
      <c r="A5" t="s">
        <v>221</v>
      </c>
      <c r="B5" t="s">
        <v>78</v>
      </c>
      <c r="C5" t="s">
        <v>222</v>
      </c>
      <c r="D5" t="s">
        <v>80</v>
      </c>
      <c r="E5" t="s">
        <v>80</v>
      </c>
      <c r="F5" t="s">
        <v>81</v>
      </c>
      <c r="G5" t="s">
        <v>82</v>
      </c>
      <c r="H5" t="s">
        <v>223</v>
      </c>
      <c r="I5" t="s">
        <v>224</v>
      </c>
      <c r="J5" t="s">
        <v>162</v>
      </c>
      <c r="K5" t="s">
        <v>225</v>
      </c>
      <c r="L5" t="s">
        <v>226</v>
      </c>
      <c r="M5" t="s">
        <v>227</v>
      </c>
      <c r="N5">
        <v>72</v>
      </c>
      <c r="O5" t="s">
        <v>89</v>
      </c>
      <c r="P5">
        <v>1440</v>
      </c>
      <c r="Q5">
        <v>1</v>
      </c>
      <c r="R5">
        <v>283</v>
      </c>
      <c r="S5">
        <v>0.9516</v>
      </c>
      <c r="T5" t="s">
        <v>228</v>
      </c>
      <c r="U5" t="s">
        <v>229</v>
      </c>
      <c r="V5" t="s">
        <v>230</v>
      </c>
      <c r="W5" t="s">
        <v>231</v>
      </c>
      <c r="X5" t="s">
        <v>232</v>
      </c>
      <c r="Y5" t="s">
        <v>233</v>
      </c>
      <c r="Z5" t="s">
        <v>234</v>
      </c>
      <c r="AA5" t="s">
        <v>173</v>
      </c>
      <c r="AB5">
        <v>16314</v>
      </c>
      <c r="AC5">
        <v>30</v>
      </c>
      <c r="AD5" t="s">
        <v>235</v>
      </c>
      <c r="AE5">
        <v>3</v>
      </c>
      <c r="AF5" t="s">
        <v>99</v>
      </c>
      <c r="AG5" t="s">
        <v>236</v>
      </c>
      <c r="AH5" t="s">
        <v>80</v>
      </c>
      <c r="AI5" t="s">
        <v>80</v>
      </c>
      <c r="AJ5" t="s">
        <v>81</v>
      </c>
      <c r="AK5" t="s">
        <v>101</v>
      </c>
      <c r="AL5" t="s">
        <v>237</v>
      </c>
      <c r="AM5" t="s">
        <v>146</v>
      </c>
      <c r="AN5" t="s">
        <v>238</v>
      </c>
      <c r="AO5" t="s">
        <v>239</v>
      </c>
      <c r="AP5" t="s">
        <v>240</v>
      </c>
      <c r="AQ5">
        <v>33</v>
      </c>
      <c r="AR5" t="s">
        <v>89</v>
      </c>
      <c r="AS5">
        <v>1485</v>
      </c>
      <c r="AT5">
        <v>1</v>
      </c>
      <c r="AU5">
        <v>175</v>
      </c>
      <c r="AV5">
        <v>1</v>
      </c>
      <c r="AW5" t="s">
        <v>241</v>
      </c>
      <c r="AX5" t="s">
        <v>242</v>
      </c>
      <c r="AY5" t="s">
        <v>243</v>
      </c>
      <c r="AZ5" t="s">
        <v>153</v>
      </c>
      <c r="BA5" t="s">
        <v>244</v>
      </c>
      <c r="BB5" t="s">
        <v>245</v>
      </c>
      <c r="BC5" t="s">
        <v>246</v>
      </c>
      <c r="BD5" t="s">
        <v>114</v>
      </c>
      <c r="BE5">
        <v>36060</v>
      </c>
      <c r="BF5" t="s">
        <v>247</v>
      </c>
      <c r="BG5">
        <v>32</v>
      </c>
      <c r="BH5" t="s">
        <v>89</v>
      </c>
      <c r="BI5">
        <v>1</v>
      </c>
      <c r="BJ5">
        <v>365</v>
      </c>
      <c r="BK5">
        <v>0</v>
      </c>
      <c r="BL5">
        <v>431</v>
      </c>
      <c r="BM5">
        <v>235</v>
      </c>
      <c r="BN5">
        <v>26</v>
      </c>
      <c r="BO5">
        <v>5215</v>
      </c>
      <c r="BP5">
        <v>0</v>
      </c>
      <c r="BQ5">
        <v>1310</v>
      </c>
      <c r="BR5">
        <f t="shared" si="0"/>
        <v>366</v>
      </c>
      <c r="BS5">
        <f t="shared" si="1"/>
        <v>1</v>
      </c>
      <c r="BT5">
        <f t="shared" si="2"/>
        <v>432</v>
      </c>
      <c r="BU5">
        <f t="shared" si="3"/>
        <v>236</v>
      </c>
      <c r="BV5">
        <f t="shared" si="4"/>
        <v>27</v>
      </c>
      <c r="BW5">
        <f t="shared" si="5"/>
        <v>5216</v>
      </c>
      <c r="BX5">
        <f t="shared" si="6"/>
        <v>1</v>
      </c>
      <c r="BY5">
        <f t="shared" si="7"/>
        <v>1311</v>
      </c>
      <c r="BZ5">
        <f t="shared" si="8"/>
        <v>95.449269555819868</v>
      </c>
      <c r="CA5">
        <v>95.449269555819868</v>
      </c>
      <c r="CB5">
        <v>95.449269555819868</v>
      </c>
      <c r="CC5">
        <v>95.449269555819868</v>
      </c>
      <c r="CD5">
        <v>95.449269555819868</v>
      </c>
      <c r="CE5">
        <v>95.449269555819868</v>
      </c>
      <c r="CF5">
        <v>95.449269555819868</v>
      </c>
      <c r="CG5">
        <v>95.449269555819868</v>
      </c>
      <c r="CH5">
        <f t="shared" si="9"/>
        <v>0.58370847617536514</v>
      </c>
      <c r="CI5">
        <f t="shared" si="10"/>
        <v>-1.9797726092190455</v>
      </c>
      <c r="CJ5">
        <f t="shared" si="11"/>
        <v>0.65571113759586652</v>
      </c>
      <c r="CK5">
        <f t="shared" si="12"/>
        <v>0.39313939375106105</v>
      </c>
      <c r="CL5">
        <f t="shared" si="13"/>
        <v>-0.54840884506005827</v>
      </c>
      <c r="CM5">
        <f t="shared" si="14"/>
        <v>1.7375649735048182</v>
      </c>
      <c r="CN5">
        <f t="shared" si="15"/>
        <v>-1.9797726092190455</v>
      </c>
      <c r="CO5">
        <f t="shared" si="16"/>
        <v>1.1378300824710388</v>
      </c>
      <c r="CP5">
        <v>3</v>
      </c>
      <c r="CQ5">
        <v>-6.2814819513418899E-2</v>
      </c>
      <c r="CR5">
        <v>-2.8101924918208301</v>
      </c>
      <c r="CS5">
        <v>2.18736475104844</v>
      </c>
      <c r="CT5">
        <v>0.73336270285289396</v>
      </c>
      <c r="CU5">
        <v>-1.4763954404179001</v>
      </c>
      <c r="CV5">
        <v>2.0450459610397398</v>
      </c>
      <c r="CW5">
        <v>-2.83505630539632</v>
      </c>
      <c r="CX5">
        <v>1.9761383321472401</v>
      </c>
    </row>
    <row r="6" spans="1:102" x14ac:dyDescent="0.35">
      <c r="A6" t="s">
        <v>191</v>
      </c>
      <c r="B6" t="s">
        <v>99</v>
      </c>
      <c r="C6" t="s">
        <v>192</v>
      </c>
      <c r="D6" t="s">
        <v>80</v>
      </c>
      <c r="E6" t="s">
        <v>80</v>
      </c>
      <c r="F6" t="s">
        <v>81</v>
      </c>
      <c r="G6" t="s">
        <v>82</v>
      </c>
      <c r="H6" t="s">
        <v>193</v>
      </c>
      <c r="I6" t="s">
        <v>194</v>
      </c>
      <c r="J6" t="s">
        <v>195</v>
      </c>
      <c r="K6" t="s">
        <v>196</v>
      </c>
      <c r="L6" t="s">
        <v>197</v>
      </c>
      <c r="M6" t="s">
        <v>198</v>
      </c>
      <c r="N6">
        <v>66</v>
      </c>
      <c r="O6" t="s">
        <v>89</v>
      </c>
      <c r="P6">
        <v>1386</v>
      </c>
      <c r="Q6">
        <v>0.97919999999999996</v>
      </c>
      <c r="R6">
        <v>250</v>
      </c>
      <c r="S6">
        <v>1</v>
      </c>
      <c r="T6" t="s">
        <v>199</v>
      </c>
      <c r="U6" t="s">
        <v>200</v>
      </c>
      <c r="V6" t="s">
        <v>201</v>
      </c>
      <c r="W6" t="s">
        <v>202</v>
      </c>
      <c r="X6" t="s">
        <v>203</v>
      </c>
      <c r="Y6" t="s">
        <v>204</v>
      </c>
      <c r="Z6" t="s">
        <v>205</v>
      </c>
      <c r="AA6" t="s">
        <v>173</v>
      </c>
      <c r="AB6">
        <v>15574</v>
      </c>
      <c r="AC6">
        <v>20</v>
      </c>
      <c r="AD6" t="s">
        <v>206</v>
      </c>
      <c r="AE6">
        <v>4</v>
      </c>
      <c r="AF6" t="s">
        <v>78</v>
      </c>
      <c r="AG6" t="s">
        <v>207</v>
      </c>
      <c r="AH6" t="s">
        <v>80</v>
      </c>
      <c r="AI6" t="s">
        <v>80</v>
      </c>
      <c r="AJ6" t="s">
        <v>81</v>
      </c>
      <c r="AK6" t="s">
        <v>176</v>
      </c>
      <c r="AL6" t="s">
        <v>208</v>
      </c>
      <c r="AM6" t="s">
        <v>209</v>
      </c>
      <c r="AN6" t="s">
        <v>210</v>
      </c>
      <c r="AO6" t="s">
        <v>211</v>
      </c>
      <c r="AP6" t="s">
        <v>212</v>
      </c>
      <c r="AQ6">
        <v>60</v>
      </c>
      <c r="AR6" t="s">
        <v>89</v>
      </c>
      <c r="AS6">
        <v>1413</v>
      </c>
      <c r="AT6">
        <v>0.98960000000000004</v>
      </c>
      <c r="AU6">
        <v>190</v>
      </c>
      <c r="AV6">
        <v>1</v>
      </c>
      <c r="AW6" t="s">
        <v>182</v>
      </c>
      <c r="AX6" t="s">
        <v>213</v>
      </c>
      <c r="AY6" t="s">
        <v>214</v>
      </c>
      <c r="AZ6" t="s">
        <v>215</v>
      </c>
      <c r="BA6" t="s">
        <v>216</v>
      </c>
      <c r="BB6" t="s">
        <v>217</v>
      </c>
      <c r="BC6" t="s">
        <v>218</v>
      </c>
      <c r="BD6" t="s">
        <v>219</v>
      </c>
      <c r="BE6">
        <v>25272</v>
      </c>
      <c r="BF6" t="s">
        <v>220</v>
      </c>
      <c r="BG6">
        <v>31</v>
      </c>
      <c r="BH6" t="s">
        <v>89</v>
      </c>
      <c r="BI6">
        <v>1</v>
      </c>
      <c r="BJ6">
        <v>21</v>
      </c>
      <c r="BK6">
        <v>0</v>
      </c>
      <c r="BL6">
        <v>4</v>
      </c>
      <c r="BM6">
        <v>16</v>
      </c>
      <c r="BN6">
        <v>15</v>
      </c>
      <c r="BO6">
        <v>33</v>
      </c>
      <c r="BP6">
        <v>7</v>
      </c>
      <c r="BQ6">
        <v>17</v>
      </c>
      <c r="BR6">
        <f t="shared" si="0"/>
        <v>22</v>
      </c>
      <c r="BS6">
        <f t="shared" si="1"/>
        <v>1</v>
      </c>
      <c r="BT6">
        <f t="shared" si="2"/>
        <v>5</v>
      </c>
      <c r="BU6">
        <f t="shared" si="3"/>
        <v>17</v>
      </c>
      <c r="BV6">
        <f t="shared" si="4"/>
        <v>16</v>
      </c>
      <c r="BW6">
        <f t="shared" si="5"/>
        <v>34</v>
      </c>
      <c r="BX6">
        <f t="shared" si="6"/>
        <v>8</v>
      </c>
      <c r="BY6">
        <f t="shared" si="7"/>
        <v>18</v>
      </c>
      <c r="BZ6">
        <f t="shared" si="8"/>
        <v>10.48878962481999</v>
      </c>
      <c r="CA6">
        <v>10.48878962481999</v>
      </c>
      <c r="CB6">
        <v>10.48878962481999</v>
      </c>
      <c r="CC6">
        <v>10.48878962481999</v>
      </c>
      <c r="CD6">
        <v>10.48878962481999</v>
      </c>
      <c r="CE6">
        <v>10.48878962481999</v>
      </c>
      <c r="CF6">
        <v>10.48878962481999</v>
      </c>
      <c r="CG6">
        <v>10.48878962481999</v>
      </c>
      <c r="CH6">
        <f t="shared" si="9"/>
        <v>0.32169730603096514</v>
      </c>
      <c r="CI6">
        <f t="shared" si="10"/>
        <v>-1.020725374791241</v>
      </c>
      <c r="CJ6">
        <f t="shared" si="11"/>
        <v>-0.32175537045522223</v>
      </c>
      <c r="CK6">
        <f t="shared" si="12"/>
        <v>0.20972354658703288</v>
      </c>
      <c r="CL6">
        <f t="shared" si="13"/>
        <v>0.18339460786468373</v>
      </c>
      <c r="CM6">
        <f t="shared" si="14"/>
        <v>0.5107535422510141</v>
      </c>
      <c r="CN6">
        <f t="shared" si="15"/>
        <v>-0.11763538779929747</v>
      </c>
      <c r="CO6">
        <f t="shared" si="16"/>
        <v>0.23454713031206503</v>
      </c>
      <c r="CP6">
        <v>4</v>
      </c>
      <c r="CQ6">
        <v>-0.43467670421531601</v>
      </c>
      <c r="CR6">
        <v>-2.8101924918208301</v>
      </c>
      <c r="CS6">
        <v>-0.28203917151878299</v>
      </c>
      <c r="CT6">
        <v>0.32244043898393299</v>
      </c>
      <c r="CU6">
        <v>0.364334297464878</v>
      </c>
      <c r="CV6">
        <v>-0.39457941783363498</v>
      </c>
      <c r="CW6">
        <v>0.92953473288127397</v>
      </c>
      <c r="CX6">
        <v>0.217133973051193</v>
      </c>
    </row>
    <row r="7" spans="1:102" x14ac:dyDescent="0.35">
      <c r="A7" t="s">
        <v>129</v>
      </c>
      <c r="B7" t="s">
        <v>78</v>
      </c>
      <c r="C7" t="s">
        <v>130</v>
      </c>
      <c r="D7" t="s">
        <v>80</v>
      </c>
      <c r="E7" t="s">
        <v>80</v>
      </c>
      <c r="F7" t="s">
        <v>81</v>
      </c>
      <c r="G7" t="s">
        <v>82</v>
      </c>
      <c r="H7" t="s">
        <v>131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>
        <v>39</v>
      </c>
      <c r="O7" t="s">
        <v>89</v>
      </c>
      <c r="P7">
        <v>1287</v>
      </c>
      <c r="Q7">
        <v>0.94099999999999995</v>
      </c>
      <c r="R7">
        <v>165</v>
      </c>
      <c r="S7">
        <v>0.80389999999999995</v>
      </c>
      <c r="T7" t="s">
        <v>137</v>
      </c>
      <c r="U7" t="s">
        <v>138</v>
      </c>
      <c r="V7" t="s">
        <v>139</v>
      </c>
      <c r="W7" t="s">
        <v>93</v>
      </c>
      <c r="X7" t="s">
        <v>140</v>
      </c>
      <c r="Y7" t="s">
        <v>141</v>
      </c>
      <c r="Z7" t="s">
        <v>142</v>
      </c>
      <c r="AA7" t="s">
        <v>97</v>
      </c>
      <c r="AB7">
        <v>2800</v>
      </c>
      <c r="AC7">
        <v>1</v>
      </c>
      <c r="AD7" t="s">
        <v>143</v>
      </c>
      <c r="AE7">
        <v>5</v>
      </c>
      <c r="AF7" t="s">
        <v>99</v>
      </c>
      <c r="AG7" t="s">
        <v>144</v>
      </c>
      <c r="AH7" t="s">
        <v>80</v>
      </c>
      <c r="AI7" t="s">
        <v>80</v>
      </c>
      <c r="AJ7" t="s">
        <v>81</v>
      </c>
      <c r="AK7" t="s">
        <v>101</v>
      </c>
      <c r="AL7" t="s">
        <v>145</v>
      </c>
      <c r="AM7" t="s">
        <v>146</v>
      </c>
      <c r="AN7" t="s">
        <v>147</v>
      </c>
      <c r="AO7" t="s">
        <v>148</v>
      </c>
      <c r="AP7" t="s">
        <v>149</v>
      </c>
      <c r="AQ7">
        <v>33</v>
      </c>
      <c r="AR7" t="s">
        <v>89</v>
      </c>
      <c r="AS7">
        <v>1287</v>
      </c>
      <c r="AT7">
        <v>0.95699999999999996</v>
      </c>
      <c r="AU7">
        <v>190</v>
      </c>
      <c r="AV7">
        <v>1</v>
      </c>
      <c r="AW7" t="s">
        <v>150</v>
      </c>
      <c r="AX7" t="s">
        <v>151</v>
      </c>
      <c r="AY7" t="s">
        <v>152</v>
      </c>
      <c r="AZ7" t="s">
        <v>153</v>
      </c>
      <c r="BA7" t="s">
        <v>154</v>
      </c>
      <c r="BB7" t="s">
        <v>155</v>
      </c>
      <c r="BC7" t="s">
        <v>156</v>
      </c>
      <c r="BD7" t="s">
        <v>114</v>
      </c>
      <c r="BE7">
        <v>49866</v>
      </c>
      <c r="BF7" t="s">
        <v>157</v>
      </c>
      <c r="BG7">
        <v>35</v>
      </c>
      <c r="BH7" t="s">
        <v>89</v>
      </c>
      <c r="BI7">
        <v>1</v>
      </c>
      <c r="BJ7">
        <v>155</v>
      </c>
      <c r="BK7">
        <v>612</v>
      </c>
      <c r="BL7">
        <v>0</v>
      </c>
      <c r="BM7">
        <v>5</v>
      </c>
      <c r="BN7">
        <v>6</v>
      </c>
      <c r="BO7">
        <v>12</v>
      </c>
      <c r="BP7">
        <v>0</v>
      </c>
      <c r="BQ7">
        <v>0</v>
      </c>
      <c r="BR7">
        <f t="shared" si="0"/>
        <v>156</v>
      </c>
      <c r="BS7">
        <f t="shared" si="1"/>
        <v>613</v>
      </c>
      <c r="BT7">
        <f t="shared" si="2"/>
        <v>1</v>
      </c>
      <c r="BU7">
        <f t="shared" si="3"/>
        <v>6</v>
      </c>
      <c r="BV7">
        <f t="shared" si="4"/>
        <v>7</v>
      </c>
      <c r="BW7">
        <f t="shared" si="5"/>
        <v>13</v>
      </c>
      <c r="BX7">
        <f t="shared" si="6"/>
        <v>1</v>
      </c>
      <c r="BY7">
        <f t="shared" si="7"/>
        <v>1</v>
      </c>
      <c r="BZ7">
        <f t="shared" si="8"/>
        <v>9.2198151620387794</v>
      </c>
      <c r="CA7">
        <v>9.2198151620387794</v>
      </c>
      <c r="CB7">
        <v>9.2198151620387794</v>
      </c>
      <c r="CC7">
        <v>9.2198151620387794</v>
      </c>
      <c r="CD7">
        <v>9.2198151620387794</v>
      </c>
      <c r="CE7">
        <v>9.2198151620387794</v>
      </c>
      <c r="CF7">
        <v>9.2198151620387794</v>
      </c>
      <c r="CG7">
        <v>9.2198151620387794</v>
      </c>
      <c r="CH7">
        <f t="shared" si="9"/>
        <v>1.22840238390726</v>
      </c>
      <c r="CI7">
        <f t="shared" si="10"/>
        <v>1.8227382600712132</v>
      </c>
      <c r="CJ7">
        <f t="shared" si="11"/>
        <v>-0.96472221444720174</v>
      </c>
      <c r="CK7">
        <f t="shared" si="12"/>
        <v>-0.18657096406355808</v>
      </c>
      <c r="CL7">
        <f t="shared" si="13"/>
        <v>-0.11962417443294492</v>
      </c>
      <c r="CM7">
        <f t="shared" si="14"/>
        <v>0.14922113785963509</v>
      </c>
      <c r="CN7">
        <f t="shared" si="15"/>
        <v>-0.96472221444720174</v>
      </c>
      <c r="CO7">
        <f t="shared" si="16"/>
        <v>-0.96472221444720174</v>
      </c>
      <c r="CP7">
        <v>5</v>
      </c>
      <c r="CQ7">
        <v>0.85217323787699395</v>
      </c>
      <c r="CR7">
        <v>4.4161469283733297</v>
      </c>
      <c r="CS7">
        <v>-1.90638622950665</v>
      </c>
      <c r="CT7">
        <v>-0.56541216477581902</v>
      </c>
      <c r="CU7">
        <v>-0.39785899567012201</v>
      </c>
      <c r="CV7">
        <v>-1.1135192700136101</v>
      </c>
      <c r="CW7">
        <v>-2.83505630539632</v>
      </c>
      <c r="CX7">
        <v>-3.48945987673619</v>
      </c>
    </row>
    <row r="8" spans="1:102" x14ac:dyDescent="0.35">
      <c r="A8" t="s">
        <v>466</v>
      </c>
      <c r="B8" t="s">
        <v>78</v>
      </c>
      <c r="C8" t="s">
        <v>467</v>
      </c>
      <c r="D8" t="s">
        <v>80</v>
      </c>
      <c r="E8" t="s">
        <v>80</v>
      </c>
      <c r="F8" t="s">
        <v>81</v>
      </c>
      <c r="G8" t="s">
        <v>82</v>
      </c>
      <c r="H8" t="s">
        <v>193</v>
      </c>
      <c r="I8" t="s">
        <v>468</v>
      </c>
      <c r="J8" t="s">
        <v>162</v>
      </c>
      <c r="K8" t="s">
        <v>469</v>
      </c>
      <c r="L8" t="s">
        <v>470</v>
      </c>
      <c r="M8" t="s">
        <v>471</v>
      </c>
      <c r="N8">
        <v>60</v>
      </c>
      <c r="O8" t="s">
        <v>89</v>
      </c>
      <c r="P8">
        <v>1440</v>
      </c>
      <c r="Q8">
        <v>1</v>
      </c>
      <c r="R8">
        <v>256</v>
      </c>
      <c r="S8">
        <v>0.9032</v>
      </c>
      <c r="T8" t="s">
        <v>199</v>
      </c>
      <c r="U8" t="s">
        <v>322</v>
      </c>
      <c r="V8" t="s">
        <v>472</v>
      </c>
      <c r="W8" t="s">
        <v>231</v>
      </c>
      <c r="X8" t="s">
        <v>473</v>
      </c>
      <c r="Y8" t="s">
        <v>324</v>
      </c>
      <c r="Z8" t="s">
        <v>474</v>
      </c>
      <c r="AA8" t="s">
        <v>173</v>
      </c>
      <c r="AB8">
        <v>19208</v>
      </c>
      <c r="AC8">
        <v>26</v>
      </c>
      <c r="AD8" t="s">
        <v>475</v>
      </c>
      <c r="AE8">
        <v>6</v>
      </c>
      <c r="AF8" t="s">
        <v>99</v>
      </c>
      <c r="AG8" t="s">
        <v>476</v>
      </c>
      <c r="AH8" t="s">
        <v>80</v>
      </c>
      <c r="AI8" t="s">
        <v>80</v>
      </c>
      <c r="AJ8" t="s">
        <v>81</v>
      </c>
      <c r="AK8" t="s">
        <v>176</v>
      </c>
      <c r="AL8" t="s">
        <v>477</v>
      </c>
      <c r="AM8" t="s">
        <v>178</v>
      </c>
      <c r="AN8" t="s">
        <v>478</v>
      </c>
      <c r="AO8" t="s">
        <v>479</v>
      </c>
      <c r="AP8" t="s">
        <v>480</v>
      </c>
      <c r="AQ8">
        <v>39</v>
      </c>
      <c r="AR8" t="s">
        <v>89</v>
      </c>
      <c r="AS8">
        <v>1395</v>
      </c>
      <c r="AT8">
        <v>1</v>
      </c>
      <c r="AU8">
        <v>185</v>
      </c>
      <c r="AV8">
        <v>1</v>
      </c>
      <c r="AW8" t="s">
        <v>481</v>
      </c>
      <c r="AX8" t="s">
        <v>482</v>
      </c>
      <c r="AY8" t="s">
        <v>483</v>
      </c>
      <c r="AZ8" t="s">
        <v>185</v>
      </c>
      <c r="BA8" t="s">
        <v>484</v>
      </c>
      <c r="BB8" t="s">
        <v>485</v>
      </c>
      <c r="BC8" t="s">
        <v>486</v>
      </c>
      <c r="BD8" t="s">
        <v>189</v>
      </c>
      <c r="BE8">
        <v>4884</v>
      </c>
      <c r="BF8" t="s">
        <v>487</v>
      </c>
      <c r="BG8">
        <v>7</v>
      </c>
      <c r="BH8" t="s">
        <v>89</v>
      </c>
      <c r="BI8">
        <v>1</v>
      </c>
      <c r="BJ8">
        <v>0</v>
      </c>
      <c r="BK8">
        <v>0</v>
      </c>
      <c r="BL8">
        <v>0</v>
      </c>
      <c r="BM8">
        <v>4</v>
      </c>
      <c r="BN8">
        <v>0</v>
      </c>
      <c r="BO8">
        <v>9</v>
      </c>
      <c r="BP8">
        <v>0</v>
      </c>
      <c r="BQ8">
        <v>0</v>
      </c>
      <c r="BR8">
        <f t="shared" si="0"/>
        <v>1</v>
      </c>
      <c r="BS8">
        <f t="shared" si="1"/>
        <v>1</v>
      </c>
      <c r="BT8">
        <f t="shared" si="2"/>
        <v>1</v>
      </c>
      <c r="BU8">
        <f t="shared" si="3"/>
        <v>5</v>
      </c>
      <c r="BV8">
        <f t="shared" si="4"/>
        <v>1</v>
      </c>
      <c r="BW8">
        <f t="shared" si="5"/>
        <v>10</v>
      </c>
      <c r="BX8">
        <f t="shared" si="6"/>
        <v>1</v>
      </c>
      <c r="BY8">
        <f t="shared" si="7"/>
        <v>1</v>
      </c>
      <c r="BZ8">
        <f t="shared" si="8"/>
        <v>1.6306894089533097</v>
      </c>
      <c r="CA8">
        <v>1.6306894089533097</v>
      </c>
      <c r="CB8">
        <v>1.6306894089533097</v>
      </c>
      <c r="CC8">
        <v>1.6306894089533097</v>
      </c>
      <c r="CD8">
        <v>1.6306894089533097</v>
      </c>
      <c r="CE8">
        <v>1.6306894089533097</v>
      </c>
      <c r="CF8">
        <v>1.6306894089533097</v>
      </c>
      <c r="CG8">
        <v>1.6306894089533097</v>
      </c>
      <c r="CH8">
        <f t="shared" si="9"/>
        <v>-0.2123712505420024</v>
      </c>
      <c r="CI8">
        <f t="shared" si="10"/>
        <v>-0.2123712505420024</v>
      </c>
      <c r="CJ8">
        <f t="shared" si="11"/>
        <v>-0.2123712505420024</v>
      </c>
      <c r="CK8">
        <f t="shared" si="12"/>
        <v>0.48659875379401646</v>
      </c>
      <c r="CL8">
        <f t="shared" si="13"/>
        <v>-0.2123712505420024</v>
      </c>
      <c r="CM8">
        <f t="shared" si="14"/>
        <v>0.78762874945799766</v>
      </c>
      <c r="CN8">
        <f t="shared" si="15"/>
        <v>-0.2123712505420024</v>
      </c>
      <c r="CO8">
        <f t="shared" si="16"/>
        <v>-0.2123712505420024</v>
      </c>
      <c r="CP8">
        <v>6</v>
      </c>
      <c r="CQ8">
        <v>-1.53996978270225</v>
      </c>
      <c r="CR8">
        <v>-2.8101924918208301</v>
      </c>
      <c r="CS8">
        <v>-1.90638622950665</v>
      </c>
      <c r="CT8">
        <v>0.94274772820596797</v>
      </c>
      <c r="CU8">
        <v>-1.52396762003097</v>
      </c>
      <c r="CV8">
        <v>0.15601194859392301</v>
      </c>
      <c r="CW8">
        <v>-2.83505630539632</v>
      </c>
      <c r="CX8">
        <v>-3.48945987673619</v>
      </c>
    </row>
    <row r="9" spans="1:102" x14ac:dyDescent="0.35">
      <c r="A9" t="s">
        <v>316</v>
      </c>
      <c r="B9" t="s">
        <v>78</v>
      </c>
      <c r="C9" t="s">
        <v>317</v>
      </c>
      <c r="D9" t="s">
        <v>80</v>
      </c>
      <c r="E9" t="s">
        <v>80</v>
      </c>
      <c r="F9" t="s">
        <v>81</v>
      </c>
      <c r="G9" t="s">
        <v>82</v>
      </c>
      <c r="H9" t="s">
        <v>193</v>
      </c>
      <c r="I9" t="s">
        <v>272</v>
      </c>
      <c r="J9" t="s">
        <v>85</v>
      </c>
      <c r="K9" t="s">
        <v>318</v>
      </c>
      <c r="L9" t="s">
        <v>319</v>
      </c>
      <c r="M9" t="s">
        <v>320</v>
      </c>
      <c r="N9">
        <v>60</v>
      </c>
      <c r="O9" t="s">
        <v>89</v>
      </c>
      <c r="P9">
        <v>1395</v>
      </c>
      <c r="Q9">
        <v>0.98260000000000003</v>
      </c>
      <c r="R9">
        <v>222</v>
      </c>
      <c r="S9">
        <v>0.95830000000000004</v>
      </c>
      <c r="T9" t="s">
        <v>321</v>
      </c>
      <c r="U9" t="s">
        <v>322</v>
      </c>
      <c r="V9" t="s">
        <v>323</v>
      </c>
      <c r="W9" t="s">
        <v>93</v>
      </c>
      <c r="X9" t="s">
        <v>203</v>
      </c>
      <c r="Y9" t="s">
        <v>324</v>
      </c>
      <c r="Z9" t="s">
        <v>325</v>
      </c>
      <c r="AA9" t="s">
        <v>97</v>
      </c>
      <c r="AB9">
        <v>2498</v>
      </c>
      <c r="AC9">
        <v>6</v>
      </c>
      <c r="AD9" t="s">
        <v>326</v>
      </c>
      <c r="AE9">
        <v>7</v>
      </c>
      <c r="AF9" t="s">
        <v>99</v>
      </c>
      <c r="AG9" t="s">
        <v>327</v>
      </c>
      <c r="AH9" t="s">
        <v>80</v>
      </c>
      <c r="AI9" t="s">
        <v>80</v>
      </c>
      <c r="AJ9" t="s">
        <v>81</v>
      </c>
      <c r="AK9" t="s">
        <v>101</v>
      </c>
      <c r="AL9" t="s">
        <v>328</v>
      </c>
      <c r="AM9" t="s">
        <v>146</v>
      </c>
      <c r="AN9" t="s">
        <v>329</v>
      </c>
      <c r="AO9" t="s">
        <v>330</v>
      </c>
      <c r="AP9" t="s">
        <v>331</v>
      </c>
      <c r="AQ9">
        <v>36</v>
      </c>
      <c r="AR9" t="s">
        <v>89</v>
      </c>
      <c r="AS9">
        <v>1350</v>
      </c>
      <c r="AT9">
        <v>0.98209999999999997</v>
      </c>
      <c r="AU9">
        <v>190</v>
      </c>
      <c r="AV9">
        <v>1</v>
      </c>
      <c r="AW9" t="s">
        <v>332</v>
      </c>
      <c r="AX9" t="s">
        <v>333</v>
      </c>
      <c r="AY9" t="s">
        <v>334</v>
      </c>
      <c r="AZ9" t="s">
        <v>153</v>
      </c>
      <c r="BA9" t="s">
        <v>335</v>
      </c>
      <c r="BB9" t="s">
        <v>336</v>
      </c>
      <c r="BC9" t="s">
        <v>337</v>
      </c>
      <c r="BD9" t="s">
        <v>114</v>
      </c>
      <c r="BE9">
        <v>47572</v>
      </c>
      <c r="BF9" t="s">
        <v>338</v>
      </c>
      <c r="BG9">
        <v>43</v>
      </c>
      <c r="BH9" t="s">
        <v>89</v>
      </c>
      <c r="BI9">
        <v>1</v>
      </c>
      <c r="BJ9">
        <v>23</v>
      </c>
      <c r="BK9">
        <v>0</v>
      </c>
      <c r="BL9">
        <v>0</v>
      </c>
      <c r="BM9">
        <v>11</v>
      </c>
      <c r="BN9">
        <v>8</v>
      </c>
      <c r="BO9">
        <v>21</v>
      </c>
      <c r="BP9">
        <v>0</v>
      </c>
      <c r="BQ9">
        <v>4</v>
      </c>
      <c r="BR9">
        <f t="shared" si="0"/>
        <v>24</v>
      </c>
      <c r="BS9">
        <f t="shared" si="1"/>
        <v>1</v>
      </c>
      <c r="BT9">
        <f t="shared" si="2"/>
        <v>1</v>
      </c>
      <c r="BU9">
        <f t="shared" si="3"/>
        <v>12</v>
      </c>
      <c r="BV9">
        <f t="shared" si="4"/>
        <v>9</v>
      </c>
      <c r="BW9">
        <f t="shared" si="5"/>
        <v>22</v>
      </c>
      <c r="BX9">
        <f t="shared" si="6"/>
        <v>1</v>
      </c>
      <c r="BY9">
        <f t="shared" si="7"/>
        <v>5</v>
      </c>
      <c r="BZ9">
        <f t="shared" si="8"/>
        <v>4.8070480173447914</v>
      </c>
      <c r="CA9">
        <v>4.8070480173447914</v>
      </c>
      <c r="CB9">
        <v>4.8070480173447914</v>
      </c>
      <c r="CC9">
        <v>4.8070480173447914</v>
      </c>
      <c r="CD9">
        <v>4.8070480173447914</v>
      </c>
      <c r="CE9">
        <v>4.8070480173447914</v>
      </c>
      <c r="CF9">
        <v>4.8070480173447914</v>
      </c>
      <c r="CG9">
        <v>4.8070480173447914</v>
      </c>
      <c r="CH9">
        <f t="shared" si="9"/>
        <v>0.69833278141700839</v>
      </c>
      <c r="CI9">
        <f t="shared" si="10"/>
        <v>-0.68187846029459764</v>
      </c>
      <c r="CJ9">
        <f t="shared" si="11"/>
        <v>-0.68187846029459764</v>
      </c>
      <c r="CK9">
        <f t="shared" si="12"/>
        <v>0.39730278575302724</v>
      </c>
      <c r="CL9">
        <f t="shared" si="13"/>
        <v>0.27236404914472728</v>
      </c>
      <c r="CM9">
        <f t="shared" si="14"/>
        <v>0.66054422052760864</v>
      </c>
      <c r="CN9">
        <f t="shared" si="15"/>
        <v>-0.68187846029459764</v>
      </c>
      <c r="CO9">
        <f t="shared" si="16"/>
        <v>1.709154404142121E-2</v>
      </c>
      <c r="CP9">
        <v>7</v>
      </c>
      <c r="CQ9">
        <v>9.9866833166929903E-2</v>
      </c>
      <c r="CR9">
        <v>-2.8101924918208301</v>
      </c>
      <c r="CS9">
        <v>-1.90638622950665</v>
      </c>
      <c r="CT9">
        <v>0.74269030727353003</v>
      </c>
      <c r="CU9">
        <v>0.58812211326770103</v>
      </c>
      <c r="CV9">
        <v>-9.6707119832007402E-2</v>
      </c>
      <c r="CW9">
        <v>-2.83505630539632</v>
      </c>
      <c r="CX9">
        <v>-0.20632727266988299</v>
      </c>
    </row>
    <row r="10" spans="1:102" x14ac:dyDescent="0.35">
      <c r="A10" t="s">
        <v>295</v>
      </c>
      <c r="B10" t="s">
        <v>78</v>
      </c>
      <c r="C10" t="s">
        <v>296</v>
      </c>
      <c r="D10" t="s">
        <v>80</v>
      </c>
      <c r="E10" t="s">
        <v>80</v>
      </c>
      <c r="F10" t="s">
        <v>81</v>
      </c>
      <c r="G10" t="s">
        <v>82</v>
      </c>
      <c r="H10" t="s">
        <v>297</v>
      </c>
      <c r="I10" t="s">
        <v>298</v>
      </c>
      <c r="J10" t="s">
        <v>85</v>
      </c>
      <c r="K10" t="s">
        <v>299</v>
      </c>
      <c r="L10" t="s">
        <v>300</v>
      </c>
      <c r="M10" t="s">
        <v>301</v>
      </c>
      <c r="N10">
        <v>51</v>
      </c>
      <c r="O10" t="s">
        <v>89</v>
      </c>
      <c r="P10">
        <v>1413</v>
      </c>
      <c r="Q10">
        <v>0.98960000000000004</v>
      </c>
      <c r="R10">
        <v>195</v>
      </c>
      <c r="S10">
        <v>0.89580000000000004</v>
      </c>
      <c r="T10" t="s">
        <v>302</v>
      </c>
      <c r="U10" t="s">
        <v>303</v>
      </c>
      <c r="V10" t="s">
        <v>304</v>
      </c>
      <c r="W10" t="s">
        <v>93</v>
      </c>
      <c r="X10" t="s">
        <v>305</v>
      </c>
      <c r="Y10" t="s">
        <v>306</v>
      </c>
      <c r="Z10" t="s">
        <v>307</v>
      </c>
      <c r="AB10">
        <v>62</v>
      </c>
      <c r="AC10">
        <v>1</v>
      </c>
      <c r="AD10" t="s">
        <v>308</v>
      </c>
      <c r="AE10">
        <v>8</v>
      </c>
      <c r="AF10" t="s">
        <v>99</v>
      </c>
      <c r="AG10" t="s">
        <v>309</v>
      </c>
      <c r="AH10" t="s">
        <v>80</v>
      </c>
      <c r="AI10" t="s">
        <v>80</v>
      </c>
      <c r="AJ10" t="s">
        <v>81</v>
      </c>
      <c r="AK10" t="s">
        <v>101</v>
      </c>
      <c r="AL10" t="s">
        <v>237</v>
      </c>
      <c r="AM10" t="s">
        <v>146</v>
      </c>
      <c r="AN10" t="s">
        <v>310</v>
      </c>
      <c r="AO10" t="s">
        <v>311</v>
      </c>
      <c r="AP10" t="s">
        <v>312</v>
      </c>
      <c r="AQ10">
        <v>36</v>
      </c>
      <c r="AR10" t="s">
        <v>89</v>
      </c>
      <c r="AS10">
        <v>1467</v>
      </c>
      <c r="AT10">
        <v>0.99329999999999996</v>
      </c>
      <c r="AU10">
        <v>190</v>
      </c>
      <c r="AV10">
        <v>1</v>
      </c>
      <c r="AW10" t="s">
        <v>313</v>
      </c>
      <c r="AX10" t="s">
        <v>242</v>
      </c>
      <c r="AY10" t="s">
        <v>243</v>
      </c>
      <c r="AZ10" t="s">
        <v>153</v>
      </c>
      <c r="BA10" t="s">
        <v>244</v>
      </c>
      <c r="BB10" t="s">
        <v>245</v>
      </c>
      <c r="BC10" t="s">
        <v>314</v>
      </c>
      <c r="BD10" t="s">
        <v>114</v>
      </c>
      <c r="BE10">
        <v>25992</v>
      </c>
      <c r="BF10" t="s">
        <v>315</v>
      </c>
      <c r="BG10">
        <v>27</v>
      </c>
      <c r="BH10" t="s">
        <v>89</v>
      </c>
      <c r="BI10">
        <v>1</v>
      </c>
      <c r="BJ10">
        <v>95</v>
      </c>
      <c r="BK10">
        <v>0</v>
      </c>
      <c r="BL10">
        <v>50</v>
      </c>
      <c r="BM10">
        <v>57</v>
      </c>
      <c r="BN10">
        <v>19</v>
      </c>
      <c r="BO10">
        <v>1975</v>
      </c>
      <c r="BP10">
        <v>0</v>
      </c>
      <c r="BQ10">
        <v>123</v>
      </c>
      <c r="BR10">
        <f t="shared" si="0"/>
        <v>96</v>
      </c>
      <c r="BS10">
        <f t="shared" si="1"/>
        <v>1</v>
      </c>
      <c r="BT10">
        <f t="shared" si="2"/>
        <v>51</v>
      </c>
      <c r="BU10">
        <f t="shared" si="3"/>
        <v>58</v>
      </c>
      <c r="BV10">
        <f t="shared" si="4"/>
        <v>20</v>
      </c>
      <c r="BW10">
        <f t="shared" si="5"/>
        <v>1976</v>
      </c>
      <c r="BX10">
        <f t="shared" si="6"/>
        <v>1</v>
      </c>
      <c r="BY10">
        <f t="shared" si="7"/>
        <v>124</v>
      </c>
      <c r="BZ10">
        <f t="shared" si="8"/>
        <v>32.95630420414583</v>
      </c>
      <c r="CA10">
        <v>32.95630420414583</v>
      </c>
      <c r="CB10">
        <v>32.95630420414583</v>
      </c>
      <c r="CC10">
        <v>32.95630420414583</v>
      </c>
      <c r="CD10">
        <v>32.95630420414583</v>
      </c>
      <c r="CE10">
        <v>32.95630420414583</v>
      </c>
      <c r="CF10">
        <v>32.95630420414583</v>
      </c>
      <c r="CG10">
        <v>32.95630420414583</v>
      </c>
      <c r="CH10">
        <f t="shared" si="9"/>
        <v>0.46433273006728498</v>
      </c>
      <c r="CI10">
        <f t="shared" si="10"/>
        <v>-1.5179385029722834</v>
      </c>
      <c r="CJ10">
        <f t="shared" si="11"/>
        <v>0.18963167312565293</v>
      </c>
      <c r="CK10">
        <f t="shared" si="12"/>
        <v>0.24548949059065384</v>
      </c>
      <c r="CL10">
        <f t="shared" si="13"/>
        <v>-0.21690850730830225</v>
      </c>
      <c r="CM10">
        <f t="shared" si="14"/>
        <v>1.777848437279326</v>
      </c>
      <c r="CN10">
        <f t="shared" si="15"/>
        <v>-1.5179385029722834</v>
      </c>
      <c r="CO10">
        <f t="shared" si="16"/>
        <v>0.57548318218995165</v>
      </c>
      <c r="CP10">
        <v>8</v>
      </c>
      <c r="CQ10">
        <v>-0.232240000550475</v>
      </c>
      <c r="CR10">
        <v>-2.8101924918208301</v>
      </c>
      <c r="CS10">
        <v>1.0098937601644999</v>
      </c>
      <c r="CT10">
        <v>0.40256995290883901</v>
      </c>
      <c r="CU10">
        <v>-0.64256153682111805</v>
      </c>
      <c r="CV10">
        <v>2.12515326854402</v>
      </c>
      <c r="CW10">
        <v>-2.83505630539632</v>
      </c>
      <c r="CX10">
        <v>0.88105439797763896</v>
      </c>
    </row>
    <row r="11" spans="1:102" x14ac:dyDescent="0.35">
      <c r="A11" t="s">
        <v>248</v>
      </c>
      <c r="B11" t="s">
        <v>78</v>
      </c>
      <c r="C11" t="s">
        <v>249</v>
      </c>
      <c r="D11" t="s">
        <v>80</v>
      </c>
      <c r="E11" t="s">
        <v>80</v>
      </c>
      <c r="F11" t="s">
        <v>81</v>
      </c>
      <c r="G11" t="s">
        <v>82</v>
      </c>
      <c r="H11" t="s">
        <v>83</v>
      </c>
      <c r="I11" t="s">
        <v>250</v>
      </c>
      <c r="J11" t="s">
        <v>162</v>
      </c>
      <c r="K11" t="s">
        <v>251</v>
      </c>
      <c r="L11" t="s">
        <v>252</v>
      </c>
      <c r="M11" t="s">
        <v>253</v>
      </c>
      <c r="N11">
        <v>45</v>
      </c>
      <c r="O11" t="s">
        <v>89</v>
      </c>
      <c r="P11">
        <v>1377</v>
      </c>
      <c r="Q11">
        <v>0.97570000000000001</v>
      </c>
      <c r="R11">
        <v>238</v>
      </c>
      <c r="S11">
        <v>0.871</v>
      </c>
      <c r="T11" t="s">
        <v>254</v>
      </c>
      <c r="U11" t="s">
        <v>91</v>
      </c>
      <c r="V11" t="s">
        <v>255</v>
      </c>
      <c r="W11" t="s">
        <v>231</v>
      </c>
      <c r="X11" t="s">
        <v>256</v>
      </c>
      <c r="Y11" t="s">
        <v>257</v>
      </c>
      <c r="Z11" t="s">
        <v>258</v>
      </c>
      <c r="AA11" t="s">
        <v>97</v>
      </c>
      <c r="AB11">
        <v>800</v>
      </c>
      <c r="AC11">
        <v>4</v>
      </c>
      <c r="AD11" t="s">
        <v>259</v>
      </c>
      <c r="AE11">
        <v>9</v>
      </c>
      <c r="AF11" t="s">
        <v>99</v>
      </c>
      <c r="AG11" t="s">
        <v>260</v>
      </c>
      <c r="AH11" t="s">
        <v>80</v>
      </c>
      <c r="AI11" t="s">
        <v>80</v>
      </c>
      <c r="AJ11" t="s">
        <v>81</v>
      </c>
      <c r="AK11" t="s">
        <v>176</v>
      </c>
      <c r="AL11" t="s">
        <v>177</v>
      </c>
      <c r="AM11" t="s">
        <v>261</v>
      </c>
      <c r="AN11" t="s">
        <v>262</v>
      </c>
      <c r="AO11" t="s">
        <v>263</v>
      </c>
      <c r="AP11" t="s">
        <v>264</v>
      </c>
      <c r="AQ11">
        <v>36</v>
      </c>
      <c r="AR11" t="s">
        <v>89</v>
      </c>
      <c r="AS11">
        <v>1422</v>
      </c>
      <c r="AT11">
        <v>0.99309999999999998</v>
      </c>
      <c r="AU11">
        <v>167</v>
      </c>
      <c r="AV11">
        <v>0.94589999999999996</v>
      </c>
      <c r="AW11" t="s">
        <v>182</v>
      </c>
      <c r="AX11" t="s">
        <v>213</v>
      </c>
      <c r="AY11" t="s">
        <v>265</v>
      </c>
      <c r="AZ11" t="s">
        <v>185</v>
      </c>
      <c r="BA11" t="s">
        <v>266</v>
      </c>
      <c r="BB11" t="s">
        <v>267</v>
      </c>
      <c r="BC11" t="s">
        <v>268</v>
      </c>
      <c r="BD11" t="s">
        <v>189</v>
      </c>
      <c r="BE11">
        <v>60926</v>
      </c>
      <c r="BF11" t="s">
        <v>269</v>
      </c>
      <c r="BG11">
        <v>65</v>
      </c>
      <c r="BH11" t="s">
        <v>89</v>
      </c>
      <c r="BI11">
        <v>1</v>
      </c>
      <c r="BJ11">
        <v>1425</v>
      </c>
      <c r="BK11">
        <v>0</v>
      </c>
      <c r="BL11">
        <v>7</v>
      </c>
      <c r="BM11">
        <v>7</v>
      </c>
      <c r="BN11">
        <v>7</v>
      </c>
      <c r="BO11">
        <v>11</v>
      </c>
      <c r="BP11">
        <v>6</v>
      </c>
      <c r="BQ11">
        <v>5</v>
      </c>
      <c r="BR11">
        <f t="shared" si="0"/>
        <v>1426</v>
      </c>
      <c r="BS11">
        <f t="shared" si="1"/>
        <v>1</v>
      </c>
      <c r="BT11">
        <f t="shared" si="2"/>
        <v>8</v>
      </c>
      <c r="BU11">
        <f t="shared" si="3"/>
        <v>8</v>
      </c>
      <c r="BV11">
        <f t="shared" si="4"/>
        <v>8</v>
      </c>
      <c r="BW11">
        <f t="shared" si="5"/>
        <v>12</v>
      </c>
      <c r="BX11">
        <f t="shared" si="6"/>
        <v>7</v>
      </c>
      <c r="BY11">
        <f t="shared" si="7"/>
        <v>6</v>
      </c>
      <c r="BZ11">
        <f t="shared" si="8"/>
        <v>11.768673189589174</v>
      </c>
      <c r="CA11">
        <v>11.768673189589174</v>
      </c>
      <c r="CB11">
        <v>11.768673189589174</v>
      </c>
      <c r="CC11">
        <v>11.768673189589174</v>
      </c>
      <c r="CD11">
        <v>11.768673189589174</v>
      </c>
      <c r="CE11">
        <v>11.768673189589174</v>
      </c>
      <c r="CF11">
        <v>11.768673189589174</v>
      </c>
      <c r="CG11">
        <v>11.768673189589174</v>
      </c>
      <c r="CH11">
        <f t="shared" si="9"/>
        <v>2.0833920226486966</v>
      </c>
      <c r="CI11">
        <f t="shared" si="10"/>
        <v>-1.0707275028671503</v>
      </c>
      <c r="CJ11">
        <f t="shared" si="11"/>
        <v>-0.16763751587520673</v>
      </c>
      <c r="CK11">
        <f t="shared" si="12"/>
        <v>-0.16763751587520673</v>
      </c>
      <c r="CL11">
        <f t="shared" si="13"/>
        <v>-0.16763751587520673</v>
      </c>
      <c r="CM11">
        <f t="shared" si="14"/>
        <v>8.4537431804744771E-3</v>
      </c>
      <c r="CN11">
        <f t="shared" si="15"/>
        <v>-0.22562946285289348</v>
      </c>
      <c r="CO11">
        <f t="shared" si="16"/>
        <v>-0.29257625248350672</v>
      </c>
      <c r="CP11">
        <v>9</v>
      </c>
      <c r="CQ11">
        <v>2.0656255433178701</v>
      </c>
      <c r="CR11">
        <v>-2.8101924918208301</v>
      </c>
      <c r="CS11">
        <v>0.107313539293118</v>
      </c>
      <c r="CT11">
        <v>-0.52299393585667198</v>
      </c>
      <c r="CU11">
        <v>-0.518628561671308</v>
      </c>
      <c r="CV11">
        <v>-1.39344795328826</v>
      </c>
      <c r="CW11">
        <v>0.71120843422972901</v>
      </c>
      <c r="CX11">
        <v>-0.80935758853833895</v>
      </c>
    </row>
    <row r="12" spans="1:102" x14ac:dyDescent="0.35">
      <c r="A12" t="s">
        <v>443</v>
      </c>
      <c r="B12" t="s">
        <v>78</v>
      </c>
      <c r="C12" t="s">
        <v>444</v>
      </c>
      <c r="D12" t="s">
        <v>80</v>
      </c>
      <c r="E12" t="s">
        <v>80</v>
      </c>
      <c r="F12" t="s">
        <v>81</v>
      </c>
      <c r="G12" t="s">
        <v>82</v>
      </c>
      <c r="H12" t="s">
        <v>368</v>
      </c>
      <c r="I12" t="s">
        <v>445</v>
      </c>
      <c r="J12" t="s">
        <v>85</v>
      </c>
      <c r="K12" t="s">
        <v>446</v>
      </c>
      <c r="L12" t="s">
        <v>447</v>
      </c>
      <c r="M12" t="s">
        <v>448</v>
      </c>
      <c r="N12">
        <v>42</v>
      </c>
      <c r="O12" t="s">
        <v>89</v>
      </c>
      <c r="P12">
        <v>1233</v>
      </c>
      <c r="Q12">
        <v>0.92010000000000003</v>
      </c>
      <c r="R12">
        <v>222</v>
      </c>
      <c r="S12">
        <v>0.95830000000000004</v>
      </c>
      <c r="T12" t="s">
        <v>449</v>
      </c>
      <c r="U12" t="s">
        <v>450</v>
      </c>
      <c r="V12" t="s">
        <v>451</v>
      </c>
      <c r="W12" t="s">
        <v>93</v>
      </c>
      <c r="X12" t="s">
        <v>452</v>
      </c>
      <c r="Y12" t="s">
        <v>453</v>
      </c>
      <c r="Z12" t="s">
        <v>454</v>
      </c>
      <c r="AA12" t="s">
        <v>97</v>
      </c>
      <c r="AB12">
        <v>1282</v>
      </c>
      <c r="AC12">
        <v>9</v>
      </c>
      <c r="AD12" t="s">
        <v>455</v>
      </c>
      <c r="AE12">
        <v>10</v>
      </c>
      <c r="AF12" t="s">
        <v>99</v>
      </c>
      <c r="AG12" t="s">
        <v>456</v>
      </c>
      <c r="AH12" t="s">
        <v>80</v>
      </c>
      <c r="AI12" t="s">
        <v>80</v>
      </c>
      <c r="AJ12" t="s">
        <v>81</v>
      </c>
      <c r="AK12" t="s">
        <v>101</v>
      </c>
      <c r="AL12" t="s">
        <v>381</v>
      </c>
      <c r="AM12" t="s">
        <v>408</v>
      </c>
      <c r="AN12" t="s">
        <v>457</v>
      </c>
      <c r="AO12" t="s">
        <v>458</v>
      </c>
      <c r="AP12" t="s">
        <v>459</v>
      </c>
      <c r="AQ12">
        <v>39</v>
      </c>
      <c r="AR12" t="s">
        <v>89</v>
      </c>
      <c r="AS12">
        <v>1338</v>
      </c>
      <c r="AT12">
        <v>0.97160000000000002</v>
      </c>
      <c r="AU12">
        <v>186</v>
      </c>
      <c r="AV12">
        <v>0.97440000000000004</v>
      </c>
      <c r="AW12" t="s">
        <v>385</v>
      </c>
      <c r="AX12" t="s">
        <v>460</v>
      </c>
      <c r="AY12" t="s">
        <v>461</v>
      </c>
      <c r="AZ12" t="s">
        <v>462</v>
      </c>
      <c r="BA12" t="s">
        <v>463</v>
      </c>
      <c r="BB12" t="s">
        <v>336</v>
      </c>
      <c r="BC12" t="s">
        <v>464</v>
      </c>
      <c r="BD12" t="s">
        <v>114</v>
      </c>
      <c r="BE12">
        <v>32104</v>
      </c>
      <c r="BF12" t="s">
        <v>465</v>
      </c>
      <c r="BG12">
        <v>38</v>
      </c>
      <c r="BH12" t="s">
        <v>89</v>
      </c>
      <c r="BI12">
        <v>1</v>
      </c>
      <c r="BJ12">
        <v>6</v>
      </c>
      <c r="BK12">
        <v>0</v>
      </c>
      <c r="BL12">
        <v>4</v>
      </c>
      <c r="BM12">
        <v>8</v>
      </c>
      <c r="BN12">
        <v>0</v>
      </c>
      <c r="BO12">
        <v>7</v>
      </c>
      <c r="BP12">
        <v>0</v>
      </c>
      <c r="BQ12">
        <v>6</v>
      </c>
      <c r="BR12">
        <f t="shared" si="0"/>
        <v>7</v>
      </c>
      <c r="BS12">
        <f t="shared" si="1"/>
        <v>1</v>
      </c>
      <c r="BT12">
        <f t="shared" si="2"/>
        <v>5</v>
      </c>
      <c r="BU12">
        <f t="shared" si="3"/>
        <v>9</v>
      </c>
      <c r="BV12">
        <f t="shared" si="4"/>
        <v>1</v>
      </c>
      <c r="BW12">
        <f t="shared" si="5"/>
        <v>8</v>
      </c>
      <c r="BX12">
        <f t="shared" si="6"/>
        <v>1</v>
      </c>
      <c r="BY12">
        <f t="shared" si="7"/>
        <v>7</v>
      </c>
      <c r="BZ12">
        <f t="shared" si="8"/>
        <v>3.3947853755104997</v>
      </c>
      <c r="CA12">
        <v>3.3947853755104997</v>
      </c>
      <c r="CB12">
        <v>3.3947853755104997</v>
      </c>
      <c r="CC12">
        <v>3.3947853755104997</v>
      </c>
      <c r="CD12">
        <v>3.3947853755104997</v>
      </c>
      <c r="CE12">
        <v>3.3947853755104997</v>
      </c>
      <c r="CF12">
        <v>3.3947853755104997</v>
      </c>
      <c r="CG12">
        <v>3.3947853755104997</v>
      </c>
      <c r="CH12">
        <f t="shared" si="9"/>
        <v>0.31428571741478178</v>
      </c>
      <c r="CI12">
        <f t="shared" si="10"/>
        <v>-0.53081232259947508</v>
      </c>
      <c r="CJ12">
        <f t="shared" si="11"/>
        <v>0.16815768173654369</v>
      </c>
      <c r="CK12">
        <f t="shared" si="12"/>
        <v>0.42343018683984979</v>
      </c>
      <c r="CL12">
        <f t="shared" si="13"/>
        <v>-0.53081232259947508</v>
      </c>
      <c r="CM12">
        <f t="shared" si="14"/>
        <v>0.37227766439246845</v>
      </c>
      <c r="CN12">
        <f t="shared" si="15"/>
        <v>-0.53081232259947508</v>
      </c>
      <c r="CO12">
        <f t="shared" si="16"/>
        <v>0.31428571741478178</v>
      </c>
      <c r="CP12">
        <v>10</v>
      </c>
      <c r="CQ12">
        <v>-0.44519567296741203</v>
      </c>
      <c r="CR12">
        <v>-2.8101924918208301</v>
      </c>
      <c r="CS12">
        <v>0.95564335042394699</v>
      </c>
      <c r="CT12">
        <v>0.80122576628437603</v>
      </c>
      <c r="CU12">
        <v>-1.52396762003097</v>
      </c>
      <c r="CV12">
        <v>-0.66995121286183601</v>
      </c>
      <c r="CW12">
        <v>-2.83505630539632</v>
      </c>
      <c r="CX12">
        <v>0.372412584217934</v>
      </c>
    </row>
    <row r="13" spans="1:102" x14ac:dyDescent="0.35">
      <c r="A13" t="s">
        <v>339</v>
      </c>
      <c r="B13" t="s">
        <v>99</v>
      </c>
      <c r="C13" t="s">
        <v>340</v>
      </c>
      <c r="D13" t="s">
        <v>80</v>
      </c>
      <c r="E13" t="s">
        <v>80</v>
      </c>
      <c r="F13" t="s">
        <v>81</v>
      </c>
      <c r="G13" t="s">
        <v>82</v>
      </c>
      <c r="H13" t="s">
        <v>341</v>
      </c>
      <c r="I13" t="s">
        <v>342</v>
      </c>
      <c r="J13" t="s">
        <v>133</v>
      </c>
      <c r="K13" t="s">
        <v>343</v>
      </c>
      <c r="L13" t="s">
        <v>344</v>
      </c>
      <c r="M13" t="s">
        <v>345</v>
      </c>
      <c r="N13">
        <v>48</v>
      </c>
      <c r="O13" t="s">
        <v>89</v>
      </c>
      <c r="P13">
        <v>1455</v>
      </c>
      <c r="Q13">
        <v>1</v>
      </c>
      <c r="R13">
        <v>210</v>
      </c>
      <c r="S13">
        <v>0.90200000000000002</v>
      </c>
      <c r="T13" t="s">
        <v>346</v>
      </c>
      <c r="U13" t="s">
        <v>347</v>
      </c>
      <c r="V13" t="s">
        <v>348</v>
      </c>
      <c r="W13" t="s">
        <v>93</v>
      </c>
      <c r="X13" t="s">
        <v>349</v>
      </c>
      <c r="Y13" t="s">
        <v>350</v>
      </c>
      <c r="Z13" t="s">
        <v>351</v>
      </c>
      <c r="AA13" t="s">
        <v>173</v>
      </c>
      <c r="AB13">
        <v>17892</v>
      </c>
      <c r="AC13">
        <v>20</v>
      </c>
      <c r="AD13" t="s">
        <v>352</v>
      </c>
      <c r="AE13">
        <v>11</v>
      </c>
      <c r="AF13" t="s">
        <v>78</v>
      </c>
      <c r="AG13" t="s">
        <v>353</v>
      </c>
      <c r="AH13" t="s">
        <v>80</v>
      </c>
      <c r="AI13" t="s">
        <v>80</v>
      </c>
      <c r="AJ13" t="s">
        <v>81</v>
      </c>
      <c r="AK13" t="s">
        <v>176</v>
      </c>
      <c r="AL13" t="s">
        <v>354</v>
      </c>
      <c r="AM13" t="s">
        <v>261</v>
      </c>
      <c r="AN13" t="s">
        <v>355</v>
      </c>
      <c r="AO13" t="s">
        <v>356</v>
      </c>
      <c r="AP13" t="s">
        <v>357</v>
      </c>
      <c r="AQ13">
        <v>39</v>
      </c>
      <c r="AR13" t="s">
        <v>89</v>
      </c>
      <c r="AS13">
        <v>1425</v>
      </c>
      <c r="AT13">
        <v>1</v>
      </c>
      <c r="AU13">
        <v>190</v>
      </c>
      <c r="AV13">
        <v>1</v>
      </c>
      <c r="AW13" t="s">
        <v>358</v>
      </c>
      <c r="AX13" t="s">
        <v>359</v>
      </c>
      <c r="AY13" t="s">
        <v>360</v>
      </c>
      <c r="AZ13" t="s">
        <v>185</v>
      </c>
      <c r="BA13" t="s">
        <v>361</v>
      </c>
      <c r="BB13" t="s">
        <v>362</v>
      </c>
      <c r="BC13" t="s">
        <v>363</v>
      </c>
      <c r="BD13" t="s">
        <v>364</v>
      </c>
      <c r="BE13">
        <v>12434</v>
      </c>
      <c r="BF13" t="s">
        <v>365</v>
      </c>
      <c r="BG13">
        <v>13</v>
      </c>
      <c r="BH13" t="s">
        <v>89</v>
      </c>
      <c r="BI13">
        <v>1</v>
      </c>
      <c r="BJ13">
        <v>13</v>
      </c>
      <c r="BK13">
        <v>0</v>
      </c>
      <c r="BL13">
        <v>5</v>
      </c>
      <c r="BM13">
        <v>15</v>
      </c>
      <c r="BN13">
        <v>15</v>
      </c>
      <c r="BO13">
        <v>35</v>
      </c>
      <c r="BP13">
        <v>0</v>
      </c>
      <c r="BQ13">
        <v>6</v>
      </c>
      <c r="BR13">
        <f t="shared" si="0"/>
        <v>14</v>
      </c>
      <c r="BS13">
        <f t="shared" si="1"/>
        <v>1</v>
      </c>
      <c r="BT13">
        <f t="shared" si="2"/>
        <v>6</v>
      </c>
      <c r="BU13">
        <f t="shared" si="3"/>
        <v>16</v>
      </c>
      <c r="BV13">
        <f t="shared" si="4"/>
        <v>16</v>
      </c>
      <c r="BW13">
        <f t="shared" si="5"/>
        <v>36</v>
      </c>
      <c r="BX13">
        <f t="shared" si="6"/>
        <v>1</v>
      </c>
      <c r="BY13">
        <f t="shared" si="7"/>
        <v>7</v>
      </c>
      <c r="BZ13">
        <f t="shared" si="8"/>
        <v>6.9460830887740403</v>
      </c>
      <c r="CA13">
        <v>6.9460830887740403</v>
      </c>
      <c r="CB13">
        <v>6.9460830887740403</v>
      </c>
      <c r="CC13">
        <v>6.9460830887740403</v>
      </c>
      <c r="CD13">
        <v>6.9460830887740403</v>
      </c>
      <c r="CE13">
        <v>6.9460830887740403</v>
      </c>
      <c r="CF13">
        <v>6.9460830887740403</v>
      </c>
      <c r="CG13">
        <v>6.9460830887740403</v>
      </c>
      <c r="CH13">
        <f t="shared" si="9"/>
        <v>0.30438806165882859</v>
      </c>
      <c r="CI13">
        <f t="shared" si="10"/>
        <v>-0.84173997401940936</v>
      </c>
      <c r="CJ13">
        <f t="shared" si="11"/>
        <v>-6.3588723635765773E-2</v>
      </c>
      <c r="CK13">
        <f t="shared" si="12"/>
        <v>0.36238000863651543</v>
      </c>
      <c r="CL13">
        <f t="shared" si="13"/>
        <v>0.36238000863651543</v>
      </c>
      <c r="CM13">
        <f t="shared" si="14"/>
        <v>0.7145625267478779</v>
      </c>
      <c r="CN13">
        <f t="shared" si="15"/>
        <v>-0.84173997401940936</v>
      </c>
      <c r="CO13">
        <f t="shared" si="16"/>
        <v>3.3580659948473962E-3</v>
      </c>
      <c r="CP13">
        <v>11</v>
      </c>
      <c r="CQ13">
        <v>-0.45924301652727301</v>
      </c>
      <c r="CR13">
        <v>-2.8101924918208301</v>
      </c>
      <c r="CS13">
        <v>0.37017522670453701</v>
      </c>
      <c r="CT13">
        <v>0.66444981248970403</v>
      </c>
      <c r="CU13">
        <v>0.81454227138306001</v>
      </c>
      <c r="CV13">
        <v>1.0713162879279399E-2</v>
      </c>
      <c r="CW13">
        <v>-2.83505630539632</v>
      </c>
      <c r="CX13">
        <v>-0.23307110492281499</v>
      </c>
    </row>
    <row r="14" spans="1:102" x14ac:dyDescent="0.35">
      <c r="A14" t="s">
        <v>488</v>
      </c>
      <c r="B14" t="s">
        <v>78</v>
      </c>
      <c r="C14" t="s">
        <v>489</v>
      </c>
      <c r="D14" t="s">
        <v>80</v>
      </c>
      <c r="E14" t="s">
        <v>80</v>
      </c>
      <c r="F14" t="s">
        <v>81</v>
      </c>
      <c r="G14" t="s">
        <v>82</v>
      </c>
      <c r="H14" t="s">
        <v>131</v>
      </c>
      <c r="I14" t="s">
        <v>272</v>
      </c>
      <c r="J14" t="s">
        <v>85</v>
      </c>
      <c r="K14" t="s">
        <v>490</v>
      </c>
      <c r="L14" t="s">
        <v>491</v>
      </c>
      <c r="M14" t="s">
        <v>492</v>
      </c>
      <c r="N14">
        <v>57</v>
      </c>
      <c r="O14" t="s">
        <v>89</v>
      </c>
      <c r="P14">
        <v>1440</v>
      </c>
      <c r="Q14">
        <v>1</v>
      </c>
      <c r="R14">
        <v>222</v>
      </c>
      <c r="S14">
        <v>0.95830000000000004</v>
      </c>
      <c r="T14" t="s">
        <v>493</v>
      </c>
      <c r="U14" t="s">
        <v>138</v>
      </c>
      <c r="V14" t="s">
        <v>494</v>
      </c>
      <c r="W14" t="s">
        <v>93</v>
      </c>
      <c r="X14" t="s">
        <v>495</v>
      </c>
      <c r="Y14" t="s">
        <v>496</v>
      </c>
      <c r="Z14" t="s">
        <v>497</v>
      </c>
      <c r="AA14" t="s">
        <v>173</v>
      </c>
      <c r="AB14">
        <v>13962</v>
      </c>
      <c r="AC14">
        <v>15</v>
      </c>
      <c r="AD14" t="s">
        <v>498</v>
      </c>
      <c r="AE14">
        <v>12</v>
      </c>
      <c r="AF14" t="s">
        <v>99</v>
      </c>
      <c r="AG14" t="s">
        <v>499</v>
      </c>
      <c r="AH14" t="s">
        <v>80</v>
      </c>
      <c r="AI14" t="s">
        <v>80</v>
      </c>
      <c r="AJ14" t="s">
        <v>81</v>
      </c>
      <c r="AK14" t="s">
        <v>101</v>
      </c>
      <c r="AL14" t="s">
        <v>381</v>
      </c>
      <c r="AM14" t="s">
        <v>103</v>
      </c>
      <c r="AN14" t="s">
        <v>500</v>
      </c>
      <c r="AO14" t="s">
        <v>501</v>
      </c>
      <c r="AP14" t="s">
        <v>502</v>
      </c>
      <c r="AQ14">
        <v>33</v>
      </c>
      <c r="AR14" t="s">
        <v>89</v>
      </c>
      <c r="AS14">
        <v>1410</v>
      </c>
      <c r="AT14">
        <v>1</v>
      </c>
      <c r="AU14">
        <v>190</v>
      </c>
      <c r="AV14">
        <v>1</v>
      </c>
      <c r="AW14" t="s">
        <v>385</v>
      </c>
      <c r="AX14" t="s">
        <v>503</v>
      </c>
      <c r="AY14" t="s">
        <v>504</v>
      </c>
      <c r="AZ14" t="s">
        <v>125</v>
      </c>
      <c r="BA14" t="s">
        <v>388</v>
      </c>
      <c r="BB14" t="s">
        <v>336</v>
      </c>
      <c r="BC14" t="s">
        <v>505</v>
      </c>
      <c r="BD14" t="s">
        <v>114</v>
      </c>
      <c r="BE14">
        <v>40250</v>
      </c>
      <c r="BF14" t="s">
        <v>506</v>
      </c>
      <c r="BG14">
        <v>29</v>
      </c>
      <c r="BH14" t="s">
        <v>89</v>
      </c>
      <c r="BI14">
        <v>1</v>
      </c>
      <c r="BJ14">
        <v>24</v>
      </c>
      <c r="BK14">
        <v>0</v>
      </c>
      <c r="BL14">
        <v>11</v>
      </c>
      <c r="BM14">
        <v>9</v>
      </c>
      <c r="BN14">
        <v>7</v>
      </c>
      <c r="BO14">
        <v>22</v>
      </c>
      <c r="BP14">
        <v>8</v>
      </c>
      <c r="BQ14">
        <v>17</v>
      </c>
      <c r="BR14">
        <f t="shared" si="0"/>
        <v>25</v>
      </c>
      <c r="BS14">
        <f t="shared" si="1"/>
        <v>1</v>
      </c>
      <c r="BT14">
        <f t="shared" si="2"/>
        <v>12</v>
      </c>
      <c r="BU14">
        <f t="shared" si="3"/>
        <v>10</v>
      </c>
      <c r="BV14">
        <f t="shared" si="4"/>
        <v>8</v>
      </c>
      <c r="BW14">
        <f t="shared" si="5"/>
        <v>23</v>
      </c>
      <c r="BX14">
        <f t="shared" si="6"/>
        <v>9</v>
      </c>
      <c r="BY14">
        <f t="shared" si="7"/>
        <v>18</v>
      </c>
      <c r="BZ14">
        <f t="shared" si="8"/>
        <v>9.8612452876478915</v>
      </c>
      <c r="CA14">
        <v>9.8612452876478915</v>
      </c>
      <c r="CB14">
        <v>9.8612452876478915</v>
      </c>
      <c r="CC14">
        <v>9.8612452876478915</v>
      </c>
      <c r="CD14">
        <v>9.8612452876478915</v>
      </c>
      <c r="CE14">
        <v>9.8612452876478915</v>
      </c>
      <c r="CF14">
        <v>9.8612452876478915</v>
      </c>
      <c r="CG14">
        <v>9.8612452876478915</v>
      </c>
      <c r="CH14">
        <f t="shared" si="9"/>
        <v>0.40400824713805883</v>
      </c>
      <c r="CI14">
        <f t="shared" si="10"/>
        <v>-0.99393176153397877</v>
      </c>
      <c r="CJ14">
        <f t="shared" si="11"/>
        <v>8.5249484513646043E-2</v>
      </c>
      <c r="CK14">
        <f t="shared" si="12"/>
        <v>6.0682384660212625E-3</v>
      </c>
      <c r="CL14">
        <f t="shared" si="13"/>
        <v>-9.0841774542035195E-2</v>
      </c>
      <c r="CM14">
        <f t="shared" si="14"/>
        <v>0.36779607448361407</v>
      </c>
      <c r="CN14">
        <f t="shared" si="15"/>
        <v>-3.9689252094653883E-2</v>
      </c>
      <c r="CO14">
        <f t="shared" si="16"/>
        <v>0.26134074356932729</v>
      </c>
      <c r="CP14">
        <v>12</v>
      </c>
      <c r="CQ14">
        <v>-0.31785610578509699</v>
      </c>
      <c r="CR14">
        <v>-2.8101924918208301</v>
      </c>
      <c r="CS14">
        <v>0.746189803167983</v>
      </c>
      <c r="CT14">
        <v>-0.13382602629688001</v>
      </c>
      <c r="CU14">
        <v>-0.32546166111931002</v>
      </c>
      <c r="CV14">
        <v>-0.67886325932701297</v>
      </c>
      <c r="CW14">
        <v>1.0871145935740001</v>
      </c>
      <c r="CX14">
        <v>0.26931040614207602</v>
      </c>
    </row>
    <row r="15" spans="1:102" x14ac:dyDescent="0.35">
      <c r="A15" t="s">
        <v>553</v>
      </c>
      <c r="B15" t="s">
        <v>78</v>
      </c>
      <c r="C15" t="s">
        <v>554</v>
      </c>
      <c r="D15" t="s">
        <v>80</v>
      </c>
      <c r="E15" t="s">
        <v>80</v>
      </c>
      <c r="F15" t="s">
        <v>81</v>
      </c>
      <c r="G15" t="s">
        <v>82</v>
      </c>
      <c r="H15" t="s">
        <v>555</v>
      </c>
      <c r="I15" t="s">
        <v>445</v>
      </c>
      <c r="J15" t="s">
        <v>162</v>
      </c>
      <c r="K15" t="s">
        <v>556</v>
      </c>
      <c r="L15" t="s">
        <v>557</v>
      </c>
      <c r="M15" t="s">
        <v>558</v>
      </c>
      <c r="N15">
        <v>72</v>
      </c>
      <c r="O15" t="s">
        <v>89</v>
      </c>
      <c r="P15">
        <v>1440</v>
      </c>
      <c r="Q15">
        <v>1</v>
      </c>
      <c r="R15">
        <v>247</v>
      </c>
      <c r="S15">
        <v>0.8871</v>
      </c>
      <c r="T15" t="s">
        <v>559</v>
      </c>
      <c r="U15" t="s">
        <v>560</v>
      </c>
      <c r="V15" t="s">
        <v>561</v>
      </c>
      <c r="W15" t="s">
        <v>427</v>
      </c>
      <c r="X15" t="s">
        <v>562</v>
      </c>
      <c r="Y15" t="s">
        <v>563</v>
      </c>
      <c r="Z15" t="s">
        <v>564</v>
      </c>
      <c r="AA15" t="s">
        <v>173</v>
      </c>
      <c r="AB15">
        <v>17562</v>
      </c>
      <c r="AC15">
        <v>22</v>
      </c>
      <c r="AD15" t="s">
        <v>565</v>
      </c>
      <c r="AE15">
        <v>13</v>
      </c>
      <c r="AF15" t="s">
        <v>99</v>
      </c>
      <c r="AG15" t="s">
        <v>566</v>
      </c>
      <c r="AH15" t="s">
        <v>80</v>
      </c>
      <c r="AI15" t="s">
        <v>80</v>
      </c>
      <c r="AJ15" t="s">
        <v>81</v>
      </c>
      <c r="AK15" t="s">
        <v>101</v>
      </c>
      <c r="AL15" t="s">
        <v>567</v>
      </c>
      <c r="AM15" t="s">
        <v>568</v>
      </c>
      <c r="AN15" t="s">
        <v>569</v>
      </c>
      <c r="AO15" t="s">
        <v>570</v>
      </c>
      <c r="AP15" t="s">
        <v>571</v>
      </c>
      <c r="AQ15">
        <v>39</v>
      </c>
      <c r="AR15" t="s">
        <v>89</v>
      </c>
      <c r="AS15">
        <v>1395</v>
      </c>
      <c r="AT15">
        <v>1</v>
      </c>
      <c r="AU15">
        <v>190</v>
      </c>
      <c r="AV15">
        <v>1</v>
      </c>
      <c r="AW15" t="s">
        <v>572</v>
      </c>
      <c r="AX15" t="s">
        <v>573</v>
      </c>
      <c r="AY15" t="s">
        <v>574</v>
      </c>
      <c r="AZ15" t="s">
        <v>575</v>
      </c>
      <c r="BA15" t="s">
        <v>576</v>
      </c>
      <c r="BB15" t="s">
        <v>577</v>
      </c>
      <c r="BC15" t="s">
        <v>578</v>
      </c>
      <c r="BD15" t="s">
        <v>114</v>
      </c>
      <c r="BE15">
        <v>36994</v>
      </c>
      <c r="BF15" t="s">
        <v>579</v>
      </c>
      <c r="BG15">
        <v>37</v>
      </c>
      <c r="BH15" t="s">
        <v>89</v>
      </c>
      <c r="BI15">
        <v>1</v>
      </c>
      <c r="BJ15">
        <v>7</v>
      </c>
      <c r="BK15">
        <v>0</v>
      </c>
      <c r="BL15">
        <v>0</v>
      </c>
      <c r="BM15">
        <v>17</v>
      </c>
      <c r="BN15">
        <v>0</v>
      </c>
      <c r="BO15">
        <v>14</v>
      </c>
      <c r="BP15">
        <v>0</v>
      </c>
      <c r="BQ15">
        <v>15</v>
      </c>
      <c r="BR15">
        <f t="shared" si="0"/>
        <v>8</v>
      </c>
      <c r="BS15">
        <f t="shared" si="1"/>
        <v>1</v>
      </c>
      <c r="BT15">
        <f t="shared" si="2"/>
        <v>1</v>
      </c>
      <c r="BU15">
        <f t="shared" si="3"/>
        <v>18</v>
      </c>
      <c r="BV15">
        <f t="shared" si="4"/>
        <v>1</v>
      </c>
      <c r="BW15">
        <f t="shared" si="5"/>
        <v>15</v>
      </c>
      <c r="BX15">
        <f t="shared" si="6"/>
        <v>1</v>
      </c>
      <c r="BY15">
        <f t="shared" si="7"/>
        <v>16</v>
      </c>
      <c r="BZ15">
        <f t="shared" si="8"/>
        <v>3.692510311104086</v>
      </c>
      <c r="CA15">
        <v>3.692510311104086</v>
      </c>
      <c r="CB15">
        <v>3.692510311104086</v>
      </c>
      <c r="CC15">
        <v>3.692510311104086</v>
      </c>
      <c r="CD15">
        <v>3.692510311104086</v>
      </c>
      <c r="CE15">
        <v>3.692510311104086</v>
      </c>
      <c r="CF15">
        <v>3.692510311104086</v>
      </c>
      <c r="CG15">
        <v>3.692510311104086</v>
      </c>
      <c r="CH15">
        <f t="shared" si="9"/>
        <v>0.33576827026608663</v>
      </c>
      <c r="CI15">
        <f t="shared" si="10"/>
        <v>-0.56732171672585696</v>
      </c>
      <c r="CJ15">
        <f t="shared" si="11"/>
        <v>-0.56732171672585696</v>
      </c>
      <c r="CK15">
        <f t="shared" si="12"/>
        <v>0.68795078837744916</v>
      </c>
      <c r="CL15">
        <f t="shared" si="13"/>
        <v>-0.56732171672585696</v>
      </c>
      <c r="CM15">
        <f t="shared" si="14"/>
        <v>0.60876954232982428</v>
      </c>
      <c r="CN15">
        <f t="shared" si="15"/>
        <v>-0.56732171672585696</v>
      </c>
      <c r="CO15">
        <f t="shared" si="16"/>
        <v>0.63679826593006783</v>
      </c>
      <c r="CP15">
        <v>13</v>
      </c>
      <c r="CQ15">
        <v>-0.41470635227512398</v>
      </c>
      <c r="CR15">
        <v>-2.8101924918208301</v>
      </c>
      <c r="CS15">
        <v>-1.90638622950665</v>
      </c>
      <c r="CT15">
        <v>1.39385397210457</v>
      </c>
      <c r="CU15">
        <v>-1.52396762003097</v>
      </c>
      <c r="CV15">
        <v>-0.19966574549889299</v>
      </c>
      <c r="CW15">
        <v>-2.83505630539632</v>
      </c>
      <c r="CX15">
        <v>1.00045607529195</v>
      </c>
    </row>
    <row r="16" spans="1:102" x14ac:dyDescent="0.35">
      <c r="A16" t="s">
        <v>507</v>
      </c>
      <c r="B16" t="s">
        <v>99</v>
      </c>
      <c r="C16" t="s">
        <v>508</v>
      </c>
      <c r="D16" t="s">
        <v>80</v>
      </c>
      <c r="E16" t="s">
        <v>80</v>
      </c>
      <c r="F16" t="s">
        <v>81</v>
      </c>
      <c r="G16" t="s">
        <v>82</v>
      </c>
      <c r="H16" t="s">
        <v>509</v>
      </c>
      <c r="I16" t="s">
        <v>84</v>
      </c>
      <c r="J16" t="s">
        <v>85</v>
      </c>
      <c r="K16" t="s">
        <v>510</v>
      </c>
      <c r="L16" t="s">
        <v>511</v>
      </c>
      <c r="M16" t="s">
        <v>512</v>
      </c>
      <c r="N16">
        <v>48</v>
      </c>
      <c r="O16" t="s">
        <v>89</v>
      </c>
      <c r="P16">
        <v>1440</v>
      </c>
      <c r="Q16">
        <v>1</v>
      </c>
      <c r="R16">
        <v>195</v>
      </c>
      <c r="S16">
        <v>0.89580000000000004</v>
      </c>
      <c r="T16" t="s">
        <v>199</v>
      </c>
      <c r="U16" t="s">
        <v>322</v>
      </c>
      <c r="V16" t="s">
        <v>513</v>
      </c>
      <c r="W16" t="s">
        <v>93</v>
      </c>
      <c r="X16" t="s">
        <v>514</v>
      </c>
      <c r="Y16" t="s">
        <v>515</v>
      </c>
      <c r="Z16" t="s">
        <v>516</v>
      </c>
      <c r="AA16" t="s">
        <v>173</v>
      </c>
      <c r="AB16">
        <v>9458</v>
      </c>
      <c r="AC16">
        <v>10</v>
      </c>
      <c r="AD16" t="s">
        <v>517</v>
      </c>
      <c r="AE16">
        <v>14</v>
      </c>
      <c r="AF16" t="s">
        <v>78</v>
      </c>
      <c r="AG16" t="s">
        <v>518</v>
      </c>
      <c r="AH16" t="s">
        <v>80</v>
      </c>
      <c r="AI16" t="s">
        <v>80</v>
      </c>
      <c r="AJ16" t="s">
        <v>81</v>
      </c>
      <c r="AK16" t="s">
        <v>176</v>
      </c>
      <c r="AL16" t="s">
        <v>519</v>
      </c>
      <c r="AM16" t="s">
        <v>261</v>
      </c>
      <c r="AN16" t="s">
        <v>520</v>
      </c>
      <c r="AO16" t="s">
        <v>521</v>
      </c>
      <c r="AP16" t="s">
        <v>522</v>
      </c>
      <c r="AQ16">
        <v>39</v>
      </c>
      <c r="AR16" t="s">
        <v>89</v>
      </c>
      <c r="AS16">
        <v>1395</v>
      </c>
      <c r="AT16">
        <v>1</v>
      </c>
      <c r="AU16">
        <v>162</v>
      </c>
      <c r="AV16">
        <v>0.94440000000000002</v>
      </c>
      <c r="AW16" t="s">
        <v>523</v>
      </c>
      <c r="AX16" t="s">
        <v>524</v>
      </c>
      <c r="AY16" t="s">
        <v>525</v>
      </c>
      <c r="AZ16" t="s">
        <v>185</v>
      </c>
      <c r="BA16" t="s">
        <v>526</v>
      </c>
      <c r="BB16" t="s">
        <v>527</v>
      </c>
      <c r="BC16" t="s">
        <v>528</v>
      </c>
      <c r="BD16" t="s">
        <v>364</v>
      </c>
      <c r="BE16">
        <v>6392</v>
      </c>
      <c r="BF16" t="s">
        <v>529</v>
      </c>
      <c r="BG16">
        <v>5</v>
      </c>
      <c r="BH16" t="s">
        <v>89</v>
      </c>
      <c r="BI16">
        <v>1</v>
      </c>
      <c r="BJ16">
        <v>342</v>
      </c>
      <c r="BK16">
        <v>0</v>
      </c>
      <c r="BL16">
        <v>28</v>
      </c>
      <c r="BM16">
        <v>42</v>
      </c>
      <c r="BN16">
        <v>69</v>
      </c>
      <c r="BO16">
        <v>13124</v>
      </c>
      <c r="BP16">
        <v>8</v>
      </c>
      <c r="BQ16">
        <v>348</v>
      </c>
      <c r="BR16">
        <f t="shared" si="0"/>
        <v>343</v>
      </c>
      <c r="BS16">
        <f t="shared" si="1"/>
        <v>1</v>
      </c>
      <c r="BT16">
        <f t="shared" si="2"/>
        <v>29</v>
      </c>
      <c r="BU16">
        <f t="shared" si="3"/>
        <v>43</v>
      </c>
      <c r="BV16">
        <f t="shared" si="4"/>
        <v>70</v>
      </c>
      <c r="BW16">
        <f t="shared" si="5"/>
        <v>13125</v>
      </c>
      <c r="BX16">
        <f t="shared" si="6"/>
        <v>9</v>
      </c>
      <c r="BY16">
        <f t="shared" si="7"/>
        <v>349</v>
      </c>
      <c r="BZ16">
        <f t="shared" si="8"/>
        <v>76.988920950118398</v>
      </c>
      <c r="CA16">
        <v>76.988920950118398</v>
      </c>
      <c r="CB16">
        <v>76.988920950118398</v>
      </c>
      <c r="CC16">
        <v>76.988920950118398</v>
      </c>
      <c r="CD16">
        <v>76.988920950118398</v>
      </c>
      <c r="CE16">
        <v>76.988920950118398</v>
      </c>
      <c r="CF16">
        <v>76.988920950118398</v>
      </c>
      <c r="CG16">
        <v>76.988920950118398</v>
      </c>
      <c r="CH16">
        <f t="shared" si="9"/>
        <v>0.64886588729126182</v>
      </c>
      <c r="CI16">
        <f t="shared" si="10"/>
        <v>-1.8864282327515087</v>
      </c>
      <c r="CJ16">
        <f t="shared" si="11"/>
        <v>-0.42403023485255253</v>
      </c>
      <c r="CK16">
        <f t="shared" si="12"/>
        <v>-0.25295977717192208</v>
      </c>
      <c r="CL16">
        <f t="shared" si="13"/>
        <v>-4.133019273725181E-2</v>
      </c>
      <c r="CM16">
        <f t="shared" si="14"/>
        <v>2.2316710793264858</v>
      </c>
      <c r="CN16">
        <f t="shared" si="15"/>
        <v>-0.93218572331218374</v>
      </c>
      <c r="CO16">
        <f t="shared" si="16"/>
        <v>0.65639719420767118</v>
      </c>
      <c r="CP16">
        <v>14</v>
      </c>
      <c r="CQ16">
        <v>2.9660465744458801E-2</v>
      </c>
      <c r="CR16">
        <v>-2.8101924918208301</v>
      </c>
      <c r="CS16">
        <v>-0.54041933006391596</v>
      </c>
      <c r="CT16">
        <v>-0.71414872053081502</v>
      </c>
      <c r="CU16">
        <v>-0.200923520948696</v>
      </c>
      <c r="CV16">
        <v>3.0276205971326502</v>
      </c>
      <c r="CW16">
        <v>-0.717201532322571</v>
      </c>
      <c r="CX16">
        <v>1.03862196804075</v>
      </c>
    </row>
    <row r="17" spans="1:102" x14ac:dyDescent="0.35">
      <c r="A17" t="s">
        <v>270</v>
      </c>
      <c r="B17" t="s">
        <v>78</v>
      </c>
      <c r="C17" t="s">
        <v>271</v>
      </c>
      <c r="D17" t="s">
        <v>80</v>
      </c>
      <c r="E17" t="s">
        <v>80</v>
      </c>
      <c r="F17" t="s">
        <v>81</v>
      </c>
      <c r="G17" t="s">
        <v>82</v>
      </c>
      <c r="H17" t="s">
        <v>160</v>
      </c>
      <c r="I17" t="s">
        <v>272</v>
      </c>
      <c r="J17" t="s">
        <v>85</v>
      </c>
      <c r="K17" t="s">
        <v>273</v>
      </c>
      <c r="L17" t="s">
        <v>274</v>
      </c>
      <c r="M17" t="s">
        <v>275</v>
      </c>
      <c r="N17">
        <v>57</v>
      </c>
      <c r="O17" t="s">
        <v>89</v>
      </c>
      <c r="P17">
        <v>1353</v>
      </c>
      <c r="Q17">
        <v>0.97189999999999999</v>
      </c>
      <c r="R17">
        <v>177</v>
      </c>
      <c r="S17">
        <v>0.85419999999999996</v>
      </c>
      <c r="T17" t="s">
        <v>276</v>
      </c>
      <c r="U17" t="s">
        <v>277</v>
      </c>
      <c r="V17" t="s">
        <v>278</v>
      </c>
      <c r="W17" t="s">
        <v>279</v>
      </c>
      <c r="X17" t="s">
        <v>280</v>
      </c>
      <c r="Y17" t="s">
        <v>281</v>
      </c>
      <c r="Z17" t="s">
        <v>282</v>
      </c>
      <c r="AA17" t="s">
        <v>97</v>
      </c>
      <c r="AB17">
        <v>1114</v>
      </c>
      <c r="AC17">
        <v>2</v>
      </c>
      <c r="AD17" t="s">
        <v>283</v>
      </c>
      <c r="AE17">
        <v>15</v>
      </c>
      <c r="AF17" t="s">
        <v>99</v>
      </c>
      <c r="AG17" t="s">
        <v>284</v>
      </c>
      <c r="AH17" t="s">
        <v>80</v>
      </c>
      <c r="AI17" t="s">
        <v>80</v>
      </c>
      <c r="AJ17" t="s">
        <v>81</v>
      </c>
      <c r="AK17" t="s">
        <v>101</v>
      </c>
      <c r="AL17" t="s">
        <v>145</v>
      </c>
      <c r="AM17" t="s">
        <v>103</v>
      </c>
      <c r="AN17" t="s">
        <v>285</v>
      </c>
      <c r="AO17" t="s">
        <v>286</v>
      </c>
      <c r="AP17" t="s">
        <v>287</v>
      </c>
      <c r="AQ17">
        <v>33</v>
      </c>
      <c r="AR17" t="s">
        <v>89</v>
      </c>
      <c r="AS17">
        <v>1341</v>
      </c>
      <c r="AT17">
        <v>0.97850000000000004</v>
      </c>
      <c r="AU17">
        <v>190</v>
      </c>
      <c r="AV17">
        <v>1</v>
      </c>
      <c r="AW17" t="s">
        <v>288</v>
      </c>
      <c r="AX17" t="s">
        <v>289</v>
      </c>
      <c r="AY17" t="s">
        <v>290</v>
      </c>
      <c r="AZ17" t="s">
        <v>125</v>
      </c>
      <c r="BA17" t="s">
        <v>291</v>
      </c>
      <c r="BB17" t="s">
        <v>292</v>
      </c>
      <c r="BC17" t="s">
        <v>293</v>
      </c>
      <c r="BD17" t="s">
        <v>114</v>
      </c>
      <c r="BE17">
        <v>54712</v>
      </c>
      <c r="BF17" t="s">
        <v>294</v>
      </c>
      <c r="BG17">
        <v>50</v>
      </c>
      <c r="BH17" t="s">
        <v>89</v>
      </c>
      <c r="BI17">
        <v>1</v>
      </c>
      <c r="BJ17">
        <v>27</v>
      </c>
      <c r="BK17">
        <v>0</v>
      </c>
      <c r="BL17">
        <v>0</v>
      </c>
      <c r="BM17">
        <v>0</v>
      </c>
      <c r="BN17">
        <v>0</v>
      </c>
      <c r="BO17">
        <v>6</v>
      </c>
      <c r="BP17">
        <v>0</v>
      </c>
      <c r="BQ17">
        <v>5</v>
      </c>
      <c r="BR17">
        <f t="shared" si="0"/>
        <v>28</v>
      </c>
      <c r="BS17">
        <f t="shared" si="1"/>
        <v>1</v>
      </c>
      <c r="BT17">
        <f t="shared" si="2"/>
        <v>1</v>
      </c>
      <c r="BU17">
        <f t="shared" si="3"/>
        <v>1</v>
      </c>
      <c r="BV17">
        <f t="shared" si="4"/>
        <v>1</v>
      </c>
      <c r="BW17">
        <f t="shared" si="5"/>
        <v>7</v>
      </c>
      <c r="BX17">
        <f t="shared" si="6"/>
        <v>1</v>
      </c>
      <c r="BY17">
        <f t="shared" si="7"/>
        <v>6</v>
      </c>
      <c r="BZ17">
        <f t="shared" si="8"/>
        <v>2.4199194779903745</v>
      </c>
      <c r="CA17">
        <v>2.4199194779903745</v>
      </c>
      <c r="CB17">
        <v>2.4199194779903745</v>
      </c>
      <c r="CC17">
        <v>2.4199194779903745</v>
      </c>
      <c r="CD17">
        <v>2.4199194779903745</v>
      </c>
      <c r="CE17">
        <v>2.4199194779903745</v>
      </c>
      <c r="CF17">
        <v>2.4199194779903745</v>
      </c>
      <c r="CG17">
        <v>2.4199194779903745</v>
      </c>
      <c r="CH17">
        <f t="shared" si="9"/>
        <v>1.0633571161247044</v>
      </c>
      <c r="CI17">
        <f t="shared" si="10"/>
        <v>-0.38380091521751497</v>
      </c>
      <c r="CJ17">
        <f t="shared" si="11"/>
        <v>-0.38380091521751497</v>
      </c>
      <c r="CK17">
        <f t="shared" si="12"/>
        <v>-0.38380091521751497</v>
      </c>
      <c r="CL17">
        <f t="shared" si="13"/>
        <v>-0.38380091521751497</v>
      </c>
      <c r="CM17">
        <f t="shared" si="14"/>
        <v>0.46129712479674195</v>
      </c>
      <c r="CN17">
        <f t="shared" si="15"/>
        <v>-0.38380091521751497</v>
      </c>
      <c r="CO17">
        <f t="shared" si="16"/>
        <v>0.39435033516612872</v>
      </c>
      <c r="CP17">
        <v>15</v>
      </c>
      <c r="CQ17">
        <v>0.61793114695802398</v>
      </c>
      <c r="CR17">
        <v>-2.8101924918208301</v>
      </c>
      <c r="CS17">
        <v>-1.90638622950665</v>
      </c>
      <c r="CT17">
        <v>-2.7279301294217002</v>
      </c>
      <c r="CU17">
        <v>-1.52396762003097</v>
      </c>
      <c r="CV17">
        <v>-0.49292797254696002</v>
      </c>
      <c r="CW17">
        <v>-2.83505630539632</v>
      </c>
      <c r="CX17">
        <v>0.52832608983360496</v>
      </c>
    </row>
    <row r="18" spans="1:102" x14ac:dyDescent="0.35">
      <c r="A18" t="s">
        <v>366</v>
      </c>
      <c r="B18" t="s">
        <v>78</v>
      </c>
      <c r="C18" t="s">
        <v>367</v>
      </c>
      <c r="D18" t="s">
        <v>80</v>
      </c>
      <c r="E18" t="s">
        <v>80</v>
      </c>
      <c r="F18" t="s">
        <v>81</v>
      </c>
      <c r="G18" t="s">
        <v>82</v>
      </c>
      <c r="H18" t="s">
        <v>368</v>
      </c>
      <c r="I18" t="s">
        <v>369</v>
      </c>
      <c r="J18" t="s">
        <v>195</v>
      </c>
      <c r="K18" t="s">
        <v>370</v>
      </c>
      <c r="L18" t="s">
        <v>371</v>
      </c>
      <c r="M18" t="s">
        <v>372</v>
      </c>
      <c r="N18">
        <v>48</v>
      </c>
      <c r="O18" t="s">
        <v>89</v>
      </c>
      <c r="P18">
        <v>1413</v>
      </c>
      <c r="Q18">
        <v>0.98960000000000004</v>
      </c>
      <c r="R18">
        <v>232</v>
      </c>
      <c r="S18">
        <v>0.96</v>
      </c>
      <c r="T18" t="s">
        <v>373</v>
      </c>
      <c r="U18" t="s">
        <v>374</v>
      </c>
      <c r="V18" t="s">
        <v>375</v>
      </c>
      <c r="W18" t="s">
        <v>202</v>
      </c>
      <c r="X18" t="s">
        <v>376</v>
      </c>
      <c r="Y18" t="s">
        <v>377</v>
      </c>
      <c r="Z18" t="s">
        <v>378</v>
      </c>
      <c r="AA18" t="s">
        <v>173</v>
      </c>
      <c r="AB18">
        <v>7898</v>
      </c>
      <c r="AC18">
        <v>18</v>
      </c>
      <c r="AD18" t="s">
        <v>379</v>
      </c>
      <c r="AE18">
        <v>16</v>
      </c>
      <c r="AF18" t="s">
        <v>99</v>
      </c>
      <c r="AG18" t="s">
        <v>380</v>
      </c>
      <c r="AH18" t="s">
        <v>80</v>
      </c>
      <c r="AI18" t="s">
        <v>80</v>
      </c>
      <c r="AJ18" t="s">
        <v>81</v>
      </c>
      <c r="AK18" t="s">
        <v>101</v>
      </c>
      <c r="AL18" t="s">
        <v>381</v>
      </c>
      <c r="AM18" t="s">
        <v>103</v>
      </c>
      <c r="AN18" t="s">
        <v>382</v>
      </c>
      <c r="AO18" t="s">
        <v>383</v>
      </c>
      <c r="AP18" t="s">
        <v>384</v>
      </c>
      <c r="AQ18">
        <v>36</v>
      </c>
      <c r="AR18" t="s">
        <v>89</v>
      </c>
      <c r="AS18">
        <v>1392</v>
      </c>
      <c r="AT18">
        <v>0.9929</v>
      </c>
      <c r="AU18">
        <v>190</v>
      </c>
      <c r="AV18">
        <v>1</v>
      </c>
      <c r="AW18" t="s">
        <v>385</v>
      </c>
      <c r="AX18" t="s">
        <v>386</v>
      </c>
      <c r="AY18" t="s">
        <v>387</v>
      </c>
      <c r="AZ18" t="s">
        <v>125</v>
      </c>
      <c r="BA18" t="s">
        <v>388</v>
      </c>
      <c r="BB18" t="s">
        <v>336</v>
      </c>
      <c r="BC18" t="s">
        <v>389</v>
      </c>
      <c r="BD18" t="s">
        <v>114</v>
      </c>
      <c r="BE18">
        <v>65932</v>
      </c>
      <c r="BF18" t="s">
        <v>390</v>
      </c>
      <c r="BG18">
        <v>58</v>
      </c>
      <c r="BH18" t="s">
        <v>89</v>
      </c>
      <c r="BI18">
        <v>1</v>
      </c>
      <c r="BJ18">
        <v>140</v>
      </c>
      <c r="BK18">
        <v>0</v>
      </c>
      <c r="BL18">
        <v>4</v>
      </c>
      <c r="BM18">
        <v>10</v>
      </c>
      <c r="BN18">
        <v>16</v>
      </c>
      <c r="BO18">
        <v>24</v>
      </c>
      <c r="BP18">
        <v>0</v>
      </c>
      <c r="BQ18">
        <v>12</v>
      </c>
      <c r="BR18">
        <f t="shared" si="0"/>
        <v>141</v>
      </c>
      <c r="BS18">
        <f t="shared" si="1"/>
        <v>1</v>
      </c>
      <c r="BT18">
        <f t="shared" si="2"/>
        <v>5</v>
      </c>
      <c r="BU18">
        <f t="shared" si="3"/>
        <v>11</v>
      </c>
      <c r="BV18">
        <f t="shared" si="4"/>
        <v>17</v>
      </c>
      <c r="BW18">
        <f t="shared" si="5"/>
        <v>25</v>
      </c>
      <c r="BX18">
        <f t="shared" si="6"/>
        <v>1</v>
      </c>
      <c r="BY18">
        <f t="shared" si="7"/>
        <v>13</v>
      </c>
      <c r="BZ18">
        <f t="shared" si="8"/>
        <v>8.9947533860902045</v>
      </c>
      <c r="CA18">
        <v>8.9947533860902045</v>
      </c>
      <c r="CB18">
        <v>8.9947533860902045</v>
      </c>
      <c r="CC18">
        <v>8.9947533860902045</v>
      </c>
      <c r="CD18">
        <v>8.9947533860902045</v>
      </c>
      <c r="CE18">
        <v>8.9947533860902045</v>
      </c>
      <c r="CF18">
        <v>8.9947533860902045</v>
      </c>
      <c r="CG18">
        <v>8.9947533860902045</v>
      </c>
      <c r="CH18">
        <f t="shared" si="9"/>
        <v>1.1952298520920335</v>
      </c>
      <c r="CI18">
        <f t="shared" si="10"/>
        <v>-0.95398926056334643</v>
      </c>
      <c r="CJ18">
        <f t="shared" si="11"/>
        <v>-0.25501925622732768</v>
      </c>
      <c r="CK18">
        <f t="shared" si="12"/>
        <v>8.7403424594878529E-2</v>
      </c>
      <c r="CL18">
        <f t="shared" si="13"/>
        <v>0.27645966081492745</v>
      </c>
      <c r="CM18">
        <f t="shared" si="14"/>
        <v>0.44395074810869112</v>
      </c>
      <c r="CN18">
        <f t="shared" si="15"/>
        <v>-0.95398926056334643</v>
      </c>
      <c r="CO18">
        <f t="shared" si="16"/>
        <v>0.15995409174349029</v>
      </c>
      <c r="CP18">
        <v>16</v>
      </c>
      <c r="CQ18">
        <v>0.80509280159504004</v>
      </c>
      <c r="CR18">
        <v>-2.8101924918208301</v>
      </c>
      <c r="CS18">
        <v>-0.113441658566817</v>
      </c>
      <c r="CT18">
        <v>4.8396171692281699E-2</v>
      </c>
      <c r="CU18">
        <v>0.59842394248977804</v>
      </c>
      <c r="CV18">
        <v>-0.52742280991281099</v>
      </c>
      <c r="CW18">
        <v>-2.83505630539632</v>
      </c>
      <c r="CX18">
        <v>7.1875524757960302E-2</v>
      </c>
    </row>
    <row r="19" spans="1:102" x14ac:dyDescent="0.35">
      <c r="A19" t="s">
        <v>736</v>
      </c>
      <c r="B19" t="s">
        <v>78</v>
      </c>
      <c r="C19" t="s">
        <v>737</v>
      </c>
      <c r="D19" t="s">
        <v>80</v>
      </c>
      <c r="E19" t="s">
        <v>80</v>
      </c>
      <c r="F19" t="s">
        <v>81</v>
      </c>
      <c r="G19" t="s">
        <v>82</v>
      </c>
      <c r="H19" t="s">
        <v>393</v>
      </c>
      <c r="I19" t="s">
        <v>298</v>
      </c>
      <c r="J19" t="s">
        <v>394</v>
      </c>
      <c r="K19" t="s">
        <v>395</v>
      </c>
      <c r="L19" t="s">
        <v>396</v>
      </c>
      <c r="M19" t="s">
        <v>397</v>
      </c>
      <c r="N19">
        <v>48</v>
      </c>
      <c r="O19" t="s">
        <v>89</v>
      </c>
      <c r="P19">
        <v>1341</v>
      </c>
      <c r="Q19">
        <v>0.96179999999999999</v>
      </c>
      <c r="R19">
        <v>229</v>
      </c>
      <c r="S19">
        <v>0.92449999999999999</v>
      </c>
      <c r="T19" t="s">
        <v>398</v>
      </c>
      <c r="U19" t="s">
        <v>399</v>
      </c>
      <c r="V19" t="s">
        <v>400</v>
      </c>
      <c r="W19" t="s">
        <v>401</v>
      </c>
      <c r="X19" t="s">
        <v>402</v>
      </c>
      <c r="Y19" t="s">
        <v>403</v>
      </c>
      <c r="Z19" t="s">
        <v>404</v>
      </c>
      <c r="AA19" t="s">
        <v>405</v>
      </c>
      <c r="AB19">
        <v>3728</v>
      </c>
      <c r="AC19">
        <v>5</v>
      </c>
      <c r="AD19" t="s">
        <v>406</v>
      </c>
      <c r="AE19">
        <v>17</v>
      </c>
      <c r="AF19" t="s">
        <v>99</v>
      </c>
      <c r="AG19" t="s">
        <v>738</v>
      </c>
      <c r="AH19" t="s">
        <v>80</v>
      </c>
      <c r="AI19" t="s">
        <v>80</v>
      </c>
      <c r="AJ19" t="s">
        <v>80</v>
      </c>
      <c r="AK19" t="s">
        <v>101</v>
      </c>
      <c r="AL19" t="s">
        <v>381</v>
      </c>
      <c r="AM19" t="s">
        <v>408</v>
      </c>
      <c r="AN19" t="s">
        <v>739</v>
      </c>
      <c r="AO19" t="s">
        <v>740</v>
      </c>
      <c r="AP19" t="s">
        <v>411</v>
      </c>
      <c r="AQ19">
        <v>36</v>
      </c>
      <c r="AR19" t="s">
        <v>89</v>
      </c>
      <c r="AS19">
        <v>1326</v>
      </c>
      <c r="AT19">
        <v>0.97829999999999995</v>
      </c>
      <c r="AU19">
        <v>186</v>
      </c>
      <c r="AV19">
        <v>0.97440000000000004</v>
      </c>
      <c r="AW19" t="s">
        <v>741</v>
      </c>
      <c r="AX19" t="s">
        <v>742</v>
      </c>
      <c r="AY19" t="s">
        <v>413</v>
      </c>
      <c r="AZ19" t="s">
        <v>414</v>
      </c>
      <c r="BA19" t="s">
        <v>743</v>
      </c>
      <c r="BB19" t="s">
        <v>336</v>
      </c>
      <c r="BC19" t="s">
        <v>416</v>
      </c>
      <c r="BD19" t="s">
        <v>114</v>
      </c>
      <c r="BE19">
        <v>47704</v>
      </c>
      <c r="BF19" t="s">
        <v>417</v>
      </c>
      <c r="BG19">
        <v>39</v>
      </c>
      <c r="BH19" t="s">
        <v>89</v>
      </c>
      <c r="BI19">
        <v>1</v>
      </c>
      <c r="BJ19">
        <v>6</v>
      </c>
      <c r="BK19">
        <v>0</v>
      </c>
      <c r="BL19">
        <v>6</v>
      </c>
      <c r="BM19">
        <v>8</v>
      </c>
      <c r="BN19">
        <v>16</v>
      </c>
      <c r="BO19">
        <v>32</v>
      </c>
      <c r="BP19">
        <v>0</v>
      </c>
      <c r="BQ19">
        <v>7</v>
      </c>
      <c r="BR19">
        <f t="shared" si="0"/>
        <v>7</v>
      </c>
      <c r="BS19">
        <f t="shared" si="1"/>
        <v>1</v>
      </c>
      <c r="BT19">
        <f t="shared" si="2"/>
        <v>7</v>
      </c>
      <c r="BU19">
        <f t="shared" si="3"/>
        <v>9</v>
      </c>
      <c r="BV19">
        <f t="shared" si="4"/>
        <v>17</v>
      </c>
      <c r="BW19">
        <f t="shared" si="5"/>
        <v>33</v>
      </c>
      <c r="BX19">
        <f t="shared" si="6"/>
        <v>1</v>
      </c>
      <c r="BY19">
        <f t="shared" si="7"/>
        <v>8</v>
      </c>
      <c r="BZ19">
        <f t="shared" si="8"/>
        <v>6.1243701306536202</v>
      </c>
      <c r="CA19">
        <v>6.1243701306536202</v>
      </c>
      <c r="CB19">
        <v>6.1243701306536202</v>
      </c>
      <c r="CC19">
        <v>6.1243701306536202</v>
      </c>
      <c r="CD19">
        <v>6.1243701306536202</v>
      </c>
      <c r="CE19">
        <v>6.1243701306536202</v>
      </c>
      <c r="CF19">
        <v>6.1243701306536202</v>
      </c>
      <c r="CG19">
        <v>6.1243701306536202</v>
      </c>
      <c r="CH19">
        <f t="shared" si="9"/>
        <v>5.8036610299763931E-2</v>
      </c>
      <c r="CI19">
        <f t="shared" si="10"/>
        <v>-0.78706142971449289</v>
      </c>
      <c r="CJ19">
        <f t="shared" si="11"/>
        <v>5.8036610299763931E-2</v>
      </c>
      <c r="CK19">
        <f t="shared" si="12"/>
        <v>0.16718107972483198</v>
      </c>
      <c r="CL19">
        <f t="shared" si="13"/>
        <v>0.443387491663781</v>
      </c>
      <c r="CM19">
        <f t="shared" si="14"/>
        <v>0.73145251016339452</v>
      </c>
      <c r="CN19">
        <f t="shared" si="15"/>
        <v>-0.78706142971449289</v>
      </c>
      <c r="CO19">
        <f t="shared" si="16"/>
        <v>0.11602855727745065</v>
      </c>
      <c r="CP19">
        <v>17</v>
      </c>
      <c r="CQ19">
        <v>-0.80887969404351001</v>
      </c>
      <c r="CR19">
        <v>-2.8101924918208301</v>
      </c>
      <c r="CS19">
        <v>0.67744107594859904</v>
      </c>
      <c r="CT19">
        <v>0.22712889931117999</v>
      </c>
      <c r="CU19">
        <v>1.0183031068961701</v>
      </c>
      <c r="CV19">
        <v>4.43004209855501E-2</v>
      </c>
      <c r="CW19">
        <v>-2.83505630539632</v>
      </c>
      <c r="CX19">
        <v>-1.3662684965485601E-2</v>
      </c>
    </row>
    <row r="20" spans="1:102" x14ac:dyDescent="0.35">
      <c r="A20" t="s">
        <v>391</v>
      </c>
      <c r="B20" t="s">
        <v>78</v>
      </c>
      <c r="C20" t="s">
        <v>392</v>
      </c>
      <c r="D20" t="s">
        <v>80</v>
      </c>
      <c r="E20" t="s">
        <v>80</v>
      </c>
      <c r="F20" t="s">
        <v>81</v>
      </c>
      <c r="G20" t="s">
        <v>82</v>
      </c>
      <c r="H20" t="s">
        <v>393</v>
      </c>
      <c r="I20" t="s">
        <v>298</v>
      </c>
      <c r="J20" t="s">
        <v>394</v>
      </c>
      <c r="K20" t="s">
        <v>395</v>
      </c>
      <c r="L20" t="s">
        <v>396</v>
      </c>
      <c r="M20" t="s">
        <v>397</v>
      </c>
      <c r="N20">
        <v>48</v>
      </c>
      <c r="O20" t="s">
        <v>89</v>
      </c>
      <c r="P20">
        <v>1341</v>
      </c>
      <c r="Q20">
        <v>0.96179999999999999</v>
      </c>
      <c r="R20">
        <v>229</v>
      </c>
      <c r="S20">
        <v>0.92449999999999999</v>
      </c>
      <c r="T20" t="s">
        <v>398</v>
      </c>
      <c r="U20" t="s">
        <v>399</v>
      </c>
      <c r="V20" t="s">
        <v>400</v>
      </c>
      <c r="W20" t="s">
        <v>401</v>
      </c>
      <c r="X20" t="s">
        <v>402</v>
      </c>
      <c r="Y20" t="s">
        <v>403</v>
      </c>
      <c r="Z20" t="s">
        <v>404</v>
      </c>
      <c r="AA20" t="s">
        <v>405</v>
      </c>
      <c r="AB20">
        <v>3182</v>
      </c>
      <c r="AC20">
        <v>6</v>
      </c>
      <c r="AD20" t="s">
        <v>406</v>
      </c>
      <c r="AE20">
        <v>17</v>
      </c>
      <c r="AF20" t="s">
        <v>99</v>
      </c>
      <c r="AG20" t="s">
        <v>407</v>
      </c>
      <c r="AH20" t="s">
        <v>80</v>
      </c>
      <c r="AI20" t="s">
        <v>80</v>
      </c>
      <c r="AJ20" t="s">
        <v>80</v>
      </c>
      <c r="AK20" t="s">
        <v>101</v>
      </c>
      <c r="AL20" t="s">
        <v>381</v>
      </c>
      <c r="AM20" t="s">
        <v>408</v>
      </c>
      <c r="AN20" t="s">
        <v>409</v>
      </c>
      <c r="AO20" t="s">
        <v>410</v>
      </c>
      <c r="AP20" t="s">
        <v>411</v>
      </c>
      <c r="AQ20">
        <v>36</v>
      </c>
      <c r="AR20" t="s">
        <v>89</v>
      </c>
      <c r="AS20">
        <v>1353</v>
      </c>
      <c r="AT20">
        <v>0.98909999999999998</v>
      </c>
      <c r="AU20">
        <v>186</v>
      </c>
      <c r="AV20">
        <v>0.97440000000000004</v>
      </c>
      <c r="AW20" t="s">
        <v>385</v>
      </c>
      <c r="AX20" t="s">
        <v>412</v>
      </c>
      <c r="AY20" t="s">
        <v>413</v>
      </c>
      <c r="AZ20" t="s">
        <v>414</v>
      </c>
      <c r="BA20" t="s">
        <v>415</v>
      </c>
      <c r="BB20" t="s">
        <v>336</v>
      </c>
      <c r="BC20" t="s">
        <v>416</v>
      </c>
      <c r="BD20" t="s">
        <v>114</v>
      </c>
      <c r="BE20">
        <v>42234</v>
      </c>
      <c r="BF20" t="s">
        <v>417</v>
      </c>
      <c r="BG20">
        <v>33</v>
      </c>
      <c r="BH20" t="s">
        <v>89</v>
      </c>
      <c r="BI20">
        <v>1</v>
      </c>
      <c r="BJ20">
        <v>5</v>
      </c>
      <c r="BK20">
        <v>0</v>
      </c>
      <c r="BL20">
        <v>0</v>
      </c>
      <c r="BM20">
        <v>6</v>
      </c>
      <c r="BN20">
        <v>5</v>
      </c>
      <c r="BO20">
        <v>17</v>
      </c>
      <c r="BP20">
        <v>0</v>
      </c>
      <c r="BQ20">
        <v>6</v>
      </c>
      <c r="BR20">
        <f t="shared" si="0"/>
        <v>6</v>
      </c>
      <c r="BS20">
        <f t="shared" si="1"/>
        <v>1</v>
      </c>
      <c r="BT20">
        <f t="shared" si="2"/>
        <v>1</v>
      </c>
      <c r="BU20">
        <f t="shared" si="3"/>
        <v>7</v>
      </c>
      <c r="BV20">
        <f t="shared" si="4"/>
        <v>6</v>
      </c>
      <c r="BW20">
        <f t="shared" si="5"/>
        <v>18</v>
      </c>
      <c r="BX20">
        <f t="shared" si="6"/>
        <v>1</v>
      </c>
      <c r="BY20">
        <f t="shared" si="7"/>
        <v>7</v>
      </c>
      <c r="BZ20">
        <f t="shared" si="8"/>
        <v>3.6536032568906793</v>
      </c>
      <c r="CA20">
        <v>3.6536032568906793</v>
      </c>
      <c r="CB20">
        <v>3.6536032568906793</v>
      </c>
      <c r="CC20">
        <v>3.6536032568906793</v>
      </c>
      <c r="CD20">
        <v>3.6536032568906793</v>
      </c>
      <c r="CE20">
        <v>3.6536032568906793</v>
      </c>
      <c r="CF20">
        <v>3.6536032568906793</v>
      </c>
      <c r="CG20">
        <v>3.6536032568906793</v>
      </c>
      <c r="CH20">
        <f t="shared" si="9"/>
        <v>0.21542986464625524</v>
      </c>
      <c r="CI20">
        <f t="shared" si="10"/>
        <v>-0.56272138573738839</v>
      </c>
      <c r="CJ20">
        <f t="shared" si="11"/>
        <v>-0.56272138573738839</v>
      </c>
      <c r="CK20">
        <f t="shared" si="12"/>
        <v>0.28237665427686842</v>
      </c>
      <c r="CL20">
        <f t="shared" si="13"/>
        <v>0.21542986464625524</v>
      </c>
      <c r="CM20">
        <f t="shared" si="14"/>
        <v>0.69255111936591773</v>
      </c>
      <c r="CN20">
        <f t="shared" si="15"/>
        <v>-0.56272138573738839</v>
      </c>
      <c r="CO20">
        <f t="shared" si="16"/>
        <v>0.28237665427686842</v>
      </c>
      <c r="CP20">
        <v>17</v>
      </c>
      <c r="CQ20">
        <v>-0.58549779712516503</v>
      </c>
      <c r="CR20">
        <v>-2.8101924918208301</v>
      </c>
      <c r="CS20">
        <v>-1.90638622950665</v>
      </c>
      <c r="CT20">
        <v>0.48521143151613</v>
      </c>
      <c r="CU20">
        <v>0.44491365191158899</v>
      </c>
      <c r="CV20">
        <v>-3.3058509527513699E-2</v>
      </c>
      <c r="CW20">
        <v>-2.83505630539632</v>
      </c>
      <c r="CX20">
        <v>0.31027460074320301</v>
      </c>
    </row>
    <row r="21" spans="1:102" x14ac:dyDescent="0.35">
      <c r="A21" t="s">
        <v>418</v>
      </c>
      <c r="B21" t="s">
        <v>78</v>
      </c>
      <c r="C21" t="s">
        <v>419</v>
      </c>
      <c r="D21" t="s">
        <v>80</v>
      </c>
      <c r="E21" t="s">
        <v>80</v>
      </c>
      <c r="F21" t="s">
        <v>81</v>
      </c>
      <c r="G21" t="s">
        <v>82</v>
      </c>
      <c r="H21" t="s">
        <v>420</v>
      </c>
      <c r="I21" t="s">
        <v>298</v>
      </c>
      <c r="J21" t="s">
        <v>162</v>
      </c>
      <c r="K21" t="s">
        <v>421</v>
      </c>
      <c r="L21" t="s">
        <v>422</v>
      </c>
      <c r="M21" t="s">
        <v>423</v>
      </c>
      <c r="N21">
        <v>63</v>
      </c>
      <c r="O21" t="s">
        <v>89</v>
      </c>
      <c r="P21">
        <v>1440</v>
      </c>
      <c r="Q21">
        <v>1</v>
      </c>
      <c r="R21">
        <v>211</v>
      </c>
      <c r="S21">
        <v>0.8226</v>
      </c>
      <c r="T21" t="s">
        <v>424</v>
      </c>
      <c r="U21" t="s">
        <v>425</v>
      </c>
      <c r="V21" t="s">
        <v>426</v>
      </c>
      <c r="W21" t="s">
        <v>427</v>
      </c>
      <c r="X21" t="s">
        <v>428</v>
      </c>
      <c r="Y21" t="s">
        <v>429</v>
      </c>
      <c r="Z21" t="s">
        <v>430</v>
      </c>
      <c r="AA21" t="s">
        <v>173</v>
      </c>
      <c r="AB21">
        <v>16212</v>
      </c>
      <c r="AC21">
        <v>17</v>
      </c>
      <c r="AD21" t="s">
        <v>431</v>
      </c>
      <c r="AE21">
        <v>18</v>
      </c>
      <c r="AF21" t="s">
        <v>99</v>
      </c>
      <c r="AG21" t="s">
        <v>432</v>
      </c>
      <c r="AH21" t="s">
        <v>80</v>
      </c>
      <c r="AI21" t="s">
        <v>80</v>
      </c>
      <c r="AJ21" t="s">
        <v>81</v>
      </c>
      <c r="AK21" t="s">
        <v>101</v>
      </c>
      <c r="AL21" t="s">
        <v>433</v>
      </c>
      <c r="AM21" t="s">
        <v>146</v>
      </c>
      <c r="AN21" t="s">
        <v>434</v>
      </c>
      <c r="AO21" t="s">
        <v>435</v>
      </c>
      <c r="AP21" t="s">
        <v>436</v>
      </c>
      <c r="AQ21">
        <v>33</v>
      </c>
      <c r="AR21" t="s">
        <v>89</v>
      </c>
      <c r="AS21">
        <v>1386</v>
      </c>
      <c r="AT21">
        <v>0.99639999999999995</v>
      </c>
      <c r="AU21">
        <v>162</v>
      </c>
      <c r="AV21">
        <v>0.94440000000000002</v>
      </c>
      <c r="AW21" t="s">
        <v>437</v>
      </c>
      <c r="AX21" t="s">
        <v>438</v>
      </c>
      <c r="AY21" t="s">
        <v>439</v>
      </c>
      <c r="AZ21" t="s">
        <v>153</v>
      </c>
      <c r="BA21" t="s">
        <v>440</v>
      </c>
      <c r="BB21" t="s">
        <v>112</v>
      </c>
      <c r="BC21" t="s">
        <v>441</v>
      </c>
      <c r="BD21" t="s">
        <v>114</v>
      </c>
      <c r="BE21">
        <v>24578</v>
      </c>
      <c r="BF21" t="s">
        <v>442</v>
      </c>
      <c r="BG21">
        <v>25</v>
      </c>
      <c r="BH21" t="s">
        <v>89</v>
      </c>
      <c r="BI21">
        <v>1</v>
      </c>
      <c r="BJ21">
        <v>13</v>
      </c>
      <c r="BK21">
        <v>4</v>
      </c>
      <c r="BL21">
        <v>11</v>
      </c>
      <c r="BM21">
        <v>17</v>
      </c>
      <c r="BN21">
        <v>11</v>
      </c>
      <c r="BO21">
        <v>31</v>
      </c>
      <c r="BP21">
        <v>11</v>
      </c>
      <c r="BQ21">
        <v>9</v>
      </c>
      <c r="BR21">
        <f t="shared" si="0"/>
        <v>14</v>
      </c>
      <c r="BS21">
        <f t="shared" si="1"/>
        <v>5</v>
      </c>
      <c r="BT21">
        <f t="shared" si="2"/>
        <v>12</v>
      </c>
      <c r="BU21">
        <f t="shared" si="3"/>
        <v>18</v>
      </c>
      <c r="BV21">
        <f t="shared" si="4"/>
        <v>12</v>
      </c>
      <c r="BW21">
        <f t="shared" si="5"/>
        <v>32</v>
      </c>
      <c r="BX21">
        <f t="shared" si="6"/>
        <v>12</v>
      </c>
      <c r="BY21">
        <f t="shared" si="7"/>
        <v>10</v>
      </c>
      <c r="BZ21">
        <f t="shared" si="8"/>
        <v>12.7462676209586</v>
      </c>
      <c r="CA21">
        <v>12.7462676209586</v>
      </c>
      <c r="CB21">
        <v>12.7462676209586</v>
      </c>
      <c r="CC21">
        <v>12.7462676209586</v>
      </c>
      <c r="CD21">
        <v>12.7462676209586</v>
      </c>
      <c r="CE21">
        <v>12.7462676209586</v>
      </c>
      <c r="CF21">
        <v>12.7462676209586</v>
      </c>
      <c r="CG21">
        <v>12.7462676209586</v>
      </c>
      <c r="CH21">
        <f t="shared" si="9"/>
        <v>4.0745002980695055E-2</v>
      </c>
      <c r="CI21">
        <f t="shared" si="10"/>
        <v>-0.40641302836152415</v>
      </c>
      <c r="CJ21">
        <f t="shared" si="11"/>
        <v>-2.6201786649918103E-2</v>
      </c>
      <c r="CK21">
        <f t="shared" si="12"/>
        <v>0.14988947240576311</v>
      </c>
      <c r="CL21">
        <f t="shared" si="13"/>
        <v>-2.6201786649918103E-2</v>
      </c>
      <c r="CM21">
        <f t="shared" si="14"/>
        <v>0.39976694562236303</v>
      </c>
      <c r="CN21">
        <f t="shared" si="15"/>
        <v>-2.6201786649918103E-2</v>
      </c>
      <c r="CO21">
        <f t="shared" si="16"/>
        <v>-0.10538303269754294</v>
      </c>
      <c r="CP21">
        <v>18</v>
      </c>
      <c r="CQ21">
        <v>-0.83342097479749599</v>
      </c>
      <c r="CR21">
        <v>0.62950803718455295</v>
      </c>
      <c r="CS21">
        <v>0.46462700391141498</v>
      </c>
      <c r="CT21">
        <v>0.18838902740071001</v>
      </c>
      <c r="CU21">
        <v>-0.16287053437091101</v>
      </c>
      <c r="CV21">
        <v>-0.61528629335835605</v>
      </c>
      <c r="CW21">
        <v>1.11438153768439</v>
      </c>
      <c r="CX21">
        <v>-0.44482763830544098</v>
      </c>
    </row>
    <row r="22" spans="1:102" x14ac:dyDescent="0.35">
      <c r="A22" t="s">
        <v>580</v>
      </c>
      <c r="B22" t="s">
        <v>78</v>
      </c>
      <c r="C22" t="s">
        <v>581</v>
      </c>
      <c r="D22" t="s">
        <v>80</v>
      </c>
      <c r="E22" t="s">
        <v>80</v>
      </c>
      <c r="F22" t="s">
        <v>81</v>
      </c>
      <c r="G22" t="s">
        <v>82</v>
      </c>
      <c r="H22" t="s">
        <v>509</v>
      </c>
      <c r="I22" t="s">
        <v>272</v>
      </c>
      <c r="J22" t="s">
        <v>85</v>
      </c>
      <c r="K22" t="s">
        <v>582</v>
      </c>
      <c r="L22" t="s">
        <v>583</v>
      </c>
      <c r="M22" t="s">
        <v>584</v>
      </c>
      <c r="N22">
        <v>51</v>
      </c>
      <c r="O22" t="s">
        <v>89</v>
      </c>
      <c r="P22">
        <v>1278</v>
      </c>
      <c r="Q22">
        <v>0.9375</v>
      </c>
      <c r="R22">
        <v>177</v>
      </c>
      <c r="S22">
        <v>0.85419999999999996</v>
      </c>
      <c r="T22" t="s">
        <v>199</v>
      </c>
      <c r="U22" t="s">
        <v>585</v>
      </c>
      <c r="V22" t="s">
        <v>586</v>
      </c>
      <c r="W22" t="s">
        <v>587</v>
      </c>
      <c r="X22" t="s">
        <v>588</v>
      </c>
      <c r="Y22" t="s">
        <v>589</v>
      </c>
      <c r="Z22" t="s">
        <v>590</v>
      </c>
      <c r="AA22" t="s">
        <v>591</v>
      </c>
      <c r="AB22">
        <v>40</v>
      </c>
      <c r="AC22">
        <v>1</v>
      </c>
      <c r="AD22" t="s">
        <v>592</v>
      </c>
      <c r="AE22">
        <v>19</v>
      </c>
      <c r="AF22" t="s">
        <v>99</v>
      </c>
      <c r="AG22" t="s">
        <v>593</v>
      </c>
      <c r="AH22" t="s">
        <v>80</v>
      </c>
      <c r="AI22" t="s">
        <v>80</v>
      </c>
      <c r="AJ22" t="s">
        <v>81</v>
      </c>
      <c r="AK22" t="s">
        <v>176</v>
      </c>
      <c r="AL22" t="s">
        <v>177</v>
      </c>
      <c r="AM22" t="s">
        <v>178</v>
      </c>
      <c r="AN22" t="s">
        <v>594</v>
      </c>
      <c r="AO22" t="s">
        <v>595</v>
      </c>
      <c r="AP22" t="s">
        <v>596</v>
      </c>
      <c r="AQ22">
        <v>39</v>
      </c>
      <c r="AR22" t="s">
        <v>89</v>
      </c>
      <c r="AS22">
        <v>1341</v>
      </c>
      <c r="AT22">
        <v>0.96179999999999999</v>
      </c>
      <c r="AU22">
        <v>163</v>
      </c>
      <c r="AV22">
        <v>0.92110000000000003</v>
      </c>
      <c r="AW22" t="s">
        <v>182</v>
      </c>
      <c r="AX22" t="s">
        <v>183</v>
      </c>
      <c r="AY22" t="s">
        <v>597</v>
      </c>
      <c r="AZ22" t="s">
        <v>598</v>
      </c>
      <c r="BA22" t="s">
        <v>599</v>
      </c>
      <c r="BB22" t="s">
        <v>600</v>
      </c>
      <c r="BC22" t="s">
        <v>601</v>
      </c>
      <c r="BD22" t="s">
        <v>189</v>
      </c>
      <c r="BE22">
        <v>61536</v>
      </c>
      <c r="BF22" t="s">
        <v>602</v>
      </c>
      <c r="BG22">
        <v>555</v>
      </c>
      <c r="BH22" t="s">
        <v>89</v>
      </c>
      <c r="BI22">
        <v>1</v>
      </c>
      <c r="BJ22">
        <v>91</v>
      </c>
      <c r="BK22">
        <v>0</v>
      </c>
      <c r="BL22">
        <v>27</v>
      </c>
      <c r="BM22">
        <v>867</v>
      </c>
      <c r="BN22">
        <v>1269</v>
      </c>
      <c r="BO22">
        <v>1619</v>
      </c>
      <c r="BP22">
        <v>5</v>
      </c>
      <c r="BQ22">
        <v>934</v>
      </c>
      <c r="BR22">
        <f t="shared" si="0"/>
        <v>92</v>
      </c>
      <c r="BS22">
        <f t="shared" si="1"/>
        <v>1</v>
      </c>
      <c r="BT22">
        <f t="shared" si="2"/>
        <v>28</v>
      </c>
      <c r="BU22">
        <f t="shared" si="3"/>
        <v>868</v>
      </c>
      <c r="BV22">
        <f t="shared" si="4"/>
        <v>1270</v>
      </c>
      <c r="BW22">
        <f t="shared" si="5"/>
        <v>1620</v>
      </c>
      <c r="BX22">
        <f t="shared" si="6"/>
        <v>6</v>
      </c>
      <c r="BY22">
        <f t="shared" si="7"/>
        <v>935</v>
      </c>
      <c r="BZ22">
        <f t="shared" si="8"/>
        <v>112.5818543175432</v>
      </c>
      <c r="CA22">
        <v>112.5818543175432</v>
      </c>
      <c r="CB22">
        <v>112.5818543175432</v>
      </c>
      <c r="CC22">
        <v>112.5818543175432</v>
      </c>
      <c r="CD22">
        <v>112.5818543175432</v>
      </c>
      <c r="CE22">
        <v>112.5818543175432</v>
      </c>
      <c r="CF22">
        <v>112.5818543175432</v>
      </c>
      <c r="CG22">
        <v>112.5818543175432</v>
      </c>
      <c r="CH22">
        <f t="shared" si="9"/>
        <v>-8.7680570231821631E-2</v>
      </c>
      <c r="CI22">
        <f t="shared" si="10"/>
        <v>-2.0514683975773771</v>
      </c>
      <c r="CJ22">
        <f t="shared" si="11"/>
        <v>-0.60431036623515766</v>
      </c>
      <c r="CK22">
        <f t="shared" si="12"/>
        <v>0.88705132759911498</v>
      </c>
      <c r="CL22">
        <f t="shared" si="13"/>
        <v>1.0523353233785799</v>
      </c>
      <c r="CM22">
        <f t="shared" si="14"/>
        <v>1.1580466169652541</v>
      </c>
      <c r="CN22">
        <f t="shared" si="15"/>
        <v>-1.2733171471937332</v>
      </c>
      <c r="CO22">
        <f t="shared" si="16"/>
        <v>0.9193432132951409</v>
      </c>
      <c r="CP22">
        <v>19</v>
      </c>
      <c r="CQ22">
        <v>-1.01569021038928</v>
      </c>
      <c r="CR22">
        <v>-2.8101924918208301</v>
      </c>
      <c r="CS22">
        <v>-0.99586661130607901</v>
      </c>
      <c r="CT22">
        <v>1.8399159977120501</v>
      </c>
      <c r="CU22">
        <v>2.5500099855352598</v>
      </c>
      <c r="CV22">
        <v>0.89262134702061802</v>
      </c>
      <c r="CW22">
        <v>-1.4068501180697801</v>
      </c>
      <c r="CX22">
        <v>1.5506688218824101</v>
      </c>
    </row>
    <row r="23" spans="1:102" x14ac:dyDescent="0.35">
      <c r="A23" t="s">
        <v>603</v>
      </c>
      <c r="B23" t="s">
        <v>99</v>
      </c>
      <c r="C23" t="s">
        <v>604</v>
      </c>
      <c r="D23" t="s">
        <v>80</v>
      </c>
      <c r="E23" t="s">
        <v>80</v>
      </c>
      <c r="F23" t="s">
        <v>81</v>
      </c>
      <c r="G23" t="s">
        <v>82</v>
      </c>
      <c r="H23" t="s">
        <v>555</v>
      </c>
      <c r="I23" t="s">
        <v>272</v>
      </c>
      <c r="J23" t="s">
        <v>85</v>
      </c>
      <c r="K23" t="s">
        <v>605</v>
      </c>
      <c r="L23" t="s">
        <v>606</v>
      </c>
      <c r="M23" t="s">
        <v>607</v>
      </c>
      <c r="N23">
        <v>60</v>
      </c>
      <c r="O23" t="s">
        <v>89</v>
      </c>
      <c r="P23">
        <v>1215</v>
      </c>
      <c r="Q23">
        <v>0.91320000000000001</v>
      </c>
      <c r="R23">
        <v>222</v>
      </c>
      <c r="S23">
        <v>0.95830000000000004</v>
      </c>
      <c r="T23" t="s">
        <v>608</v>
      </c>
      <c r="U23" t="s">
        <v>609</v>
      </c>
      <c r="V23" t="s">
        <v>610</v>
      </c>
      <c r="W23" t="s">
        <v>93</v>
      </c>
      <c r="X23" t="s">
        <v>611</v>
      </c>
      <c r="Y23" t="s">
        <v>612</v>
      </c>
      <c r="Z23" t="s">
        <v>613</v>
      </c>
      <c r="AA23" t="s">
        <v>173</v>
      </c>
      <c r="AB23">
        <v>14326</v>
      </c>
      <c r="AC23">
        <v>17</v>
      </c>
      <c r="AD23" t="s">
        <v>614</v>
      </c>
      <c r="AE23">
        <v>20</v>
      </c>
      <c r="AF23" t="s">
        <v>78</v>
      </c>
      <c r="AG23" t="s">
        <v>615</v>
      </c>
      <c r="AH23" t="s">
        <v>80</v>
      </c>
      <c r="AI23" t="s">
        <v>80</v>
      </c>
      <c r="AJ23" t="s">
        <v>81</v>
      </c>
      <c r="AK23" t="s">
        <v>101</v>
      </c>
      <c r="AL23" t="s">
        <v>567</v>
      </c>
      <c r="AM23" t="s">
        <v>146</v>
      </c>
      <c r="AN23" t="s">
        <v>616</v>
      </c>
      <c r="AO23" t="s">
        <v>617</v>
      </c>
      <c r="AP23" t="s">
        <v>618</v>
      </c>
      <c r="AQ23">
        <v>33</v>
      </c>
      <c r="AR23" t="s">
        <v>89</v>
      </c>
      <c r="AS23">
        <v>1341</v>
      </c>
      <c r="AT23">
        <v>0.97850000000000004</v>
      </c>
      <c r="AU23">
        <v>181</v>
      </c>
      <c r="AV23">
        <v>0.97370000000000001</v>
      </c>
      <c r="AW23" t="s">
        <v>572</v>
      </c>
      <c r="AX23" t="s">
        <v>619</v>
      </c>
      <c r="AY23" t="s">
        <v>620</v>
      </c>
      <c r="AZ23" t="s">
        <v>621</v>
      </c>
      <c r="BA23" t="s">
        <v>622</v>
      </c>
      <c r="BB23" t="s">
        <v>577</v>
      </c>
      <c r="BC23" t="s">
        <v>623</v>
      </c>
      <c r="BD23" t="s">
        <v>114</v>
      </c>
      <c r="BE23">
        <v>45758</v>
      </c>
      <c r="BF23" t="s">
        <v>624</v>
      </c>
      <c r="BG23">
        <v>42</v>
      </c>
      <c r="BH23" t="s">
        <v>89</v>
      </c>
      <c r="BI23">
        <v>1</v>
      </c>
      <c r="BJ23">
        <v>8</v>
      </c>
      <c r="BK23">
        <v>0</v>
      </c>
      <c r="BL23">
        <v>0</v>
      </c>
      <c r="BM23">
        <v>0</v>
      </c>
      <c r="BN23">
        <v>0</v>
      </c>
      <c r="BO23">
        <v>13</v>
      </c>
      <c r="BP23">
        <v>0</v>
      </c>
      <c r="BQ23">
        <v>0</v>
      </c>
      <c r="BR23">
        <f t="shared" si="0"/>
        <v>9</v>
      </c>
      <c r="BS23">
        <f t="shared" si="1"/>
        <v>1</v>
      </c>
      <c r="BT23">
        <f t="shared" si="2"/>
        <v>1</v>
      </c>
      <c r="BU23">
        <f t="shared" si="3"/>
        <v>1</v>
      </c>
      <c r="BV23">
        <f t="shared" si="4"/>
        <v>1</v>
      </c>
      <c r="BW23">
        <f t="shared" si="5"/>
        <v>14</v>
      </c>
      <c r="BX23">
        <f t="shared" si="6"/>
        <v>1</v>
      </c>
      <c r="BY23">
        <f t="shared" si="7"/>
        <v>1</v>
      </c>
      <c r="BZ23">
        <f t="shared" si="8"/>
        <v>1.8304013108699708</v>
      </c>
      <c r="CA23">
        <v>1.8304013108699708</v>
      </c>
      <c r="CB23">
        <v>1.8304013108699708</v>
      </c>
      <c r="CC23">
        <v>1.8304013108699708</v>
      </c>
      <c r="CD23">
        <v>1.8304013108699708</v>
      </c>
      <c r="CE23">
        <v>1.8304013108699708</v>
      </c>
      <c r="CF23">
        <v>1.8304013108699708</v>
      </c>
      <c r="CG23">
        <v>1.8304013108699708</v>
      </c>
      <c r="CH23">
        <f t="shared" si="9"/>
        <v>0.69169619129962956</v>
      </c>
      <c r="CI23">
        <f t="shared" si="10"/>
        <v>-0.26254631813969537</v>
      </c>
      <c r="CJ23">
        <f t="shared" si="11"/>
        <v>-0.26254631813969537</v>
      </c>
      <c r="CK23">
        <f t="shared" si="12"/>
        <v>-0.26254631813969537</v>
      </c>
      <c r="CL23">
        <f t="shared" si="13"/>
        <v>-0.26254631813969537</v>
      </c>
      <c r="CM23">
        <f t="shared" si="14"/>
        <v>0.88358171753854275</v>
      </c>
      <c r="CN23">
        <f t="shared" si="15"/>
        <v>-0.26254631813969537</v>
      </c>
      <c r="CO23">
        <f t="shared" si="16"/>
        <v>-0.26254631813969537</v>
      </c>
      <c r="CP23">
        <v>20</v>
      </c>
      <c r="CQ23">
        <v>9.0447788522068501E-2</v>
      </c>
      <c r="CR23">
        <v>-2.8101924918208301</v>
      </c>
      <c r="CS23">
        <v>-1.90638622950665</v>
      </c>
      <c r="CT23">
        <v>-2.7279301294217002</v>
      </c>
      <c r="CU23">
        <v>-1.52396762003097</v>
      </c>
      <c r="CV23">
        <v>0.34682309539607198</v>
      </c>
      <c r="CW23">
        <v>-2.83505630539632</v>
      </c>
      <c r="CX23">
        <v>-3.48945987673619</v>
      </c>
    </row>
    <row r="24" spans="1:102" x14ac:dyDescent="0.35">
      <c r="A24" t="s">
        <v>646</v>
      </c>
      <c r="B24" t="s">
        <v>78</v>
      </c>
      <c r="C24" t="s">
        <v>647</v>
      </c>
      <c r="D24" t="s">
        <v>80</v>
      </c>
      <c r="E24" t="s">
        <v>80</v>
      </c>
      <c r="F24" t="s">
        <v>81</v>
      </c>
      <c r="G24" t="s">
        <v>82</v>
      </c>
      <c r="H24" t="s">
        <v>648</v>
      </c>
      <c r="I24" t="s">
        <v>649</v>
      </c>
      <c r="J24" t="s">
        <v>133</v>
      </c>
      <c r="K24" t="s">
        <v>650</v>
      </c>
      <c r="L24" t="s">
        <v>651</v>
      </c>
      <c r="M24" t="s">
        <v>652</v>
      </c>
      <c r="N24">
        <v>57</v>
      </c>
      <c r="O24" t="s">
        <v>89</v>
      </c>
      <c r="P24">
        <v>1455</v>
      </c>
      <c r="Q24">
        <v>1</v>
      </c>
      <c r="R24">
        <v>228</v>
      </c>
      <c r="S24">
        <v>0.94120000000000004</v>
      </c>
      <c r="T24" t="s">
        <v>346</v>
      </c>
      <c r="U24" t="s">
        <v>653</v>
      </c>
      <c r="V24" t="s">
        <v>654</v>
      </c>
      <c r="W24" t="s">
        <v>93</v>
      </c>
      <c r="X24" t="s">
        <v>655</v>
      </c>
      <c r="Y24" t="s">
        <v>350</v>
      </c>
      <c r="Z24" t="s">
        <v>656</v>
      </c>
      <c r="AA24" t="s">
        <v>173</v>
      </c>
      <c r="AB24">
        <v>976</v>
      </c>
      <c r="AC24">
        <v>3</v>
      </c>
      <c r="AD24" t="s">
        <v>657</v>
      </c>
      <c r="AE24">
        <v>21</v>
      </c>
      <c r="AF24" t="s">
        <v>99</v>
      </c>
      <c r="AG24" t="s">
        <v>658</v>
      </c>
      <c r="AH24" t="s">
        <v>80</v>
      </c>
      <c r="AI24" t="s">
        <v>80</v>
      </c>
      <c r="AJ24" t="s">
        <v>81</v>
      </c>
      <c r="AK24" t="s">
        <v>176</v>
      </c>
      <c r="AL24" t="s">
        <v>659</v>
      </c>
      <c r="AM24" t="s">
        <v>178</v>
      </c>
      <c r="AN24" t="s">
        <v>660</v>
      </c>
      <c r="AO24" t="s">
        <v>661</v>
      </c>
      <c r="AP24" t="s">
        <v>662</v>
      </c>
      <c r="AQ24">
        <v>33</v>
      </c>
      <c r="AR24" t="s">
        <v>89</v>
      </c>
      <c r="AS24">
        <v>1395</v>
      </c>
      <c r="AT24">
        <v>1</v>
      </c>
      <c r="AU24">
        <v>180</v>
      </c>
      <c r="AV24">
        <v>1</v>
      </c>
      <c r="AW24" t="s">
        <v>663</v>
      </c>
      <c r="AX24" t="s">
        <v>664</v>
      </c>
      <c r="AY24" t="s">
        <v>665</v>
      </c>
      <c r="AZ24" t="s">
        <v>185</v>
      </c>
      <c r="BA24" t="s">
        <v>666</v>
      </c>
      <c r="BB24" t="s">
        <v>667</v>
      </c>
      <c r="BC24" t="s">
        <v>668</v>
      </c>
      <c r="BD24" t="s">
        <v>189</v>
      </c>
      <c r="BE24">
        <v>12448</v>
      </c>
      <c r="BF24" t="s">
        <v>669</v>
      </c>
      <c r="BG24">
        <v>13</v>
      </c>
      <c r="BH24" t="s">
        <v>89</v>
      </c>
      <c r="BI24">
        <v>1</v>
      </c>
      <c r="BJ24">
        <v>7</v>
      </c>
      <c r="BK24">
        <v>0</v>
      </c>
      <c r="BL24">
        <v>9</v>
      </c>
      <c r="BM24">
        <v>7</v>
      </c>
      <c r="BN24">
        <v>12</v>
      </c>
      <c r="BO24">
        <v>21</v>
      </c>
      <c r="BP24">
        <v>5</v>
      </c>
      <c r="BQ24">
        <v>10</v>
      </c>
      <c r="BR24">
        <f t="shared" si="0"/>
        <v>8</v>
      </c>
      <c r="BS24">
        <f t="shared" si="1"/>
        <v>1</v>
      </c>
      <c r="BT24">
        <f t="shared" si="2"/>
        <v>10</v>
      </c>
      <c r="BU24">
        <f t="shared" si="3"/>
        <v>8</v>
      </c>
      <c r="BV24">
        <f t="shared" si="4"/>
        <v>13</v>
      </c>
      <c r="BW24">
        <f t="shared" si="5"/>
        <v>22</v>
      </c>
      <c r="BX24">
        <f t="shared" si="6"/>
        <v>6</v>
      </c>
      <c r="BY24">
        <f t="shared" si="7"/>
        <v>11</v>
      </c>
      <c r="BZ24">
        <f t="shared" si="8"/>
        <v>7.6782322213308589</v>
      </c>
      <c r="CA24">
        <v>7.6782322213308589</v>
      </c>
      <c r="CB24">
        <v>7.6782322213308589</v>
      </c>
      <c r="CC24">
        <v>7.6782322213308589</v>
      </c>
      <c r="CD24">
        <v>7.6782322213308589</v>
      </c>
      <c r="CE24">
        <v>7.6782322213308589</v>
      </c>
      <c r="CF24">
        <v>7.6782322213308589</v>
      </c>
      <c r="CG24">
        <v>7.6782322213308589</v>
      </c>
      <c r="CH24">
        <f t="shared" si="9"/>
        <v>1.7828744160093724E-2</v>
      </c>
      <c r="CI24">
        <f t="shared" si="10"/>
        <v>-0.88526124283184982</v>
      </c>
      <c r="CJ24">
        <f t="shared" si="11"/>
        <v>0.11473875716815014</v>
      </c>
      <c r="CK24">
        <f t="shared" si="12"/>
        <v>1.7828744160093724E-2</v>
      </c>
      <c r="CL24">
        <f t="shared" si="13"/>
        <v>0.22868210947498691</v>
      </c>
      <c r="CM24">
        <f t="shared" si="14"/>
        <v>0.45716143799035636</v>
      </c>
      <c r="CN24">
        <f t="shared" si="15"/>
        <v>-0.10710999244820624</v>
      </c>
      <c r="CO24">
        <f t="shared" si="16"/>
        <v>0.15613144232637519</v>
      </c>
      <c r="CP24">
        <v>21</v>
      </c>
      <c r="CQ24">
        <v>-0.86594509653875096</v>
      </c>
      <c r="CR24">
        <v>-2.8101924918208301</v>
      </c>
      <c r="CS24">
        <v>0.82068946629391504</v>
      </c>
      <c r="CT24">
        <v>-0.10747795605772401</v>
      </c>
      <c r="CU24">
        <v>0.47824746723106698</v>
      </c>
      <c r="CV24">
        <v>-0.50115215943900704</v>
      </c>
      <c r="CW24">
        <v>0.95081340587983898</v>
      </c>
      <c r="CX24">
        <v>6.4431504064411296E-2</v>
      </c>
    </row>
    <row r="25" spans="1:102" x14ac:dyDescent="0.35">
      <c r="A25" t="s">
        <v>714</v>
      </c>
      <c r="B25" t="s">
        <v>78</v>
      </c>
      <c r="C25" t="s">
        <v>715</v>
      </c>
      <c r="D25" t="s">
        <v>80</v>
      </c>
      <c r="E25" t="s">
        <v>80</v>
      </c>
      <c r="F25" t="s">
        <v>81</v>
      </c>
      <c r="G25" t="s">
        <v>82</v>
      </c>
      <c r="H25" t="s">
        <v>716</v>
      </c>
      <c r="I25" t="s">
        <v>272</v>
      </c>
      <c r="J25" t="s">
        <v>133</v>
      </c>
      <c r="K25" t="s">
        <v>717</v>
      </c>
      <c r="L25" t="s">
        <v>718</v>
      </c>
      <c r="M25" t="s">
        <v>719</v>
      </c>
      <c r="N25">
        <v>57</v>
      </c>
      <c r="O25" t="s">
        <v>89</v>
      </c>
      <c r="P25">
        <v>1455</v>
      </c>
      <c r="Q25">
        <v>1</v>
      </c>
      <c r="R25">
        <v>237</v>
      </c>
      <c r="S25">
        <v>0.96079999999999999</v>
      </c>
      <c r="T25" t="s">
        <v>720</v>
      </c>
      <c r="U25" t="s">
        <v>721</v>
      </c>
      <c r="V25" t="s">
        <v>722</v>
      </c>
      <c r="W25" t="s">
        <v>93</v>
      </c>
      <c r="X25" t="s">
        <v>723</v>
      </c>
      <c r="Y25" t="s">
        <v>724</v>
      </c>
      <c r="Z25" t="s">
        <v>725</v>
      </c>
      <c r="AA25" t="s">
        <v>173</v>
      </c>
      <c r="AB25">
        <v>4616</v>
      </c>
      <c r="AC25">
        <v>6</v>
      </c>
      <c r="AD25" t="s">
        <v>726</v>
      </c>
      <c r="AE25">
        <v>22</v>
      </c>
      <c r="AF25" t="s">
        <v>99</v>
      </c>
      <c r="AG25" t="s">
        <v>727</v>
      </c>
      <c r="AH25" t="s">
        <v>80</v>
      </c>
      <c r="AI25" t="s">
        <v>80</v>
      </c>
      <c r="AJ25" t="s">
        <v>81</v>
      </c>
      <c r="AK25" t="s">
        <v>101</v>
      </c>
      <c r="AL25" t="s">
        <v>102</v>
      </c>
      <c r="AM25" t="s">
        <v>103</v>
      </c>
      <c r="AN25" t="s">
        <v>728</v>
      </c>
      <c r="AO25" t="s">
        <v>729</v>
      </c>
      <c r="AP25" t="s">
        <v>730</v>
      </c>
      <c r="AQ25">
        <v>33</v>
      </c>
      <c r="AR25" t="s">
        <v>89</v>
      </c>
      <c r="AS25">
        <v>1395</v>
      </c>
      <c r="AT25">
        <v>1</v>
      </c>
      <c r="AU25">
        <v>180</v>
      </c>
      <c r="AV25">
        <v>1</v>
      </c>
      <c r="AW25" t="s">
        <v>122</v>
      </c>
      <c r="AX25" t="s">
        <v>731</v>
      </c>
      <c r="AY25" t="s">
        <v>732</v>
      </c>
      <c r="AZ25" t="s">
        <v>125</v>
      </c>
      <c r="BA25" t="s">
        <v>733</v>
      </c>
      <c r="BB25" t="s">
        <v>112</v>
      </c>
      <c r="BC25" t="s">
        <v>734</v>
      </c>
      <c r="BD25" t="s">
        <v>114</v>
      </c>
      <c r="BE25">
        <v>11042</v>
      </c>
      <c r="BF25" t="s">
        <v>735</v>
      </c>
      <c r="BG25">
        <v>13</v>
      </c>
      <c r="BH25" t="s">
        <v>89</v>
      </c>
      <c r="BI25">
        <v>1</v>
      </c>
      <c r="BJ25">
        <v>11</v>
      </c>
      <c r="BK25">
        <v>0</v>
      </c>
      <c r="BL25">
        <v>9</v>
      </c>
      <c r="BM25">
        <v>4</v>
      </c>
      <c r="BN25">
        <v>7</v>
      </c>
      <c r="BO25">
        <v>36</v>
      </c>
      <c r="BP25">
        <v>6</v>
      </c>
      <c r="BQ25">
        <v>8</v>
      </c>
      <c r="BR25">
        <f t="shared" si="0"/>
        <v>12</v>
      </c>
      <c r="BS25">
        <f t="shared" si="1"/>
        <v>1</v>
      </c>
      <c r="BT25">
        <f t="shared" si="2"/>
        <v>10</v>
      </c>
      <c r="BU25">
        <f t="shared" si="3"/>
        <v>5</v>
      </c>
      <c r="BV25">
        <f t="shared" si="4"/>
        <v>8</v>
      </c>
      <c r="BW25">
        <f t="shared" si="5"/>
        <v>37</v>
      </c>
      <c r="BX25">
        <f t="shared" si="6"/>
        <v>7</v>
      </c>
      <c r="BY25">
        <f t="shared" si="7"/>
        <v>9</v>
      </c>
      <c r="BZ25">
        <f t="shared" si="8"/>
        <v>7.6049775940315127</v>
      </c>
      <c r="CA25">
        <v>7.6049775940315127</v>
      </c>
      <c r="CB25">
        <v>7.6049775940315127</v>
      </c>
      <c r="CC25">
        <v>7.6049775940315127</v>
      </c>
      <c r="CD25">
        <v>7.6049775940315127</v>
      </c>
      <c r="CE25">
        <v>7.6049775940315127</v>
      </c>
      <c r="CF25">
        <v>7.6049775940315127</v>
      </c>
      <c r="CG25">
        <v>7.6049775940315127</v>
      </c>
      <c r="CH25">
        <f t="shared" si="9"/>
        <v>0.19808330718560435</v>
      </c>
      <c r="CI25">
        <f t="shared" si="10"/>
        <v>-0.88109793886202048</v>
      </c>
      <c r="CJ25">
        <f t="shared" si="11"/>
        <v>0.11890206113797952</v>
      </c>
      <c r="CK25">
        <f t="shared" si="12"/>
        <v>-0.18212793452600168</v>
      </c>
      <c r="CL25">
        <f t="shared" si="13"/>
        <v>2.19920481299231E-2</v>
      </c>
      <c r="CM25">
        <f t="shared" si="14"/>
        <v>0.6871037852049745</v>
      </c>
      <c r="CN25">
        <f t="shared" si="15"/>
        <v>-3.5999898847763653E-2</v>
      </c>
      <c r="CO25">
        <f t="shared" si="16"/>
        <v>7.3144570577304432E-2</v>
      </c>
      <c r="CP25">
        <v>22</v>
      </c>
      <c r="CQ25">
        <v>-0.61011706639850305</v>
      </c>
      <c r="CR25">
        <v>-2.8101924918208301</v>
      </c>
      <c r="CS25">
        <v>0.83120735009786695</v>
      </c>
      <c r="CT25">
        <v>-0.55545806438460998</v>
      </c>
      <c r="CU25">
        <v>-4.1646967431843901E-2</v>
      </c>
      <c r="CV25">
        <v>-4.3891025697222898E-2</v>
      </c>
      <c r="CW25">
        <v>1.0945731771899301</v>
      </c>
      <c r="CX25">
        <v>-9.7172640910827501E-2</v>
      </c>
    </row>
    <row r="26" spans="1:102" x14ac:dyDescent="0.35">
      <c r="A26" t="s">
        <v>670</v>
      </c>
      <c r="B26" t="s">
        <v>78</v>
      </c>
      <c r="C26" t="s">
        <v>671</v>
      </c>
      <c r="D26" t="s">
        <v>80</v>
      </c>
      <c r="E26" t="s">
        <v>80</v>
      </c>
      <c r="F26" t="s">
        <v>81</v>
      </c>
      <c r="G26" t="s">
        <v>82</v>
      </c>
      <c r="H26" t="s">
        <v>131</v>
      </c>
      <c r="I26" t="s">
        <v>369</v>
      </c>
      <c r="J26" t="s">
        <v>85</v>
      </c>
      <c r="K26" t="s">
        <v>672</v>
      </c>
      <c r="L26" t="s">
        <v>673</v>
      </c>
      <c r="M26" t="s">
        <v>674</v>
      </c>
      <c r="N26">
        <v>33</v>
      </c>
      <c r="O26" t="s">
        <v>89</v>
      </c>
      <c r="P26">
        <v>1377</v>
      </c>
      <c r="Q26">
        <v>0.97570000000000001</v>
      </c>
      <c r="R26">
        <v>141</v>
      </c>
      <c r="S26">
        <v>0.77080000000000004</v>
      </c>
      <c r="T26" t="s">
        <v>675</v>
      </c>
      <c r="U26" t="s">
        <v>676</v>
      </c>
      <c r="V26" t="s">
        <v>677</v>
      </c>
      <c r="W26" t="s">
        <v>93</v>
      </c>
      <c r="X26" t="s">
        <v>495</v>
      </c>
      <c r="Y26" t="s">
        <v>496</v>
      </c>
      <c r="Z26" t="s">
        <v>678</v>
      </c>
      <c r="AA26" t="s">
        <v>173</v>
      </c>
      <c r="AB26">
        <v>19412</v>
      </c>
      <c r="AC26">
        <v>24</v>
      </c>
      <c r="AD26" t="s">
        <v>679</v>
      </c>
      <c r="AE26">
        <v>23</v>
      </c>
      <c r="AF26" t="s">
        <v>99</v>
      </c>
      <c r="AG26" t="s">
        <v>680</v>
      </c>
      <c r="AH26" t="s">
        <v>80</v>
      </c>
      <c r="AI26" t="s">
        <v>80</v>
      </c>
      <c r="AJ26" t="s">
        <v>81</v>
      </c>
      <c r="AK26" t="s">
        <v>176</v>
      </c>
      <c r="AL26" t="s">
        <v>681</v>
      </c>
      <c r="AM26" t="s">
        <v>261</v>
      </c>
      <c r="AN26" t="s">
        <v>682</v>
      </c>
      <c r="AO26" t="s">
        <v>683</v>
      </c>
      <c r="AP26" t="s">
        <v>684</v>
      </c>
      <c r="AQ26">
        <v>36</v>
      </c>
      <c r="AR26" t="s">
        <v>89</v>
      </c>
      <c r="AS26">
        <v>1386</v>
      </c>
      <c r="AT26">
        <v>0.97919999999999996</v>
      </c>
      <c r="AU26">
        <v>180</v>
      </c>
      <c r="AV26">
        <v>1</v>
      </c>
      <c r="AW26" t="s">
        <v>685</v>
      </c>
      <c r="AX26" t="s">
        <v>686</v>
      </c>
      <c r="AY26" t="s">
        <v>687</v>
      </c>
      <c r="AZ26" t="s">
        <v>185</v>
      </c>
      <c r="BA26" t="s">
        <v>688</v>
      </c>
      <c r="BB26" t="s">
        <v>689</v>
      </c>
      <c r="BC26" t="s">
        <v>690</v>
      </c>
      <c r="BD26" t="s">
        <v>189</v>
      </c>
      <c r="BE26">
        <v>25602</v>
      </c>
      <c r="BF26" t="s">
        <v>691</v>
      </c>
      <c r="BG26">
        <v>24</v>
      </c>
      <c r="BH26" t="s">
        <v>89</v>
      </c>
      <c r="BI26">
        <v>1</v>
      </c>
      <c r="BJ26">
        <v>188</v>
      </c>
      <c r="BK26">
        <v>0</v>
      </c>
      <c r="BL26">
        <v>197</v>
      </c>
      <c r="BM26">
        <v>11</v>
      </c>
      <c r="BN26">
        <v>20</v>
      </c>
      <c r="BO26">
        <v>2378</v>
      </c>
      <c r="BP26">
        <v>0</v>
      </c>
      <c r="BQ26">
        <v>16</v>
      </c>
      <c r="BR26">
        <f t="shared" si="0"/>
        <v>189</v>
      </c>
      <c r="BS26">
        <f t="shared" si="1"/>
        <v>1</v>
      </c>
      <c r="BT26">
        <f t="shared" si="2"/>
        <v>198</v>
      </c>
      <c r="BU26">
        <f t="shared" si="3"/>
        <v>12</v>
      </c>
      <c r="BV26">
        <f t="shared" si="4"/>
        <v>21</v>
      </c>
      <c r="BW26">
        <f t="shared" si="5"/>
        <v>2379</v>
      </c>
      <c r="BX26">
        <f t="shared" si="6"/>
        <v>1</v>
      </c>
      <c r="BY26">
        <f t="shared" si="7"/>
        <v>17</v>
      </c>
      <c r="BZ26">
        <f t="shared" si="8"/>
        <v>28.033115238837635</v>
      </c>
      <c r="CA26">
        <v>28.033115238837635</v>
      </c>
      <c r="CB26">
        <v>28.033115238837635</v>
      </c>
      <c r="CC26">
        <v>28.033115238837635</v>
      </c>
      <c r="CD26">
        <v>28.033115238837635</v>
      </c>
      <c r="CE26">
        <v>28.033115238837635</v>
      </c>
      <c r="CF26">
        <v>28.033115238837635</v>
      </c>
      <c r="CG26">
        <v>28.033115238837635</v>
      </c>
      <c r="CH26">
        <f t="shared" si="9"/>
        <v>0.82879044184426165</v>
      </c>
      <c r="CI26">
        <f t="shared" si="10"/>
        <v>-1.4476713623289825</v>
      </c>
      <c r="CJ26">
        <f t="shared" si="11"/>
        <v>0.84899382793254863</v>
      </c>
      <c r="CK26">
        <f t="shared" si="12"/>
        <v>-0.36849011628135764</v>
      </c>
      <c r="CL26">
        <f t="shared" si="13"/>
        <v>-0.12545206759506322</v>
      </c>
      <c r="CM26">
        <f t="shared" si="14"/>
        <v>1.9287230797082837</v>
      </c>
      <c r="CN26">
        <f t="shared" si="15"/>
        <v>-1.4476713623289825</v>
      </c>
      <c r="CO26">
        <f t="shared" si="16"/>
        <v>-0.2172224409507085</v>
      </c>
      <c r="CP26">
        <v>23</v>
      </c>
      <c r="CQ26">
        <v>0.28502012817165201</v>
      </c>
      <c r="CR26">
        <v>-2.8101924918208301</v>
      </c>
      <c r="CS26">
        <v>2.6756607998137198</v>
      </c>
      <c r="CT26">
        <v>-0.972981254504513</v>
      </c>
      <c r="CU26">
        <v>-0.41251809055392002</v>
      </c>
      <c r="CV26">
        <v>2.4251811272035599</v>
      </c>
      <c r="CW26">
        <v>-2.83505630539632</v>
      </c>
      <c r="CX26">
        <v>-0.66261765212762003</v>
      </c>
    </row>
    <row r="27" spans="1:102" x14ac:dyDescent="0.35">
      <c r="A27" t="s">
        <v>768</v>
      </c>
      <c r="B27" t="s">
        <v>99</v>
      </c>
      <c r="C27" t="s">
        <v>769</v>
      </c>
      <c r="D27" t="s">
        <v>80</v>
      </c>
      <c r="E27" t="s">
        <v>80</v>
      </c>
      <c r="F27" t="s">
        <v>81</v>
      </c>
      <c r="G27" t="s">
        <v>82</v>
      </c>
      <c r="H27" t="s">
        <v>770</v>
      </c>
      <c r="I27" t="s">
        <v>771</v>
      </c>
      <c r="J27" t="s">
        <v>85</v>
      </c>
      <c r="K27" t="s">
        <v>772</v>
      </c>
      <c r="L27" t="s">
        <v>773</v>
      </c>
      <c r="M27" t="s">
        <v>774</v>
      </c>
      <c r="N27">
        <v>45</v>
      </c>
      <c r="O27" t="s">
        <v>89</v>
      </c>
      <c r="P27">
        <v>1137</v>
      </c>
      <c r="Q27">
        <v>0.88770000000000004</v>
      </c>
      <c r="R27">
        <v>186</v>
      </c>
      <c r="S27">
        <v>0.875</v>
      </c>
      <c r="T27" t="s">
        <v>775</v>
      </c>
      <c r="U27" t="s">
        <v>776</v>
      </c>
      <c r="V27" t="s">
        <v>777</v>
      </c>
      <c r="W27" t="s">
        <v>778</v>
      </c>
      <c r="X27" t="s">
        <v>779</v>
      </c>
      <c r="Y27" t="s">
        <v>780</v>
      </c>
      <c r="Z27" t="s">
        <v>781</v>
      </c>
      <c r="AA27" t="s">
        <v>405</v>
      </c>
      <c r="AB27">
        <v>2504</v>
      </c>
      <c r="AC27">
        <v>8</v>
      </c>
      <c r="AD27" t="s">
        <v>782</v>
      </c>
      <c r="AE27">
        <v>24</v>
      </c>
      <c r="AF27" t="s">
        <v>78</v>
      </c>
      <c r="AG27" t="s">
        <v>783</v>
      </c>
      <c r="AH27" t="s">
        <v>80</v>
      </c>
      <c r="AI27" t="s">
        <v>80</v>
      </c>
      <c r="AJ27" t="s">
        <v>81</v>
      </c>
      <c r="AK27" t="s">
        <v>101</v>
      </c>
      <c r="AL27" t="s">
        <v>784</v>
      </c>
      <c r="AM27" t="s">
        <v>103</v>
      </c>
      <c r="AN27" t="s">
        <v>785</v>
      </c>
      <c r="AO27" t="s">
        <v>786</v>
      </c>
      <c r="AP27" t="s">
        <v>787</v>
      </c>
      <c r="AQ27">
        <v>33</v>
      </c>
      <c r="AR27" t="s">
        <v>89</v>
      </c>
      <c r="AS27">
        <v>1407</v>
      </c>
      <c r="AT27">
        <v>0.97619999999999996</v>
      </c>
      <c r="AU27">
        <v>180</v>
      </c>
      <c r="AV27">
        <v>1</v>
      </c>
      <c r="AW27" t="s">
        <v>788</v>
      </c>
      <c r="AX27" t="s">
        <v>789</v>
      </c>
      <c r="AY27" t="s">
        <v>790</v>
      </c>
      <c r="AZ27" t="s">
        <v>125</v>
      </c>
      <c r="BA27" t="s">
        <v>791</v>
      </c>
      <c r="BB27" t="s">
        <v>792</v>
      </c>
      <c r="BC27" t="s">
        <v>793</v>
      </c>
      <c r="BD27" t="s">
        <v>114</v>
      </c>
      <c r="BE27">
        <v>67616</v>
      </c>
      <c r="BF27" t="s">
        <v>794</v>
      </c>
      <c r="BG27">
        <v>91</v>
      </c>
      <c r="BH27" t="s">
        <v>89</v>
      </c>
      <c r="BI27">
        <v>1</v>
      </c>
      <c r="BJ27">
        <v>5</v>
      </c>
      <c r="BK27">
        <v>0</v>
      </c>
      <c r="BL27">
        <v>0</v>
      </c>
      <c r="BM27">
        <v>0</v>
      </c>
      <c r="BN27">
        <v>4</v>
      </c>
      <c r="BO27">
        <v>10</v>
      </c>
      <c r="BP27">
        <v>0</v>
      </c>
      <c r="BQ27">
        <v>0</v>
      </c>
      <c r="BR27">
        <f t="shared" si="0"/>
        <v>6</v>
      </c>
      <c r="BS27">
        <f t="shared" si="1"/>
        <v>1</v>
      </c>
      <c r="BT27">
        <f t="shared" si="2"/>
        <v>1</v>
      </c>
      <c r="BU27">
        <f t="shared" si="3"/>
        <v>1</v>
      </c>
      <c r="BV27">
        <f t="shared" si="4"/>
        <v>5</v>
      </c>
      <c r="BW27">
        <f t="shared" si="5"/>
        <v>11</v>
      </c>
      <c r="BX27">
        <f t="shared" si="6"/>
        <v>1</v>
      </c>
      <c r="BY27">
        <f t="shared" si="7"/>
        <v>1</v>
      </c>
      <c r="BZ27">
        <f t="shared" si="8"/>
        <v>2.0644969351767903</v>
      </c>
      <c r="CA27">
        <v>2.0644969351767903</v>
      </c>
      <c r="CB27">
        <v>2.0644969351767903</v>
      </c>
      <c r="CC27">
        <v>2.0644969351767903</v>
      </c>
      <c r="CD27">
        <v>2.0644969351767903</v>
      </c>
      <c r="CE27">
        <v>2.0644969351767903</v>
      </c>
      <c r="CF27">
        <v>2.0644969351767903</v>
      </c>
      <c r="CG27">
        <v>2.0644969351767903</v>
      </c>
      <c r="CH27">
        <f t="shared" si="9"/>
        <v>0.46333700789890764</v>
      </c>
      <c r="CI27">
        <f t="shared" si="10"/>
        <v>-0.31481424248473594</v>
      </c>
      <c r="CJ27">
        <f t="shared" si="11"/>
        <v>-0.31481424248473594</v>
      </c>
      <c r="CK27">
        <f t="shared" si="12"/>
        <v>-0.31481424248473594</v>
      </c>
      <c r="CL27">
        <f t="shared" si="13"/>
        <v>0.38415576185128281</v>
      </c>
      <c r="CM27">
        <f t="shared" si="14"/>
        <v>0.72657844267348903</v>
      </c>
      <c r="CN27">
        <f t="shared" si="15"/>
        <v>-0.31481424248473594</v>
      </c>
      <c r="CO27">
        <f t="shared" si="16"/>
        <v>-0.31481424248473594</v>
      </c>
      <c r="CP27">
        <v>24</v>
      </c>
      <c r="CQ27">
        <v>-0.23365318885831801</v>
      </c>
      <c r="CR27">
        <v>-2.8101924918208301</v>
      </c>
      <c r="CS27">
        <v>-1.90638622950665</v>
      </c>
      <c r="CT27">
        <v>-2.7279301294217002</v>
      </c>
      <c r="CU27">
        <v>0.86931555285231499</v>
      </c>
      <c r="CV27">
        <v>3.4607897388372201E-2</v>
      </c>
      <c r="CW27">
        <v>-2.83505630539632</v>
      </c>
      <c r="CX27">
        <v>-3.48945987673619</v>
      </c>
    </row>
    <row r="28" spans="1:102" x14ac:dyDescent="0.35">
      <c r="A28" t="s">
        <v>945</v>
      </c>
      <c r="B28" t="s">
        <v>99</v>
      </c>
      <c r="C28" t="s">
        <v>946</v>
      </c>
      <c r="D28" t="s">
        <v>80</v>
      </c>
      <c r="E28" t="s">
        <v>80</v>
      </c>
      <c r="F28" t="s">
        <v>81</v>
      </c>
      <c r="G28" t="s">
        <v>82</v>
      </c>
      <c r="H28" t="s">
        <v>840</v>
      </c>
      <c r="I28" t="s">
        <v>272</v>
      </c>
      <c r="J28" t="s">
        <v>628</v>
      </c>
      <c r="K28" t="s">
        <v>947</v>
      </c>
      <c r="L28" t="s">
        <v>948</v>
      </c>
      <c r="M28" t="s">
        <v>949</v>
      </c>
      <c r="N28">
        <v>57</v>
      </c>
      <c r="O28" t="s">
        <v>89</v>
      </c>
      <c r="P28">
        <v>1440</v>
      </c>
      <c r="Q28">
        <v>1</v>
      </c>
      <c r="R28">
        <v>251</v>
      </c>
      <c r="S28">
        <v>0.98080000000000001</v>
      </c>
      <c r="T28" t="s">
        <v>950</v>
      </c>
      <c r="U28" t="s">
        <v>322</v>
      </c>
      <c r="V28" t="s">
        <v>951</v>
      </c>
      <c r="W28" t="s">
        <v>952</v>
      </c>
      <c r="X28" t="s">
        <v>514</v>
      </c>
      <c r="Y28" t="s">
        <v>953</v>
      </c>
      <c r="Z28" t="s">
        <v>954</v>
      </c>
      <c r="AA28" t="s">
        <v>173</v>
      </c>
      <c r="AB28">
        <v>210</v>
      </c>
      <c r="AC28">
        <v>1</v>
      </c>
      <c r="AD28" t="s">
        <v>955</v>
      </c>
      <c r="AE28">
        <v>25</v>
      </c>
      <c r="AF28" t="s">
        <v>78</v>
      </c>
      <c r="AG28" t="s">
        <v>956</v>
      </c>
      <c r="AH28" t="s">
        <v>80</v>
      </c>
      <c r="AI28" t="s">
        <v>80</v>
      </c>
      <c r="AJ28" t="s">
        <v>81</v>
      </c>
      <c r="AK28" t="s">
        <v>101</v>
      </c>
      <c r="AL28" t="s">
        <v>102</v>
      </c>
      <c r="AM28" t="s">
        <v>103</v>
      </c>
      <c r="AN28" t="s">
        <v>957</v>
      </c>
      <c r="AO28" t="s">
        <v>958</v>
      </c>
      <c r="AP28" t="s">
        <v>959</v>
      </c>
      <c r="AQ28">
        <v>33</v>
      </c>
      <c r="AR28" t="s">
        <v>89</v>
      </c>
      <c r="AS28">
        <v>1395</v>
      </c>
      <c r="AT28">
        <v>1</v>
      </c>
      <c r="AU28">
        <v>171</v>
      </c>
      <c r="AV28">
        <v>0.97219999999999995</v>
      </c>
      <c r="AW28" t="s">
        <v>122</v>
      </c>
      <c r="AX28" t="s">
        <v>731</v>
      </c>
      <c r="AY28" t="s">
        <v>732</v>
      </c>
      <c r="AZ28" t="s">
        <v>125</v>
      </c>
      <c r="BA28" t="s">
        <v>733</v>
      </c>
      <c r="BB28" t="s">
        <v>112</v>
      </c>
      <c r="BC28" t="s">
        <v>960</v>
      </c>
      <c r="BD28" t="s">
        <v>114</v>
      </c>
      <c r="BE28">
        <v>5178</v>
      </c>
      <c r="BF28" t="s">
        <v>735</v>
      </c>
      <c r="BG28">
        <v>6</v>
      </c>
      <c r="BH28" t="s">
        <v>89</v>
      </c>
      <c r="BI28">
        <v>1</v>
      </c>
      <c r="BJ28">
        <v>10</v>
      </c>
      <c r="BK28">
        <v>0</v>
      </c>
      <c r="BL28">
        <v>7</v>
      </c>
      <c r="BM28">
        <v>9</v>
      </c>
      <c r="BN28">
        <v>7</v>
      </c>
      <c r="BO28">
        <v>16</v>
      </c>
      <c r="BP28">
        <v>0</v>
      </c>
      <c r="BQ28">
        <v>13</v>
      </c>
      <c r="BR28">
        <f t="shared" si="0"/>
        <v>11</v>
      </c>
      <c r="BS28">
        <f t="shared" si="1"/>
        <v>1</v>
      </c>
      <c r="BT28">
        <f t="shared" si="2"/>
        <v>8</v>
      </c>
      <c r="BU28">
        <f t="shared" si="3"/>
        <v>10</v>
      </c>
      <c r="BV28">
        <f t="shared" si="4"/>
        <v>8</v>
      </c>
      <c r="BW28">
        <f t="shared" si="5"/>
        <v>17</v>
      </c>
      <c r="BX28">
        <f t="shared" si="6"/>
        <v>1</v>
      </c>
      <c r="BY28">
        <f t="shared" si="7"/>
        <v>14</v>
      </c>
      <c r="BZ28">
        <f t="shared" si="8"/>
        <v>5.9981690561691305</v>
      </c>
      <c r="CA28">
        <v>5.9981690561691305</v>
      </c>
      <c r="CB28">
        <v>5.9981690561691305</v>
      </c>
      <c r="CC28">
        <v>5.9981690561691305</v>
      </c>
      <c r="CD28">
        <v>5.9981690561691305</v>
      </c>
      <c r="CE28">
        <v>5.9981690561691305</v>
      </c>
      <c r="CF28">
        <v>5.9981690561691305</v>
      </c>
      <c r="CG28">
        <v>5.9981690561691305</v>
      </c>
      <c r="CH28">
        <f t="shared" si="9"/>
        <v>0.26337398313339705</v>
      </c>
      <c r="CI28">
        <f t="shared" si="10"/>
        <v>-0.77801870202482803</v>
      </c>
      <c r="CJ28">
        <f t="shared" si="11"/>
        <v>0.12507128496711559</v>
      </c>
      <c r="CK28">
        <f t="shared" si="12"/>
        <v>0.22198129797517199</v>
      </c>
      <c r="CL28">
        <f t="shared" si="13"/>
        <v>0.12507128496711559</v>
      </c>
      <c r="CM28">
        <f t="shared" si="14"/>
        <v>0.45243021935344591</v>
      </c>
      <c r="CN28">
        <f t="shared" si="15"/>
        <v>-0.77801870202482803</v>
      </c>
      <c r="CO28">
        <f t="shared" si="16"/>
        <v>0.36810933365341003</v>
      </c>
      <c r="CP28">
        <v>25</v>
      </c>
      <c r="CQ28">
        <v>-0.51745264374039102</v>
      </c>
      <c r="CR28">
        <v>-2.8101924918208301</v>
      </c>
      <c r="CS28">
        <v>0.84679285138858496</v>
      </c>
      <c r="CT28">
        <v>0.349902531427082</v>
      </c>
      <c r="CU28">
        <v>0.21763168976246</v>
      </c>
      <c r="CV28">
        <v>-0.51056061518497997</v>
      </c>
      <c r="CW28">
        <v>-2.83505630539632</v>
      </c>
      <c r="CX28">
        <v>0.47722578296121898</v>
      </c>
    </row>
    <row r="29" spans="1:102" x14ac:dyDescent="0.35">
      <c r="A29" t="s">
        <v>1355</v>
      </c>
      <c r="B29" t="s">
        <v>78</v>
      </c>
      <c r="C29" t="s">
        <v>1356</v>
      </c>
      <c r="D29" t="s">
        <v>80</v>
      </c>
      <c r="E29" t="s">
        <v>80</v>
      </c>
      <c r="F29" t="s">
        <v>81</v>
      </c>
      <c r="G29" t="s">
        <v>82</v>
      </c>
      <c r="H29" t="s">
        <v>297</v>
      </c>
      <c r="I29" t="s">
        <v>1357</v>
      </c>
      <c r="J29" t="s">
        <v>85</v>
      </c>
      <c r="K29" t="s">
        <v>1358</v>
      </c>
      <c r="L29" t="s">
        <v>1359</v>
      </c>
      <c r="M29" t="s">
        <v>1360</v>
      </c>
      <c r="N29">
        <v>39</v>
      </c>
      <c r="O29" t="s">
        <v>89</v>
      </c>
      <c r="P29">
        <v>1197</v>
      </c>
      <c r="Q29">
        <v>0.90620000000000001</v>
      </c>
      <c r="R29">
        <v>186</v>
      </c>
      <c r="S29">
        <v>0.875</v>
      </c>
      <c r="T29" t="s">
        <v>1361</v>
      </c>
      <c r="U29" t="s">
        <v>1362</v>
      </c>
      <c r="V29" t="s">
        <v>1363</v>
      </c>
      <c r="W29" t="s">
        <v>93</v>
      </c>
      <c r="X29" t="s">
        <v>1364</v>
      </c>
      <c r="Y29" t="s">
        <v>1365</v>
      </c>
      <c r="Z29" t="s">
        <v>1366</v>
      </c>
      <c r="AA29" t="s">
        <v>405</v>
      </c>
      <c r="AB29">
        <v>1388</v>
      </c>
      <c r="AC29">
        <v>4</v>
      </c>
      <c r="AD29" t="s">
        <v>1367</v>
      </c>
      <c r="AE29">
        <v>27</v>
      </c>
      <c r="AF29" t="s">
        <v>99</v>
      </c>
      <c r="AG29" t="s">
        <v>1368</v>
      </c>
      <c r="AH29" t="s">
        <v>80</v>
      </c>
      <c r="AI29" t="s">
        <v>80</v>
      </c>
      <c r="AJ29" t="s">
        <v>81</v>
      </c>
      <c r="AK29" t="s">
        <v>101</v>
      </c>
      <c r="AL29" t="s">
        <v>381</v>
      </c>
      <c r="AM29" t="s">
        <v>146</v>
      </c>
      <c r="AN29" t="s">
        <v>1369</v>
      </c>
      <c r="AO29" t="s">
        <v>1370</v>
      </c>
      <c r="AP29" t="s">
        <v>1371</v>
      </c>
      <c r="AQ29">
        <v>24</v>
      </c>
      <c r="AR29" t="s">
        <v>89</v>
      </c>
      <c r="AS29">
        <v>1293</v>
      </c>
      <c r="AT29">
        <v>0.95389999999999997</v>
      </c>
      <c r="AU29">
        <v>142</v>
      </c>
      <c r="AV29">
        <v>0.9375</v>
      </c>
      <c r="AW29" t="s">
        <v>1372</v>
      </c>
      <c r="AX29" t="s">
        <v>503</v>
      </c>
      <c r="AY29" t="s">
        <v>1373</v>
      </c>
      <c r="AZ29" t="s">
        <v>1374</v>
      </c>
      <c r="BA29" t="s">
        <v>1375</v>
      </c>
      <c r="BB29" t="s">
        <v>336</v>
      </c>
      <c r="BC29" t="s">
        <v>1376</v>
      </c>
      <c r="BD29" t="s">
        <v>114</v>
      </c>
      <c r="BE29">
        <v>17588</v>
      </c>
      <c r="BF29" t="s">
        <v>1377</v>
      </c>
      <c r="BG29">
        <v>12</v>
      </c>
      <c r="BH29" t="s">
        <v>89</v>
      </c>
      <c r="BI29">
        <v>1</v>
      </c>
      <c r="BJ29">
        <v>6</v>
      </c>
      <c r="BK29">
        <v>0</v>
      </c>
      <c r="BL29">
        <v>0</v>
      </c>
      <c r="BM29">
        <v>846</v>
      </c>
      <c r="BN29">
        <v>12</v>
      </c>
      <c r="BO29">
        <v>34</v>
      </c>
      <c r="BP29">
        <v>0</v>
      </c>
      <c r="BQ29">
        <v>13</v>
      </c>
      <c r="BR29">
        <f t="shared" si="0"/>
        <v>7</v>
      </c>
      <c r="BS29">
        <f t="shared" si="1"/>
        <v>1</v>
      </c>
      <c r="BT29">
        <f t="shared" si="2"/>
        <v>1</v>
      </c>
      <c r="BU29">
        <f t="shared" si="3"/>
        <v>847</v>
      </c>
      <c r="BV29">
        <f t="shared" si="4"/>
        <v>13</v>
      </c>
      <c r="BW29">
        <f t="shared" si="5"/>
        <v>35</v>
      </c>
      <c r="BX29">
        <f t="shared" si="6"/>
        <v>1</v>
      </c>
      <c r="BY29">
        <f t="shared" si="7"/>
        <v>14</v>
      </c>
      <c r="BZ29">
        <f t="shared" si="8"/>
        <v>8.8540120832767357</v>
      </c>
      <c r="CA29">
        <v>8.8540120832767357</v>
      </c>
      <c r="CB29">
        <v>8.8540120832767357</v>
      </c>
      <c r="CC29">
        <v>8.8540120832767357</v>
      </c>
      <c r="CD29">
        <v>8.8540120832767357</v>
      </c>
      <c r="CE29">
        <v>8.8540120832767357</v>
      </c>
      <c r="CF29">
        <v>8.8540120832767357</v>
      </c>
      <c r="CG29">
        <v>8.8540120832767357</v>
      </c>
      <c r="CH29">
        <f t="shared" si="9"/>
        <v>-0.10204207032078245</v>
      </c>
      <c r="CI29">
        <f t="shared" si="10"/>
        <v>-0.94714011033503931</v>
      </c>
      <c r="CJ29">
        <f t="shared" si="11"/>
        <v>-0.94714011033503931</v>
      </c>
      <c r="CK29">
        <f t="shared" si="12"/>
        <v>1.9807432999956676</v>
      </c>
      <c r="CL29">
        <f t="shared" si="13"/>
        <v>0.16680324197179749</v>
      </c>
      <c r="CM29">
        <f t="shared" si="14"/>
        <v>0.59692793401523636</v>
      </c>
      <c r="CN29">
        <f t="shared" si="15"/>
        <v>-0.94714011033503931</v>
      </c>
      <c r="CO29">
        <f t="shared" si="16"/>
        <v>0.19898792534319873</v>
      </c>
      <c r="CP29">
        <v>27</v>
      </c>
      <c r="CQ29">
        <v>-1.0360729081471001</v>
      </c>
      <c r="CR29">
        <v>-2.8101924918208301</v>
      </c>
      <c r="CS29">
        <v>-1.90638622950665</v>
      </c>
      <c r="CT29">
        <v>4.2902079884067499</v>
      </c>
      <c r="CU29">
        <v>0.32260147908438003</v>
      </c>
      <c r="CV29">
        <v>-0.223213853574004</v>
      </c>
      <c r="CW29">
        <v>-2.83505630539632</v>
      </c>
      <c r="CX29">
        <v>0.14788790082462699</v>
      </c>
    </row>
    <row r="30" spans="1:102" x14ac:dyDescent="0.35">
      <c r="A30" t="s">
        <v>1702</v>
      </c>
      <c r="B30" t="s">
        <v>78</v>
      </c>
      <c r="C30" t="s">
        <v>1703</v>
      </c>
      <c r="D30" t="s">
        <v>80</v>
      </c>
      <c r="E30" t="s">
        <v>80</v>
      </c>
      <c r="F30" t="s">
        <v>81</v>
      </c>
      <c r="G30" t="s">
        <v>82</v>
      </c>
      <c r="H30" t="s">
        <v>193</v>
      </c>
      <c r="I30" t="s">
        <v>298</v>
      </c>
      <c r="J30" t="s">
        <v>133</v>
      </c>
      <c r="K30" t="s">
        <v>1704</v>
      </c>
      <c r="L30" t="s">
        <v>1705</v>
      </c>
      <c r="M30" t="s">
        <v>1706</v>
      </c>
      <c r="N30">
        <v>63</v>
      </c>
      <c r="O30" t="s">
        <v>89</v>
      </c>
      <c r="P30">
        <v>1404</v>
      </c>
      <c r="Q30">
        <v>0.98609999999999998</v>
      </c>
      <c r="R30">
        <v>237</v>
      </c>
      <c r="S30">
        <v>0.96079999999999999</v>
      </c>
      <c r="T30" t="s">
        <v>199</v>
      </c>
      <c r="U30" t="s">
        <v>322</v>
      </c>
      <c r="V30" t="s">
        <v>1707</v>
      </c>
      <c r="W30" t="s">
        <v>93</v>
      </c>
      <c r="X30" t="s">
        <v>473</v>
      </c>
      <c r="Y30" t="s">
        <v>324</v>
      </c>
      <c r="Z30" t="s">
        <v>1708</v>
      </c>
      <c r="AA30" t="s">
        <v>173</v>
      </c>
      <c r="AB30">
        <v>4186</v>
      </c>
      <c r="AC30">
        <v>9</v>
      </c>
      <c r="AD30" t="s">
        <v>1709</v>
      </c>
      <c r="AE30">
        <v>28</v>
      </c>
      <c r="AF30" t="s">
        <v>99</v>
      </c>
      <c r="AG30" t="s">
        <v>1710</v>
      </c>
      <c r="AH30" t="s">
        <v>80</v>
      </c>
      <c r="AI30" t="s">
        <v>80</v>
      </c>
      <c r="AJ30" t="s">
        <v>81</v>
      </c>
      <c r="AK30" t="s">
        <v>101</v>
      </c>
      <c r="AL30" t="s">
        <v>102</v>
      </c>
      <c r="AM30" t="s">
        <v>408</v>
      </c>
      <c r="AN30" t="s">
        <v>1711</v>
      </c>
      <c r="AO30" t="s">
        <v>1712</v>
      </c>
      <c r="AP30" t="s">
        <v>1713</v>
      </c>
      <c r="AQ30">
        <v>33</v>
      </c>
      <c r="AR30" t="s">
        <v>89</v>
      </c>
      <c r="AS30">
        <v>1359</v>
      </c>
      <c r="AT30">
        <v>0.98570000000000002</v>
      </c>
      <c r="AU30">
        <v>180</v>
      </c>
      <c r="AV30">
        <v>1</v>
      </c>
      <c r="AW30" t="s">
        <v>1714</v>
      </c>
      <c r="AX30" t="s">
        <v>731</v>
      </c>
      <c r="AY30" t="s">
        <v>1715</v>
      </c>
      <c r="AZ30" t="s">
        <v>414</v>
      </c>
      <c r="BA30" t="s">
        <v>1716</v>
      </c>
      <c r="BB30" t="s">
        <v>112</v>
      </c>
      <c r="BC30" t="s">
        <v>1717</v>
      </c>
      <c r="BD30" t="s">
        <v>114</v>
      </c>
      <c r="BE30">
        <v>36422</v>
      </c>
      <c r="BF30" t="s">
        <v>1718</v>
      </c>
      <c r="BG30">
        <v>38</v>
      </c>
      <c r="BH30" t="s">
        <v>89</v>
      </c>
      <c r="BI30">
        <v>1</v>
      </c>
      <c r="BJ30">
        <v>13</v>
      </c>
      <c r="BK30">
        <v>0</v>
      </c>
      <c r="BL30">
        <v>0</v>
      </c>
      <c r="BM30">
        <v>0</v>
      </c>
      <c r="BN30">
        <v>4</v>
      </c>
      <c r="BO30">
        <v>17</v>
      </c>
      <c r="BP30">
        <v>0</v>
      </c>
      <c r="BQ30">
        <v>0</v>
      </c>
      <c r="BR30">
        <f t="shared" si="0"/>
        <v>14</v>
      </c>
      <c r="BS30">
        <f t="shared" si="1"/>
        <v>1</v>
      </c>
      <c r="BT30">
        <f t="shared" si="2"/>
        <v>1</v>
      </c>
      <c r="BU30">
        <f t="shared" si="3"/>
        <v>1</v>
      </c>
      <c r="BV30">
        <f t="shared" si="4"/>
        <v>5</v>
      </c>
      <c r="BW30">
        <f t="shared" si="5"/>
        <v>18</v>
      </c>
      <c r="BX30">
        <f t="shared" si="6"/>
        <v>1</v>
      </c>
      <c r="BY30">
        <f t="shared" si="7"/>
        <v>1</v>
      </c>
      <c r="BZ30">
        <f t="shared" si="8"/>
        <v>2.4408793775049493</v>
      </c>
      <c r="CA30">
        <v>2.4408793775049493</v>
      </c>
      <c r="CB30">
        <v>2.4408793775049493</v>
      </c>
      <c r="CC30">
        <v>2.4408793775049493</v>
      </c>
      <c r="CD30">
        <v>2.4408793775049493</v>
      </c>
      <c r="CE30">
        <v>2.4408793775049493</v>
      </c>
      <c r="CF30">
        <v>2.4408793775049493</v>
      </c>
      <c r="CG30">
        <v>2.4408793775049493</v>
      </c>
      <c r="CH30">
        <f t="shared" si="9"/>
        <v>0.75858171753854264</v>
      </c>
      <c r="CI30">
        <f t="shared" si="10"/>
        <v>-0.38754631813969537</v>
      </c>
      <c r="CJ30">
        <f t="shared" si="11"/>
        <v>-0.38754631813969537</v>
      </c>
      <c r="CK30">
        <f t="shared" si="12"/>
        <v>-0.38754631813969537</v>
      </c>
      <c r="CL30">
        <f t="shared" si="13"/>
        <v>0.31142368619632343</v>
      </c>
      <c r="CM30">
        <f t="shared" si="14"/>
        <v>0.8677261869636107</v>
      </c>
      <c r="CN30">
        <f t="shared" si="15"/>
        <v>-0.38754631813969537</v>
      </c>
      <c r="CO30">
        <f t="shared" si="16"/>
        <v>-0.38754631813969537</v>
      </c>
      <c r="CP30">
        <v>28</v>
      </c>
      <c r="CQ30">
        <v>0.18537571786482501</v>
      </c>
      <c r="CR30">
        <v>-2.8101924918208301</v>
      </c>
      <c r="CS30">
        <v>-1.90638622950665</v>
      </c>
      <c r="CT30">
        <v>-2.7279301294217002</v>
      </c>
      <c r="CU30">
        <v>0.68637012669867203</v>
      </c>
      <c r="CV30">
        <v>0.315292940230682</v>
      </c>
      <c r="CW30">
        <v>-2.83505630539632</v>
      </c>
      <c r="CX30">
        <v>-3.48945987673619</v>
      </c>
    </row>
    <row r="31" spans="1:102" x14ac:dyDescent="0.35">
      <c r="A31" t="s">
        <v>862</v>
      </c>
      <c r="B31" t="s">
        <v>99</v>
      </c>
      <c r="C31" t="s">
        <v>863</v>
      </c>
      <c r="D31" t="s">
        <v>80</v>
      </c>
      <c r="E31" t="s">
        <v>80</v>
      </c>
      <c r="F31" t="s">
        <v>81</v>
      </c>
      <c r="G31" t="s">
        <v>82</v>
      </c>
      <c r="H31" t="s">
        <v>864</v>
      </c>
      <c r="I31" t="s">
        <v>468</v>
      </c>
      <c r="J31" t="s">
        <v>85</v>
      </c>
      <c r="K31" t="s">
        <v>865</v>
      </c>
      <c r="L31" t="s">
        <v>866</v>
      </c>
      <c r="M31" t="s">
        <v>867</v>
      </c>
      <c r="N31">
        <v>60</v>
      </c>
      <c r="O31" t="s">
        <v>89</v>
      </c>
      <c r="P31">
        <v>1455</v>
      </c>
      <c r="Q31">
        <v>1</v>
      </c>
      <c r="R31">
        <v>231</v>
      </c>
      <c r="S31">
        <v>0.97919999999999996</v>
      </c>
      <c r="T31" t="s">
        <v>346</v>
      </c>
      <c r="U31" t="s">
        <v>538</v>
      </c>
      <c r="V31" t="s">
        <v>868</v>
      </c>
      <c r="W31" t="s">
        <v>93</v>
      </c>
      <c r="X31" t="s">
        <v>869</v>
      </c>
      <c r="Y31" t="s">
        <v>541</v>
      </c>
      <c r="Z31" t="s">
        <v>870</v>
      </c>
      <c r="AA31" t="s">
        <v>173</v>
      </c>
      <c r="AB31">
        <v>5826</v>
      </c>
      <c r="AC31">
        <v>13</v>
      </c>
      <c r="AD31" t="s">
        <v>871</v>
      </c>
      <c r="AE31">
        <v>29</v>
      </c>
      <c r="AF31" t="s">
        <v>78</v>
      </c>
      <c r="AG31" t="s">
        <v>872</v>
      </c>
      <c r="AH31" t="s">
        <v>80</v>
      </c>
      <c r="AI31" t="s">
        <v>80</v>
      </c>
      <c r="AJ31" t="s">
        <v>81</v>
      </c>
      <c r="AK31" t="s">
        <v>101</v>
      </c>
      <c r="AL31" t="s">
        <v>102</v>
      </c>
      <c r="AM31" t="s">
        <v>103</v>
      </c>
      <c r="AN31" t="s">
        <v>873</v>
      </c>
      <c r="AO31" t="s">
        <v>874</v>
      </c>
      <c r="AP31" t="s">
        <v>875</v>
      </c>
      <c r="AQ31">
        <v>33</v>
      </c>
      <c r="AR31" t="s">
        <v>89</v>
      </c>
      <c r="AS31">
        <v>1395</v>
      </c>
      <c r="AT31">
        <v>1</v>
      </c>
      <c r="AU31">
        <v>145</v>
      </c>
      <c r="AV31">
        <v>0.86839999999999995</v>
      </c>
      <c r="AW31" t="s">
        <v>122</v>
      </c>
      <c r="AX31" t="s">
        <v>731</v>
      </c>
      <c r="AY31" t="s">
        <v>732</v>
      </c>
      <c r="AZ31" t="s">
        <v>125</v>
      </c>
      <c r="BA31" t="s">
        <v>733</v>
      </c>
      <c r="BB31" t="s">
        <v>112</v>
      </c>
      <c r="BC31" t="s">
        <v>876</v>
      </c>
      <c r="BD31" t="s">
        <v>114</v>
      </c>
      <c r="BE31">
        <v>26976</v>
      </c>
      <c r="BF31" t="s">
        <v>877</v>
      </c>
      <c r="BG31">
        <v>30</v>
      </c>
      <c r="BH31" t="s">
        <v>89</v>
      </c>
      <c r="BI31">
        <v>1</v>
      </c>
      <c r="BJ31">
        <v>23</v>
      </c>
      <c r="BK31">
        <v>0</v>
      </c>
      <c r="BL31">
        <v>14</v>
      </c>
      <c r="BM31">
        <v>9</v>
      </c>
      <c r="BN31">
        <v>4</v>
      </c>
      <c r="BO31">
        <v>22</v>
      </c>
      <c r="BP31">
        <v>5</v>
      </c>
      <c r="BQ31">
        <v>15</v>
      </c>
      <c r="BR31">
        <f t="shared" si="0"/>
        <v>24</v>
      </c>
      <c r="BS31">
        <f t="shared" si="1"/>
        <v>1</v>
      </c>
      <c r="BT31">
        <f t="shared" si="2"/>
        <v>15</v>
      </c>
      <c r="BU31">
        <f t="shared" si="3"/>
        <v>10</v>
      </c>
      <c r="BV31">
        <f t="shared" si="4"/>
        <v>5</v>
      </c>
      <c r="BW31">
        <f t="shared" si="5"/>
        <v>23</v>
      </c>
      <c r="BX31">
        <f t="shared" si="6"/>
        <v>6</v>
      </c>
      <c r="BY31">
        <f t="shared" si="7"/>
        <v>16</v>
      </c>
      <c r="BZ31">
        <f t="shared" si="8"/>
        <v>8.9106410000067751</v>
      </c>
      <c r="CA31">
        <v>8.9106410000067751</v>
      </c>
      <c r="CB31">
        <v>8.9106410000067751</v>
      </c>
      <c r="CC31">
        <v>8.9106410000067751</v>
      </c>
      <c r="CD31">
        <v>8.9106410000067751</v>
      </c>
      <c r="CE31">
        <v>8.9106410000067751</v>
      </c>
      <c r="CF31">
        <v>8.9106410000067751</v>
      </c>
      <c r="CG31">
        <v>8.9106410000067751</v>
      </c>
      <c r="CH31">
        <f t="shared" si="9"/>
        <v>0.43030229494154754</v>
      </c>
      <c r="CI31">
        <f t="shared" si="10"/>
        <v>-0.94990894677005844</v>
      </c>
      <c r="CJ31">
        <f t="shared" si="11"/>
        <v>0.2261823122856228</v>
      </c>
      <c r="CK31">
        <f t="shared" si="12"/>
        <v>5.0091053229941541E-2</v>
      </c>
      <c r="CL31">
        <f t="shared" si="13"/>
        <v>-0.25093894243403964</v>
      </c>
      <c r="CM31">
        <f t="shared" si="14"/>
        <v>0.41181888924753446</v>
      </c>
      <c r="CN31">
        <f t="shared" si="15"/>
        <v>-0.17175769638641483</v>
      </c>
      <c r="CO31">
        <f t="shared" si="16"/>
        <v>0.2542110358858663</v>
      </c>
      <c r="CP31">
        <v>29</v>
      </c>
      <c r="CQ31">
        <v>-0.28053802439468001</v>
      </c>
      <c r="CR31">
        <v>-2.8101924918208301</v>
      </c>
      <c r="CS31">
        <v>1.10223277226419</v>
      </c>
      <c r="CT31">
        <v>-3.5197936170642201E-2</v>
      </c>
      <c r="CU31">
        <v>-0.72815943018809204</v>
      </c>
      <c r="CV31">
        <v>-0.59131991451342603</v>
      </c>
      <c r="CW31">
        <v>0.82011832922729799</v>
      </c>
      <c r="CX31">
        <v>0.25542639907174097</v>
      </c>
    </row>
    <row r="32" spans="1:102" x14ac:dyDescent="0.35">
      <c r="A32" t="s">
        <v>692</v>
      </c>
      <c r="B32" t="s">
        <v>78</v>
      </c>
      <c r="C32" t="s">
        <v>693</v>
      </c>
      <c r="D32" t="s">
        <v>80</v>
      </c>
      <c r="E32" t="s">
        <v>80</v>
      </c>
      <c r="F32" t="s">
        <v>81</v>
      </c>
      <c r="G32" t="s">
        <v>82</v>
      </c>
      <c r="H32" t="s">
        <v>694</v>
      </c>
      <c r="I32" t="s">
        <v>298</v>
      </c>
      <c r="J32" t="s">
        <v>195</v>
      </c>
      <c r="K32" t="s">
        <v>695</v>
      </c>
      <c r="L32" t="s">
        <v>696</v>
      </c>
      <c r="M32" t="s">
        <v>697</v>
      </c>
      <c r="N32">
        <v>66</v>
      </c>
      <c r="O32" t="s">
        <v>89</v>
      </c>
      <c r="P32">
        <v>1377</v>
      </c>
      <c r="Q32">
        <v>0.97570000000000001</v>
      </c>
      <c r="R32">
        <v>241</v>
      </c>
      <c r="S32">
        <v>0.98</v>
      </c>
      <c r="T32" t="s">
        <v>698</v>
      </c>
      <c r="U32" t="s">
        <v>699</v>
      </c>
      <c r="V32" t="s">
        <v>700</v>
      </c>
      <c r="W32" t="s">
        <v>202</v>
      </c>
      <c r="X32" t="s">
        <v>701</v>
      </c>
      <c r="Y32" t="s">
        <v>702</v>
      </c>
      <c r="Z32" t="s">
        <v>703</v>
      </c>
      <c r="AA32" t="s">
        <v>97</v>
      </c>
      <c r="AB32">
        <v>3672</v>
      </c>
      <c r="AC32">
        <v>12</v>
      </c>
      <c r="AD32" t="s">
        <v>704</v>
      </c>
      <c r="AE32">
        <v>31</v>
      </c>
      <c r="AF32" t="s">
        <v>99</v>
      </c>
      <c r="AG32" t="s">
        <v>705</v>
      </c>
      <c r="AH32" t="s">
        <v>80</v>
      </c>
      <c r="AI32" t="s">
        <v>80</v>
      </c>
      <c r="AJ32" t="s">
        <v>81</v>
      </c>
      <c r="AK32" t="s">
        <v>101</v>
      </c>
      <c r="AL32" t="s">
        <v>328</v>
      </c>
      <c r="AM32" t="s">
        <v>146</v>
      </c>
      <c r="AN32" t="s">
        <v>706</v>
      </c>
      <c r="AO32" t="s">
        <v>707</v>
      </c>
      <c r="AP32" t="s">
        <v>708</v>
      </c>
      <c r="AQ32">
        <v>36</v>
      </c>
      <c r="AR32" t="s">
        <v>89</v>
      </c>
      <c r="AS32">
        <v>1377</v>
      </c>
      <c r="AT32">
        <v>0.99280000000000002</v>
      </c>
      <c r="AU32">
        <v>181</v>
      </c>
      <c r="AV32">
        <v>0.97370000000000001</v>
      </c>
      <c r="AW32" t="s">
        <v>709</v>
      </c>
      <c r="AX32" t="s">
        <v>503</v>
      </c>
      <c r="AY32" t="s">
        <v>334</v>
      </c>
      <c r="AZ32" t="s">
        <v>710</v>
      </c>
      <c r="BA32" t="s">
        <v>711</v>
      </c>
      <c r="BB32" t="s">
        <v>336</v>
      </c>
      <c r="BC32" t="s">
        <v>712</v>
      </c>
      <c r="BD32" t="s">
        <v>114</v>
      </c>
      <c r="BE32">
        <v>32488</v>
      </c>
      <c r="BF32" t="s">
        <v>713</v>
      </c>
      <c r="BG32">
        <v>25</v>
      </c>
      <c r="BH32" t="s">
        <v>89</v>
      </c>
      <c r="BI32">
        <v>1</v>
      </c>
      <c r="BJ32">
        <v>256</v>
      </c>
      <c r="BK32">
        <v>0</v>
      </c>
      <c r="BL32">
        <v>4</v>
      </c>
      <c r="BM32">
        <v>7</v>
      </c>
      <c r="BN32">
        <v>6</v>
      </c>
      <c r="BO32">
        <v>11</v>
      </c>
      <c r="BP32">
        <v>0</v>
      </c>
      <c r="BQ32">
        <v>4</v>
      </c>
      <c r="BR32">
        <f t="shared" si="0"/>
        <v>257</v>
      </c>
      <c r="BS32">
        <f t="shared" si="1"/>
        <v>1</v>
      </c>
      <c r="BT32">
        <f t="shared" si="2"/>
        <v>5</v>
      </c>
      <c r="BU32">
        <f t="shared" si="3"/>
        <v>8</v>
      </c>
      <c r="BV32">
        <f t="shared" si="4"/>
        <v>7</v>
      </c>
      <c r="BW32">
        <f t="shared" si="5"/>
        <v>12</v>
      </c>
      <c r="BX32">
        <f t="shared" si="6"/>
        <v>1</v>
      </c>
      <c r="BY32">
        <f t="shared" si="7"/>
        <v>5</v>
      </c>
      <c r="BZ32">
        <f t="shared" si="8"/>
        <v>6.7515781751722024</v>
      </c>
      <c r="CA32">
        <v>6.7515781751722024</v>
      </c>
      <c r="CB32">
        <v>6.7515781751722024</v>
      </c>
      <c r="CC32">
        <v>6.7515781751722024</v>
      </c>
      <c r="CD32">
        <v>6.7515781751722024</v>
      </c>
      <c r="CE32">
        <v>6.7515781751722024</v>
      </c>
      <c r="CF32">
        <v>6.7515781751722024</v>
      </c>
      <c r="CG32">
        <v>6.7515781751722024</v>
      </c>
      <c r="CH32">
        <f t="shared" si="9"/>
        <v>1.5805278226991499</v>
      </c>
      <c r="CI32">
        <f t="shared" si="10"/>
        <v>-0.82940530063214468</v>
      </c>
      <c r="CJ32">
        <f t="shared" si="11"/>
        <v>-0.13043529629612585</v>
      </c>
      <c r="CK32">
        <f t="shared" si="12"/>
        <v>7.3684686359798912E-2</v>
      </c>
      <c r="CL32">
        <f t="shared" si="13"/>
        <v>1.5692739382112221E-2</v>
      </c>
      <c r="CM32">
        <f t="shared" si="14"/>
        <v>0.24977594541548021</v>
      </c>
      <c r="CN32">
        <f t="shared" si="15"/>
        <v>-0.82940530063214468</v>
      </c>
      <c r="CO32">
        <f t="shared" si="16"/>
        <v>-0.13043529629612585</v>
      </c>
      <c r="CP32">
        <v>31</v>
      </c>
      <c r="CQ32">
        <v>1.3519306690142601</v>
      </c>
      <c r="CR32">
        <v>-2.8101924918208301</v>
      </c>
      <c r="CS32">
        <v>0.201298659192477</v>
      </c>
      <c r="CT32">
        <v>1.76609050283104E-2</v>
      </c>
      <c r="CU32">
        <v>-5.74918297290338E-2</v>
      </c>
      <c r="CV32">
        <v>-0.913556949618332</v>
      </c>
      <c r="CW32">
        <v>-2.83505630539632</v>
      </c>
      <c r="CX32">
        <v>-0.49361306126709897</v>
      </c>
    </row>
    <row r="33" spans="1:102" x14ac:dyDescent="0.35">
      <c r="A33" t="s">
        <v>530</v>
      </c>
      <c r="B33" t="s">
        <v>99</v>
      </c>
      <c r="C33" t="s">
        <v>531</v>
      </c>
      <c r="D33" t="s">
        <v>80</v>
      </c>
      <c r="E33" t="s">
        <v>80</v>
      </c>
      <c r="F33" t="s">
        <v>81</v>
      </c>
      <c r="G33" t="s">
        <v>82</v>
      </c>
      <c r="H33" t="s">
        <v>532</v>
      </c>
      <c r="I33" t="s">
        <v>533</v>
      </c>
      <c r="J33" t="s">
        <v>195</v>
      </c>
      <c r="K33" t="s">
        <v>534</v>
      </c>
      <c r="L33" t="s">
        <v>535</v>
      </c>
      <c r="M33" t="s">
        <v>536</v>
      </c>
      <c r="N33">
        <v>33</v>
      </c>
      <c r="O33" t="s">
        <v>89</v>
      </c>
      <c r="P33">
        <v>1425</v>
      </c>
      <c r="Q33">
        <v>1</v>
      </c>
      <c r="R33">
        <v>241</v>
      </c>
      <c r="S33">
        <v>0.98</v>
      </c>
      <c r="T33" t="s">
        <v>537</v>
      </c>
      <c r="U33" t="s">
        <v>538</v>
      </c>
      <c r="V33" t="s">
        <v>539</v>
      </c>
      <c r="W33" t="s">
        <v>202</v>
      </c>
      <c r="X33" t="s">
        <v>540</v>
      </c>
      <c r="Y33" t="s">
        <v>541</v>
      </c>
      <c r="Z33" t="s">
        <v>542</v>
      </c>
      <c r="AA33" t="s">
        <v>173</v>
      </c>
      <c r="AB33">
        <v>18930</v>
      </c>
      <c r="AC33">
        <v>20</v>
      </c>
      <c r="AD33" t="s">
        <v>543</v>
      </c>
      <c r="AE33">
        <v>32</v>
      </c>
      <c r="AF33" t="s">
        <v>78</v>
      </c>
      <c r="AG33" t="s">
        <v>544</v>
      </c>
      <c r="AH33" t="s">
        <v>80</v>
      </c>
      <c r="AI33" t="s">
        <v>80</v>
      </c>
      <c r="AJ33" t="s">
        <v>81</v>
      </c>
      <c r="AK33" t="s">
        <v>101</v>
      </c>
      <c r="AL33" t="s">
        <v>145</v>
      </c>
      <c r="AM33" t="s">
        <v>103</v>
      </c>
      <c r="AN33" t="s">
        <v>545</v>
      </c>
      <c r="AO33" t="s">
        <v>546</v>
      </c>
      <c r="AP33" t="s">
        <v>547</v>
      </c>
      <c r="AQ33">
        <v>21</v>
      </c>
      <c r="AR33" t="s">
        <v>89</v>
      </c>
      <c r="AS33">
        <v>1332</v>
      </c>
      <c r="AT33">
        <v>0.97489999999999999</v>
      </c>
      <c r="AU33">
        <v>181</v>
      </c>
      <c r="AV33">
        <v>0.97370000000000001</v>
      </c>
      <c r="AW33" t="s">
        <v>548</v>
      </c>
      <c r="AX33" t="s">
        <v>549</v>
      </c>
      <c r="AY33" t="s">
        <v>550</v>
      </c>
      <c r="AZ33" t="s">
        <v>125</v>
      </c>
      <c r="BA33" t="s">
        <v>291</v>
      </c>
      <c r="BB33" t="s">
        <v>292</v>
      </c>
      <c r="BC33" t="s">
        <v>551</v>
      </c>
      <c r="BD33" t="s">
        <v>114</v>
      </c>
      <c r="BE33">
        <v>25882</v>
      </c>
      <c r="BF33" t="s">
        <v>552</v>
      </c>
      <c r="BG33">
        <v>24</v>
      </c>
      <c r="BH33" t="s">
        <v>89</v>
      </c>
      <c r="BI33">
        <v>1</v>
      </c>
      <c r="BJ33">
        <v>4715</v>
      </c>
      <c r="BK33">
        <v>0</v>
      </c>
      <c r="BL33">
        <v>38</v>
      </c>
      <c r="BM33">
        <v>0</v>
      </c>
      <c r="BN33">
        <v>5</v>
      </c>
      <c r="BO33">
        <v>8</v>
      </c>
      <c r="BP33">
        <v>14</v>
      </c>
      <c r="BQ33">
        <v>10</v>
      </c>
      <c r="BR33">
        <f t="shared" si="0"/>
        <v>4716</v>
      </c>
      <c r="BS33">
        <f t="shared" si="1"/>
        <v>1</v>
      </c>
      <c r="BT33">
        <f t="shared" si="2"/>
        <v>39</v>
      </c>
      <c r="BU33">
        <f t="shared" si="3"/>
        <v>1</v>
      </c>
      <c r="BV33">
        <f t="shared" si="4"/>
        <v>6</v>
      </c>
      <c r="BW33">
        <f t="shared" si="5"/>
        <v>9</v>
      </c>
      <c r="BX33">
        <f t="shared" si="6"/>
        <v>15</v>
      </c>
      <c r="BY33">
        <f t="shared" si="7"/>
        <v>11</v>
      </c>
      <c r="BZ33">
        <f t="shared" si="8"/>
        <v>14.184515736205615</v>
      </c>
      <c r="CA33">
        <v>14.184515736205615</v>
      </c>
      <c r="CB33">
        <v>14.184515736205615</v>
      </c>
      <c r="CC33">
        <v>14.184515736205615</v>
      </c>
      <c r="CD33">
        <v>14.184515736205615</v>
      </c>
      <c r="CE33">
        <v>14.184515736205615</v>
      </c>
      <c r="CF33">
        <v>14.184515736205615</v>
      </c>
      <c r="CG33">
        <v>14.184515736205615</v>
      </c>
      <c r="CH33">
        <f t="shared" si="9"/>
        <v>2.5217592829872482</v>
      </c>
      <c r="CI33">
        <f t="shared" si="10"/>
        <v>-1.1518145134358031</v>
      </c>
      <c r="CJ33">
        <f t="shared" si="11"/>
        <v>0.439250093590696</v>
      </c>
      <c r="CK33">
        <f t="shared" si="12"/>
        <v>-1.1518145134358031</v>
      </c>
      <c r="CL33">
        <f t="shared" si="13"/>
        <v>-0.37366326305215958</v>
      </c>
      <c r="CM33">
        <f t="shared" si="14"/>
        <v>-0.19757200399647828</v>
      </c>
      <c r="CN33">
        <f t="shared" si="15"/>
        <v>2.4276745619878075E-2</v>
      </c>
      <c r="CO33">
        <f t="shared" si="16"/>
        <v>-0.11042182827757811</v>
      </c>
      <c r="CP33">
        <v>32</v>
      </c>
      <c r="CQ33">
        <v>2.6877825129282198</v>
      </c>
      <c r="CR33">
        <v>-2.8101924918208301</v>
      </c>
      <c r="CS33">
        <v>1.64051250931268</v>
      </c>
      <c r="CT33">
        <v>-2.7279301294217002</v>
      </c>
      <c r="CU33">
        <v>-1.0368520246550701</v>
      </c>
      <c r="CV33">
        <v>-1.8031487668848201</v>
      </c>
      <c r="CW33">
        <v>1.2164314983545299</v>
      </c>
      <c r="CX33">
        <v>-0.45463991625078698</v>
      </c>
    </row>
    <row r="34" spans="1:102" x14ac:dyDescent="0.35">
      <c r="A34" t="s">
        <v>981</v>
      </c>
      <c r="B34" t="s">
        <v>99</v>
      </c>
      <c r="C34" t="s">
        <v>982</v>
      </c>
      <c r="D34" t="s">
        <v>80</v>
      </c>
      <c r="E34" t="s">
        <v>80</v>
      </c>
      <c r="F34" t="s">
        <v>81</v>
      </c>
      <c r="G34" t="s">
        <v>82</v>
      </c>
      <c r="H34" t="s">
        <v>983</v>
      </c>
      <c r="I34" t="s">
        <v>272</v>
      </c>
      <c r="J34" t="s">
        <v>85</v>
      </c>
      <c r="K34" t="s">
        <v>984</v>
      </c>
      <c r="L34" t="s">
        <v>985</v>
      </c>
      <c r="M34" t="s">
        <v>986</v>
      </c>
      <c r="N34">
        <v>51</v>
      </c>
      <c r="O34" t="s">
        <v>89</v>
      </c>
      <c r="P34">
        <v>1386</v>
      </c>
      <c r="Q34">
        <v>0.97919999999999996</v>
      </c>
      <c r="R34">
        <v>213</v>
      </c>
      <c r="S34">
        <v>0.9375</v>
      </c>
      <c r="T34" t="s">
        <v>987</v>
      </c>
      <c r="U34" t="s">
        <v>988</v>
      </c>
      <c r="V34" t="s">
        <v>989</v>
      </c>
      <c r="W34" t="s">
        <v>93</v>
      </c>
      <c r="X34" t="s">
        <v>990</v>
      </c>
      <c r="Y34" t="s">
        <v>991</v>
      </c>
      <c r="Z34" t="s">
        <v>992</v>
      </c>
      <c r="AA34" t="s">
        <v>97</v>
      </c>
      <c r="AB34">
        <v>3050</v>
      </c>
      <c r="AC34">
        <v>9</v>
      </c>
      <c r="AD34" t="s">
        <v>993</v>
      </c>
      <c r="AE34">
        <v>33</v>
      </c>
      <c r="AF34" t="s">
        <v>78</v>
      </c>
      <c r="AG34" t="s">
        <v>994</v>
      </c>
      <c r="AH34" t="s">
        <v>80</v>
      </c>
      <c r="AI34" t="s">
        <v>80</v>
      </c>
      <c r="AJ34" t="s">
        <v>81</v>
      </c>
      <c r="AK34" t="s">
        <v>176</v>
      </c>
      <c r="AL34" t="s">
        <v>635</v>
      </c>
      <c r="AM34" t="s">
        <v>178</v>
      </c>
      <c r="AN34" t="s">
        <v>995</v>
      </c>
      <c r="AO34" t="s">
        <v>996</v>
      </c>
      <c r="AP34" t="s">
        <v>997</v>
      </c>
      <c r="AQ34">
        <v>39</v>
      </c>
      <c r="AR34" t="s">
        <v>89</v>
      </c>
      <c r="AS34">
        <v>1428</v>
      </c>
      <c r="AT34">
        <v>0.98970000000000002</v>
      </c>
      <c r="AU34">
        <v>163</v>
      </c>
      <c r="AV34">
        <v>0.92110000000000003</v>
      </c>
      <c r="AW34" t="s">
        <v>639</v>
      </c>
      <c r="AX34" t="s">
        <v>998</v>
      </c>
      <c r="AY34" t="s">
        <v>999</v>
      </c>
      <c r="AZ34" t="s">
        <v>598</v>
      </c>
      <c r="BA34" t="s">
        <v>642</v>
      </c>
      <c r="BB34" t="s">
        <v>643</v>
      </c>
      <c r="BC34" t="s">
        <v>1000</v>
      </c>
      <c r="BD34" t="s">
        <v>189</v>
      </c>
      <c r="BE34">
        <v>13292</v>
      </c>
      <c r="BF34" t="s">
        <v>1001</v>
      </c>
      <c r="BG34">
        <v>16</v>
      </c>
      <c r="BH34" t="s">
        <v>89</v>
      </c>
      <c r="BI34">
        <v>1</v>
      </c>
      <c r="BJ34">
        <v>27</v>
      </c>
      <c r="BK34">
        <v>0</v>
      </c>
      <c r="BL34">
        <v>4</v>
      </c>
      <c r="BM34">
        <v>4</v>
      </c>
      <c r="BN34">
        <v>7</v>
      </c>
      <c r="BO34">
        <v>22</v>
      </c>
      <c r="BP34">
        <v>0</v>
      </c>
      <c r="BQ34">
        <v>7</v>
      </c>
      <c r="BR34">
        <f t="shared" ref="BR34:BR65" si="17">BJ34+1</f>
        <v>28</v>
      </c>
      <c r="BS34">
        <f t="shared" ref="BS34:BS65" si="18">BK34+1</f>
        <v>1</v>
      </c>
      <c r="BT34">
        <f t="shared" ref="BT34:BT65" si="19">BL34+1</f>
        <v>5</v>
      </c>
      <c r="BU34">
        <f t="shared" ref="BU34:BU65" si="20">BM34+1</f>
        <v>5</v>
      </c>
      <c r="BV34">
        <f t="shared" ref="BV34:BV65" si="21">BN34+1</f>
        <v>8</v>
      </c>
      <c r="BW34">
        <f t="shared" ref="BW34:BW65" si="22">BO34+1</f>
        <v>23</v>
      </c>
      <c r="BX34">
        <f t="shared" ref="BX34:BX65" si="23">BP34+1</f>
        <v>1</v>
      </c>
      <c r="BY34">
        <f t="shared" ref="BY34:BY65" si="24">BQ34+1</f>
        <v>8</v>
      </c>
      <c r="BZ34">
        <f t="shared" ref="BZ34:BZ65" si="25">GEOMEAN(BR34:BY34)</f>
        <v>5.6445032996179778</v>
      </c>
      <c r="CA34">
        <v>5.6445032996179778</v>
      </c>
      <c r="CB34">
        <v>5.6445032996179778</v>
      </c>
      <c r="CC34">
        <v>5.6445032996179778</v>
      </c>
      <c r="CD34">
        <v>5.6445032996179778</v>
      </c>
      <c r="CE34">
        <v>5.6445032996179778</v>
      </c>
      <c r="CF34">
        <v>5.6445032996179778</v>
      </c>
      <c r="CG34">
        <v>5.6445032996179778</v>
      </c>
      <c r="CH34">
        <f t="shared" ref="CH34:CH65" si="26">LOG(BR34/BZ34)</f>
        <v>0.69553230009025213</v>
      </c>
      <c r="CI34">
        <f t="shared" ref="CI34:CI65" si="27">LOG(BS34/CA34)</f>
        <v>-0.75162573125196708</v>
      </c>
      <c r="CJ34">
        <f t="shared" ref="CJ34:CJ65" si="28">LOG(BT34/CB34)</f>
        <v>-5.2655726915948296E-2</v>
      </c>
      <c r="CK34">
        <f t="shared" ref="CK34:CK65" si="29">LOG(BU34/CC34)</f>
        <v>-5.2655726915948296E-2</v>
      </c>
      <c r="CL34">
        <f t="shared" ref="CL34:CL65" si="30">LOG(BV34/CD34)</f>
        <v>0.15146425573997646</v>
      </c>
      <c r="CM34">
        <f t="shared" ref="CM34:CM65" si="31">LOG(BW34/CE34)</f>
        <v>0.61010210476562576</v>
      </c>
      <c r="CN34">
        <f t="shared" ref="CN34:CN65" si="32">LOG(BX34/CF34)</f>
        <v>-0.75162573125196708</v>
      </c>
      <c r="CO34">
        <f t="shared" ref="CO34:CO65" si="33">LOG(BY34/CG34)</f>
        <v>0.15146425573997646</v>
      </c>
      <c r="CP34">
        <v>33</v>
      </c>
      <c r="CQ34">
        <v>9.5892222986508596E-2</v>
      </c>
      <c r="CR34">
        <v>-2.8101924918208301</v>
      </c>
      <c r="CS34">
        <v>0.39779559503732198</v>
      </c>
      <c r="CT34">
        <v>-0.26539036586314002</v>
      </c>
      <c r="CU34">
        <v>0.28401881321550099</v>
      </c>
      <c r="CV34">
        <v>-0.197015824692407</v>
      </c>
      <c r="CW34">
        <v>-2.83505630539632</v>
      </c>
      <c r="CX34">
        <v>5.5342877371559497E-2</v>
      </c>
    </row>
    <row r="35" spans="1:102" x14ac:dyDescent="0.35">
      <c r="A35" t="s">
        <v>1719</v>
      </c>
      <c r="B35" t="s">
        <v>116</v>
      </c>
      <c r="C35" t="s">
        <v>1720</v>
      </c>
      <c r="D35" t="s">
        <v>80</v>
      </c>
      <c r="E35" t="s">
        <v>80</v>
      </c>
      <c r="F35" t="s">
        <v>81</v>
      </c>
      <c r="G35" t="s">
        <v>82</v>
      </c>
      <c r="H35" t="s">
        <v>983</v>
      </c>
      <c r="I35" t="s">
        <v>342</v>
      </c>
      <c r="J35" t="s">
        <v>85</v>
      </c>
      <c r="K35" t="s">
        <v>1721</v>
      </c>
      <c r="L35" t="s">
        <v>1722</v>
      </c>
      <c r="M35" t="s">
        <v>1723</v>
      </c>
      <c r="N35">
        <v>51</v>
      </c>
      <c r="O35" t="s">
        <v>89</v>
      </c>
      <c r="P35">
        <v>1440</v>
      </c>
      <c r="Q35">
        <v>1</v>
      </c>
      <c r="R35">
        <v>204</v>
      </c>
      <c r="S35">
        <v>0.91669999999999996</v>
      </c>
      <c r="T35" t="s">
        <v>987</v>
      </c>
      <c r="U35" t="s">
        <v>988</v>
      </c>
      <c r="V35" t="s">
        <v>1034</v>
      </c>
      <c r="W35" t="s">
        <v>93</v>
      </c>
      <c r="X35" t="s">
        <v>990</v>
      </c>
      <c r="Y35" t="s">
        <v>1035</v>
      </c>
      <c r="Z35" t="s">
        <v>1724</v>
      </c>
      <c r="AA35" t="s">
        <v>173</v>
      </c>
      <c r="AB35">
        <v>12098</v>
      </c>
      <c r="AC35">
        <v>23</v>
      </c>
      <c r="AD35" t="s">
        <v>1725</v>
      </c>
      <c r="AE35">
        <v>34</v>
      </c>
      <c r="AF35" t="s">
        <v>78</v>
      </c>
      <c r="AG35" t="s">
        <v>1676</v>
      </c>
      <c r="AH35" t="s">
        <v>80</v>
      </c>
      <c r="AI35" t="s">
        <v>80</v>
      </c>
      <c r="AJ35" t="s">
        <v>81</v>
      </c>
      <c r="AK35" t="s">
        <v>176</v>
      </c>
      <c r="AL35" t="s">
        <v>659</v>
      </c>
      <c r="AM35" t="s">
        <v>178</v>
      </c>
      <c r="AN35" t="s">
        <v>660</v>
      </c>
      <c r="AO35" t="s">
        <v>661</v>
      </c>
      <c r="AP35" t="s">
        <v>662</v>
      </c>
      <c r="AQ35">
        <v>33</v>
      </c>
      <c r="AR35" t="s">
        <v>89</v>
      </c>
      <c r="AS35">
        <v>1395</v>
      </c>
      <c r="AT35">
        <v>1</v>
      </c>
      <c r="AU35">
        <v>180</v>
      </c>
      <c r="AV35">
        <v>1</v>
      </c>
      <c r="AW35" t="s">
        <v>663</v>
      </c>
      <c r="AX35" t="s">
        <v>664</v>
      </c>
      <c r="AY35" t="s">
        <v>665</v>
      </c>
      <c r="AZ35" t="s">
        <v>185</v>
      </c>
      <c r="BA35" t="s">
        <v>666</v>
      </c>
      <c r="BB35" t="s">
        <v>667</v>
      </c>
      <c r="BC35" t="s">
        <v>668</v>
      </c>
      <c r="BD35" t="s">
        <v>189</v>
      </c>
      <c r="BE35">
        <v>19606</v>
      </c>
      <c r="BF35" t="s">
        <v>669</v>
      </c>
      <c r="BG35">
        <v>32</v>
      </c>
      <c r="BH35" t="s">
        <v>89</v>
      </c>
      <c r="BI35">
        <v>2</v>
      </c>
      <c r="BJ35">
        <v>81</v>
      </c>
      <c r="BK35">
        <v>5</v>
      </c>
      <c r="BL35">
        <v>27</v>
      </c>
      <c r="BM35">
        <v>24</v>
      </c>
      <c r="BN35">
        <v>38</v>
      </c>
      <c r="BO35">
        <v>46</v>
      </c>
      <c r="BP35">
        <v>17</v>
      </c>
      <c r="BQ35">
        <v>0</v>
      </c>
      <c r="BR35">
        <f t="shared" si="17"/>
        <v>82</v>
      </c>
      <c r="BS35">
        <f t="shared" si="18"/>
        <v>6</v>
      </c>
      <c r="BT35">
        <f t="shared" si="19"/>
        <v>28</v>
      </c>
      <c r="BU35">
        <f t="shared" si="20"/>
        <v>25</v>
      </c>
      <c r="BV35">
        <f t="shared" si="21"/>
        <v>39</v>
      </c>
      <c r="BW35">
        <f t="shared" si="22"/>
        <v>47</v>
      </c>
      <c r="BX35">
        <f t="shared" si="23"/>
        <v>18</v>
      </c>
      <c r="BY35">
        <f t="shared" si="24"/>
        <v>1</v>
      </c>
      <c r="BZ35">
        <f t="shared" si="25"/>
        <v>18.069130900066341</v>
      </c>
      <c r="CA35">
        <v>18.069130900066341</v>
      </c>
      <c r="CB35">
        <v>18.069130900066341</v>
      </c>
      <c r="CC35">
        <v>18.069130900066341</v>
      </c>
      <c r="CD35">
        <v>18.069130900066341</v>
      </c>
      <c r="CE35">
        <v>18.069130900066341</v>
      </c>
      <c r="CF35">
        <v>18.069130900066341</v>
      </c>
      <c r="CG35">
        <v>18.069130900066341</v>
      </c>
      <c r="CH35">
        <f t="shared" si="26"/>
        <v>0.65687658827782425</v>
      </c>
      <c r="CI35">
        <f t="shared" si="27"/>
        <v>-0.47878601372224888</v>
      </c>
      <c r="CJ35">
        <f t="shared" si="28"/>
        <v>0.19022076723632672</v>
      </c>
      <c r="CK35">
        <f t="shared" si="29"/>
        <v>0.14100274456614512</v>
      </c>
      <c r="CL35">
        <f t="shared" si="30"/>
        <v>0.3341273429206067</v>
      </c>
      <c r="CM35">
        <f t="shared" si="31"/>
        <v>0.41516059382982495</v>
      </c>
      <c r="CN35">
        <f t="shared" si="32"/>
        <v>-1.6647590025864248E-3</v>
      </c>
      <c r="CO35">
        <f t="shared" si="33"/>
        <v>-1.2569372641058925</v>
      </c>
      <c r="CP35">
        <v>34</v>
      </c>
      <c r="CQ35">
        <v>4.1029730516661901E-2</v>
      </c>
      <c r="CR35">
        <v>0.50656870935138698</v>
      </c>
      <c r="CS35">
        <v>1.0113820068672501</v>
      </c>
      <c r="CT35">
        <v>0.16847932832777501</v>
      </c>
      <c r="CU35">
        <v>0.74347739494678799</v>
      </c>
      <c r="CV35">
        <v>-0.58467463301378997</v>
      </c>
      <c r="CW35">
        <v>1.16398683708155</v>
      </c>
      <c r="CX35">
        <v>-3.48945987673619</v>
      </c>
    </row>
    <row r="36" spans="1:102" x14ac:dyDescent="0.35">
      <c r="A36" t="s">
        <v>1719</v>
      </c>
      <c r="B36" t="s">
        <v>116</v>
      </c>
      <c r="C36" t="s">
        <v>1720</v>
      </c>
      <c r="D36" t="s">
        <v>80</v>
      </c>
      <c r="E36" t="s">
        <v>80</v>
      </c>
      <c r="F36" t="s">
        <v>81</v>
      </c>
      <c r="G36" t="s">
        <v>82</v>
      </c>
      <c r="H36" t="s">
        <v>983</v>
      </c>
      <c r="I36" t="s">
        <v>342</v>
      </c>
      <c r="J36" t="s">
        <v>85</v>
      </c>
      <c r="K36" t="s">
        <v>1721</v>
      </c>
      <c r="L36" t="s">
        <v>1722</v>
      </c>
      <c r="M36" t="s">
        <v>1723</v>
      </c>
      <c r="N36">
        <v>51</v>
      </c>
      <c r="O36" t="s">
        <v>89</v>
      </c>
      <c r="P36">
        <v>1440</v>
      </c>
      <c r="Q36">
        <v>1</v>
      </c>
      <c r="R36">
        <v>204</v>
      </c>
      <c r="S36">
        <v>0.91669999999999996</v>
      </c>
      <c r="T36" t="s">
        <v>987</v>
      </c>
      <c r="U36" t="s">
        <v>988</v>
      </c>
      <c r="V36" t="s">
        <v>1034</v>
      </c>
      <c r="W36" t="s">
        <v>93</v>
      </c>
      <c r="X36" t="s">
        <v>990</v>
      </c>
      <c r="Y36" t="s">
        <v>1035</v>
      </c>
      <c r="Z36" t="s">
        <v>1724</v>
      </c>
      <c r="AA36" t="s">
        <v>173</v>
      </c>
      <c r="AB36">
        <v>12098</v>
      </c>
      <c r="AC36">
        <v>23</v>
      </c>
      <c r="AD36" t="s">
        <v>1725</v>
      </c>
      <c r="AE36">
        <v>34</v>
      </c>
      <c r="AF36" t="s">
        <v>99</v>
      </c>
      <c r="AG36" t="s">
        <v>1726</v>
      </c>
      <c r="AH36" t="s">
        <v>80</v>
      </c>
      <c r="AI36" t="s">
        <v>80</v>
      </c>
      <c r="AJ36" t="s">
        <v>81</v>
      </c>
      <c r="AK36" t="s">
        <v>176</v>
      </c>
      <c r="AL36" t="s">
        <v>177</v>
      </c>
      <c r="AM36" t="s">
        <v>209</v>
      </c>
      <c r="AN36" t="s">
        <v>1727</v>
      </c>
      <c r="AO36" t="s">
        <v>1728</v>
      </c>
      <c r="AP36" t="s">
        <v>1729</v>
      </c>
      <c r="AQ36">
        <v>42</v>
      </c>
      <c r="AR36" t="s">
        <v>89</v>
      </c>
      <c r="AS36">
        <v>1314</v>
      </c>
      <c r="AT36">
        <v>0.95140000000000002</v>
      </c>
      <c r="AU36">
        <v>172</v>
      </c>
      <c r="AV36">
        <v>0.94740000000000002</v>
      </c>
      <c r="AW36" t="s">
        <v>1730</v>
      </c>
      <c r="AX36" t="s">
        <v>1731</v>
      </c>
      <c r="AY36" t="s">
        <v>1732</v>
      </c>
      <c r="AZ36" t="s">
        <v>1733</v>
      </c>
      <c r="BA36" t="s">
        <v>1734</v>
      </c>
      <c r="BB36" t="s">
        <v>1735</v>
      </c>
      <c r="BC36" t="s">
        <v>1736</v>
      </c>
      <c r="BD36" t="s">
        <v>219</v>
      </c>
      <c r="BE36">
        <v>39304</v>
      </c>
      <c r="BF36" t="s">
        <v>1737</v>
      </c>
      <c r="BG36">
        <v>73</v>
      </c>
      <c r="BH36" t="s">
        <v>89</v>
      </c>
      <c r="BI36">
        <v>2</v>
      </c>
      <c r="BJ36">
        <v>81</v>
      </c>
      <c r="BK36">
        <v>5</v>
      </c>
      <c r="BL36">
        <v>27</v>
      </c>
      <c r="BM36">
        <v>24</v>
      </c>
      <c r="BN36">
        <v>38</v>
      </c>
      <c r="BO36">
        <v>46</v>
      </c>
      <c r="BP36">
        <v>17</v>
      </c>
      <c r="BQ36">
        <v>0</v>
      </c>
      <c r="BR36">
        <f t="shared" si="17"/>
        <v>82</v>
      </c>
      <c r="BS36">
        <f t="shared" si="18"/>
        <v>6</v>
      </c>
      <c r="BT36">
        <f t="shared" si="19"/>
        <v>28</v>
      </c>
      <c r="BU36">
        <f t="shared" si="20"/>
        <v>25</v>
      </c>
      <c r="BV36">
        <f t="shared" si="21"/>
        <v>39</v>
      </c>
      <c r="BW36">
        <f t="shared" si="22"/>
        <v>47</v>
      </c>
      <c r="BX36">
        <f t="shared" si="23"/>
        <v>18</v>
      </c>
      <c r="BY36">
        <f t="shared" si="24"/>
        <v>1</v>
      </c>
      <c r="BZ36">
        <f t="shared" si="25"/>
        <v>18.069130900066341</v>
      </c>
      <c r="CA36">
        <v>18.069130900066341</v>
      </c>
      <c r="CB36">
        <v>18.069130900066341</v>
      </c>
      <c r="CC36">
        <v>18.069130900066341</v>
      </c>
      <c r="CD36">
        <v>18.069130900066341</v>
      </c>
      <c r="CE36">
        <v>18.069130900066341</v>
      </c>
      <c r="CF36">
        <v>18.069130900066341</v>
      </c>
      <c r="CG36">
        <v>18.069130900066341</v>
      </c>
      <c r="CH36">
        <f t="shared" si="26"/>
        <v>0.65687658827782425</v>
      </c>
      <c r="CI36">
        <f t="shared" si="27"/>
        <v>-0.47878601372224888</v>
      </c>
      <c r="CJ36">
        <f t="shared" si="28"/>
        <v>0.19022076723632672</v>
      </c>
      <c r="CK36">
        <f t="shared" si="29"/>
        <v>0.14100274456614512</v>
      </c>
      <c r="CL36">
        <f t="shared" si="30"/>
        <v>0.3341273429206067</v>
      </c>
      <c r="CM36">
        <f t="shared" si="31"/>
        <v>0.41516059382982495</v>
      </c>
      <c r="CN36">
        <f t="shared" si="32"/>
        <v>-1.6647590025864248E-3</v>
      </c>
      <c r="CO36">
        <f t="shared" si="33"/>
        <v>-1.2569372641058925</v>
      </c>
      <c r="CP36">
        <v>34</v>
      </c>
      <c r="CQ36">
        <v>4.1029730516661901E-2</v>
      </c>
      <c r="CR36">
        <v>0.50656870935138698</v>
      </c>
      <c r="CS36">
        <v>1.0113820068672501</v>
      </c>
      <c r="CT36">
        <v>0.16847932832777501</v>
      </c>
      <c r="CU36">
        <v>0.74347739494678799</v>
      </c>
      <c r="CV36">
        <v>-0.58467463301378997</v>
      </c>
      <c r="CW36">
        <v>1.16398683708155</v>
      </c>
      <c r="CX36">
        <v>-3.48945987673619</v>
      </c>
    </row>
    <row r="37" spans="1:102" x14ac:dyDescent="0.35">
      <c r="A37" t="s">
        <v>838</v>
      </c>
      <c r="B37" t="s">
        <v>99</v>
      </c>
      <c r="C37" t="s">
        <v>839</v>
      </c>
      <c r="D37" t="s">
        <v>80</v>
      </c>
      <c r="E37" t="s">
        <v>80</v>
      </c>
      <c r="F37" t="s">
        <v>81</v>
      </c>
      <c r="G37" t="s">
        <v>82</v>
      </c>
      <c r="H37" t="s">
        <v>840</v>
      </c>
      <c r="I37" t="s">
        <v>132</v>
      </c>
      <c r="J37" t="s">
        <v>85</v>
      </c>
      <c r="K37" t="s">
        <v>841</v>
      </c>
      <c r="L37" t="s">
        <v>842</v>
      </c>
      <c r="M37" t="s">
        <v>843</v>
      </c>
      <c r="N37">
        <v>48</v>
      </c>
      <c r="O37" t="s">
        <v>89</v>
      </c>
      <c r="P37">
        <v>1197</v>
      </c>
      <c r="Q37">
        <v>0.90620000000000001</v>
      </c>
      <c r="R37">
        <v>204</v>
      </c>
      <c r="S37">
        <v>0.91669999999999996</v>
      </c>
      <c r="T37" t="s">
        <v>844</v>
      </c>
      <c r="U37" t="s">
        <v>845</v>
      </c>
      <c r="V37" t="s">
        <v>846</v>
      </c>
      <c r="W37" t="s">
        <v>93</v>
      </c>
      <c r="X37" t="s">
        <v>847</v>
      </c>
      <c r="Y37" t="s">
        <v>848</v>
      </c>
      <c r="Z37" t="s">
        <v>849</v>
      </c>
      <c r="AA37" t="s">
        <v>405</v>
      </c>
      <c r="AB37">
        <v>216</v>
      </c>
      <c r="AC37">
        <v>3</v>
      </c>
      <c r="AD37" t="s">
        <v>850</v>
      </c>
      <c r="AE37">
        <v>35</v>
      </c>
      <c r="AF37" t="s">
        <v>78</v>
      </c>
      <c r="AG37" t="s">
        <v>851</v>
      </c>
      <c r="AH37" t="s">
        <v>80</v>
      </c>
      <c r="AI37" t="s">
        <v>80</v>
      </c>
      <c r="AJ37" t="s">
        <v>81</v>
      </c>
      <c r="AK37" t="s">
        <v>176</v>
      </c>
      <c r="AL37" t="s">
        <v>477</v>
      </c>
      <c r="AM37" t="s">
        <v>178</v>
      </c>
      <c r="AN37" t="s">
        <v>852</v>
      </c>
      <c r="AO37" t="s">
        <v>853</v>
      </c>
      <c r="AP37" t="s">
        <v>854</v>
      </c>
      <c r="AQ37">
        <v>42</v>
      </c>
      <c r="AR37" t="s">
        <v>89</v>
      </c>
      <c r="AS37">
        <v>1161</v>
      </c>
      <c r="AT37">
        <v>0.90680000000000005</v>
      </c>
      <c r="AU37">
        <v>172</v>
      </c>
      <c r="AV37">
        <v>0.94740000000000002</v>
      </c>
      <c r="AW37" t="s">
        <v>855</v>
      </c>
      <c r="AX37" t="s">
        <v>856</v>
      </c>
      <c r="AY37" t="s">
        <v>857</v>
      </c>
      <c r="AZ37" t="s">
        <v>185</v>
      </c>
      <c r="BA37" t="s">
        <v>858</v>
      </c>
      <c r="BB37" t="s">
        <v>859</v>
      </c>
      <c r="BC37" t="s">
        <v>860</v>
      </c>
      <c r="BD37" t="s">
        <v>189</v>
      </c>
      <c r="BE37">
        <v>1904</v>
      </c>
      <c r="BF37" t="s">
        <v>861</v>
      </c>
      <c r="BG37">
        <v>2</v>
      </c>
      <c r="BH37" t="s">
        <v>89</v>
      </c>
      <c r="BI37">
        <v>1</v>
      </c>
      <c r="BJ37">
        <v>5</v>
      </c>
      <c r="BK37">
        <v>0</v>
      </c>
      <c r="BL37">
        <v>0</v>
      </c>
      <c r="BM37">
        <v>5</v>
      </c>
      <c r="BN37">
        <v>8</v>
      </c>
      <c r="BO37">
        <v>15</v>
      </c>
      <c r="BP37">
        <v>0</v>
      </c>
      <c r="BQ37">
        <v>10</v>
      </c>
      <c r="BR37">
        <f t="shared" si="17"/>
        <v>6</v>
      </c>
      <c r="BS37">
        <f t="shared" si="18"/>
        <v>1</v>
      </c>
      <c r="BT37">
        <f t="shared" si="19"/>
        <v>1</v>
      </c>
      <c r="BU37">
        <f t="shared" si="20"/>
        <v>6</v>
      </c>
      <c r="BV37">
        <f t="shared" si="21"/>
        <v>9</v>
      </c>
      <c r="BW37">
        <f t="shared" si="22"/>
        <v>16</v>
      </c>
      <c r="BX37">
        <f t="shared" si="23"/>
        <v>1</v>
      </c>
      <c r="BY37">
        <f t="shared" si="24"/>
        <v>11</v>
      </c>
      <c r="BZ37">
        <f t="shared" si="25"/>
        <v>3.9310377079606305</v>
      </c>
      <c r="CA37">
        <v>3.9310377079606305</v>
      </c>
      <c r="CB37">
        <v>3.9310377079606305</v>
      </c>
      <c r="CC37">
        <v>3.9310377079606305</v>
      </c>
      <c r="CD37">
        <v>3.9310377079606305</v>
      </c>
      <c r="CE37">
        <v>3.9310377079606305</v>
      </c>
      <c r="CF37">
        <v>3.9310377079606305</v>
      </c>
      <c r="CG37">
        <v>3.9310377079606305</v>
      </c>
      <c r="CH37">
        <f t="shared" si="26"/>
        <v>0.18364404063104836</v>
      </c>
      <c r="CI37">
        <f t="shared" si="27"/>
        <v>-0.59450720975259519</v>
      </c>
      <c r="CJ37">
        <f t="shared" si="28"/>
        <v>-0.59450720975259519</v>
      </c>
      <c r="CK37">
        <f t="shared" si="29"/>
        <v>0.18364404063104836</v>
      </c>
      <c r="CL37">
        <f t="shared" si="30"/>
        <v>0.35973529968672957</v>
      </c>
      <c r="CM37">
        <f t="shared" si="31"/>
        <v>0.6096127729033296</v>
      </c>
      <c r="CN37">
        <f t="shared" si="32"/>
        <v>-0.59450720975259519</v>
      </c>
      <c r="CO37">
        <f t="shared" si="33"/>
        <v>0.44688547540562978</v>
      </c>
      <c r="CP37">
        <v>35</v>
      </c>
      <c r="CQ37">
        <v>-0.63061013496398099</v>
      </c>
      <c r="CR37">
        <v>-2.8101924918208301</v>
      </c>
      <c r="CS37">
        <v>-1.90638622950665</v>
      </c>
      <c r="CT37">
        <v>0.26401228354525202</v>
      </c>
      <c r="CU37">
        <v>0.80788994637358003</v>
      </c>
      <c r="CV37">
        <v>-0.197988905313875</v>
      </c>
      <c r="CW37">
        <v>-2.83505630539632</v>
      </c>
      <c r="CX37">
        <v>0.63063018011465499</v>
      </c>
    </row>
    <row r="38" spans="1:102" x14ac:dyDescent="0.35">
      <c r="A38" t="s">
        <v>625</v>
      </c>
      <c r="B38" t="s">
        <v>78</v>
      </c>
      <c r="C38" t="s">
        <v>626</v>
      </c>
      <c r="D38" t="s">
        <v>80</v>
      </c>
      <c r="E38" t="s">
        <v>80</v>
      </c>
      <c r="F38" t="s">
        <v>81</v>
      </c>
      <c r="G38" t="s">
        <v>82</v>
      </c>
      <c r="H38" t="s">
        <v>193</v>
      </c>
      <c r="I38" t="s">
        <v>627</v>
      </c>
      <c r="J38" t="s">
        <v>628</v>
      </c>
      <c r="K38" t="s">
        <v>629</v>
      </c>
      <c r="L38" t="s">
        <v>630</v>
      </c>
      <c r="M38" t="s">
        <v>631</v>
      </c>
      <c r="N38">
        <v>39</v>
      </c>
      <c r="O38" t="s">
        <v>89</v>
      </c>
      <c r="P38">
        <v>1440</v>
      </c>
      <c r="Q38">
        <v>1</v>
      </c>
      <c r="R38">
        <v>152</v>
      </c>
      <c r="S38">
        <v>0.76919999999999999</v>
      </c>
      <c r="T38" t="s">
        <v>199</v>
      </c>
      <c r="U38" t="s">
        <v>322</v>
      </c>
      <c r="V38" t="s">
        <v>472</v>
      </c>
      <c r="W38" t="s">
        <v>93</v>
      </c>
      <c r="X38" t="s">
        <v>473</v>
      </c>
      <c r="Y38" t="s">
        <v>324</v>
      </c>
      <c r="Z38" t="s">
        <v>632</v>
      </c>
      <c r="AA38" t="s">
        <v>173</v>
      </c>
      <c r="AB38">
        <v>19372</v>
      </c>
      <c r="AC38">
        <v>16</v>
      </c>
      <c r="AD38" t="s">
        <v>633</v>
      </c>
      <c r="AE38">
        <v>36</v>
      </c>
      <c r="AF38" t="s">
        <v>99</v>
      </c>
      <c r="AG38" t="s">
        <v>634</v>
      </c>
      <c r="AH38" t="s">
        <v>80</v>
      </c>
      <c r="AI38" t="s">
        <v>80</v>
      </c>
      <c r="AJ38" t="s">
        <v>81</v>
      </c>
      <c r="AK38" t="s">
        <v>176</v>
      </c>
      <c r="AL38" t="s">
        <v>635</v>
      </c>
      <c r="AM38" t="s">
        <v>261</v>
      </c>
      <c r="AN38" t="s">
        <v>636</v>
      </c>
      <c r="AO38" t="s">
        <v>637</v>
      </c>
      <c r="AP38" t="s">
        <v>638</v>
      </c>
      <c r="AQ38">
        <v>36</v>
      </c>
      <c r="AR38" t="s">
        <v>89</v>
      </c>
      <c r="AS38">
        <v>1455</v>
      </c>
      <c r="AT38">
        <v>1</v>
      </c>
      <c r="AU38">
        <v>190</v>
      </c>
      <c r="AV38">
        <v>1</v>
      </c>
      <c r="AW38" t="s">
        <v>639</v>
      </c>
      <c r="AX38" t="s">
        <v>640</v>
      </c>
      <c r="AY38" t="s">
        <v>641</v>
      </c>
      <c r="AZ38" t="s">
        <v>185</v>
      </c>
      <c r="BA38" t="s">
        <v>642</v>
      </c>
      <c r="BB38" t="s">
        <v>643</v>
      </c>
      <c r="BC38" t="s">
        <v>644</v>
      </c>
      <c r="BD38" t="s">
        <v>364</v>
      </c>
      <c r="BE38">
        <v>16264</v>
      </c>
      <c r="BF38" t="s">
        <v>645</v>
      </c>
      <c r="BG38">
        <v>15</v>
      </c>
      <c r="BH38" t="s">
        <v>89</v>
      </c>
      <c r="BI38">
        <v>1</v>
      </c>
      <c r="BJ38">
        <v>29</v>
      </c>
      <c r="BK38">
        <v>0</v>
      </c>
      <c r="BL38">
        <v>8</v>
      </c>
      <c r="BM38">
        <v>6</v>
      </c>
      <c r="BN38">
        <v>14</v>
      </c>
      <c r="BO38">
        <v>41</v>
      </c>
      <c r="BP38">
        <v>0</v>
      </c>
      <c r="BQ38">
        <v>14</v>
      </c>
      <c r="BR38">
        <f t="shared" si="17"/>
        <v>30</v>
      </c>
      <c r="BS38">
        <f t="shared" si="18"/>
        <v>1</v>
      </c>
      <c r="BT38">
        <f t="shared" si="19"/>
        <v>9</v>
      </c>
      <c r="BU38">
        <f t="shared" si="20"/>
        <v>7</v>
      </c>
      <c r="BV38">
        <f t="shared" si="21"/>
        <v>15</v>
      </c>
      <c r="BW38">
        <f t="shared" si="22"/>
        <v>42</v>
      </c>
      <c r="BX38">
        <f t="shared" si="23"/>
        <v>1</v>
      </c>
      <c r="BY38">
        <f t="shared" si="24"/>
        <v>15</v>
      </c>
      <c r="BZ38">
        <f t="shared" si="25"/>
        <v>8.0628151204709972</v>
      </c>
      <c r="CA38">
        <v>8.0628151204709972</v>
      </c>
      <c r="CB38">
        <v>8.0628151204709972</v>
      </c>
      <c r="CC38">
        <v>8.0628151204709972</v>
      </c>
      <c r="CD38">
        <v>8.0628151204709972</v>
      </c>
      <c r="CE38">
        <v>8.0628151204709972</v>
      </c>
      <c r="CF38">
        <v>8.0628151204709972</v>
      </c>
      <c r="CG38">
        <v>8.0628151204709972</v>
      </c>
      <c r="CH38">
        <f t="shared" si="26"/>
        <v>0.57063455313434908</v>
      </c>
      <c r="CI38">
        <f t="shared" si="27"/>
        <v>-0.90648670158531341</v>
      </c>
      <c r="CJ38">
        <f t="shared" si="28"/>
        <v>4.7755807854011491E-2</v>
      </c>
      <c r="CK38">
        <f t="shared" si="29"/>
        <v>-6.1388661571056553E-2</v>
      </c>
      <c r="CL38">
        <f t="shared" si="30"/>
        <v>0.26960455747036782</v>
      </c>
      <c r="CM38">
        <f t="shared" si="31"/>
        <v>0.71676258881258703</v>
      </c>
      <c r="CN38">
        <f t="shared" si="32"/>
        <v>-0.90648670158531341</v>
      </c>
      <c r="CO38">
        <f t="shared" si="33"/>
        <v>0.26960455747036782</v>
      </c>
      <c r="CP38">
        <v>36</v>
      </c>
      <c r="CQ38">
        <v>-8.1370111105759799E-2</v>
      </c>
      <c r="CR38">
        <v>-2.8101924918208301</v>
      </c>
      <c r="CS38">
        <v>0.65146836621627402</v>
      </c>
      <c r="CT38">
        <v>-0.28495550886568299</v>
      </c>
      <c r="CU38">
        <v>0.58118107142629905</v>
      </c>
      <c r="CV38">
        <v>1.50881850802673E-2</v>
      </c>
      <c r="CW38">
        <v>-2.83505630539632</v>
      </c>
      <c r="CX38">
        <v>0.28540291031249798</v>
      </c>
    </row>
    <row r="39" spans="1:102" x14ac:dyDescent="0.35">
      <c r="A39" t="s">
        <v>921</v>
      </c>
      <c r="B39" t="s">
        <v>78</v>
      </c>
      <c r="C39" t="s">
        <v>922</v>
      </c>
      <c r="D39" t="s">
        <v>80</v>
      </c>
      <c r="E39" t="s">
        <v>80</v>
      </c>
      <c r="F39" t="s">
        <v>81</v>
      </c>
      <c r="G39" t="s">
        <v>82</v>
      </c>
      <c r="H39" t="s">
        <v>923</v>
      </c>
      <c r="I39" t="s">
        <v>272</v>
      </c>
      <c r="J39" t="s">
        <v>133</v>
      </c>
      <c r="K39" t="s">
        <v>924</v>
      </c>
      <c r="L39" t="s">
        <v>925</v>
      </c>
      <c r="M39" t="s">
        <v>926</v>
      </c>
      <c r="N39">
        <v>60</v>
      </c>
      <c r="O39" t="s">
        <v>89</v>
      </c>
      <c r="P39">
        <v>1305</v>
      </c>
      <c r="Q39">
        <v>0.94789999999999996</v>
      </c>
      <c r="R39">
        <v>192</v>
      </c>
      <c r="S39">
        <v>0.86270000000000002</v>
      </c>
      <c r="T39" t="s">
        <v>927</v>
      </c>
      <c r="U39" t="s">
        <v>928</v>
      </c>
      <c r="V39" t="s">
        <v>929</v>
      </c>
      <c r="W39" t="s">
        <v>930</v>
      </c>
      <c r="X39" t="s">
        <v>931</v>
      </c>
      <c r="Y39" t="s">
        <v>932</v>
      </c>
      <c r="Z39" t="s">
        <v>933</v>
      </c>
      <c r="AA39" t="s">
        <v>405</v>
      </c>
      <c r="AB39">
        <v>522</v>
      </c>
      <c r="AC39">
        <v>4</v>
      </c>
      <c r="AD39" t="s">
        <v>934</v>
      </c>
      <c r="AE39">
        <v>37</v>
      </c>
      <c r="AF39" t="s">
        <v>99</v>
      </c>
      <c r="AG39" t="s">
        <v>935</v>
      </c>
      <c r="AH39" t="s">
        <v>80</v>
      </c>
      <c r="AI39" t="s">
        <v>80</v>
      </c>
      <c r="AJ39" t="s">
        <v>81</v>
      </c>
      <c r="AK39" t="s">
        <v>101</v>
      </c>
      <c r="AL39" t="s">
        <v>328</v>
      </c>
      <c r="AM39" t="s">
        <v>146</v>
      </c>
      <c r="AN39" t="s">
        <v>936</v>
      </c>
      <c r="AO39" t="s">
        <v>937</v>
      </c>
      <c r="AP39" t="s">
        <v>938</v>
      </c>
      <c r="AQ39">
        <v>33</v>
      </c>
      <c r="AR39" t="s">
        <v>89</v>
      </c>
      <c r="AS39">
        <v>1341</v>
      </c>
      <c r="AT39">
        <v>0.97850000000000004</v>
      </c>
      <c r="AU39">
        <v>180</v>
      </c>
      <c r="AV39">
        <v>1</v>
      </c>
      <c r="AW39" t="s">
        <v>939</v>
      </c>
      <c r="AX39" t="s">
        <v>940</v>
      </c>
      <c r="AY39" t="s">
        <v>941</v>
      </c>
      <c r="AZ39" t="s">
        <v>153</v>
      </c>
      <c r="BA39" t="s">
        <v>711</v>
      </c>
      <c r="BB39" t="s">
        <v>942</v>
      </c>
      <c r="BC39" t="s">
        <v>943</v>
      </c>
      <c r="BD39" t="s">
        <v>114</v>
      </c>
      <c r="BE39">
        <v>73400</v>
      </c>
      <c r="BF39" t="s">
        <v>944</v>
      </c>
      <c r="BG39">
        <v>105</v>
      </c>
      <c r="BH39" t="s">
        <v>89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11</v>
      </c>
      <c r="BP39">
        <v>0</v>
      </c>
      <c r="BQ39">
        <v>9</v>
      </c>
      <c r="BR39">
        <f t="shared" si="17"/>
        <v>1</v>
      </c>
      <c r="BS39">
        <f t="shared" si="18"/>
        <v>1</v>
      </c>
      <c r="BT39">
        <f t="shared" si="19"/>
        <v>1</v>
      </c>
      <c r="BU39">
        <f t="shared" si="20"/>
        <v>1</v>
      </c>
      <c r="BV39">
        <f t="shared" si="21"/>
        <v>1</v>
      </c>
      <c r="BW39">
        <f t="shared" si="22"/>
        <v>12</v>
      </c>
      <c r="BX39">
        <f t="shared" si="23"/>
        <v>1</v>
      </c>
      <c r="BY39">
        <f t="shared" si="24"/>
        <v>10</v>
      </c>
      <c r="BZ39">
        <f t="shared" si="25"/>
        <v>1.8192720851062583</v>
      </c>
      <c r="CA39">
        <v>1.8192720851062583</v>
      </c>
      <c r="CB39">
        <v>1.8192720851062583</v>
      </c>
      <c r="CC39">
        <v>1.8192720851062583</v>
      </c>
      <c r="CD39">
        <v>1.8192720851062583</v>
      </c>
      <c r="CE39">
        <v>1.8192720851062583</v>
      </c>
      <c r="CF39">
        <v>1.8192720851062583</v>
      </c>
      <c r="CG39">
        <v>1.8192720851062583</v>
      </c>
      <c r="CH39">
        <f t="shared" si="26"/>
        <v>-0.25989765575595303</v>
      </c>
      <c r="CI39">
        <f t="shared" si="27"/>
        <v>-0.25989765575595303</v>
      </c>
      <c r="CJ39">
        <f t="shared" si="28"/>
        <v>-0.25989765575595303</v>
      </c>
      <c r="CK39">
        <f t="shared" si="29"/>
        <v>-0.25989765575595303</v>
      </c>
      <c r="CL39">
        <f t="shared" si="30"/>
        <v>-0.25989765575595303</v>
      </c>
      <c r="CM39">
        <f t="shared" si="31"/>
        <v>0.81928359029167175</v>
      </c>
      <c r="CN39">
        <f t="shared" si="32"/>
        <v>-0.25989765575595303</v>
      </c>
      <c r="CO39">
        <f t="shared" si="33"/>
        <v>0.74010234424404686</v>
      </c>
      <c r="CP39">
        <v>37</v>
      </c>
      <c r="CQ39">
        <v>-1.53996978270225</v>
      </c>
      <c r="CR39">
        <v>-2.8101924918208301</v>
      </c>
      <c r="CS39">
        <v>-1.90638622950665</v>
      </c>
      <c r="CT39">
        <v>-2.7279301294217002</v>
      </c>
      <c r="CU39">
        <v>-1.52396762003097</v>
      </c>
      <c r="CV39">
        <v>0.21896045974620601</v>
      </c>
      <c r="CW39">
        <v>-2.83505630539632</v>
      </c>
      <c r="CX39">
        <v>1.2016248492983299</v>
      </c>
    </row>
    <row r="40" spans="1:102" x14ac:dyDescent="0.35">
      <c r="A40" t="s">
        <v>813</v>
      </c>
      <c r="B40" t="s">
        <v>99</v>
      </c>
      <c r="C40" t="s">
        <v>814</v>
      </c>
      <c r="D40" t="s">
        <v>80</v>
      </c>
      <c r="E40" t="s">
        <v>80</v>
      </c>
      <c r="F40" t="s">
        <v>81</v>
      </c>
      <c r="G40" t="s">
        <v>82</v>
      </c>
      <c r="H40" t="s">
        <v>815</v>
      </c>
      <c r="I40" t="s">
        <v>194</v>
      </c>
      <c r="J40" t="s">
        <v>195</v>
      </c>
      <c r="K40" t="s">
        <v>816</v>
      </c>
      <c r="L40" t="s">
        <v>817</v>
      </c>
      <c r="M40" t="s">
        <v>818</v>
      </c>
      <c r="N40">
        <v>48</v>
      </c>
      <c r="O40" t="s">
        <v>89</v>
      </c>
      <c r="P40">
        <v>1335</v>
      </c>
      <c r="Q40">
        <v>0.94899999999999995</v>
      </c>
      <c r="R40">
        <v>205</v>
      </c>
      <c r="S40">
        <v>0.9</v>
      </c>
      <c r="T40" t="s">
        <v>819</v>
      </c>
      <c r="U40" t="s">
        <v>820</v>
      </c>
      <c r="V40" t="s">
        <v>821</v>
      </c>
      <c r="W40" t="s">
        <v>822</v>
      </c>
      <c r="X40" t="s">
        <v>823</v>
      </c>
      <c r="Y40" t="s">
        <v>824</v>
      </c>
      <c r="Z40" t="s">
        <v>825</v>
      </c>
      <c r="AA40" t="s">
        <v>97</v>
      </c>
      <c r="AB40">
        <v>896</v>
      </c>
      <c r="AC40">
        <v>4</v>
      </c>
      <c r="AD40" t="s">
        <v>826</v>
      </c>
      <c r="AE40">
        <v>39</v>
      </c>
      <c r="AF40" t="s">
        <v>78</v>
      </c>
      <c r="AG40" t="s">
        <v>827</v>
      </c>
      <c r="AH40" t="s">
        <v>80</v>
      </c>
      <c r="AI40" t="s">
        <v>80</v>
      </c>
      <c r="AJ40" t="s">
        <v>81</v>
      </c>
      <c r="AK40" t="s">
        <v>176</v>
      </c>
      <c r="AL40" t="s">
        <v>208</v>
      </c>
      <c r="AM40" t="s">
        <v>209</v>
      </c>
      <c r="AN40" t="s">
        <v>828</v>
      </c>
      <c r="AO40" t="s">
        <v>829</v>
      </c>
      <c r="AP40" t="s">
        <v>830</v>
      </c>
      <c r="AQ40">
        <v>42</v>
      </c>
      <c r="AR40" t="s">
        <v>89</v>
      </c>
      <c r="AS40">
        <v>1350</v>
      </c>
      <c r="AT40">
        <v>0.96530000000000005</v>
      </c>
      <c r="AU40">
        <v>172</v>
      </c>
      <c r="AV40">
        <v>0.94740000000000002</v>
      </c>
      <c r="AW40" t="s">
        <v>182</v>
      </c>
      <c r="AX40" t="s">
        <v>831</v>
      </c>
      <c r="AY40" t="s">
        <v>832</v>
      </c>
      <c r="AZ40" t="s">
        <v>833</v>
      </c>
      <c r="BA40" t="s">
        <v>834</v>
      </c>
      <c r="BB40" t="s">
        <v>835</v>
      </c>
      <c r="BC40" t="s">
        <v>836</v>
      </c>
      <c r="BD40" t="s">
        <v>219</v>
      </c>
      <c r="BE40">
        <v>34878</v>
      </c>
      <c r="BF40" t="s">
        <v>837</v>
      </c>
      <c r="BG40">
        <v>38</v>
      </c>
      <c r="BH40" t="s">
        <v>89</v>
      </c>
      <c r="BI40">
        <v>1</v>
      </c>
      <c r="BJ40">
        <v>4</v>
      </c>
      <c r="BK40">
        <v>0</v>
      </c>
      <c r="BL40">
        <v>0</v>
      </c>
      <c r="BM40">
        <v>7</v>
      </c>
      <c r="BN40">
        <v>0</v>
      </c>
      <c r="BO40">
        <v>12</v>
      </c>
      <c r="BP40">
        <v>0</v>
      </c>
      <c r="BQ40">
        <v>5</v>
      </c>
      <c r="BR40">
        <f t="shared" si="17"/>
        <v>5</v>
      </c>
      <c r="BS40">
        <f t="shared" si="18"/>
        <v>1</v>
      </c>
      <c r="BT40">
        <f t="shared" si="19"/>
        <v>1</v>
      </c>
      <c r="BU40">
        <f t="shared" si="20"/>
        <v>8</v>
      </c>
      <c r="BV40">
        <f t="shared" si="21"/>
        <v>1</v>
      </c>
      <c r="BW40">
        <f t="shared" si="22"/>
        <v>13</v>
      </c>
      <c r="BX40">
        <f t="shared" si="23"/>
        <v>1</v>
      </c>
      <c r="BY40">
        <f t="shared" si="24"/>
        <v>6</v>
      </c>
      <c r="BZ40">
        <f t="shared" si="25"/>
        <v>2.733816272621203</v>
      </c>
      <c r="CA40">
        <v>2.733816272621203</v>
      </c>
      <c r="CB40">
        <v>2.733816272621203</v>
      </c>
      <c r="CC40">
        <v>2.733816272621203</v>
      </c>
      <c r="CD40">
        <v>2.733816272621203</v>
      </c>
      <c r="CE40">
        <v>2.733816272621203</v>
      </c>
      <c r="CF40">
        <v>2.733816272621203</v>
      </c>
      <c r="CG40">
        <v>2.733816272621203</v>
      </c>
      <c r="CH40">
        <f t="shared" si="26"/>
        <v>0.26220068008371344</v>
      </c>
      <c r="CI40">
        <f t="shared" si="27"/>
        <v>-0.43676932425230536</v>
      </c>
      <c r="CJ40">
        <f t="shared" si="28"/>
        <v>-0.43676932425230536</v>
      </c>
      <c r="CK40">
        <f t="shared" si="29"/>
        <v>0.46632066273963824</v>
      </c>
      <c r="CL40">
        <f t="shared" si="30"/>
        <v>-0.43676932425230536</v>
      </c>
      <c r="CM40">
        <f t="shared" si="31"/>
        <v>0.67717402805453142</v>
      </c>
      <c r="CN40">
        <f t="shared" si="32"/>
        <v>-0.43676932425230536</v>
      </c>
      <c r="CO40">
        <f t="shared" si="33"/>
        <v>0.34138192613133828</v>
      </c>
      <c r="CP40">
        <v>39</v>
      </c>
      <c r="CQ40">
        <v>-0.51911786542976202</v>
      </c>
      <c r="CR40">
        <v>-2.8101924918208301</v>
      </c>
      <c r="CS40">
        <v>-1.90638622950665</v>
      </c>
      <c r="CT40">
        <v>0.89731698047153696</v>
      </c>
      <c r="CU40">
        <v>-1.52396762003097</v>
      </c>
      <c r="CV40">
        <v>-6.3637244988244995E-2</v>
      </c>
      <c r="CW40">
        <v>-2.83505630539632</v>
      </c>
      <c r="CX40">
        <v>0.425178275337731</v>
      </c>
    </row>
    <row r="41" spans="1:102" x14ac:dyDescent="0.35">
      <c r="A41" t="s">
        <v>961</v>
      </c>
      <c r="B41" t="s">
        <v>78</v>
      </c>
      <c r="C41" t="s">
        <v>962</v>
      </c>
      <c r="D41" t="s">
        <v>80</v>
      </c>
      <c r="E41" t="s">
        <v>80</v>
      </c>
      <c r="F41" t="s">
        <v>81</v>
      </c>
      <c r="G41" t="s">
        <v>82</v>
      </c>
      <c r="H41" t="s">
        <v>840</v>
      </c>
      <c r="I41" t="s">
        <v>272</v>
      </c>
      <c r="J41" t="s">
        <v>133</v>
      </c>
      <c r="K41" t="s">
        <v>963</v>
      </c>
      <c r="L41" t="s">
        <v>964</v>
      </c>
      <c r="M41" t="s">
        <v>965</v>
      </c>
      <c r="N41">
        <v>63</v>
      </c>
      <c r="O41" t="s">
        <v>89</v>
      </c>
      <c r="P41">
        <v>1377</v>
      </c>
      <c r="Q41">
        <v>0.97570000000000001</v>
      </c>
      <c r="R41">
        <v>246</v>
      </c>
      <c r="S41">
        <v>0.98040000000000005</v>
      </c>
      <c r="T41" t="s">
        <v>966</v>
      </c>
      <c r="U41" t="s">
        <v>967</v>
      </c>
      <c r="V41" t="s">
        <v>968</v>
      </c>
      <c r="W41" t="s">
        <v>93</v>
      </c>
      <c r="X41" t="s">
        <v>969</v>
      </c>
      <c r="Y41" t="s">
        <v>953</v>
      </c>
      <c r="Z41" t="s">
        <v>970</v>
      </c>
      <c r="AA41" t="s">
        <v>97</v>
      </c>
      <c r="AB41">
        <v>794</v>
      </c>
      <c r="AC41">
        <v>7</v>
      </c>
      <c r="AD41" t="s">
        <v>971</v>
      </c>
      <c r="AE41">
        <v>40</v>
      </c>
      <c r="AF41" t="s">
        <v>99</v>
      </c>
      <c r="AG41" t="s">
        <v>972</v>
      </c>
      <c r="AH41" t="s">
        <v>80</v>
      </c>
      <c r="AI41" t="s">
        <v>80</v>
      </c>
      <c r="AJ41" t="s">
        <v>81</v>
      </c>
      <c r="AK41" t="s">
        <v>101</v>
      </c>
      <c r="AL41" t="s">
        <v>102</v>
      </c>
      <c r="AM41" t="s">
        <v>146</v>
      </c>
      <c r="AN41" t="s">
        <v>973</v>
      </c>
      <c r="AO41" t="s">
        <v>974</v>
      </c>
      <c r="AP41" t="s">
        <v>975</v>
      </c>
      <c r="AQ41">
        <v>33</v>
      </c>
      <c r="AR41" t="s">
        <v>89</v>
      </c>
      <c r="AS41">
        <v>1332</v>
      </c>
      <c r="AT41">
        <v>0.97489999999999999</v>
      </c>
      <c r="AU41">
        <v>166</v>
      </c>
      <c r="AV41">
        <v>0.97140000000000004</v>
      </c>
      <c r="AW41" t="s">
        <v>976</v>
      </c>
      <c r="AX41" t="s">
        <v>977</v>
      </c>
      <c r="AY41" t="s">
        <v>732</v>
      </c>
      <c r="AZ41" t="s">
        <v>153</v>
      </c>
      <c r="BA41" t="s">
        <v>978</v>
      </c>
      <c r="BB41" t="s">
        <v>112</v>
      </c>
      <c r="BC41" t="s">
        <v>979</v>
      </c>
      <c r="BD41" t="s">
        <v>114</v>
      </c>
      <c r="BE41">
        <v>53516</v>
      </c>
      <c r="BF41" t="s">
        <v>980</v>
      </c>
      <c r="BG41">
        <v>49</v>
      </c>
      <c r="BH41" t="s">
        <v>89</v>
      </c>
      <c r="BI41">
        <v>1</v>
      </c>
      <c r="BJ41">
        <v>11</v>
      </c>
      <c r="BK41">
        <v>0</v>
      </c>
      <c r="BL41">
        <v>0</v>
      </c>
      <c r="BM41">
        <v>0</v>
      </c>
      <c r="BN41">
        <v>0</v>
      </c>
      <c r="BO41">
        <v>5</v>
      </c>
      <c r="BP41">
        <v>0</v>
      </c>
      <c r="BQ41">
        <v>5</v>
      </c>
      <c r="BR41">
        <f t="shared" si="17"/>
        <v>12</v>
      </c>
      <c r="BS41">
        <f t="shared" si="18"/>
        <v>1</v>
      </c>
      <c r="BT41">
        <f t="shared" si="19"/>
        <v>1</v>
      </c>
      <c r="BU41">
        <f t="shared" si="20"/>
        <v>1</v>
      </c>
      <c r="BV41">
        <f t="shared" si="21"/>
        <v>1</v>
      </c>
      <c r="BW41">
        <f t="shared" si="22"/>
        <v>6</v>
      </c>
      <c r="BX41">
        <f t="shared" si="23"/>
        <v>1</v>
      </c>
      <c r="BY41">
        <f t="shared" si="24"/>
        <v>6</v>
      </c>
      <c r="BZ41">
        <f t="shared" si="25"/>
        <v>2.135184796196703</v>
      </c>
      <c r="CA41">
        <v>2.135184796196703</v>
      </c>
      <c r="CB41">
        <v>2.135184796196703</v>
      </c>
      <c r="CC41">
        <v>2.135184796196703</v>
      </c>
      <c r="CD41">
        <v>2.135184796196703</v>
      </c>
      <c r="CE41">
        <v>2.135184796196703</v>
      </c>
      <c r="CF41">
        <v>2.135184796196703</v>
      </c>
      <c r="CG41">
        <v>2.135184796196703</v>
      </c>
      <c r="CH41">
        <f t="shared" si="26"/>
        <v>0.74974577769576078</v>
      </c>
      <c r="CI41">
        <f t="shared" si="27"/>
        <v>-0.32943546835186405</v>
      </c>
      <c r="CJ41">
        <f t="shared" si="28"/>
        <v>-0.32943546835186405</v>
      </c>
      <c r="CK41">
        <f t="shared" si="29"/>
        <v>-0.32943546835186405</v>
      </c>
      <c r="CL41">
        <f t="shared" si="30"/>
        <v>-0.32943546835186405</v>
      </c>
      <c r="CM41">
        <f t="shared" si="31"/>
        <v>0.44871578203177959</v>
      </c>
      <c r="CN41">
        <f t="shared" si="32"/>
        <v>-0.32943546835186405</v>
      </c>
      <c r="CO41">
        <f t="shared" si="33"/>
        <v>0.44871578203177959</v>
      </c>
      <c r="CP41">
        <v>40</v>
      </c>
      <c r="CQ41">
        <v>0.17283522487271799</v>
      </c>
      <c r="CR41">
        <v>-2.8101924918208301</v>
      </c>
      <c r="CS41">
        <v>-1.90638622950665</v>
      </c>
      <c r="CT41">
        <v>-2.7279301294217002</v>
      </c>
      <c r="CU41">
        <v>-1.52396762003097</v>
      </c>
      <c r="CV41">
        <v>-0.51794710941491295</v>
      </c>
      <c r="CW41">
        <v>-2.83505630539632</v>
      </c>
      <c r="CX41">
        <v>0.63419442023031802</v>
      </c>
    </row>
    <row r="42" spans="1:102" x14ac:dyDescent="0.35">
      <c r="A42" t="s">
        <v>795</v>
      </c>
      <c r="B42" t="s">
        <v>99</v>
      </c>
      <c r="C42" t="s">
        <v>796</v>
      </c>
      <c r="D42" t="s">
        <v>80</v>
      </c>
      <c r="E42" t="s">
        <v>80</v>
      </c>
      <c r="F42" t="s">
        <v>81</v>
      </c>
      <c r="G42" t="s">
        <v>82</v>
      </c>
      <c r="H42" t="s">
        <v>555</v>
      </c>
      <c r="I42" t="s">
        <v>132</v>
      </c>
      <c r="J42" t="s">
        <v>162</v>
      </c>
      <c r="K42" t="s">
        <v>797</v>
      </c>
      <c r="L42" t="s">
        <v>798</v>
      </c>
      <c r="M42" t="s">
        <v>799</v>
      </c>
      <c r="N42">
        <v>66</v>
      </c>
      <c r="O42" t="s">
        <v>89</v>
      </c>
      <c r="P42">
        <v>1440</v>
      </c>
      <c r="Q42">
        <v>1</v>
      </c>
      <c r="R42">
        <v>283</v>
      </c>
      <c r="S42">
        <v>0.9516</v>
      </c>
      <c r="T42" t="s">
        <v>559</v>
      </c>
      <c r="U42" t="s">
        <v>560</v>
      </c>
      <c r="V42" t="s">
        <v>561</v>
      </c>
      <c r="W42" t="s">
        <v>427</v>
      </c>
      <c r="X42" t="s">
        <v>562</v>
      </c>
      <c r="Y42" t="s">
        <v>563</v>
      </c>
      <c r="Z42" t="s">
        <v>800</v>
      </c>
      <c r="AA42" t="s">
        <v>173</v>
      </c>
      <c r="AB42">
        <v>8108</v>
      </c>
      <c r="AC42">
        <v>15</v>
      </c>
      <c r="AD42" t="s">
        <v>801</v>
      </c>
      <c r="AE42">
        <v>41</v>
      </c>
      <c r="AF42" t="s">
        <v>78</v>
      </c>
      <c r="AG42" t="s">
        <v>802</v>
      </c>
      <c r="AH42" t="s">
        <v>80</v>
      </c>
      <c r="AI42" t="s">
        <v>80</v>
      </c>
      <c r="AJ42" t="s">
        <v>81</v>
      </c>
      <c r="AK42" t="s">
        <v>101</v>
      </c>
      <c r="AL42" t="s">
        <v>784</v>
      </c>
      <c r="AM42" t="s">
        <v>146</v>
      </c>
      <c r="AN42" t="s">
        <v>803</v>
      </c>
      <c r="AO42" t="s">
        <v>804</v>
      </c>
      <c r="AP42" t="s">
        <v>805</v>
      </c>
      <c r="AQ42">
        <v>33</v>
      </c>
      <c r="AR42" t="s">
        <v>89</v>
      </c>
      <c r="AS42">
        <v>1470</v>
      </c>
      <c r="AT42">
        <v>1</v>
      </c>
      <c r="AU42">
        <v>180</v>
      </c>
      <c r="AV42">
        <v>1</v>
      </c>
      <c r="AW42" t="s">
        <v>806</v>
      </c>
      <c r="AX42" t="s">
        <v>807</v>
      </c>
      <c r="AY42" t="s">
        <v>808</v>
      </c>
      <c r="AZ42" t="s">
        <v>153</v>
      </c>
      <c r="BA42" t="s">
        <v>809</v>
      </c>
      <c r="BB42" t="s">
        <v>810</v>
      </c>
      <c r="BC42" t="s">
        <v>811</v>
      </c>
      <c r="BD42" t="s">
        <v>114</v>
      </c>
      <c r="BE42">
        <v>13362</v>
      </c>
      <c r="BF42" t="s">
        <v>812</v>
      </c>
      <c r="BG42">
        <v>14</v>
      </c>
      <c r="BH42" t="s">
        <v>89</v>
      </c>
      <c r="BI42">
        <v>1</v>
      </c>
      <c r="BJ42">
        <v>12</v>
      </c>
      <c r="BK42">
        <v>0</v>
      </c>
      <c r="BL42">
        <v>0</v>
      </c>
      <c r="BM42">
        <v>5</v>
      </c>
      <c r="BN42">
        <v>0</v>
      </c>
      <c r="BO42">
        <v>17</v>
      </c>
      <c r="BP42">
        <v>0</v>
      </c>
      <c r="BQ42">
        <v>6</v>
      </c>
      <c r="BR42">
        <f t="shared" si="17"/>
        <v>13</v>
      </c>
      <c r="BS42">
        <f t="shared" si="18"/>
        <v>1</v>
      </c>
      <c r="BT42">
        <f t="shared" si="19"/>
        <v>1</v>
      </c>
      <c r="BU42">
        <f t="shared" si="20"/>
        <v>6</v>
      </c>
      <c r="BV42">
        <f t="shared" si="21"/>
        <v>1</v>
      </c>
      <c r="BW42">
        <f t="shared" si="22"/>
        <v>18</v>
      </c>
      <c r="BX42">
        <f t="shared" si="23"/>
        <v>1</v>
      </c>
      <c r="BY42">
        <f t="shared" si="24"/>
        <v>7</v>
      </c>
      <c r="BZ42">
        <f t="shared" si="25"/>
        <v>3.1554270446199024</v>
      </c>
      <c r="CA42">
        <v>3.1554270446199024</v>
      </c>
      <c r="CB42">
        <v>3.1554270446199024</v>
      </c>
      <c r="CC42">
        <v>3.1554270446199024</v>
      </c>
      <c r="CD42">
        <v>3.1554270446199024</v>
      </c>
      <c r="CE42">
        <v>3.1554270446199024</v>
      </c>
      <c r="CF42">
        <v>3.1554270446199024</v>
      </c>
      <c r="CG42">
        <v>3.1554270446199024</v>
      </c>
      <c r="CH42">
        <f t="shared" si="26"/>
        <v>0.61488520883083131</v>
      </c>
      <c r="CI42">
        <f t="shared" si="27"/>
        <v>-0.49905814347600541</v>
      </c>
      <c r="CJ42">
        <f t="shared" si="28"/>
        <v>-0.49905814347600541</v>
      </c>
      <c r="CK42">
        <f t="shared" si="29"/>
        <v>0.27909310690763817</v>
      </c>
      <c r="CL42">
        <f t="shared" si="30"/>
        <v>-0.49905814347600541</v>
      </c>
      <c r="CM42">
        <f t="shared" si="31"/>
        <v>0.7562143616273006</v>
      </c>
      <c r="CN42">
        <f t="shared" si="32"/>
        <v>-0.49905814347600541</v>
      </c>
      <c r="CO42">
        <f t="shared" si="33"/>
        <v>0.3460398965382514</v>
      </c>
      <c r="CP42">
        <v>41</v>
      </c>
      <c r="CQ42">
        <v>-1.8566940471775501E-2</v>
      </c>
      <c r="CR42">
        <v>-2.8101924918208301</v>
      </c>
      <c r="CS42">
        <v>-1.90638622950665</v>
      </c>
      <c r="CT42">
        <v>0.47785501853793</v>
      </c>
      <c r="CU42">
        <v>-1.52396762003097</v>
      </c>
      <c r="CV42">
        <v>9.3541599964049801E-2</v>
      </c>
      <c r="CW42">
        <v>-2.83505630539632</v>
      </c>
      <c r="CX42">
        <v>0.43424895494118998</v>
      </c>
    </row>
    <row r="43" spans="1:102" x14ac:dyDescent="0.35">
      <c r="A43" t="s">
        <v>1029</v>
      </c>
      <c r="B43" t="s">
        <v>99</v>
      </c>
      <c r="C43" t="s">
        <v>1030</v>
      </c>
      <c r="D43" t="s">
        <v>80</v>
      </c>
      <c r="E43" t="s">
        <v>80</v>
      </c>
      <c r="F43" t="s">
        <v>81</v>
      </c>
      <c r="G43" t="s">
        <v>82</v>
      </c>
      <c r="H43" t="s">
        <v>983</v>
      </c>
      <c r="I43" t="s">
        <v>298</v>
      </c>
      <c r="J43" t="s">
        <v>85</v>
      </c>
      <c r="K43" t="s">
        <v>1031</v>
      </c>
      <c r="L43" t="s">
        <v>1032</v>
      </c>
      <c r="M43" t="s">
        <v>1033</v>
      </c>
      <c r="N43">
        <v>72</v>
      </c>
      <c r="O43" t="s">
        <v>89</v>
      </c>
      <c r="P43">
        <v>1440</v>
      </c>
      <c r="Q43">
        <v>1</v>
      </c>
      <c r="R43">
        <v>240</v>
      </c>
      <c r="S43">
        <v>1</v>
      </c>
      <c r="T43" t="s">
        <v>987</v>
      </c>
      <c r="U43" t="s">
        <v>988</v>
      </c>
      <c r="V43" t="s">
        <v>1034</v>
      </c>
      <c r="W43" t="s">
        <v>93</v>
      </c>
      <c r="X43" t="s">
        <v>990</v>
      </c>
      <c r="Y43" t="s">
        <v>1035</v>
      </c>
      <c r="Z43" t="s">
        <v>1036</v>
      </c>
      <c r="AA43" t="s">
        <v>173</v>
      </c>
      <c r="AB43">
        <v>25550</v>
      </c>
      <c r="AC43">
        <v>29</v>
      </c>
      <c r="AD43" t="s">
        <v>1037</v>
      </c>
      <c r="AE43">
        <v>42</v>
      </c>
      <c r="AF43" t="s">
        <v>78</v>
      </c>
      <c r="AG43" t="s">
        <v>1038</v>
      </c>
      <c r="AH43" t="s">
        <v>80</v>
      </c>
      <c r="AI43" t="s">
        <v>80</v>
      </c>
      <c r="AJ43" t="s">
        <v>81</v>
      </c>
      <c r="AK43" t="s">
        <v>101</v>
      </c>
      <c r="AL43" t="s">
        <v>145</v>
      </c>
      <c r="AM43" t="s">
        <v>103</v>
      </c>
      <c r="AN43" t="s">
        <v>1039</v>
      </c>
      <c r="AO43" t="s">
        <v>1040</v>
      </c>
      <c r="AP43" t="s">
        <v>1041</v>
      </c>
      <c r="AQ43">
        <v>33</v>
      </c>
      <c r="AR43" t="s">
        <v>89</v>
      </c>
      <c r="AS43">
        <v>1395</v>
      </c>
      <c r="AT43">
        <v>1</v>
      </c>
      <c r="AU43">
        <v>180</v>
      </c>
      <c r="AV43">
        <v>1</v>
      </c>
      <c r="AW43" t="s">
        <v>548</v>
      </c>
      <c r="AX43" t="s">
        <v>549</v>
      </c>
      <c r="AY43" t="s">
        <v>550</v>
      </c>
      <c r="AZ43" t="s">
        <v>125</v>
      </c>
      <c r="BA43" t="s">
        <v>291</v>
      </c>
      <c r="BB43" t="s">
        <v>292</v>
      </c>
      <c r="BC43" t="s">
        <v>1042</v>
      </c>
      <c r="BD43" t="s">
        <v>114</v>
      </c>
      <c r="BE43">
        <v>25026</v>
      </c>
      <c r="BF43" t="s">
        <v>1043</v>
      </c>
      <c r="BG43">
        <v>29</v>
      </c>
      <c r="BH43" t="s">
        <v>89</v>
      </c>
      <c r="BI43">
        <v>1</v>
      </c>
      <c r="BJ43">
        <v>995</v>
      </c>
      <c r="BK43">
        <v>6</v>
      </c>
      <c r="BL43">
        <v>75</v>
      </c>
      <c r="BM43">
        <v>139</v>
      </c>
      <c r="BN43">
        <v>42</v>
      </c>
      <c r="BO43">
        <v>2878</v>
      </c>
      <c r="BP43">
        <v>0</v>
      </c>
      <c r="BQ43">
        <v>117</v>
      </c>
      <c r="BR43">
        <f t="shared" si="17"/>
        <v>996</v>
      </c>
      <c r="BS43">
        <f t="shared" si="18"/>
        <v>7</v>
      </c>
      <c r="BT43">
        <f t="shared" si="19"/>
        <v>76</v>
      </c>
      <c r="BU43">
        <f t="shared" si="20"/>
        <v>140</v>
      </c>
      <c r="BV43">
        <f t="shared" si="21"/>
        <v>43</v>
      </c>
      <c r="BW43">
        <f t="shared" si="22"/>
        <v>2879</v>
      </c>
      <c r="BX43">
        <f t="shared" si="23"/>
        <v>1</v>
      </c>
      <c r="BY43">
        <f t="shared" si="24"/>
        <v>118</v>
      </c>
      <c r="BZ43">
        <f t="shared" si="25"/>
        <v>75.746294449790724</v>
      </c>
      <c r="CA43">
        <v>75.746294449790724</v>
      </c>
      <c r="CB43">
        <v>75.746294449790724</v>
      </c>
      <c r="CC43">
        <v>75.746294449790724</v>
      </c>
      <c r="CD43">
        <v>75.746294449790724</v>
      </c>
      <c r="CE43">
        <v>75.746294449790724</v>
      </c>
      <c r="CF43">
        <v>75.746294449790724</v>
      </c>
      <c r="CG43">
        <v>75.746294449790724</v>
      </c>
      <c r="CH43">
        <f t="shared" si="26"/>
        <v>1.1188979466536013</v>
      </c>
      <c r="CI43">
        <f t="shared" si="27"/>
        <v>-1.0342633517558406</v>
      </c>
      <c r="CJ43">
        <f t="shared" si="28"/>
        <v>1.4522005106940438E-3</v>
      </c>
      <c r="CK43">
        <f t="shared" si="29"/>
        <v>0.2667666439081407</v>
      </c>
      <c r="CL43">
        <f t="shared" si="30"/>
        <v>-0.24589293619051078</v>
      </c>
      <c r="CM43">
        <f t="shared" si="31"/>
        <v>1.5798802731079846</v>
      </c>
      <c r="CN43">
        <f t="shared" si="32"/>
        <v>-1.8793613917700973</v>
      </c>
      <c r="CO43">
        <f t="shared" si="33"/>
        <v>0.19252061553602806</v>
      </c>
      <c r="CP43">
        <v>42</v>
      </c>
      <c r="CQ43">
        <v>0.69675800730524395</v>
      </c>
      <c r="CR43">
        <v>-0.43701556071888598</v>
      </c>
      <c r="CS43">
        <v>0.53449012843441901</v>
      </c>
      <c r="CT43">
        <v>0.450238985574755</v>
      </c>
      <c r="CU43">
        <v>-0.71546704166097597</v>
      </c>
      <c r="CV43">
        <v>1.73147568679229</v>
      </c>
      <c r="CW43">
        <v>-2.83505630539632</v>
      </c>
      <c r="CX43">
        <v>0.13529381154701201</v>
      </c>
    </row>
    <row r="44" spans="1:102" x14ac:dyDescent="0.35">
      <c r="A44" t="s">
        <v>1068</v>
      </c>
      <c r="B44" t="s">
        <v>78</v>
      </c>
      <c r="C44" t="s">
        <v>1069</v>
      </c>
      <c r="D44" t="s">
        <v>80</v>
      </c>
      <c r="E44" t="s">
        <v>80</v>
      </c>
      <c r="F44" t="s">
        <v>80</v>
      </c>
      <c r="G44" t="s">
        <v>82</v>
      </c>
      <c r="H44" t="s">
        <v>420</v>
      </c>
      <c r="I44" t="s">
        <v>298</v>
      </c>
      <c r="J44" t="s">
        <v>85</v>
      </c>
      <c r="K44" t="s">
        <v>1070</v>
      </c>
      <c r="L44" t="s">
        <v>1071</v>
      </c>
      <c r="M44" t="s">
        <v>1072</v>
      </c>
      <c r="N44">
        <v>75</v>
      </c>
      <c r="O44" t="s">
        <v>89</v>
      </c>
      <c r="P44">
        <v>1017</v>
      </c>
      <c r="Q44">
        <v>0.83679999999999999</v>
      </c>
      <c r="R44">
        <v>159</v>
      </c>
      <c r="S44">
        <v>0.8125</v>
      </c>
      <c r="T44" t="s">
        <v>1073</v>
      </c>
      <c r="U44" t="s">
        <v>1074</v>
      </c>
      <c r="V44" t="s">
        <v>1075</v>
      </c>
      <c r="W44" t="s">
        <v>1076</v>
      </c>
      <c r="X44" t="s">
        <v>1077</v>
      </c>
      <c r="Y44" t="s">
        <v>1078</v>
      </c>
      <c r="Z44" t="s">
        <v>1079</v>
      </c>
      <c r="AA44" t="s">
        <v>97</v>
      </c>
      <c r="AB44">
        <v>1310</v>
      </c>
      <c r="AC44">
        <v>9</v>
      </c>
      <c r="AD44" t="s">
        <v>1080</v>
      </c>
      <c r="AE44">
        <v>43</v>
      </c>
      <c r="AF44" t="s">
        <v>99</v>
      </c>
      <c r="AG44" t="s">
        <v>1081</v>
      </c>
      <c r="AH44" t="s">
        <v>80</v>
      </c>
      <c r="AI44" t="s">
        <v>80</v>
      </c>
      <c r="AJ44" t="s">
        <v>81</v>
      </c>
      <c r="AK44" t="s">
        <v>101</v>
      </c>
      <c r="AL44" t="s">
        <v>381</v>
      </c>
      <c r="AM44" t="s">
        <v>408</v>
      </c>
      <c r="AN44" t="s">
        <v>1082</v>
      </c>
      <c r="AO44" t="s">
        <v>1083</v>
      </c>
      <c r="AP44" t="s">
        <v>1084</v>
      </c>
      <c r="AQ44">
        <v>33</v>
      </c>
      <c r="AR44" t="s">
        <v>89</v>
      </c>
      <c r="AS44">
        <v>1086</v>
      </c>
      <c r="AT44">
        <v>0.87229999999999996</v>
      </c>
      <c r="AU44">
        <v>176</v>
      </c>
      <c r="AV44">
        <v>0.97299999999999998</v>
      </c>
      <c r="AW44" t="s">
        <v>1085</v>
      </c>
      <c r="AX44" t="s">
        <v>1086</v>
      </c>
      <c r="AY44" t="s">
        <v>1087</v>
      </c>
      <c r="AZ44" t="s">
        <v>1088</v>
      </c>
      <c r="BA44" t="s">
        <v>1089</v>
      </c>
      <c r="BB44" t="s">
        <v>1090</v>
      </c>
      <c r="BC44" t="s">
        <v>1091</v>
      </c>
      <c r="BD44" t="s">
        <v>114</v>
      </c>
      <c r="BE44">
        <v>57512</v>
      </c>
      <c r="BF44" t="s">
        <v>1092</v>
      </c>
      <c r="BG44">
        <v>58</v>
      </c>
      <c r="BH44" t="s">
        <v>89</v>
      </c>
      <c r="BI44">
        <v>1</v>
      </c>
      <c r="BJ44">
        <v>11</v>
      </c>
      <c r="BK44">
        <v>0</v>
      </c>
      <c r="BL44">
        <v>0</v>
      </c>
      <c r="BM44">
        <v>9</v>
      </c>
      <c r="BN44">
        <v>0</v>
      </c>
      <c r="BO44">
        <v>16</v>
      </c>
      <c r="BP44">
        <v>0</v>
      </c>
      <c r="BQ44">
        <v>5</v>
      </c>
      <c r="BR44">
        <f t="shared" si="17"/>
        <v>12</v>
      </c>
      <c r="BS44">
        <f t="shared" si="18"/>
        <v>1</v>
      </c>
      <c r="BT44">
        <f t="shared" si="19"/>
        <v>1</v>
      </c>
      <c r="BU44">
        <f t="shared" si="20"/>
        <v>10</v>
      </c>
      <c r="BV44">
        <f t="shared" si="21"/>
        <v>1</v>
      </c>
      <c r="BW44">
        <f t="shared" si="22"/>
        <v>17</v>
      </c>
      <c r="BX44">
        <f t="shared" si="23"/>
        <v>1</v>
      </c>
      <c r="BY44">
        <f t="shared" si="24"/>
        <v>6</v>
      </c>
      <c r="BZ44">
        <f t="shared" si="25"/>
        <v>3.2431921280908091</v>
      </c>
      <c r="CA44">
        <v>3.2431921280908091</v>
      </c>
      <c r="CB44">
        <v>3.2431921280908091</v>
      </c>
      <c r="CC44">
        <v>3.2431921280908091</v>
      </c>
      <c r="CD44">
        <v>3.2431921280908091</v>
      </c>
      <c r="CE44">
        <v>3.2431921280908091</v>
      </c>
      <c r="CF44">
        <v>3.2431921280908091</v>
      </c>
      <c r="CG44">
        <v>3.2431921280908091</v>
      </c>
      <c r="CH44">
        <f t="shared" si="26"/>
        <v>0.568208568821432</v>
      </c>
      <c r="CI44">
        <f t="shared" si="27"/>
        <v>-0.51097267722619277</v>
      </c>
      <c r="CJ44">
        <f t="shared" si="28"/>
        <v>-0.51097267722619277</v>
      </c>
      <c r="CK44">
        <f t="shared" si="29"/>
        <v>0.48902732277380723</v>
      </c>
      <c r="CL44">
        <f t="shared" si="30"/>
        <v>-0.51097267722619277</v>
      </c>
      <c r="CM44">
        <f t="shared" si="31"/>
        <v>0.71947624415208111</v>
      </c>
      <c r="CN44">
        <f t="shared" si="32"/>
        <v>-0.51097267722619277</v>
      </c>
      <c r="CO44">
        <f t="shared" si="33"/>
        <v>0.26717857315745086</v>
      </c>
      <c r="CP44">
        <v>43</v>
      </c>
      <c r="CQ44">
        <v>-8.4813212781010394E-2</v>
      </c>
      <c r="CR44">
        <v>-2.8101924918208301</v>
      </c>
      <c r="CS44">
        <v>-1.90638622950665</v>
      </c>
      <c r="CT44">
        <v>0.94818865972070898</v>
      </c>
      <c r="CU44">
        <v>-1.52396762003097</v>
      </c>
      <c r="CV44">
        <v>2.0484533913583101E-2</v>
      </c>
      <c r="CW44">
        <v>-2.83505630539632</v>
      </c>
      <c r="CX44">
        <v>0.28067867969204802</v>
      </c>
    </row>
    <row r="45" spans="1:102" x14ac:dyDescent="0.35">
      <c r="A45" t="s">
        <v>1589</v>
      </c>
      <c r="B45" t="s">
        <v>99</v>
      </c>
      <c r="C45" t="s">
        <v>1590</v>
      </c>
      <c r="D45" t="s">
        <v>80</v>
      </c>
      <c r="E45" t="s">
        <v>80</v>
      </c>
      <c r="F45" t="s">
        <v>81</v>
      </c>
      <c r="G45" t="s">
        <v>82</v>
      </c>
      <c r="H45" t="s">
        <v>840</v>
      </c>
      <c r="I45" t="s">
        <v>369</v>
      </c>
      <c r="J45" t="s">
        <v>195</v>
      </c>
      <c r="K45" t="s">
        <v>1591</v>
      </c>
      <c r="L45" t="s">
        <v>1592</v>
      </c>
      <c r="M45" t="s">
        <v>1593</v>
      </c>
      <c r="N45">
        <v>54</v>
      </c>
      <c r="O45" t="s">
        <v>89</v>
      </c>
      <c r="P45">
        <v>1440</v>
      </c>
      <c r="Q45">
        <v>1</v>
      </c>
      <c r="R45">
        <v>250</v>
      </c>
      <c r="S45">
        <v>1</v>
      </c>
      <c r="T45" t="s">
        <v>950</v>
      </c>
      <c r="U45" t="s">
        <v>322</v>
      </c>
      <c r="V45" t="s">
        <v>951</v>
      </c>
      <c r="W45" t="s">
        <v>202</v>
      </c>
      <c r="X45" t="s">
        <v>514</v>
      </c>
      <c r="Y45" t="s">
        <v>953</v>
      </c>
      <c r="Z45" t="s">
        <v>1594</v>
      </c>
      <c r="AA45" t="s">
        <v>173</v>
      </c>
      <c r="AB45">
        <v>24028</v>
      </c>
      <c r="AC45">
        <v>29</v>
      </c>
      <c r="AD45" t="s">
        <v>1595</v>
      </c>
      <c r="AE45">
        <v>44</v>
      </c>
      <c r="AF45" t="s">
        <v>78</v>
      </c>
      <c r="AG45" t="s">
        <v>1596</v>
      </c>
      <c r="AH45" t="s">
        <v>80</v>
      </c>
      <c r="AI45" t="s">
        <v>80</v>
      </c>
      <c r="AJ45" t="s">
        <v>81</v>
      </c>
      <c r="AK45" t="s">
        <v>101</v>
      </c>
      <c r="AL45" t="s">
        <v>102</v>
      </c>
      <c r="AM45" t="s">
        <v>146</v>
      </c>
      <c r="AN45" t="s">
        <v>1597</v>
      </c>
      <c r="AO45" t="s">
        <v>1598</v>
      </c>
      <c r="AP45" t="s">
        <v>1599</v>
      </c>
      <c r="AQ45">
        <v>33</v>
      </c>
      <c r="AR45" t="s">
        <v>89</v>
      </c>
      <c r="AS45">
        <v>1395</v>
      </c>
      <c r="AT45">
        <v>1</v>
      </c>
      <c r="AU45">
        <v>166</v>
      </c>
      <c r="AV45">
        <v>0.97140000000000004</v>
      </c>
      <c r="AW45" t="s">
        <v>122</v>
      </c>
      <c r="AX45" t="s">
        <v>731</v>
      </c>
      <c r="AY45" t="s">
        <v>732</v>
      </c>
      <c r="AZ45" t="s">
        <v>153</v>
      </c>
      <c r="BA45" t="s">
        <v>733</v>
      </c>
      <c r="BB45" t="s">
        <v>112</v>
      </c>
      <c r="BC45" t="s">
        <v>1600</v>
      </c>
      <c r="BD45" t="s">
        <v>114</v>
      </c>
      <c r="BE45">
        <v>27972</v>
      </c>
      <c r="BF45" t="s">
        <v>1601</v>
      </c>
      <c r="BG45">
        <v>31</v>
      </c>
      <c r="BH45" t="s">
        <v>89</v>
      </c>
      <c r="BI45">
        <v>1</v>
      </c>
      <c r="BJ45">
        <v>0</v>
      </c>
      <c r="BK45">
        <v>0</v>
      </c>
      <c r="BL45">
        <v>0</v>
      </c>
      <c r="BM45">
        <v>5</v>
      </c>
      <c r="BN45">
        <v>6</v>
      </c>
      <c r="BO45">
        <v>11</v>
      </c>
      <c r="BP45">
        <v>0</v>
      </c>
      <c r="BQ45">
        <v>8</v>
      </c>
      <c r="BR45">
        <f t="shared" si="17"/>
        <v>1</v>
      </c>
      <c r="BS45">
        <f t="shared" si="18"/>
        <v>1</v>
      </c>
      <c r="BT45">
        <f t="shared" si="19"/>
        <v>1</v>
      </c>
      <c r="BU45">
        <f t="shared" si="20"/>
        <v>6</v>
      </c>
      <c r="BV45">
        <f t="shared" si="21"/>
        <v>7</v>
      </c>
      <c r="BW45">
        <f t="shared" si="22"/>
        <v>12</v>
      </c>
      <c r="BX45">
        <f t="shared" si="23"/>
        <v>1</v>
      </c>
      <c r="BY45">
        <f t="shared" si="24"/>
        <v>9</v>
      </c>
      <c r="BZ45">
        <f t="shared" si="25"/>
        <v>2.8647328669885233</v>
      </c>
      <c r="CA45">
        <v>2.8647328669885233</v>
      </c>
      <c r="CB45">
        <v>2.8647328669885233</v>
      </c>
      <c r="CC45">
        <v>2.8647328669885233</v>
      </c>
      <c r="CD45">
        <v>2.8647328669885233</v>
      </c>
      <c r="CE45">
        <v>2.8647328669885233</v>
      </c>
      <c r="CF45">
        <v>2.8647328669885233</v>
      </c>
      <c r="CG45">
        <v>2.8647328669885233</v>
      </c>
      <c r="CH45">
        <f t="shared" si="26"/>
        <v>-0.45708413073560633</v>
      </c>
      <c r="CI45">
        <f t="shared" si="27"/>
        <v>-0.45708413073560633</v>
      </c>
      <c r="CJ45">
        <f t="shared" si="28"/>
        <v>-0.45708413073560633</v>
      </c>
      <c r="CK45">
        <f t="shared" si="29"/>
        <v>0.3210671196480373</v>
      </c>
      <c r="CL45">
        <f t="shared" si="30"/>
        <v>0.38801390927865048</v>
      </c>
      <c r="CM45">
        <f t="shared" si="31"/>
        <v>0.6220971153120185</v>
      </c>
      <c r="CN45">
        <f t="shared" si="32"/>
        <v>-0.45708413073560633</v>
      </c>
      <c r="CO45">
        <f t="shared" si="33"/>
        <v>0.49715837870371854</v>
      </c>
      <c r="CP45">
        <v>44</v>
      </c>
      <c r="CQ45">
        <v>-1.53996978270225</v>
      </c>
      <c r="CR45">
        <v>-2.8101924918208301</v>
      </c>
      <c r="CS45">
        <v>-1.90638622950665</v>
      </c>
      <c r="CT45">
        <v>0.57189300165464796</v>
      </c>
      <c r="CU45">
        <v>0.87902008031021095</v>
      </c>
      <c r="CV45">
        <v>-0.173162662418783</v>
      </c>
      <c r="CW45">
        <v>-2.83505630539632</v>
      </c>
      <c r="CX45">
        <v>0.72852891254881802</v>
      </c>
    </row>
    <row r="46" spans="1:102" x14ac:dyDescent="0.35">
      <c r="A46" t="s">
        <v>1110</v>
      </c>
      <c r="B46" t="s">
        <v>78</v>
      </c>
      <c r="C46" t="s">
        <v>1111</v>
      </c>
      <c r="D46" t="s">
        <v>80</v>
      </c>
      <c r="E46" t="s">
        <v>80</v>
      </c>
      <c r="F46" t="s">
        <v>81</v>
      </c>
      <c r="G46" t="s">
        <v>82</v>
      </c>
      <c r="H46" t="s">
        <v>1112</v>
      </c>
      <c r="I46" t="s">
        <v>771</v>
      </c>
      <c r="J46" t="s">
        <v>85</v>
      </c>
      <c r="K46" t="s">
        <v>1113</v>
      </c>
      <c r="L46" t="s">
        <v>1114</v>
      </c>
      <c r="M46" t="s">
        <v>1115</v>
      </c>
      <c r="N46">
        <v>57</v>
      </c>
      <c r="O46" t="s">
        <v>89</v>
      </c>
      <c r="P46">
        <v>1278</v>
      </c>
      <c r="Q46">
        <v>0.9375</v>
      </c>
      <c r="R46">
        <v>195</v>
      </c>
      <c r="S46">
        <v>0.89580000000000004</v>
      </c>
      <c r="T46" t="s">
        <v>1116</v>
      </c>
      <c r="U46" t="s">
        <v>1117</v>
      </c>
      <c r="V46" t="s">
        <v>1118</v>
      </c>
      <c r="W46" t="s">
        <v>1119</v>
      </c>
      <c r="X46" t="s">
        <v>1120</v>
      </c>
      <c r="Y46" t="s">
        <v>1121</v>
      </c>
      <c r="Z46" t="s">
        <v>1122</v>
      </c>
      <c r="AA46" t="s">
        <v>405</v>
      </c>
      <c r="AB46">
        <v>3382</v>
      </c>
      <c r="AC46">
        <v>6</v>
      </c>
      <c r="AD46" t="s">
        <v>1123</v>
      </c>
      <c r="AE46">
        <v>45</v>
      </c>
      <c r="AF46" t="s">
        <v>99</v>
      </c>
      <c r="AG46" t="s">
        <v>1124</v>
      </c>
      <c r="AH46" t="s">
        <v>80</v>
      </c>
      <c r="AI46" t="s">
        <v>80</v>
      </c>
      <c r="AJ46" t="s">
        <v>81</v>
      </c>
      <c r="AK46" t="s">
        <v>176</v>
      </c>
      <c r="AL46" t="s">
        <v>1125</v>
      </c>
      <c r="AM46" t="s">
        <v>178</v>
      </c>
      <c r="AN46" t="s">
        <v>1126</v>
      </c>
      <c r="AO46" t="s">
        <v>1127</v>
      </c>
      <c r="AP46" t="s">
        <v>1128</v>
      </c>
      <c r="AQ46">
        <v>39</v>
      </c>
      <c r="AR46" t="s">
        <v>89</v>
      </c>
      <c r="AS46">
        <v>1341</v>
      </c>
      <c r="AT46">
        <v>0.96179999999999999</v>
      </c>
      <c r="AU46">
        <v>181</v>
      </c>
      <c r="AV46">
        <v>0.97370000000000001</v>
      </c>
      <c r="AW46" t="s">
        <v>1129</v>
      </c>
      <c r="AX46" t="s">
        <v>1130</v>
      </c>
      <c r="AY46" t="s">
        <v>1131</v>
      </c>
      <c r="AZ46" t="s">
        <v>1132</v>
      </c>
      <c r="BA46" t="s">
        <v>1133</v>
      </c>
      <c r="BB46" t="s">
        <v>1134</v>
      </c>
      <c r="BC46" t="s">
        <v>1135</v>
      </c>
      <c r="BD46" t="s">
        <v>189</v>
      </c>
      <c r="BE46">
        <v>49168</v>
      </c>
      <c r="BF46" t="s">
        <v>1136</v>
      </c>
      <c r="BG46">
        <v>50</v>
      </c>
      <c r="BH46" t="s">
        <v>89</v>
      </c>
      <c r="BI46">
        <v>1</v>
      </c>
      <c r="BJ46">
        <v>10</v>
      </c>
      <c r="BK46">
        <v>0</v>
      </c>
      <c r="BL46">
        <v>4</v>
      </c>
      <c r="BM46">
        <v>0</v>
      </c>
      <c r="BN46">
        <v>0</v>
      </c>
      <c r="BO46">
        <v>5</v>
      </c>
      <c r="BP46">
        <v>0</v>
      </c>
      <c r="BQ46">
        <v>4</v>
      </c>
      <c r="BR46">
        <f t="shared" si="17"/>
        <v>11</v>
      </c>
      <c r="BS46">
        <f t="shared" si="18"/>
        <v>1</v>
      </c>
      <c r="BT46">
        <f t="shared" si="19"/>
        <v>5</v>
      </c>
      <c r="BU46">
        <f t="shared" si="20"/>
        <v>1</v>
      </c>
      <c r="BV46">
        <f t="shared" si="21"/>
        <v>1</v>
      </c>
      <c r="BW46">
        <f t="shared" si="22"/>
        <v>6</v>
      </c>
      <c r="BX46">
        <f t="shared" si="23"/>
        <v>1</v>
      </c>
      <c r="BY46">
        <f t="shared" si="24"/>
        <v>5</v>
      </c>
      <c r="BZ46">
        <f t="shared" si="25"/>
        <v>2.5245588153374636</v>
      </c>
      <c r="CA46">
        <v>2.5245588153374636</v>
      </c>
      <c r="CB46">
        <v>2.5245588153374636</v>
      </c>
      <c r="CC46">
        <v>2.5245588153374636</v>
      </c>
      <c r="CD46">
        <v>2.5245588153374636</v>
      </c>
      <c r="CE46">
        <v>2.5245588153374636</v>
      </c>
      <c r="CF46">
        <v>2.5245588153374636</v>
      </c>
      <c r="CG46">
        <v>2.5245588153374636</v>
      </c>
      <c r="CH46">
        <f t="shared" si="26"/>
        <v>0.63920719213148669</v>
      </c>
      <c r="CI46">
        <f t="shared" si="27"/>
        <v>-0.40218549302673834</v>
      </c>
      <c r="CJ46">
        <f t="shared" si="28"/>
        <v>0.29678451130928052</v>
      </c>
      <c r="CK46">
        <f t="shared" si="29"/>
        <v>-0.40218549302673834</v>
      </c>
      <c r="CL46">
        <f t="shared" si="30"/>
        <v>-0.40218549302673834</v>
      </c>
      <c r="CM46">
        <f t="shared" si="31"/>
        <v>0.37596575735690535</v>
      </c>
      <c r="CN46">
        <f t="shared" si="32"/>
        <v>-0.40218549302673834</v>
      </c>
      <c r="CO46">
        <f t="shared" si="33"/>
        <v>0.29678451130928052</v>
      </c>
      <c r="CP46">
        <v>45</v>
      </c>
      <c r="CQ46">
        <v>1.5952269319491098E-2</v>
      </c>
      <c r="CR46">
        <v>-2.8101924918208301</v>
      </c>
      <c r="CS46">
        <v>1.2805972950124</v>
      </c>
      <c r="CT46">
        <v>-2.7279301294217002</v>
      </c>
      <c r="CU46">
        <v>-1.52396762003097</v>
      </c>
      <c r="CV46">
        <v>-0.66261710676658303</v>
      </c>
      <c r="CW46">
        <v>-2.83505630539632</v>
      </c>
      <c r="CX46">
        <v>0.33833168215348602</v>
      </c>
    </row>
    <row r="47" spans="1:102" x14ac:dyDescent="0.35">
      <c r="A47" t="s">
        <v>1044</v>
      </c>
      <c r="B47" t="s">
        <v>99</v>
      </c>
      <c r="C47" t="s">
        <v>1045</v>
      </c>
      <c r="D47" t="s">
        <v>80</v>
      </c>
      <c r="E47" t="s">
        <v>80</v>
      </c>
      <c r="F47" t="s">
        <v>81</v>
      </c>
      <c r="G47" t="s">
        <v>82</v>
      </c>
      <c r="H47" t="s">
        <v>1046</v>
      </c>
      <c r="I47" t="s">
        <v>298</v>
      </c>
      <c r="J47" t="s">
        <v>85</v>
      </c>
      <c r="K47" t="s">
        <v>1047</v>
      </c>
      <c r="L47" t="s">
        <v>1048</v>
      </c>
      <c r="M47" t="s">
        <v>1049</v>
      </c>
      <c r="N47">
        <v>45</v>
      </c>
      <c r="O47" t="s">
        <v>89</v>
      </c>
      <c r="P47">
        <v>1257</v>
      </c>
      <c r="Q47">
        <v>0.9244</v>
      </c>
      <c r="R47">
        <v>177</v>
      </c>
      <c r="S47">
        <v>0.85419999999999996</v>
      </c>
      <c r="T47" t="s">
        <v>1050</v>
      </c>
      <c r="U47" t="s">
        <v>1051</v>
      </c>
      <c r="V47" t="s">
        <v>1052</v>
      </c>
      <c r="W47" t="s">
        <v>1053</v>
      </c>
      <c r="X47" t="s">
        <v>1054</v>
      </c>
      <c r="Y47" t="s">
        <v>1055</v>
      </c>
      <c r="Z47" t="s">
        <v>1056</v>
      </c>
      <c r="AA47" t="s">
        <v>890</v>
      </c>
      <c r="AB47">
        <v>27172</v>
      </c>
      <c r="AC47">
        <v>39</v>
      </c>
      <c r="AD47" t="s">
        <v>1057</v>
      </c>
      <c r="AE47">
        <v>46</v>
      </c>
      <c r="AF47" t="s">
        <v>78</v>
      </c>
      <c r="AG47" t="s">
        <v>1058</v>
      </c>
      <c r="AH47" t="s">
        <v>80</v>
      </c>
      <c r="AI47" t="s">
        <v>80</v>
      </c>
      <c r="AJ47" t="s">
        <v>81</v>
      </c>
      <c r="AK47" t="s">
        <v>101</v>
      </c>
      <c r="AL47" t="s">
        <v>145</v>
      </c>
      <c r="AM47" t="s">
        <v>103</v>
      </c>
      <c r="AN47" t="s">
        <v>1059</v>
      </c>
      <c r="AO47" t="s">
        <v>1060</v>
      </c>
      <c r="AP47" t="s">
        <v>1061</v>
      </c>
      <c r="AQ47">
        <v>30</v>
      </c>
      <c r="AR47" t="s">
        <v>89</v>
      </c>
      <c r="AS47">
        <v>1305</v>
      </c>
      <c r="AT47">
        <v>0.96419999999999995</v>
      </c>
      <c r="AU47">
        <v>153</v>
      </c>
      <c r="AV47">
        <v>0.91669999999999996</v>
      </c>
      <c r="AW47" t="s">
        <v>548</v>
      </c>
      <c r="AX47" t="s">
        <v>1062</v>
      </c>
      <c r="AY47" t="s">
        <v>1063</v>
      </c>
      <c r="AZ47" t="s">
        <v>1064</v>
      </c>
      <c r="BA47" t="s">
        <v>1065</v>
      </c>
      <c r="BB47" t="s">
        <v>292</v>
      </c>
      <c r="BC47" t="s">
        <v>1066</v>
      </c>
      <c r="BD47" t="s">
        <v>114</v>
      </c>
      <c r="BE47">
        <v>44584</v>
      </c>
      <c r="BF47" t="s">
        <v>1067</v>
      </c>
      <c r="BG47">
        <v>41</v>
      </c>
      <c r="BH47" t="s">
        <v>89</v>
      </c>
      <c r="BI47">
        <v>1</v>
      </c>
      <c r="BJ47">
        <v>9</v>
      </c>
      <c r="BK47">
        <v>0</v>
      </c>
      <c r="BL47">
        <v>5</v>
      </c>
      <c r="BM47">
        <v>0</v>
      </c>
      <c r="BN47">
        <v>8</v>
      </c>
      <c r="BO47">
        <v>388</v>
      </c>
      <c r="BP47">
        <v>96</v>
      </c>
      <c r="BQ47">
        <v>6</v>
      </c>
      <c r="BR47">
        <f t="shared" si="17"/>
        <v>10</v>
      </c>
      <c r="BS47">
        <f t="shared" si="18"/>
        <v>1</v>
      </c>
      <c r="BT47">
        <f t="shared" si="19"/>
        <v>6</v>
      </c>
      <c r="BU47">
        <f t="shared" si="20"/>
        <v>1</v>
      </c>
      <c r="BV47">
        <f t="shared" si="21"/>
        <v>9</v>
      </c>
      <c r="BW47">
        <f t="shared" si="22"/>
        <v>389</v>
      </c>
      <c r="BX47">
        <f t="shared" si="23"/>
        <v>97</v>
      </c>
      <c r="BY47">
        <f t="shared" si="24"/>
        <v>7</v>
      </c>
      <c r="BZ47">
        <f t="shared" si="25"/>
        <v>10.453859092018922</v>
      </c>
      <c r="CA47">
        <v>10.453859092018922</v>
      </c>
      <c r="CB47">
        <v>10.453859092018922</v>
      </c>
      <c r="CC47">
        <v>10.453859092018922</v>
      </c>
      <c r="CD47">
        <v>10.453859092018922</v>
      </c>
      <c r="CE47">
        <v>10.453859092018922</v>
      </c>
      <c r="CF47">
        <v>10.453859092018922</v>
      </c>
      <c r="CG47">
        <v>10.453859092018922</v>
      </c>
      <c r="CH47">
        <f t="shared" si="26"/>
        <v>-1.9276641928647288E-2</v>
      </c>
      <c r="CI47">
        <f t="shared" si="27"/>
        <v>-1.0192766419286472</v>
      </c>
      <c r="CJ47">
        <f t="shared" si="28"/>
        <v>-0.24112539154500359</v>
      </c>
      <c r="CK47">
        <f t="shared" si="29"/>
        <v>-1.0192766419286472</v>
      </c>
      <c r="CL47">
        <f t="shared" si="30"/>
        <v>-6.5034132489322397E-2</v>
      </c>
      <c r="CM47">
        <f t="shared" si="31"/>
        <v>1.5706729593970605</v>
      </c>
      <c r="CN47">
        <f t="shared" si="32"/>
        <v>0.96749509233759756</v>
      </c>
      <c r="CO47">
        <f t="shared" si="33"/>
        <v>-0.17417860191439044</v>
      </c>
      <c r="CP47">
        <v>46</v>
      </c>
      <c r="CQ47">
        <v>-0.91860727424646704</v>
      </c>
      <c r="CR47">
        <v>-2.8101924918208301</v>
      </c>
      <c r="CS47">
        <v>-7.8341157768526598E-2</v>
      </c>
      <c r="CT47">
        <v>-2.7279301294217002</v>
      </c>
      <c r="CU47">
        <v>-0.260546834602431</v>
      </c>
      <c r="CV47">
        <v>1.7131661115567001</v>
      </c>
      <c r="CW47">
        <v>3.1232895399360601</v>
      </c>
      <c r="CX47">
        <v>-0.57879640838982505</v>
      </c>
    </row>
    <row r="48" spans="1:102" x14ac:dyDescent="0.35">
      <c r="A48" t="s">
        <v>1093</v>
      </c>
      <c r="B48" t="s">
        <v>99</v>
      </c>
      <c r="C48" t="s">
        <v>1094</v>
      </c>
      <c r="D48" t="s">
        <v>80</v>
      </c>
      <c r="E48" t="s">
        <v>80</v>
      </c>
      <c r="F48" t="s">
        <v>81</v>
      </c>
      <c r="G48" t="s">
        <v>82</v>
      </c>
      <c r="H48" t="s">
        <v>923</v>
      </c>
      <c r="I48" t="s">
        <v>1095</v>
      </c>
      <c r="J48" t="s">
        <v>133</v>
      </c>
      <c r="K48" t="s">
        <v>1096</v>
      </c>
      <c r="L48" t="s">
        <v>1097</v>
      </c>
      <c r="M48" t="s">
        <v>1098</v>
      </c>
      <c r="N48">
        <v>33</v>
      </c>
      <c r="O48" t="s">
        <v>89</v>
      </c>
      <c r="P48">
        <v>1440</v>
      </c>
      <c r="Q48">
        <v>1</v>
      </c>
      <c r="R48">
        <v>165</v>
      </c>
      <c r="S48">
        <v>0.80389999999999995</v>
      </c>
      <c r="T48" t="s">
        <v>1099</v>
      </c>
      <c r="U48" t="s">
        <v>928</v>
      </c>
      <c r="V48" t="s">
        <v>1100</v>
      </c>
      <c r="W48" t="s">
        <v>93</v>
      </c>
      <c r="X48" t="s">
        <v>931</v>
      </c>
      <c r="Y48" t="s">
        <v>1101</v>
      </c>
      <c r="Z48" t="s">
        <v>1102</v>
      </c>
      <c r="AA48" t="s">
        <v>173</v>
      </c>
      <c r="AB48">
        <v>15842</v>
      </c>
      <c r="AC48">
        <v>21</v>
      </c>
      <c r="AD48" t="s">
        <v>1103</v>
      </c>
      <c r="AE48">
        <v>47</v>
      </c>
      <c r="AF48" t="s">
        <v>78</v>
      </c>
      <c r="AG48" t="s">
        <v>1104</v>
      </c>
      <c r="AH48" t="s">
        <v>80</v>
      </c>
      <c r="AI48" t="s">
        <v>80</v>
      </c>
      <c r="AJ48" t="s">
        <v>81</v>
      </c>
      <c r="AK48" t="s">
        <v>101</v>
      </c>
      <c r="AL48" t="s">
        <v>784</v>
      </c>
      <c r="AM48" t="s">
        <v>103</v>
      </c>
      <c r="AN48" t="s">
        <v>1105</v>
      </c>
      <c r="AO48" t="s">
        <v>1106</v>
      </c>
      <c r="AP48" t="s">
        <v>1107</v>
      </c>
      <c r="AQ48">
        <v>33</v>
      </c>
      <c r="AR48" t="s">
        <v>89</v>
      </c>
      <c r="AS48">
        <v>1470</v>
      </c>
      <c r="AT48">
        <v>1</v>
      </c>
      <c r="AU48">
        <v>171</v>
      </c>
      <c r="AV48">
        <v>0.97219999999999995</v>
      </c>
      <c r="AW48" t="s">
        <v>806</v>
      </c>
      <c r="AX48" t="s">
        <v>807</v>
      </c>
      <c r="AY48" t="s">
        <v>808</v>
      </c>
      <c r="AZ48" t="s">
        <v>125</v>
      </c>
      <c r="BA48" t="s">
        <v>809</v>
      </c>
      <c r="BB48" t="s">
        <v>810</v>
      </c>
      <c r="BC48" t="s">
        <v>1108</v>
      </c>
      <c r="BD48" t="s">
        <v>114</v>
      </c>
      <c r="BE48">
        <v>17266</v>
      </c>
      <c r="BF48" t="s">
        <v>1109</v>
      </c>
      <c r="BG48">
        <v>15</v>
      </c>
      <c r="BH48" t="s">
        <v>89</v>
      </c>
      <c r="BI48">
        <v>1</v>
      </c>
      <c r="BJ48">
        <v>5</v>
      </c>
      <c r="BK48">
        <v>0</v>
      </c>
      <c r="BL48">
        <v>0</v>
      </c>
      <c r="BM48">
        <v>4</v>
      </c>
      <c r="BN48">
        <v>0</v>
      </c>
      <c r="BO48">
        <v>7</v>
      </c>
      <c r="BP48">
        <v>0</v>
      </c>
      <c r="BQ48">
        <v>21</v>
      </c>
      <c r="BR48">
        <f t="shared" si="17"/>
        <v>6</v>
      </c>
      <c r="BS48">
        <f t="shared" si="18"/>
        <v>1</v>
      </c>
      <c r="BT48">
        <f t="shared" si="19"/>
        <v>1</v>
      </c>
      <c r="BU48">
        <f t="shared" si="20"/>
        <v>5</v>
      </c>
      <c r="BV48">
        <f t="shared" si="21"/>
        <v>1</v>
      </c>
      <c r="BW48">
        <f t="shared" si="22"/>
        <v>8</v>
      </c>
      <c r="BX48">
        <f t="shared" si="23"/>
        <v>1</v>
      </c>
      <c r="BY48">
        <f t="shared" si="24"/>
        <v>22</v>
      </c>
      <c r="BZ48">
        <f t="shared" si="25"/>
        <v>2.9196395652047049</v>
      </c>
      <c r="CA48">
        <v>2.9196395652047049</v>
      </c>
      <c r="CB48">
        <v>2.9196395652047049</v>
      </c>
      <c r="CC48">
        <v>2.9196395652047049</v>
      </c>
      <c r="CD48">
        <v>2.9196395652047049</v>
      </c>
      <c r="CE48">
        <v>2.9196395652047049</v>
      </c>
      <c r="CF48">
        <v>2.9196395652047049</v>
      </c>
      <c r="CG48">
        <v>2.9196395652047049</v>
      </c>
      <c r="CH48">
        <f t="shared" si="26"/>
        <v>0.31282201006691718</v>
      </c>
      <c r="CI48">
        <f t="shared" si="27"/>
        <v>-0.46532924031672651</v>
      </c>
      <c r="CJ48">
        <f t="shared" si="28"/>
        <v>-0.46532924031672651</v>
      </c>
      <c r="CK48">
        <f t="shared" si="29"/>
        <v>0.23364076401929229</v>
      </c>
      <c r="CL48">
        <f t="shared" si="30"/>
        <v>-0.46532924031672651</v>
      </c>
      <c r="CM48">
        <f t="shared" si="31"/>
        <v>0.43776074667521708</v>
      </c>
      <c r="CN48">
        <f t="shared" si="32"/>
        <v>-0.46532924031672651</v>
      </c>
      <c r="CO48">
        <f t="shared" si="33"/>
        <v>0.87709344050547977</v>
      </c>
      <c r="CP48">
        <v>47</v>
      </c>
      <c r="CQ48">
        <v>-0.44727305376277698</v>
      </c>
      <c r="CR48">
        <v>-2.8101924918208301</v>
      </c>
      <c r="CS48">
        <v>-1.90638622950665</v>
      </c>
      <c r="CT48">
        <v>0.37602423386683098</v>
      </c>
      <c r="CU48">
        <v>-1.52396762003097</v>
      </c>
      <c r="CV48">
        <v>-0.53973218705721204</v>
      </c>
      <c r="CW48">
        <v>-2.83505630539632</v>
      </c>
      <c r="CX48">
        <v>1.46839389979935</v>
      </c>
    </row>
    <row r="49" spans="1:102" x14ac:dyDescent="0.35">
      <c r="A49" t="s">
        <v>744</v>
      </c>
      <c r="B49" t="s">
        <v>99</v>
      </c>
      <c r="C49" t="s">
        <v>745</v>
      </c>
      <c r="D49" t="s">
        <v>80</v>
      </c>
      <c r="E49" t="s">
        <v>80</v>
      </c>
      <c r="F49" t="s">
        <v>81</v>
      </c>
      <c r="G49" t="s">
        <v>82</v>
      </c>
      <c r="H49" t="s">
        <v>555</v>
      </c>
      <c r="I49" t="s">
        <v>445</v>
      </c>
      <c r="J49" t="s">
        <v>85</v>
      </c>
      <c r="K49" t="s">
        <v>746</v>
      </c>
      <c r="L49" t="s">
        <v>747</v>
      </c>
      <c r="M49" t="s">
        <v>748</v>
      </c>
      <c r="N49">
        <v>36</v>
      </c>
      <c r="O49" t="s">
        <v>89</v>
      </c>
      <c r="P49">
        <v>1170</v>
      </c>
      <c r="Q49">
        <v>0.89580000000000004</v>
      </c>
      <c r="R49">
        <v>177</v>
      </c>
      <c r="S49">
        <v>0.85419999999999996</v>
      </c>
      <c r="T49" t="s">
        <v>749</v>
      </c>
      <c r="U49" t="s">
        <v>750</v>
      </c>
      <c r="V49" t="s">
        <v>751</v>
      </c>
      <c r="W49" t="s">
        <v>93</v>
      </c>
      <c r="X49" t="s">
        <v>752</v>
      </c>
      <c r="Y49" t="s">
        <v>753</v>
      </c>
      <c r="Z49" t="s">
        <v>754</v>
      </c>
      <c r="AA49" t="s">
        <v>173</v>
      </c>
      <c r="AB49">
        <v>18626</v>
      </c>
      <c r="AC49">
        <v>21</v>
      </c>
      <c r="AD49" t="s">
        <v>755</v>
      </c>
      <c r="AE49">
        <v>48</v>
      </c>
      <c r="AF49" t="s">
        <v>78</v>
      </c>
      <c r="AG49" t="s">
        <v>756</v>
      </c>
      <c r="AH49" t="s">
        <v>80</v>
      </c>
      <c r="AI49" t="s">
        <v>80</v>
      </c>
      <c r="AJ49" t="s">
        <v>81</v>
      </c>
      <c r="AK49" t="s">
        <v>101</v>
      </c>
      <c r="AL49" t="s">
        <v>757</v>
      </c>
      <c r="AM49" t="s">
        <v>103</v>
      </c>
      <c r="AN49" t="s">
        <v>758</v>
      </c>
      <c r="AO49" t="s">
        <v>759</v>
      </c>
      <c r="AP49" t="s">
        <v>760</v>
      </c>
      <c r="AQ49">
        <v>33</v>
      </c>
      <c r="AR49" t="s">
        <v>89</v>
      </c>
      <c r="AS49">
        <v>1362</v>
      </c>
      <c r="AT49">
        <v>0.95920000000000005</v>
      </c>
      <c r="AU49">
        <v>180</v>
      </c>
      <c r="AV49">
        <v>1</v>
      </c>
      <c r="AW49" t="s">
        <v>761</v>
      </c>
      <c r="AX49" t="s">
        <v>762</v>
      </c>
      <c r="AY49" t="s">
        <v>763</v>
      </c>
      <c r="AZ49" t="s">
        <v>125</v>
      </c>
      <c r="BA49" t="s">
        <v>764</v>
      </c>
      <c r="BB49" t="s">
        <v>765</v>
      </c>
      <c r="BC49" t="s">
        <v>766</v>
      </c>
      <c r="BD49" t="s">
        <v>114</v>
      </c>
      <c r="BE49">
        <v>8780</v>
      </c>
      <c r="BF49" t="s">
        <v>767</v>
      </c>
      <c r="BG49">
        <v>10</v>
      </c>
      <c r="BH49" t="s">
        <v>89</v>
      </c>
      <c r="BI49">
        <v>1</v>
      </c>
      <c r="BJ49">
        <v>39</v>
      </c>
      <c r="BK49">
        <v>125</v>
      </c>
      <c r="BL49">
        <v>93</v>
      </c>
      <c r="BM49">
        <v>60</v>
      </c>
      <c r="BN49">
        <v>104</v>
      </c>
      <c r="BO49">
        <v>132</v>
      </c>
      <c r="BP49">
        <v>63</v>
      </c>
      <c r="BQ49">
        <v>33</v>
      </c>
      <c r="BR49">
        <f t="shared" si="17"/>
        <v>40</v>
      </c>
      <c r="BS49">
        <f t="shared" si="18"/>
        <v>126</v>
      </c>
      <c r="BT49">
        <f t="shared" si="19"/>
        <v>94</v>
      </c>
      <c r="BU49">
        <f t="shared" si="20"/>
        <v>61</v>
      </c>
      <c r="BV49">
        <f t="shared" si="21"/>
        <v>105</v>
      </c>
      <c r="BW49">
        <f t="shared" si="22"/>
        <v>133</v>
      </c>
      <c r="BX49">
        <f t="shared" si="23"/>
        <v>64</v>
      </c>
      <c r="BY49">
        <f t="shared" si="24"/>
        <v>34</v>
      </c>
      <c r="BZ49">
        <f t="shared" si="25"/>
        <v>73.781674423965242</v>
      </c>
      <c r="CA49">
        <v>73.781674423965242</v>
      </c>
      <c r="CB49">
        <v>73.781674423965242</v>
      </c>
      <c r="CC49">
        <v>73.781674423965242</v>
      </c>
      <c r="CD49">
        <v>73.781674423965242</v>
      </c>
      <c r="CE49">
        <v>73.781674423965242</v>
      </c>
      <c r="CF49">
        <v>73.781674423965242</v>
      </c>
      <c r="CG49">
        <v>73.781674423965242</v>
      </c>
      <c r="CH49">
        <f t="shared" si="26"/>
        <v>-0.26588851568693228</v>
      </c>
      <c r="CI49">
        <f t="shared" si="27"/>
        <v>0.23242203810266826</v>
      </c>
      <c r="CJ49">
        <f t="shared" si="28"/>
        <v>0.10517934658480403</v>
      </c>
      <c r="CK49">
        <f t="shared" si="29"/>
        <v>-8.2618672004127633E-2</v>
      </c>
      <c r="CL49">
        <f t="shared" si="30"/>
        <v>0.1532407920550434</v>
      </c>
      <c r="CM49">
        <f t="shared" si="31"/>
        <v>0.25590313395219111</v>
      </c>
      <c r="CN49">
        <f t="shared" si="32"/>
        <v>-6.1768533031007496E-2</v>
      </c>
      <c r="CO49">
        <f t="shared" si="33"/>
        <v>-0.33646958997263948</v>
      </c>
      <c r="CP49">
        <v>48</v>
      </c>
      <c r="CQ49">
        <v>-1.26861355876892</v>
      </c>
      <c r="CR49">
        <v>1.7146913176021199</v>
      </c>
      <c r="CS49">
        <v>0.79653923117331504</v>
      </c>
      <c r="CT49">
        <v>-0.332518923281655</v>
      </c>
      <c r="CU49">
        <v>0.28848739451626199</v>
      </c>
      <c r="CV49">
        <v>-0.90137248159456695</v>
      </c>
      <c r="CW49">
        <v>1.04247799956337</v>
      </c>
      <c r="CX49">
        <v>-0.89483309961061097</v>
      </c>
    </row>
    <row r="50" spans="1:102" x14ac:dyDescent="0.35">
      <c r="A50" t="s">
        <v>1402</v>
      </c>
      <c r="B50" t="s">
        <v>99</v>
      </c>
      <c r="C50" t="s">
        <v>1403</v>
      </c>
      <c r="D50" t="s">
        <v>80</v>
      </c>
      <c r="E50" t="s">
        <v>80</v>
      </c>
      <c r="F50" t="s">
        <v>81</v>
      </c>
      <c r="G50" t="s">
        <v>82</v>
      </c>
      <c r="H50" t="s">
        <v>1404</v>
      </c>
      <c r="I50" t="s">
        <v>468</v>
      </c>
      <c r="J50" t="s">
        <v>85</v>
      </c>
      <c r="K50" t="s">
        <v>1405</v>
      </c>
      <c r="L50" t="s">
        <v>1406</v>
      </c>
      <c r="M50" t="s">
        <v>1407</v>
      </c>
      <c r="N50">
        <v>36</v>
      </c>
      <c r="O50" t="s">
        <v>89</v>
      </c>
      <c r="P50">
        <v>1377</v>
      </c>
      <c r="Q50">
        <v>0.97570000000000001</v>
      </c>
      <c r="R50">
        <v>186</v>
      </c>
      <c r="S50">
        <v>0.875</v>
      </c>
      <c r="T50" t="s">
        <v>1408</v>
      </c>
      <c r="U50" t="s">
        <v>1409</v>
      </c>
      <c r="V50" t="s">
        <v>1410</v>
      </c>
      <c r="W50" t="s">
        <v>93</v>
      </c>
      <c r="X50" t="s">
        <v>1411</v>
      </c>
      <c r="Y50" t="s">
        <v>1412</v>
      </c>
      <c r="Z50" t="s">
        <v>1413</v>
      </c>
      <c r="AA50" t="s">
        <v>405</v>
      </c>
      <c r="AB50">
        <v>1224</v>
      </c>
      <c r="AC50">
        <v>7</v>
      </c>
      <c r="AD50" t="s">
        <v>1414</v>
      </c>
      <c r="AE50">
        <v>49</v>
      </c>
      <c r="AF50" t="s">
        <v>78</v>
      </c>
      <c r="AG50" t="s">
        <v>1415</v>
      </c>
      <c r="AH50" t="s">
        <v>80</v>
      </c>
      <c r="AI50" t="s">
        <v>80</v>
      </c>
      <c r="AJ50" t="s">
        <v>81</v>
      </c>
      <c r="AK50" t="s">
        <v>176</v>
      </c>
      <c r="AL50" t="s">
        <v>1125</v>
      </c>
      <c r="AM50" t="s">
        <v>178</v>
      </c>
      <c r="AN50" t="s">
        <v>1416</v>
      </c>
      <c r="AO50" t="s">
        <v>1417</v>
      </c>
      <c r="AP50" t="s">
        <v>1418</v>
      </c>
      <c r="AQ50">
        <v>36</v>
      </c>
      <c r="AR50" t="s">
        <v>89</v>
      </c>
      <c r="AS50">
        <v>1413</v>
      </c>
      <c r="AT50">
        <v>0.98960000000000004</v>
      </c>
      <c r="AU50">
        <v>185</v>
      </c>
      <c r="AV50">
        <v>1</v>
      </c>
      <c r="AW50" t="s">
        <v>1419</v>
      </c>
      <c r="AX50" t="s">
        <v>1420</v>
      </c>
      <c r="AY50" t="s">
        <v>1421</v>
      </c>
      <c r="AZ50" t="s">
        <v>185</v>
      </c>
      <c r="BA50" t="s">
        <v>186</v>
      </c>
      <c r="BB50" t="s">
        <v>1422</v>
      </c>
      <c r="BC50" t="s">
        <v>1423</v>
      </c>
      <c r="BD50" t="s">
        <v>189</v>
      </c>
      <c r="BE50">
        <v>65524</v>
      </c>
      <c r="BF50" t="s">
        <v>1424</v>
      </c>
      <c r="BG50">
        <v>78</v>
      </c>
      <c r="BH50" t="s">
        <v>89</v>
      </c>
      <c r="BI50">
        <v>1</v>
      </c>
      <c r="BJ50">
        <v>33</v>
      </c>
      <c r="BK50">
        <v>0</v>
      </c>
      <c r="BL50">
        <v>0</v>
      </c>
      <c r="BM50">
        <v>4</v>
      </c>
      <c r="BN50">
        <v>9</v>
      </c>
      <c r="BO50">
        <v>7</v>
      </c>
      <c r="BP50">
        <v>0</v>
      </c>
      <c r="BQ50">
        <v>5</v>
      </c>
      <c r="BR50">
        <f t="shared" si="17"/>
        <v>34</v>
      </c>
      <c r="BS50">
        <f t="shared" si="18"/>
        <v>1</v>
      </c>
      <c r="BT50">
        <f t="shared" si="19"/>
        <v>1</v>
      </c>
      <c r="BU50">
        <f t="shared" si="20"/>
        <v>5</v>
      </c>
      <c r="BV50">
        <f t="shared" si="21"/>
        <v>10</v>
      </c>
      <c r="BW50">
        <f t="shared" si="22"/>
        <v>8</v>
      </c>
      <c r="BX50">
        <f t="shared" si="23"/>
        <v>1</v>
      </c>
      <c r="BY50">
        <f t="shared" si="24"/>
        <v>6</v>
      </c>
      <c r="BZ50">
        <f t="shared" si="25"/>
        <v>4.1111305662135598</v>
      </c>
      <c r="CA50">
        <v>4.1111305662135598</v>
      </c>
      <c r="CB50">
        <v>4.1111305662135598</v>
      </c>
      <c r="CC50">
        <v>4.1111305662135598</v>
      </c>
      <c r="CD50">
        <v>4.1111305662135598</v>
      </c>
      <c r="CE50">
        <v>4.1111305662135598</v>
      </c>
      <c r="CF50">
        <v>4.1111305662135598</v>
      </c>
      <c r="CG50">
        <v>4.1111305662135598</v>
      </c>
      <c r="CH50">
        <f t="shared" si="26"/>
        <v>0.91751764719802242</v>
      </c>
      <c r="CI50">
        <f t="shared" si="27"/>
        <v>-0.61396126984423272</v>
      </c>
      <c r="CJ50">
        <f t="shared" si="28"/>
        <v>-0.61396126984423272</v>
      </c>
      <c r="CK50">
        <f t="shared" si="29"/>
        <v>8.5008734491786114E-2</v>
      </c>
      <c r="CL50">
        <f t="shared" si="30"/>
        <v>0.38603873015576728</v>
      </c>
      <c r="CM50">
        <f t="shared" si="31"/>
        <v>0.28912871714771093</v>
      </c>
      <c r="CN50">
        <f t="shared" si="32"/>
        <v>-0.61396126984423272</v>
      </c>
      <c r="CO50">
        <f t="shared" si="33"/>
        <v>0.16418998053941097</v>
      </c>
      <c r="CP50">
        <v>49</v>
      </c>
      <c r="CQ50">
        <v>0.41094707162600103</v>
      </c>
      <c r="CR50">
        <v>-2.8101924918208301</v>
      </c>
      <c r="CS50">
        <v>-1.90638622950665</v>
      </c>
      <c r="CT50">
        <v>4.30311419326267E-2</v>
      </c>
      <c r="CU50">
        <v>0.87405184610114095</v>
      </c>
      <c r="CV50">
        <v>-0.83530040733225097</v>
      </c>
      <c r="CW50">
        <v>-2.83505630539632</v>
      </c>
      <c r="CX50">
        <v>8.0124265464138603E-2</v>
      </c>
    </row>
    <row r="51" spans="1:102" x14ac:dyDescent="0.35">
      <c r="A51" t="s">
        <v>904</v>
      </c>
      <c r="B51" t="s">
        <v>78</v>
      </c>
      <c r="C51" t="s">
        <v>905</v>
      </c>
      <c r="D51" t="s">
        <v>80</v>
      </c>
      <c r="E51" t="s">
        <v>80</v>
      </c>
      <c r="F51" t="s">
        <v>81</v>
      </c>
      <c r="G51" t="s">
        <v>82</v>
      </c>
      <c r="H51" t="s">
        <v>420</v>
      </c>
      <c r="I51" t="s">
        <v>298</v>
      </c>
      <c r="J51" t="s">
        <v>133</v>
      </c>
      <c r="K51" t="s">
        <v>906</v>
      </c>
      <c r="L51" t="s">
        <v>907</v>
      </c>
      <c r="M51" t="s">
        <v>908</v>
      </c>
      <c r="N51">
        <v>75</v>
      </c>
      <c r="O51" t="s">
        <v>89</v>
      </c>
      <c r="P51">
        <v>1440</v>
      </c>
      <c r="Q51">
        <v>1</v>
      </c>
      <c r="R51">
        <v>210</v>
      </c>
      <c r="S51">
        <v>0.90200000000000002</v>
      </c>
      <c r="T51" t="s">
        <v>424</v>
      </c>
      <c r="U51" t="s">
        <v>425</v>
      </c>
      <c r="V51" t="s">
        <v>426</v>
      </c>
      <c r="W51" t="s">
        <v>93</v>
      </c>
      <c r="X51" t="s">
        <v>428</v>
      </c>
      <c r="Y51" t="s">
        <v>429</v>
      </c>
      <c r="Z51" t="s">
        <v>909</v>
      </c>
      <c r="AA51" t="s">
        <v>173</v>
      </c>
      <c r="AB51">
        <v>21458</v>
      </c>
      <c r="AC51">
        <v>48</v>
      </c>
      <c r="AD51" t="s">
        <v>910</v>
      </c>
      <c r="AE51">
        <v>50</v>
      </c>
      <c r="AF51" t="s">
        <v>99</v>
      </c>
      <c r="AG51" t="s">
        <v>911</v>
      </c>
      <c r="AH51" t="s">
        <v>80</v>
      </c>
      <c r="AI51" t="s">
        <v>80</v>
      </c>
      <c r="AJ51" t="s">
        <v>81</v>
      </c>
      <c r="AK51" t="s">
        <v>101</v>
      </c>
      <c r="AL51" t="s">
        <v>912</v>
      </c>
      <c r="AM51" t="s">
        <v>103</v>
      </c>
      <c r="AN51" t="s">
        <v>913</v>
      </c>
      <c r="AO51" t="s">
        <v>914</v>
      </c>
      <c r="AP51" t="s">
        <v>915</v>
      </c>
      <c r="AQ51">
        <v>33</v>
      </c>
      <c r="AR51" t="s">
        <v>89</v>
      </c>
      <c r="AS51">
        <v>1395</v>
      </c>
      <c r="AT51">
        <v>1</v>
      </c>
      <c r="AU51">
        <v>180</v>
      </c>
      <c r="AV51">
        <v>1</v>
      </c>
      <c r="AW51" t="s">
        <v>916</v>
      </c>
      <c r="AX51" t="s">
        <v>438</v>
      </c>
      <c r="AY51" t="s">
        <v>917</v>
      </c>
      <c r="AZ51" t="s">
        <v>125</v>
      </c>
      <c r="BA51" t="s">
        <v>918</v>
      </c>
      <c r="BB51" t="s">
        <v>112</v>
      </c>
      <c r="BC51" t="s">
        <v>919</v>
      </c>
      <c r="BD51" t="s">
        <v>114</v>
      </c>
      <c r="BE51">
        <v>49730</v>
      </c>
      <c r="BF51" t="s">
        <v>920</v>
      </c>
      <c r="BG51">
        <v>58</v>
      </c>
      <c r="BH51" t="s">
        <v>89</v>
      </c>
      <c r="BI51">
        <v>1</v>
      </c>
      <c r="BJ51">
        <v>2224</v>
      </c>
      <c r="BK51">
        <v>16</v>
      </c>
      <c r="BL51">
        <v>14</v>
      </c>
      <c r="BM51">
        <v>64</v>
      </c>
      <c r="BN51">
        <v>35</v>
      </c>
      <c r="BO51">
        <v>316</v>
      </c>
      <c r="BP51">
        <v>11</v>
      </c>
      <c r="BQ51">
        <v>47</v>
      </c>
      <c r="BR51">
        <f t="shared" si="17"/>
        <v>2225</v>
      </c>
      <c r="BS51">
        <f t="shared" si="18"/>
        <v>17</v>
      </c>
      <c r="BT51">
        <f t="shared" si="19"/>
        <v>15</v>
      </c>
      <c r="BU51">
        <f t="shared" si="20"/>
        <v>65</v>
      </c>
      <c r="BV51">
        <f t="shared" si="21"/>
        <v>36</v>
      </c>
      <c r="BW51">
        <f t="shared" si="22"/>
        <v>317</v>
      </c>
      <c r="BX51">
        <f t="shared" si="23"/>
        <v>12</v>
      </c>
      <c r="BY51">
        <f t="shared" si="24"/>
        <v>48</v>
      </c>
      <c r="BZ51">
        <f t="shared" si="25"/>
        <v>62.816100803517301</v>
      </c>
      <c r="CA51">
        <v>62.816100803517301</v>
      </c>
      <c r="CB51">
        <v>62.816100803517301</v>
      </c>
      <c r="CC51">
        <v>62.816100803517301</v>
      </c>
      <c r="CD51">
        <v>62.816100803517301</v>
      </c>
      <c r="CE51">
        <v>62.816100803517301</v>
      </c>
      <c r="CF51">
        <v>62.816100803517301</v>
      </c>
      <c r="CG51">
        <v>62.816100803517301</v>
      </c>
      <c r="CH51">
        <f t="shared" si="26"/>
        <v>1.5492590404666988</v>
      </c>
      <c r="CI51">
        <f t="shared" si="27"/>
        <v>-0.56762205347197758</v>
      </c>
      <c r="CJ51">
        <f t="shared" si="28"/>
        <v>-0.62197971579457023</v>
      </c>
      <c r="CK51">
        <f t="shared" si="29"/>
        <v>1.4842381792604071E-2</v>
      </c>
      <c r="CL51">
        <f t="shared" si="30"/>
        <v>-0.24176847408296423</v>
      </c>
      <c r="CM51">
        <f t="shared" si="31"/>
        <v>0.70298828736750008</v>
      </c>
      <c r="CN51">
        <f t="shared" si="32"/>
        <v>-0.71888972880262669</v>
      </c>
      <c r="CO51">
        <f t="shared" si="33"/>
        <v>-0.1168297374746643</v>
      </c>
      <c r="CP51">
        <v>50</v>
      </c>
      <c r="CQ51">
        <v>1.30755214772113</v>
      </c>
      <c r="CR51">
        <v>0.35566374170694198</v>
      </c>
      <c r="CS51">
        <v>-1.0405052365191501</v>
      </c>
      <c r="CT51">
        <v>-0.114168559970943</v>
      </c>
      <c r="CU51">
        <v>-0.70509264396745697</v>
      </c>
      <c r="CV51">
        <v>-1.2303257912192301E-2</v>
      </c>
      <c r="CW51">
        <v>-0.28599153329845201</v>
      </c>
      <c r="CX51">
        <v>-0.46711833199352298</v>
      </c>
    </row>
    <row r="52" spans="1:102" x14ac:dyDescent="0.35">
      <c r="A52" t="s">
        <v>1527</v>
      </c>
      <c r="B52" t="s">
        <v>78</v>
      </c>
      <c r="C52" t="s">
        <v>1528</v>
      </c>
      <c r="D52" t="s">
        <v>80</v>
      </c>
      <c r="E52" t="s">
        <v>80</v>
      </c>
      <c r="F52" t="s">
        <v>81</v>
      </c>
      <c r="G52" t="s">
        <v>82</v>
      </c>
      <c r="H52" t="s">
        <v>83</v>
      </c>
      <c r="I52" t="s">
        <v>272</v>
      </c>
      <c r="J52" t="s">
        <v>85</v>
      </c>
      <c r="K52" t="s">
        <v>1529</v>
      </c>
      <c r="L52" t="s">
        <v>1530</v>
      </c>
      <c r="M52" t="s">
        <v>1531</v>
      </c>
      <c r="N52">
        <v>63</v>
      </c>
      <c r="O52" t="s">
        <v>89</v>
      </c>
      <c r="P52">
        <v>1440</v>
      </c>
      <c r="Q52">
        <v>1</v>
      </c>
      <c r="R52">
        <v>168</v>
      </c>
      <c r="S52">
        <v>0.83330000000000004</v>
      </c>
      <c r="T52" t="s">
        <v>1532</v>
      </c>
      <c r="U52" t="s">
        <v>1533</v>
      </c>
      <c r="V52" t="s">
        <v>1534</v>
      </c>
      <c r="W52" t="s">
        <v>93</v>
      </c>
      <c r="X52" t="s">
        <v>1535</v>
      </c>
      <c r="Y52" t="s">
        <v>1536</v>
      </c>
      <c r="Z52" t="s">
        <v>1537</v>
      </c>
      <c r="AA52" t="s">
        <v>173</v>
      </c>
      <c r="AB52">
        <v>18854</v>
      </c>
      <c r="AC52">
        <v>23</v>
      </c>
      <c r="AD52" t="s">
        <v>1538</v>
      </c>
      <c r="AE52">
        <v>51</v>
      </c>
      <c r="AF52" t="s">
        <v>99</v>
      </c>
      <c r="AG52" t="s">
        <v>1539</v>
      </c>
      <c r="AH52" t="s">
        <v>80</v>
      </c>
      <c r="AI52" t="s">
        <v>80</v>
      </c>
      <c r="AJ52" t="s">
        <v>81</v>
      </c>
      <c r="AK52" t="s">
        <v>101</v>
      </c>
      <c r="AL52" t="s">
        <v>433</v>
      </c>
      <c r="AM52" t="s">
        <v>146</v>
      </c>
      <c r="AN52" t="s">
        <v>1540</v>
      </c>
      <c r="AO52" t="s">
        <v>1541</v>
      </c>
      <c r="AP52" t="s">
        <v>1542</v>
      </c>
      <c r="AQ52">
        <v>33</v>
      </c>
      <c r="AR52" t="s">
        <v>89</v>
      </c>
      <c r="AS52">
        <v>1395</v>
      </c>
      <c r="AT52">
        <v>1</v>
      </c>
      <c r="AU52">
        <v>190</v>
      </c>
      <c r="AV52">
        <v>1</v>
      </c>
      <c r="AW52" t="s">
        <v>1543</v>
      </c>
      <c r="AX52" t="s">
        <v>438</v>
      </c>
      <c r="AY52" t="s">
        <v>439</v>
      </c>
      <c r="AZ52" t="s">
        <v>153</v>
      </c>
      <c r="BA52" t="s">
        <v>440</v>
      </c>
      <c r="BB52" t="s">
        <v>112</v>
      </c>
      <c r="BC52" t="s">
        <v>1544</v>
      </c>
      <c r="BD52" t="s">
        <v>114</v>
      </c>
      <c r="BE52">
        <v>19188</v>
      </c>
      <c r="BF52" t="s">
        <v>1545</v>
      </c>
      <c r="BG52">
        <v>17</v>
      </c>
      <c r="BH52" t="s">
        <v>89</v>
      </c>
      <c r="BI52">
        <v>1</v>
      </c>
      <c r="BJ52">
        <v>22</v>
      </c>
      <c r="BK52">
        <v>0</v>
      </c>
      <c r="BL52">
        <v>0</v>
      </c>
      <c r="BM52">
        <v>4</v>
      </c>
      <c r="BN52">
        <v>0</v>
      </c>
      <c r="BO52">
        <v>11</v>
      </c>
      <c r="BP52">
        <v>0</v>
      </c>
      <c r="BQ52">
        <v>5</v>
      </c>
      <c r="BR52">
        <f t="shared" si="17"/>
        <v>23</v>
      </c>
      <c r="BS52">
        <f t="shared" si="18"/>
        <v>1</v>
      </c>
      <c r="BT52">
        <f t="shared" si="19"/>
        <v>1</v>
      </c>
      <c r="BU52">
        <f t="shared" si="20"/>
        <v>5</v>
      </c>
      <c r="BV52">
        <f t="shared" si="21"/>
        <v>1</v>
      </c>
      <c r="BW52">
        <f t="shared" si="22"/>
        <v>12</v>
      </c>
      <c r="BX52">
        <f t="shared" si="23"/>
        <v>1</v>
      </c>
      <c r="BY52">
        <f t="shared" si="24"/>
        <v>6</v>
      </c>
      <c r="BZ52">
        <f t="shared" si="25"/>
        <v>3.0885439952811606</v>
      </c>
      <c r="CA52">
        <v>3.0885439952811606</v>
      </c>
      <c r="CB52">
        <v>3.0885439952811606</v>
      </c>
      <c r="CC52">
        <v>3.0885439952811606</v>
      </c>
      <c r="CD52">
        <v>3.0885439952811606</v>
      </c>
      <c r="CE52">
        <v>3.0885439952811606</v>
      </c>
      <c r="CF52">
        <v>3.0885439952811606</v>
      </c>
      <c r="CG52">
        <v>3.0885439952811606</v>
      </c>
      <c r="CH52">
        <f t="shared" si="26"/>
        <v>0.87197404391948286</v>
      </c>
      <c r="CI52">
        <f t="shared" si="27"/>
        <v>-0.48975379209810999</v>
      </c>
      <c r="CJ52">
        <f t="shared" si="28"/>
        <v>-0.48975379209810999</v>
      </c>
      <c r="CK52">
        <f t="shared" si="29"/>
        <v>0.20921621223790876</v>
      </c>
      <c r="CL52">
        <f t="shared" si="30"/>
        <v>-0.48975379209810999</v>
      </c>
      <c r="CM52">
        <f t="shared" si="31"/>
        <v>0.58942745394951479</v>
      </c>
      <c r="CN52">
        <f t="shared" si="32"/>
        <v>-0.48975379209810999</v>
      </c>
      <c r="CO52">
        <f t="shared" si="33"/>
        <v>0.28839745828553359</v>
      </c>
      <c r="CP52">
        <v>51</v>
      </c>
      <c r="CQ52">
        <v>0.34630887264410498</v>
      </c>
      <c r="CR52">
        <v>-2.8101924918208301</v>
      </c>
      <c r="CS52">
        <v>-1.90638622950665</v>
      </c>
      <c r="CT52">
        <v>0.32130381430016602</v>
      </c>
      <c r="CU52">
        <v>-1.52396762003097</v>
      </c>
      <c r="CV52">
        <v>-0.238129235886156</v>
      </c>
      <c r="CW52">
        <v>-2.83505630539632</v>
      </c>
      <c r="CX52">
        <v>0.32199918878196898</v>
      </c>
    </row>
    <row r="53" spans="1:102" x14ac:dyDescent="0.35">
      <c r="A53" t="s">
        <v>1489</v>
      </c>
      <c r="B53" t="s">
        <v>99</v>
      </c>
      <c r="C53" t="s">
        <v>1490</v>
      </c>
      <c r="D53" t="s">
        <v>80</v>
      </c>
      <c r="E53" t="s">
        <v>80</v>
      </c>
      <c r="F53" t="s">
        <v>81</v>
      </c>
      <c r="G53" t="s">
        <v>82</v>
      </c>
      <c r="H53" t="s">
        <v>83</v>
      </c>
      <c r="I53" t="s">
        <v>272</v>
      </c>
      <c r="J53" t="s">
        <v>85</v>
      </c>
      <c r="K53" t="s">
        <v>1491</v>
      </c>
      <c r="L53" t="s">
        <v>1492</v>
      </c>
      <c r="M53" t="s">
        <v>1493</v>
      </c>
      <c r="N53">
        <v>54</v>
      </c>
      <c r="O53" t="s">
        <v>89</v>
      </c>
      <c r="P53">
        <v>1422</v>
      </c>
      <c r="Q53">
        <v>0.99309999999999998</v>
      </c>
      <c r="R53">
        <v>240</v>
      </c>
      <c r="S53">
        <v>1</v>
      </c>
      <c r="T53" t="s">
        <v>1494</v>
      </c>
      <c r="U53" t="s">
        <v>91</v>
      </c>
      <c r="V53" t="s">
        <v>1495</v>
      </c>
      <c r="W53" t="s">
        <v>93</v>
      </c>
      <c r="X53" t="s">
        <v>94</v>
      </c>
      <c r="Y53" t="s">
        <v>1496</v>
      </c>
      <c r="Z53" t="s">
        <v>1497</v>
      </c>
      <c r="AA53" t="s">
        <v>173</v>
      </c>
      <c r="AB53">
        <v>2130</v>
      </c>
      <c r="AC53">
        <v>63</v>
      </c>
      <c r="AD53" t="s">
        <v>1498</v>
      </c>
      <c r="AE53">
        <v>53</v>
      </c>
      <c r="AF53" t="s">
        <v>78</v>
      </c>
      <c r="AG53" t="s">
        <v>1499</v>
      </c>
      <c r="AH53" t="s">
        <v>80</v>
      </c>
      <c r="AI53" t="s">
        <v>80</v>
      </c>
      <c r="AJ53" t="s">
        <v>81</v>
      </c>
      <c r="AK53" t="s">
        <v>176</v>
      </c>
      <c r="AL53" t="s">
        <v>177</v>
      </c>
      <c r="AM53" t="s">
        <v>178</v>
      </c>
      <c r="AN53" t="s">
        <v>1500</v>
      </c>
      <c r="AO53" t="s">
        <v>1501</v>
      </c>
      <c r="AP53" t="s">
        <v>1502</v>
      </c>
      <c r="AQ53">
        <v>39</v>
      </c>
      <c r="AR53" t="s">
        <v>89</v>
      </c>
      <c r="AS53">
        <v>1341</v>
      </c>
      <c r="AT53">
        <v>0.96179999999999999</v>
      </c>
      <c r="AU53">
        <v>172</v>
      </c>
      <c r="AV53">
        <v>0.94740000000000002</v>
      </c>
      <c r="AW53" t="s">
        <v>1503</v>
      </c>
      <c r="AX53" t="s">
        <v>183</v>
      </c>
      <c r="AY53" t="s">
        <v>1504</v>
      </c>
      <c r="AZ53" t="s">
        <v>185</v>
      </c>
      <c r="BA53" t="s">
        <v>1505</v>
      </c>
      <c r="BB53" t="s">
        <v>600</v>
      </c>
      <c r="BC53" t="s">
        <v>1506</v>
      </c>
      <c r="BD53" t="s">
        <v>189</v>
      </c>
      <c r="BE53">
        <v>52626</v>
      </c>
      <c r="BF53" t="s">
        <v>1507</v>
      </c>
      <c r="BG53">
        <v>1249</v>
      </c>
      <c r="BH53" t="s">
        <v>89</v>
      </c>
      <c r="BI53">
        <v>1</v>
      </c>
      <c r="BJ53">
        <v>103</v>
      </c>
      <c r="BK53">
        <v>0</v>
      </c>
      <c r="BL53">
        <v>73</v>
      </c>
      <c r="BM53">
        <v>3020</v>
      </c>
      <c r="BN53">
        <v>4372</v>
      </c>
      <c r="BO53">
        <v>5693</v>
      </c>
      <c r="BP53">
        <v>15</v>
      </c>
      <c r="BQ53">
        <v>3046</v>
      </c>
      <c r="BR53">
        <f t="shared" si="17"/>
        <v>104</v>
      </c>
      <c r="BS53">
        <f t="shared" si="18"/>
        <v>1</v>
      </c>
      <c r="BT53">
        <f t="shared" si="19"/>
        <v>74</v>
      </c>
      <c r="BU53">
        <f t="shared" si="20"/>
        <v>3021</v>
      </c>
      <c r="BV53">
        <f t="shared" si="21"/>
        <v>4373</v>
      </c>
      <c r="BW53">
        <f t="shared" si="22"/>
        <v>5694</v>
      </c>
      <c r="BX53">
        <f t="shared" si="23"/>
        <v>16</v>
      </c>
      <c r="BY53">
        <f t="shared" si="24"/>
        <v>3047</v>
      </c>
      <c r="BZ53">
        <f t="shared" si="25"/>
        <v>269.97630253998392</v>
      </c>
      <c r="CA53">
        <v>269.97630253998392</v>
      </c>
      <c r="CB53">
        <v>269.97630253998392</v>
      </c>
      <c r="CC53">
        <v>269.97630253998392</v>
      </c>
      <c r="CD53">
        <v>269.97630253998392</v>
      </c>
      <c r="CE53">
        <v>269.97630253998392</v>
      </c>
      <c r="CF53">
        <v>269.97630253998392</v>
      </c>
      <c r="CG53">
        <v>269.97630253998392</v>
      </c>
      <c r="CH53">
        <f t="shared" si="26"/>
        <v>-0.41429230586839827</v>
      </c>
      <c r="CI53">
        <f t="shared" si="27"/>
        <v>-2.4313256451671785</v>
      </c>
      <c r="CJ53">
        <f t="shared" si="28"/>
        <v>-0.5620939254362024</v>
      </c>
      <c r="CK53">
        <f t="shared" si="29"/>
        <v>1.0488250801061019</v>
      </c>
      <c r="CL53">
        <f t="shared" si="30"/>
        <v>1.2094538321776784</v>
      </c>
      <c r="CM53">
        <f t="shared" si="31"/>
        <v>1.3240918176437577</v>
      </c>
      <c r="CN53">
        <f t="shared" si="32"/>
        <v>-1.2272056625112537</v>
      </c>
      <c r="CO53">
        <f t="shared" si="33"/>
        <v>1.052546809055495</v>
      </c>
      <c r="CP53">
        <v>53</v>
      </c>
      <c r="CQ53">
        <v>-1.4792370718175101</v>
      </c>
      <c r="CR53">
        <v>-2.8101924918208301</v>
      </c>
      <c r="CS53">
        <v>-0.88921390899137398</v>
      </c>
      <c r="CT53">
        <v>2.2023516195114001</v>
      </c>
      <c r="CU53">
        <v>2.9452154336134599</v>
      </c>
      <c r="CV53">
        <v>1.22281723148625</v>
      </c>
      <c r="CW53">
        <v>-1.3136288022609499</v>
      </c>
      <c r="CX53">
        <v>1.81006229878763</v>
      </c>
    </row>
    <row r="54" spans="1:102" x14ac:dyDescent="0.35">
      <c r="A54" t="s">
        <v>878</v>
      </c>
      <c r="B54" t="s">
        <v>78</v>
      </c>
      <c r="C54" t="s">
        <v>879</v>
      </c>
      <c r="D54" t="s">
        <v>80</v>
      </c>
      <c r="E54" t="s">
        <v>80</v>
      </c>
      <c r="F54" t="s">
        <v>81</v>
      </c>
      <c r="G54" t="s">
        <v>82</v>
      </c>
      <c r="H54" t="s">
        <v>131</v>
      </c>
      <c r="I54" t="s">
        <v>369</v>
      </c>
      <c r="J54" t="s">
        <v>85</v>
      </c>
      <c r="K54" t="s">
        <v>880</v>
      </c>
      <c r="L54" t="s">
        <v>881</v>
      </c>
      <c r="M54" t="s">
        <v>882</v>
      </c>
      <c r="N54">
        <v>51</v>
      </c>
      <c r="O54" t="s">
        <v>89</v>
      </c>
      <c r="P54">
        <v>1134</v>
      </c>
      <c r="Q54">
        <v>0.88190000000000002</v>
      </c>
      <c r="R54">
        <v>177</v>
      </c>
      <c r="S54">
        <v>0.85419999999999996</v>
      </c>
      <c r="T54" t="s">
        <v>883</v>
      </c>
      <c r="U54" t="s">
        <v>884</v>
      </c>
      <c r="V54" t="s">
        <v>885</v>
      </c>
      <c r="W54" t="s">
        <v>886</v>
      </c>
      <c r="X54" t="s">
        <v>887</v>
      </c>
      <c r="Y54" t="s">
        <v>888</v>
      </c>
      <c r="Z54" t="s">
        <v>889</v>
      </c>
      <c r="AA54" t="s">
        <v>890</v>
      </c>
      <c r="AB54">
        <v>112</v>
      </c>
      <c r="AC54">
        <v>9</v>
      </c>
      <c r="AD54" t="s">
        <v>891</v>
      </c>
      <c r="AE54">
        <v>54</v>
      </c>
      <c r="AF54" t="s">
        <v>99</v>
      </c>
      <c r="AG54" t="s">
        <v>892</v>
      </c>
      <c r="AH54" t="s">
        <v>80</v>
      </c>
      <c r="AI54" t="s">
        <v>80</v>
      </c>
      <c r="AJ54" t="s">
        <v>81</v>
      </c>
      <c r="AK54" t="s">
        <v>101</v>
      </c>
      <c r="AL54" t="s">
        <v>893</v>
      </c>
      <c r="AM54" t="s">
        <v>146</v>
      </c>
      <c r="AN54" t="s">
        <v>894</v>
      </c>
      <c r="AO54" t="s">
        <v>895</v>
      </c>
      <c r="AP54" t="s">
        <v>896</v>
      </c>
      <c r="AQ54">
        <v>33</v>
      </c>
      <c r="AR54" t="s">
        <v>89</v>
      </c>
      <c r="AS54">
        <v>1197</v>
      </c>
      <c r="AT54">
        <v>0.92110000000000003</v>
      </c>
      <c r="AU54">
        <v>135</v>
      </c>
      <c r="AV54">
        <v>0.86109999999999998</v>
      </c>
      <c r="AW54" t="s">
        <v>897</v>
      </c>
      <c r="AX54" t="s">
        <v>898</v>
      </c>
      <c r="AY54" t="s">
        <v>899</v>
      </c>
      <c r="AZ54" t="s">
        <v>900</v>
      </c>
      <c r="BA54" t="s">
        <v>901</v>
      </c>
      <c r="BB54" t="s">
        <v>577</v>
      </c>
      <c r="BC54" t="s">
        <v>902</v>
      </c>
      <c r="BD54" t="s">
        <v>114</v>
      </c>
      <c r="BE54">
        <v>348</v>
      </c>
      <c r="BF54" t="s">
        <v>903</v>
      </c>
      <c r="BG54">
        <v>24</v>
      </c>
      <c r="BH54" t="s">
        <v>89</v>
      </c>
      <c r="BI54">
        <v>1</v>
      </c>
      <c r="BJ54">
        <v>5</v>
      </c>
      <c r="BK54">
        <v>0</v>
      </c>
      <c r="BL54">
        <v>0</v>
      </c>
      <c r="BM54">
        <v>0</v>
      </c>
      <c r="BN54">
        <v>9</v>
      </c>
      <c r="BO54">
        <v>6</v>
      </c>
      <c r="BP54">
        <v>0</v>
      </c>
      <c r="BQ54">
        <v>0</v>
      </c>
      <c r="BR54">
        <f t="shared" si="17"/>
        <v>6</v>
      </c>
      <c r="BS54">
        <f t="shared" si="18"/>
        <v>1</v>
      </c>
      <c r="BT54">
        <f t="shared" si="19"/>
        <v>1</v>
      </c>
      <c r="BU54">
        <f t="shared" si="20"/>
        <v>1</v>
      </c>
      <c r="BV54">
        <f t="shared" si="21"/>
        <v>10</v>
      </c>
      <c r="BW54">
        <f t="shared" si="22"/>
        <v>7</v>
      </c>
      <c r="BX54">
        <f t="shared" si="23"/>
        <v>1</v>
      </c>
      <c r="BY54">
        <f t="shared" si="24"/>
        <v>1</v>
      </c>
      <c r="BZ54">
        <f t="shared" si="25"/>
        <v>2.1276792652648258</v>
      </c>
      <c r="CA54">
        <v>2.1276792652648258</v>
      </c>
      <c r="CB54">
        <v>2.1276792652648258</v>
      </c>
      <c r="CC54">
        <v>2.1276792652648258</v>
      </c>
      <c r="CD54">
        <v>2.1276792652648258</v>
      </c>
      <c r="CE54">
        <v>2.1276792652648258</v>
      </c>
      <c r="CF54">
        <v>2.1276792652648258</v>
      </c>
      <c r="CG54">
        <v>2.1276792652648258</v>
      </c>
      <c r="CH54">
        <f t="shared" si="26"/>
        <v>0.45024508908390615</v>
      </c>
      <c r="CI54">
        <f t="shared" si="27"/>
        <v>-0.32790616129973754</v>
      </c>
      <c r="CJ54">
        <f t="shared" si="28"/>
        <v>-0.32790616129973754</v>
      </c>
      <c r="CK54">
        <f t="shared" si="29"/>
        <v>-0.32790616129973754</v>
      </c>
      <c r="CL54">
        <f t="shared" si="30"/>
        <v>0.67209383870026251</v>
      </c>
      <c r="CM54">
        <f t="shared" si="31"/>
        <v>0.51719187871451933</v>
      </c>
      <c r="CN54">
        <f t="shared" si="32"/>
        <v>-0.32790616129973754</v>
      </c>
      <c r="CO54">
        <f t="shared" si="33"/>
        <v>-0.32790616129973754</v>
      </c>
      <c r="CP54">
        <v>54</v>
      </c>
      <c r="CQ54">
        <v>-0.25223402112675702</v>
      </c>
      <c r="CR54">
        <v>-2.8101924918208301</v>
      </c>
      <c r="CS54">
        <v>-1.90638622950665</v>
      </c>
      <c r="CT54">
        <v>-2.7279301294217002</v>
      </c>
      <c r="CU54">
        <v>1.59357584242381</v>
      </c>
      <c r="CV54">
        <v>-0.38177620404385099</v>
      </c>
      <c r="CW54">
        <v>-2.83505630539632</v>
      </c>
      <c r="CX54">
        <v>-3.48945987673619</v>
      </c>
    </row>
    <row r="55" spans="1:102" x14ac:dyDescent="0.35">
      <c r="A55" t="s">
        <v>1198</v>
      </c>
      <c r="B55" t="s">
        <v>78</v>
      </c>
      <c r="C55" t="s">
        <v>1199</v>
      </c>
      <c r="D55" t="s">
        <v>80</v>
      </c>
      <c r="E55" t="s">
        <v>80</v>
      </c>
      <c r="F55" t="s">
        <v>81</v>
      </c>
      <c r="G55" t="s">
        <v>82</v>
      </c>
      <c r="H55" t="s">
        <v>368</v>
      </c>
      <c r="I55" t="s">
        <v>298</v>
      </c>
      <c r="J55" t="s">
        <v>85</v>
      </c>
      <c r="K55" t="s">
        <v>1200</v>
      </c>
      <c r="L55" t="s">
        <v>1201</v>
      </c>
      <c r="M55" t="s">
        <v>1202</v>
      </c>
      <c r="N55">
        <v>51</v>
      </c>
      <c r="O55" t="s">
        <v>89</v>
      </c>
      <c r="P55">
        <v>1440</v>
      </c>
      <c r="Q55">
        <v>1</v>
      </c>
      <c r="R55">
        <v>240</v>
      </c>
      <c r="S55">
        <v>1</v>
      </c>
      <c r="T55" t="s">
        <v>373</v>
      </c>
      <c r="U55" t="s">
        <v>374</v>
      </c>
      <c r="V55" t="s">
        <v>1007</v>
      </c>
      <c r="W55" t="s">
        <v>93</v>
      </c>
      <c r="X55" t="s">
        <v>1008</v>
      </c>
      <c r="Y55" t="s">
        <v>377</v>
      </c>
      <c r="Z55" t="s">
        <v>1203</v>
      </c>
      <c r="AA55" t="s">
        <v>173</v>
      </c>
      <c r="AB55">
        <v>180</v>
      </c>
      <c r="AC55">
        <v>1</v>
      </c>
      <c r="AD55" t="s">
        <v>1204</v>
      </c>
      <c r="AE55">
        <v>55</v>
      </c>
      <c r="AF55" t="s">
        <v>99</v>
      </c>
      <c r="AG55" t="s">
        <v>1205</v>
      </c>
      <c r="AH55" t="s">
        <v>80</v>
      </c>
      <c r="AI55" t="s">
        <v>80</v>
      </c>
      <c r="AJ55" t="s">
        <v>81</v>
      </c>
      <c r="AK55" t="s">
        <v>101</v>
      </c>
      <c r="AL55" t="s">
        <v>784</v>
      </c>
      <c r="AM55" t="s">
        <v>1206</v>
      </c>
      <c r="AN55" t="s">
        <v>1207</v>
      </c>
      <c r="AO55" t="s">
        <v>1208</v>
      </c>
      <c r="AP55" t="s">
        <v>1209</v>
      </c>
      <c r="AQ55">
        <v>30</v>
      </c>
      <c r="AR55" t="s">
        <v>89</v>
      </c>
      <c r="AS55">
        <v>1470</v>
      </c>
      <c r="AT55">
        <v>1</v>
      </c>
      <c r="AU55">
        <v>185</v>
      </c>
      <c r="AV55">
        <v>1</v>
      </c>
      <c r="AW55" t="s">
        <v>806</v>
      </c>
      <c r="AX55" t="s">
        <v>807</v>
      </c>
      <c r="AY55" t="s">
        <v>808</v>
      </c>
      <c r="AZ55" t="s">
        <v>1210</v>
      </c>
      <c r="BA55" t="s">
        <v>809</v>
      </c>
      <c r="BB55" t="s">
        <v>810</v>
      </c>
      <c r="BC55" t="s">
        <v>1211</v>
      </c>
      <c r="BD55" t="s">
        <v>114</v>
      </c>
      <c r="BE55">
        <v>10066</v>
      </c>
      <c r="BF55" t="s">
        <v>1212</v>
      </c>
      <c r="BG55">
        <v>10</v>
      </c>
      <c r="BH55" t="s">
        <v>89</v>
      </c>
      <c r="BI55">
        <v>1</v>
      </c>
      <c r="BJ55">
        <v>29</v>
      </c>
      <c r="BK55">
        <v>4</v>
      </c>
      <c r="BL55">
        <v>21</v>
      </c>
      <c r="BM55">
        <v>22</v>
      </c>
      <c r="BN55">
        <v>27</v>
      </c>
      <c r="BO55">
        <v>57</v>
      </c>
      <c r="BP55">
        <v>11</v>
      </c>
      <c r="BQ55">
        <v>0</v>
      </c>
      <c r="BR55">
        <f t="shared" si="17"/>
        <v>30</v>
      </c>
      <c r="BS55">
        <f t="shared" si="18"/>
        <v>5</v>
      </c>
      <c r="BT55">
        <f t="shared" si="19"/>
        <v>22</v>
      </c>
      <c r="BU55">
        <f t="shared" si="20"/>
        <v>23</v>
      </c>
      <c r="BV55">
        <f t="shared" si="21"/>
        <v>28</v>
      </c>
      <c r="BW55">
        <f t="shared" si="22"/>
        <v>58</v>
      </c>
      <c r="BX55">
        <f t="shared" si="23"/>
        <v>12</v>
      </c>
      <c r="BY55">
        <f t="shared" si="24"/>
        <v>1</v>
      </c>
      <c r="BZ55">
        <f t="shared" si="25"/>
        <v>14.003968682109081</v>
      </c>
      <c r="CA55">
        <v>14.003968682109081</v>
      </c>
      <c r="CB55">
        <v>14.003968682109081</v>
      </c>
      <c r="CC55">
        <v>14.003968682109081</v>
      </c>
      <c r="CD55">
        <v>14.003968682109081</v>
      </c>
      <c r="CE55">
        <v>14.003968682109081</v>
      </c>
      <c r="CF55">
        <v>14.003968682109081</v>
      </c>
      <c r="CG55">
        <v>14.003968682109081</v>
      </c>
      <c r="CH55">
        <f t="shared" si="26"/>
        <v>0.33087012386362968</v>
      </c>
      <c r="CI55">
        <f t="shared" si="27"/>
        <v>-0.44728112652001395</v>
      </c>
      <c r="CJ55">
        <f t="shared" si="28"/>
        <v>0.1961715499661735</v>
      </c>
      <c r="CK55">
        <f t="shared" si="29"/>
        <v>0.21547670516156014</v>
      </c>
      <c r="CL55">
        <f t="shared" si="30"/>
        <v>0.30090690048618646</v>
      </c>
      <c r="CM55">
        <f t="shared" si="31"/>
        <v>0.61717686270690453</v>
      </c>
      <c r="CN55">
        <f t="shared" si="32"/>
        <v>-6.7069884808407934E-2</v>
      </c>
      <c r="CO55">
        <f t="shared" si="33"/>
        <v>-1.1462511308560328</v>
      </c>
      <c r="CP55">
        <v>55</v>
      </c>
      <c r="CQ55">
        <v>-0.42165809388125303</v>
      </c>
      <c r="CR55">
        <v>0.56008577289101502</v>
      </c>
      <c r="CS55">
        <v>1.0264156536412301</v>
      </c>
      <c r="CT55">
        <v>0.33532973389707998</v>
      </c>
      <c r="CU55">
        <v>0.65991690332807895</v>
      </c>
      <c r="CV55">
        <v>-0.18294702929058199</v>
      </c>
      <c r="CW55">
        <v>1.0317605179715701</v>
      </c>
      <c r="CX55">
        <v>-3.48945987673619</v>
      </c>
    </row>
    <row r="56" spans="1:102" x14ac:dyDescent="0.35">
      <c r="A56" t="s">
        <v>1016</v>
      </c>
      <c r="B56" t="s">
        <v>78</v>
      </c>
      <c r="C56" t="s">
        <v>1017</v>
      </c>
      <c r="D56" t="s">
        <v>80</v>
      </c>
      <c r="E56" t="s">
        <v>80</v>
      </c>
      <c r="F56" t="s">
        <v>81</v>
      </c>
      <c r="G56" t="s">
        <v>82</v>
      </c>
      <c r="H56" t="s">
        <v>368</v>
      </c>
      <c r="I56" t="s">
        <v>342</v>
      </c>
      <c r="J56" t="s">
        <v>85</v>
      </c>
      <c r="K56" t="s">
        <v>1018</v>
      </c>
      <c r="L56" t="s">
        <v>1019</v>
      </c>
      <c r="M56" t="s">
        <v>1020</v>
      </c>
      <c r="N56">
        <v>60</v>
      </c>
      <c r="O56" t="s">
        <v>89</v>
      </c>
      <c r="P56">
        <v>1440</v>
      </c>
      <c r="Q56">
        <v>1</v>
      </c>
      <c r="R56">
        <v>204</v>
      </c>
      <c r="S56">
        <v>0.91669999999999996</v>
      </c>
      <c r="T56" t="s">
        <v>373</v>
      </c>
      <c r="U56" t="s">
        <v>374</v>
      </c>
      <c r="V56" t="s">
        <v>1007</v>
      </c>
      <c r="W56" t="s">
        <v>93</v>
      </c>
      <c r="X56" t="s">
        <v>1008</v>
      </c>
      <c r="Y56" t="s">
        <v>377</v>
      </c>
      <c r="Z56" t="s">
        <v>1021</v>
      </c>
      <c r="AA56" t="s">
        <v>173</v>
      </c>
      <c r="AB56">
        <v>27002</v>
      </c>
      <c r="AC56">
        <v>36</v>
      </c>
      <c r="AD56" t="s">
        <v>1022</v>
      </c>
      <c r="AE56">
        <v>56</v>
      </c>
      <c r="AF56" t="s">
        <v>99</v>
      </c>
      <c r="AG56" t="s">
        <v>1023</v>
      </c>
      <c r="AH56" t="s">
        <v>80</v>
      </c>
      <c r="AI56" t="s">
        <v>80</v>
      </c>
      <c r="AJ56" t="s">
        <v>81</v>
      </c>
      <c r="AK56" t="s">
        <v>101</v>
      </c>
      <c r="AL56" t="s">
        <v>381</v>
      </c>
      <c r="AM56" t="s">
        <v>408</v>
      </c>
      <c r="AN56" t="s">
        <v>1024</v>
      </c>
      <c r="AO56" t="s">
        <v>1025</v>
      </c>
      <c r="AP56" t="s">
        <v>1026</v>
      </c>
      <c r="AQ56">
        <v>33</v>
      </c>
      <c r="AR56" t="s">
        <v>89</v>
      </c>
      <c r="AS56">
        <v>1410</v>
      </c>
      <c r="AT56">
        <v>1</v>
      </c>
      <c r="AU56">
        <v>154</v>
      </c>
      <c r="AV56">
        <v>0.89470000000000005</v>
      </c>
      <c r="AW56" t="s">
        <v>385</v>
      </c>
      <c r="AX56" t="s">
        <v>503</v>
      </c>
      <c r="AY56" t="s">
        <v>504</v>
      </c>
      <c r="AZ56" t="s">
        <v>414</v>
      </c>
      <c r="BA56" t="s">
        <v>388</v>
      </c>
      <c r="BB56" t="s">
        <v>336</v>
      </c>
      <c r="BC56" t="s">
        <v>1027</v>
      </c>
      <c r="BD56" t="s">
        <v>114</v>
      </c>
      <c r="BE56">
        <v>39798</v>
      </c>
      <c r="BF56" t="s">
        <v>1028</v>
      </c>
      <c r="BG56">
        <v>40</v>
      </c>
      <c r="BH56" t="s">
        <v>89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</v>
      </c>
      <c r="BP56">
        <v>0</v>
      </c>
      <c r="BQ56">
        <v>6</v>
      </c>
      <c r="BR56">
        <f t="shared" si="17"/>
        <v>1</v>
      </c>
      <c r="BS56">
        <f t="shared" si="18"/>
        <v>1</v>
      </c>
      <c r="BT56">
        <f t="shared" si="19"/>
        <v>1</v>
      </c>
      <c r="BU56">
        <f t="shared" si="20"/>
        <v>1</v>
      </c>
      <c r="BV56">
        <f t="shared" si="21"/>
        <v>1</v>
      </c>
      <c r="BW56">
        <f t="shared" si="22"/>
        <v>7</v>
      </c>
      <c r="BX56">
        <f t="shared" si="23"/>
        <v>1</v>
      </c>
      <c r="BY56">
        <f t="shared" si="24"/>
        <v>7</v>
      </c>
      <c r="BZ56">
        <f t="shared" si="25"/>
        <v>1.6265765616977856</v>
      </c>
      <c r="CA56">
        <v>1.6265765616977856</v>
      </c>
      <c r="CB56">
        <v>1.6265765616977856</v>
      </c>
      <c r="CC56">
        <v>1.6265765616977856</v>
      </c>
      <c r="CD56">
        <v>1.6265765616977856</v>
      </c>
      <c r="CE56">
        <v>1.6265765616977856</v>
      </c>
      <c r="CF56">
        <v>1.6265765616977856</v>
      </c>
      <c r="CG56">
        <v>1.6265765616977856</v>
      </c>
      <c r="CH56">
        <f t="shared" si="26"/>
        <v>-0.21127451000356415</v>
      </c>
      <c r="CI56">
        <f t="shared" si="27"/>
        <v>-0.21127451000356415</v>
      </c>
      <c r="CJ56">
        <f t="shared" si="28"/>
        <v>-0.21127451000356415</v>
      </c>
      <c r="CK56">
        <f t="shared" si="29"/>
        <v>-0.21127451000356415</v>
      </c>
      <c r="CL56">
        <f t="shared" si="30"/>
        <v>-0.21127451000356415</v>
      </c>
      <c r="CM56">
        <f t="shared" si="31"/>
        <v>0.63382353001069258</v>
      </c>
      <c r="CN56">
        <f t="shared" si="32"/>
        <v>-0.21127451000356415</v>
      </c>
      <c r="CO56">
        <f t="shared" si="33"/>
        <v>0.63382353001069258</v>
      </c>
      <c r="CP56">
        <v>56</v>
      </c>
      <c r="CQ56">
        <v>-1.53996978270225</v>
      </c>
      <c r="CR56">
        <v>-2.8101924918208301</v>
      </c>
      <c r="CS56">
        <v>-1.90638622950665</v>
      </c>
      <c r="CT56">
        <v>-2.7279301294217002</v>
      </c>
      <c r="CU56">
        <v>-1.52396762003097</v>
      </c>
      <c r="CV56">
        <v>-0.14984362725716799</v>
      </c>
      <c r="CW56">
        <v>-2.83505630539632</v>
      </c>
      <c r="CX56">
        <v>0.994663235477101</v>
      </c>
    </row>
    <row r="57" spans="1:102" x14ac:dyDescent="0.35">
      <c r="A57" t="s">
        <v>1425</v>
      </c>
      <c r="B57" t="s">
        <v>78</v>
      </c>
      <c r="C57" t="s">
        <v>1426</v>
      </c>
      <c r="D57" t="s">
        <v>80</v>
      </c>
      <c r="E57" t="s">
        <v>80</v>
      </c>
      <c r="F57" t="s">
        <v>81</v>
      </c>
      <c r="G57" t="s">
        <v>82</v>
      </c>
      <c r="H57" t="s">
        <v>923</v>
      </c>
      <c r="J57" t="s">
        <v>162</v>
      </c>
      <c r="K57" t="s">
        <v>1427</v>
      </c>
      <c r="L57" t="s">
        <v>1428</v>
      </c>
      <c r="M57" t="s">
        <v>1429</v>
      </c>
      <c r="N57">
        <v>36</v>
      </c>
      <c r="O57" t="s">
        <v>89</v>
      </c>
      <c r="P57">
        <v>1440</v>
      </c>
      <c r="Q57">
        <v>1</v>
      </c>
      <c r="R57">
        <v>266</v>
      </c>
      <c r="S57">
        <v>0.98180000000000001</v>
      </c>
      <c r="T57" t="s">
        <v>1099</v>
      </c>
      <c r="U57" t="s">
        <v>928</v>
      </c>
      <c r="V57" t="s">
        <v>1100</v>
      </c>
      <c r="W57" t="s">
        <v>231</v>
      </c>
      <c r="X57" t="s">
        <v>931</v>
      </c>
      <c r="Y57" t="s">
        <v>1101</v>
      </c>
      <c r="Z57" t="s">
        <v>1430</v>
      </c>
      <c r="AA57" t="s">
        <v>173</v>
      </c>
      <c r="AB57">
        <v>21440</v>
      </c>
      <c r="AC57">
        <v>29</v>
      </c>
      <c r="AD57" t="s">
        <v>1431</v>
      </c>
      <c r="AE57">
        <v>57</v>
      </c>
      <c r="AF57" t="s">
        <v>99</v>
      </c>
      <c r="AG57" t="s">
        <v>1432</v>
      </c>
      <c r="AH57" t="s">
        <v>80</v>
      </c>
      <c r="AI57" t="s">
        <v>80</v>
      </c>
      <c r="AJ57" t="s">
        <v>81</v>
      </c>
      <c r="AK57" t="s">
        <v>176</v>
      </c>
      <c r="AL57" t="s">
        <v>177</v>
      </c>
      <c r="AM57" t="s">
        <v>261</v>
      </c>
      <c r="AN57" t="s">
        <v>1433</v>
      </c>
      <c r="AO57" t="s">
        <v>1434</v>
      </c>
      <c r="AP57" t="s">
        <v>1435</v>
      </c>
      <c r="AQ57">
        <v>39</v>
      </c>
      <c r="AR57" t="s">
        <v>89</v>
      </c>
      <c r="AS57">
        <v>1440</v>
      </c>
      <c r="AT57">
        <v>1</v>
      </c>
      <c r="AU57">
        <v>190</v>
      </c>
      <c r="AV57">
        <v>1</v>
      </c>
      <c r="AW57" t="s">
        <v>182</v>
      </c>
      <c r="AX57" t="s">
        <v>1148</v>
      </c>
      <c r="AY57" t="s">
        <v>265</v>
      </c>
      <c r="AZ57" t="s">
        <v>185</v>
      </c>
      <c r="BA57" t="s">
        <v>186</v>
      </c>
      <c r="BB57" t="s">
        <v>600</v>
      </c>
      <c r="BC57" t="s">
        <v>1436</v>
      </c>
      <c r="BD57" t="s">
        <v>364</v>
      </c>
      <c r="BE57">
        <v>41158</v>
      </c>
      <c r="BF57" t="s">
        <v>1437</v>
      </c>
      <c r="BG57">
        <v>54</v>
      </c>
      <c r="BH57" t="s">
        <v>89</v>
      </c>
      <c r="BI57">
        <v>1</v>
      </c>
      <c r="BJ57">
        <v>13</v>
      </c>
      <c r="BK57">
        <v>0</v>
      </c>
      <c r="BL57">
        <v>0</v>
      </c>
      <c r="BM57">
        <v>15</v>
      </c>
      <c r="BN57">
        <v>10</v>
      </c>
      <c r="BO57">
        <v>31</v>
      </c>
      <c r="BP57">
        <v>0</v>
      </c>
      <c r="BQ57">
        <v>20</v>
      </c>
      <c r="BR57">
        <f t="shared" si="17"/>
        <v>14</v>
      </c>
      <c r="BS57">
        <f t="shared" si="18"/>
        <v>1</v>
      </c>
      <c r="BT57">
        <f t="shared" si="19"/>
        <v>1</v>
      </c>
      <c r="BU57">
        <f t="shared" si="20"/>
        <v>16</v>
      </c>
      <c r="BV57">
        <f t="shared" si="21"/>
        <v>11</v>
      </c>
      <c r="BW57">
        <f t="shared" si="22"/>
        <v>32</v>
      </c>
      <c r="BX57">
        <f t="shared" si="23"/>
        <v>1</v>
      </c>
      <c r="BY57">
        <f t="shared" si="24"/>
        <v>21</v>
      </c>
      <c r="BZ57">
        <f t="shared" si="25"/>
        <v>5.9893024812732794</v>
      </c>
      <c r="CA57">
        <v>5.9893024812732794</v>
      </c>
      <c r="CB57">
        <v>5.9893024812732794</v>
      </c>
      <c r="CC57">
        <v>5.9893024812732794</v>
      </c>
      <c r="CD57">
        <v>5.9893024812732794</v>
      </c>
      <c r="CE57">
        <v>5.9893024812732794</v>
      </c>
      <c r="CF57">
        <v>5.9893024812732794</v>
      </c>
      <c r="CG57">
        <v>5.9893024812732794</v>
      </c>
      <c r="CH57">
        <f t="shared" si="26"/>
        <v>0.36875178860996144</v>
      </c>
      <c r="CI57">
        <f t="shared" si="27"/>
        <v>-0.77737624706827668</v>
      </c>
      <c r="CJ57">
        <f t="shared" si="28"/>
        <v>-0.77737624706827668</v>
      </c>
      <c r="CK57">
        <f t="shared" si="29"/>
        <v>0.42674373558764817</v>
      </c>
      <c r="CL57">
        <f t="shared" si="30"/>
        <v>0.2640164380899484</v>
      </c>
      <c r="CM57">
        <f t="shared" si="31"/>
        <v>0.72777373125162936</v>
      </c>
      <c r="CN57">
        <f t="shared" si="32"/>
        <v>-0.77737624706827668</v>
      </c>
      <c r="CO57">
        <f t="shared" si="33"/>
        <v>0.54484304766564262</v>
      </c>
      <c r="CP57">
        <v>57</v>
      </c>
      <c r="CQ57">
        <v>-0.36789417518857798</v>
      </c>
      <c r="CR57">
        <v>-2.8101924918208301</v>
      </c>
      <c r="CS57">
        <v>-1.90638622950665</v>
      </c>
      <c r="CT57">
        <v>0.80864939392581803</v>
      </c>
      <c r="CU57">
        <v>0.56712508756715296</v>
      </c>
      <c r="CV57">
        <v>3.6984836725600503E-2</v>
      </c>
      <c r="CW57">
        <v>-2.83505630539632</v>
      </c>
      <c r="CX57">
        <v>0.82138745744396702</v>
      </c>
    </row>
    <row r="58" spans="1:102" x14ac:dyDescent="0.35">
      <c r="A58" t="s">
        <v>1151</v>
      </c>
      <c r="B58" t="s">
        <v>78</v>
      </c>
      <c r="C58" t="s">
        <v>1152</v>
      </c>
      <c r="D58" t="s">
        <v>80</v>
      </c>
      <c r="E58" t="s">
        <v>80</v>
      </c>
      <c r="F58" t="s">
        <v>81</v>
      </c>
      <c r="G58" t="s">
        <v>82</v>
      </c>
      <c r="H58" t="s">
        <v>509</v>
      </c>
      <c r="I58" t="s">
        <v>298</v>
      </c>
      <c r="J58" t="s">
        <v>394</v>
      </c>
      <c r="K58" t="s">
        <v>1153</v>
      </c>
      <c r="L58" t="s">
        <v>1154</v>
      </c>
      <c r="M58" t="s">
        <v>1155</v>
      </c>
      <c r="N58">
        <v>51</v>
      </c>
      <c r="O58" t="s">
        <v>89</v>
      </c>
      <c r="P58">
        <v>1377</v>
      </c>
      <c r="Q58">
        <v>0.97570000000000001</v>
      </c>
      <c r="R58">
        <v>238</v>
      </c>
      <c r="S58">
        <v>0.94340000000000002</v>
      </c>
      <c r="T58" t="s">
        <v>1156</v>
      </c>
      <c r="U58" t="s">
        <v>1157</v>
      </c>
      <c r="V58" t="s">
        <v>1158</v>
      </c>
      <c r="W58" t="s">
        <v>1159</v>
      </c>
      <c r="X58" t="s">
        <v>473</v>
      </c>
      <c r="Y58" t="s">
        <v>1160</v>
      </c>
      <c r="Z58" t="s">
        <v>1161</v>
      </c>
      <c r="AA58" t="s">
        <v>591</v>
      </c>
      <c r="AB58">
        <v>1992</v>
      </c>
      <c r="AC58">
        <v>7</v>
      </c>
      <c r="AD58" t="s">
        <v>1162</v>
      </c>
      <c r="AE58">
        <v>59</v>
      </c>
      <c r="AF58" t="s">
        <v>99</v>
      </c>
      <c r="AG58" t="s">
        <v>1163</v>
      </c>
      <c r="AH58" t="s">
        <v>80</v>
      </c>
      <c r="AI58" t="s">
        <v>80</v>
      </c>
      <c r="AJ58" t="s">
        <v>81</v>
      </c>
      <c r="AK58" t="s">
        <v>176</v>
      </c>
      <c r="AL58" t="s">
        <v>477</v>
      </c>
      <c r="AM58" t="s">
        <v>178</v>
      </c>
      <c r="AN58" t="s">
        <v>1164</v>
      </c>
      <c r="AO58" t="s">
        <v>1165</v>
      </c>
      <c r="AP58" t="s">
        <v>1166</v>
      </c>
      <c r="AQ58">
        <v>42</v>
      </c>
      <c r="AR58" t="s">
        <v>89</v>
      </c>
      <c r="AS58">
        <v>1323</v>
      </c>
      <c r="AT58">
        <v>0.97130000000000005</v>
      </c>
      <c r="AU58">
        <v>172</v>
      </c>
      <c r="AV58">
        <v>0.94740000000000002</v>
      </c>
      <c r="AW58" t="s">
        <v>1167</v>
      </c>
      <c r="AX58" t="s">
        <v>1168</v>
      </c>
      <c r="AY58" t="s">
        <v>483</v>
      </c>
      <c r="AZ58" t="s">
        <v>185</v>
      </c>
      <c r="BA58" t="s">
        <v>1169</v>
      </c>
      <c r="BB58" t="s">
        <v>1170</v>
      </c>
      <c r="BC58" t="s">
        <v>1171</v>
      </c>
      <c r="BD58" t="s">
        <v>189</v>
      </c>
      <c r="BE58">
        <v>17082</v>
      </c>
      <c r="BF58" t="s">
        <v>1172</v>
      </c>
      <c r="BG58">
        <v>26</v>
      </c>
      <c r="BH58" t="s">
        <v>89</v>
      </c>
      <c r="BI58">
        <v>1</v>
      </c>
      <c r="BJ58">
        <v>6</v>
      </c>
      <c r="BK58">
        <v>0</v>
      </c>
      <c r="BL58">
        <v>0</v>
      </c>
      <c r="BM58">
        <v>8</v>
      </c>
      <c r="BN58">
        <v>9</v>
      </c>
      <c r="BO58">
        <v>14</v>
      </c>
      <c r="BP58">
        <v>0</v>
      </c>
      <c r="BQ58">
        <v>8</v>
      </c>
      <c r="BR58">
        <f t="shared" si="17"/>
        <v>7</v>
      </c>
      <c r="BS58">
        <f t="shared" si="18"/>
        <v>1</v>
      </c>
      <c r="BT58">
        <f t="shared" si="19"/>
        <v>1</v>
      </c>
      <c r="BU58">
        <f t="shared" si="20"/>
        <v>9</v>
      </c>
      <c r="BV58">
        <f t="shared" si="21"/>
        <v>10</v>
      </c>
      <c r="BW58">
        <f t="shared" si="22"/>
        <v>15</v>
      </c>
      <c r="BX58">
        <f t="shared" si="23"/>
        <v>1</v>
      </c>
      <c r="BY58">
        <f t="shared" si="24"/>
        <v>9</v>
      </c>
      <c r="BZ58">
        <f t="shared" si="25"/>
        <v>4.1324660062566334</v>
      </c>
      <c r="CA58">
        <v>4.1324660062566334</v>
      </c>
      <c r="CB58">
        <v>4.1324660062566334</v>
      </c>
      <c r="CC58">
        <v>4.1324660062566334</v>
      </c>
      <c r="CD58">
        <v>4.1324660062566334</v>
      </c>
      <c r="CE58">
        <v>4.1324660062566334</v>
      </c>
      <c r="CF58">
        <v>4.1324660062566334</v>
      </c>
      <c r="CG58">
        <v>4.1324660062566334</v>
      </c>
      <c r="CH58">
        <f t="shared" si="26"/>
        <v>0.22888875027068337</v>
      </c>
      <c r="CI58">
        <f t="shared" si="27"/>
        <v>-0.61620928974357347</v>
      </c>
      <c r="CJ58">
        <f t="shared" si="28"/>
        <v>-0.61620928974357347</v>
      </c>
      <c r="CK58">
        <f t="shared" si="29"/>
        <v>0.33803321969575134</v>
      </c>
      <c r="CL58">
        <f t="shared" si="30"/>
        <v>0.38379071025642653</v>
      </c>
      <c r="CM58">
        <f t="shared" si="31"/>
        <v>0.55988196931210776</v>
      </c>
      <c r="CN58">
        <f t="shared" si="32"/>
        <v>-0.61620928974357347</v>
      </c>
      <c r="CO58">
        <f t="shared" si="33"/>
        <v>0.33803321969575134</v>
      </c>
      <c r="CP58">
        <v>59</v>
      </c>
      <c r="CQ58">
        <v>-0.56639614366692204</v>
      </c>
      <c r="CR58">
        <v>-2.8101924918208301</v>
      </c>
      <c r="CS58">
        <v>-1.90638622950665</v>
      </c>
      <c r="CT58">
        <v>0.60990361168879104</v>
      </c>
      <c r="CU58">
        <v>0.86839732634787803</v>
      </c>
      <c r="CV58">
        <v>-0.29688310165252302</v>
      </c>
      <c r="CW58">
        <v>-2.83505630539632</v>
      </c>
      <c r="CX58">
        <v>0.41865718556907</v>
      </c>
    </row>
    <row r="59" spans="1:102" x14ac:dyDescent="0.35">
      <c r="A59" t="s">
        <v>1298</v>
      </c>
      <c r="B59" t="s">
        <v>78</v>
      </c>
      <c r="C59" t="s">
        <v>1299</v>
      </c>
      <c r="D59" t="s">
        <v>80</v>
      </c>
      <c r="E59" t="s">
        <v>80</v>
      </c>
      <c r="F59" t="s">
        <v>81</v>
      </c>
      <c r="G59" t="s">
        <v>82</v>
      </c>
      <c r="H59" t="s">
        <v>555</v>
      </c>
      <c r="I59" t="s">
        <v>1300</v>
      </c>
      <c r="J59" t="s">
        <v>162</v>
      </c>
      <c r="K59" t="s">
        <v>1301</v>
      </c>
      <c r="L59" t="s">
        <v>1302</v>
      </c>
      <c r="M59" t="s">
        <v>1303</v>
      </c>
      <c r="N59">
        <v>54</v>
      </c>
      <c r="O59" t="s">
        <v>89</v>
      </c>
      <c r="P59">
        <v>1440</v>
      </c>
      <c r="Q59">
        <v>1</v>
      </c>
      <c r="R59">
        <v>301</v>
      </c>
      <c r="S59">
        <v>0.9839</v>
      </c>
      <c r="T59" t="s">
        <v>559</v>
      </c>
      <c r="U59" t="s">
        <v>560</v>
      </c>
      <c r="V59" t="s">
        <v>561</v>
      </c>
      <c r="W59" t="s">
        <v>231</v>
      </c>
      <c r="X59" t="s">
        <v>562</v>
      </c>
      <c r="Y59" t="s">
        <v>563</v>
      </c>
      <c r="Z59" t="s">
        <v>1304</v>
      </c>
      <c r="AA59" t="s">
        <v>173</v>
      </c>
      <c r="AB59">
        <v>10008</v>
      </c>
      <c r="AC59">
        <v>17</v>
      </c>
      <c r="AD59" t="s">
        <v>1305</v>
      </c>
      <c r="AE59">
        <v>60</v>
      </c>
      <c r="AF59" t="s">
        <v>99</v>
      </c>
      <c r="AG59" t="s">
        <v>1306</v>
      </c>
      <c r="AH59" t="s">
        <v>80</v>
      </c>
      <c r="AI59" t="s">
        <v>80</v>
      </c>
      <c r="AJ59" t="s">
        <v>81</v>
      </c>
      <c r="AK59" t="s">
        <v>101</v>
      </c>
      <c r="AL59" t="s">
        <v>1307</v>
      </c>
      <c r="AM59" t="s">
        <v>146</v>
      </c>
      <c r="AN59" t="s">
        <v>1308</v>
      </c>
      <c r="AO59" t="s">
        <v>1309</v>
      </c>
      <c r="AP59" t="s">
        <v>1310</v>
      </c>
      <c r="AQ59">
        <v>36</v>
      </c>
      <c r="AR59" t="s">
        <v>89</v>
      </c>
      <c r="AS59">
        <v>1395</v>
      </c>
      <c r="AT59">
        <v>1</v>
      </c>
      <c r="AU59">
        <v>181</v>
      </c>
      <c r="AV59">
        <v>0.97370000000000001</v>
      </c>
      <c r="AW59" t="s">
        <v>709</v>
      </c>
      <c r="AX59" t="s">
        <v>503</v>
      </c>
      <c r="AY59" t="s">
        <v>1311</v>
      </c>
      <c r="AZ59" t="s">
        <v>153</v>
      </c>
      <c r="BA59" t="s">
        <v>711</v>
      </c>
      <c r="BB59" t="s">
        <v>336</v>
      </c>
      <c r="BC59" t="s">
        <v>1312</v>
      </c>
      <c r="BD59" t="s">
        <v>114</v>
      </c>
      <c r="BE59">
        <v>24736</v>
      </c>
      <c r="BF59" t="s">
        <v>713</v>
      </c>
      <c r="BG59">
        <v>21</v>
      </c>
      <c r="BH59" t="s">
        <v>89</v>
      </c>
      <c r="BI59">
        <v>1</v>
      </c>
      <c r="BJ59">
        <v>901</v>
      </c>
      <c r="BK59">
        <v>0</v>
      </c>
      <c r="BL59">
        <v>0</v>
      </c>
      <c r="BM59">
        <v>0</v>
      </c>
      <c r="BN59">
        <v>5</v>
      </c>
      <c r="BO59">
        <v>14</v>
      </c>
      <c r="BP59">
        <v>4</v>
      </c>
      <c r="BQ59">
        <v>0</v>
      </c>
      <c r="BR59">
        <f t="shared" si="17"/>
        <v>902</v>
      </c>
      <c r="BS59">
        <f t="shared" si="18"/>
        <v>1</v>
      </c>
      <c r="BT59">
        <f t="shared" si="19"/>
        <v>1</v>
      </c>
      <c r="BU59">
        <f t="shared" si="20"/>
        <v>1</v>
      </c>
      <c r="BV59">
        <f t="shared" si="21"/>
        <v>6</v>
      </c>
      <c r="BW59">
        <f t="shared" si="22"/>
        <v>15</v>
      </c>
      <c r="BX59">
        <f t="shared" si="23"/>
        <v>5</v>
      </c>
      <c r="BY59">
        <f t="shared" si="24"/>
        <v>1</v>
      </c>
      <c r="BZ59">
        <f t="shared" si="25"/>
        <v>5.0240318205466501</v>
      </c>
      <c r="CA59">
        <v>5.0240318205466501</v>
      </c>
      <c r="CB59">
        <v>5.0240318205466501</v>
      </c>
      <c r="CC59">
        <v>5.0240318205466501</v>
      </c>
      <c r="CD59">
        <v>5.0240318205466501</v>
      </c>
      <c r="CE59">
        <v>5.0240318205466501</v>
      </c>
      <c r="CF59">
        <v>5.0240318205466501</v>
      </c>
      <c r="CG59">
        <v>5.0240318205466501</v>
      </c>
      <c r="CH59">
        <f t="shared" si="26"/>
        <v>2.2541541561272811</v>
      </c>
      <c r="CI59">
        <f t="shared" si="27"/>
        <v>-0.70105238141466064</v>
      </c>
      <c r="CJ59">
        <f t="shared" si="28"/>
        <v>-0.70105238141466064</v>
      </c>
      <c r="CK59">
        <f t="shared" si="29"/>
        <v>-0.70105238141466064</v>
      </c>
      <c r="CL59">
        <f t="shared" si="30"/>
        <v>7.7098868968982964E-2</v>
      </c>
      <c r="CM59">
        <f t="shared" si="31"/>
        <v>0.4750388776410206</v>
      </c>
      <c r="CN59">
        <f t="shared" si="32"/>
        <v>-2.0823770786418637E-3</v>
      </c>
      <c r="CO59">
        <f t="shared" si="33"/>
        <v>-0.70105238141466064</v>
      </c>
      <c r="CP59">
        <v>60</v>
      </c>
      <c r="CQ59">
        <v>2.3079813511106</v>
      </c>
      <c r="CR59">
        <v>-2.8101924918208301</v>
      </c>
      <c r="CS59">
        <v>-1.90638622950665</v>
      </c>
      <c r="CT59">
        <v>-2.7279301294217002</v>
      </c>
      <c r="CU59">
        <v>9.6965064901744502E-2</v>
      </c>
      <c r="CV59">
        <v>-0.46560125538811797</v>
      </c>
      <c r="CW59">
        <v>1.16314255920103</v>
      </c>
      <c r="CX59">
        <v>-3.48945987673619</v>
      </c>
    </row>
    <row r="60" spans="1:102" x14ac:dyDescent="0.35">
      <c r="A60" t="s">
        <v>1313</v>
      </c>
      <c r="B60" t="s">
        <v>99</v>
      </c>
      <c r="C60" t="s">
        <v>1314</v>
      </c>
      <c r="D60" t="s">
        <v>80</v>
      </c>
      <c r="E60" t="s">
        <v>80</v>
      </c>
      <c r="F60" t="s">
        <v>81</v>
      </c>
      <c r="G60" t="s">
        <v>82</v>
      </c>
      <c r="H60" t="s">
        <v>555</v>
      </c>
      <c r="I60" t="s">
        <v>224</v>
      </c>
      <c r="J60" t="s">
        <v>85</v>
      </c>
      <c r="K60" t="s">
        <v>1315</v>
      </c>
      <c r="L60" t="s">
        <v>1316</v>
      </c>
      <c r="M60" t="s">
        <v>1317</v>
      </c>
      <c r="N60">
        <v>57</v>
      </c>
      <c r="O60" t="s">
        <v>89</v>
      </c>
      <c r="P60">
        <v>1350</v>
      </c>
      <c r="Q60">
        <v>0.96530000000000005</v>
      </c>
      <c r="R60">
        <v>204</v>
      </c>
      <c r="S60">
        <v>0.91669999999999996</v>
      </c>
      <c r="T60" t="s">
        <v>1318</v>
      </c>
      <c r="U60" t="s">
        <v>560</v>
      </c>
      <c r="V60" t="s">
        <v>1319</v>
      </c>
      <c r="W60" t="s">
        <v>1320</v>
      </c>
      <c r="X60" t="s">
        <v>1321</v>
      </c>
      <c r="Y60" t="s">
        <v>1322</v>
      </c>
      <c r="Z60" t="s">
        <v>1323</v>
      </c>
      <c r="AA60" t="s">
        <v>97</v>
      </c>
      <c r="AB60">
        <v>554</v>
      </c>
      <c r="AC60">
        <v>1</v>
      </c>
      <c r="AD60" t="s">
        <v>1324</v>
      </c>
      <c r="AE60">
        <v>61</v>
      </c>
      <c r="AF60" t="s">
        <v>78</v>
      </c>
      <c r="AG60" t="s">
        <v>1325</v>
      </c>
      <c r="AH60" t="s">
        <v>80</v>
      </c>
      <c r="AI60" t="s">
        <v>80</v>
      </c>
      <c r="AJ60" t="s">
        <v>81</v>
      </c>
      <c r="AK60" t="s">
        <v>176</v>
      </c>
      <c r="AL60" t="s">
        <v>1326</v>
      </c>
      <c r="AM60" t="s">
        <v>178</v>
      </c>
      <c r="AN60" t="s">
        <v>1327</v>
      </c>
      <c r="AO60" t="s">
        <v>1328</v>
      </c>
      <c r="AP60" t="s">
        <v>1329</v>
      </c>
      <c r="AQ60">
        <v>39</v>
      </c>
      <c r="AR60" t="s">
        <v>89</v>
      </c>
      <c r="AS60">
        <v>1308</v>
      </c>
      <c r="AT60">
        <v>0.95440000000000003</v>
      </c>
      <c r="AU60">
        <v>185</v>
      </c>
      <c r="AV60">
        <v>1</v>
      </c>
      <c r="AW60" t="s">
        <v>1330</v>
      </c>
      <c r="AX60" t="s">
        <v>1331</v>
      </c>
      <c r="AY60" t="s">
        <v>1332</v>
      </c>
      <c r="AZ60" t="s">
        <v>185</v>
      </c>
      <c r="BA60" t="s">
        <v>1333</v>
      </c>
      <c r="BB60" t="s">
        <v>1334</v>
      </c>
      <c r="BC60" t="s">
        <v>1335</v>
      </c>
      <c r="BD60" t="s">
        <v>364</v>
      </c>
      <c r="BE60">
        <v>5840</v>
      </c>
      <c r="BF60" t="s">
        <v>1336</v>
      </c>
      <c r="BG60">
        <v>3</v>
      </c>
      <c r="BH60" t="s">
        <v>89</v>
      </c>
      <c r="BI60">
        <v>1</v>
      </c>
      <c r="BJ60">
        <v>2714</v>
      </c>
      <c r="BK60">
        <v>8</v>
      </c>
      <c r="BL60">
        <v>21</v>
      </c>
      <c r="BM60">
        <v>12</v>
      </c>
      <c r="BN60">
        <v>12</v>
      </c>
      <c r="BO60">
        <v>26</v>
      </c>
      <c r="BP60">
        <v>9</v>
      </c>
      <c r="BQ60">
        <v>4</v>
      </c>
      <c r="BR60">
        <f t="shared" si="17"/>
        <v>2715</v>
      </c>
      <c r="BS60">
        <f t="shared" si="18"/>
        <v>9</v>
      </c>
      <c r="BT60">
        <f t="shared" si="19"/>
        <v>22</v>
      </c>
      <c r="BU60">
        <f t="shared" si="20"/>
        <v>13</v>
      </c>
      <c r="BV60">
        <f t="shared" si="21"/>
        <v>13</v>
      </c>
      <c r="BW60">
        <f t="shared" si="22"/>
        <v>27</v>
      </c>
      <c r="BX60">
        <f t="shared" si="23"/>
        <v>10</v>
      </c>
      <c r="BY60">
        <f t="shared" si="24"/>
        <v>5</v>
      </c>
      <c r="BZ60">
        <f t="shared" si="25"/>
        <v>24.326629296971902</v>
      </c>
      <c r="CA60">
        <v>24.326629296971902</v>
      </c>
      <c r="CB60">
        <v>24.326629296971902</v>
      </c>
      <c r="CC60">
        <v>24.326629296971902</v>
      </c>
      <c r="CD60">
        <v>24.326629296971902</v>
      </c>
      <c r="CE60">
        <v>24.326629296971902</v>
      </c>
      <c r="CF60">
        <v>24.326629296971902</v>
      </c>
      <c r="CG60">
        <v>24.326629296971902</v>
      </c>
      <c r="CH60">
        <f t="shared" si="26"/>
        <v>2.047687896762981</v>
      </c>
      <c r="CI60">
        <f t="shared" si="27"/>
        <v>-0.43183942772255973</v>
      </c>
      <c r="CJ60">
        <f t="shared" si="28"/>
        <v>-4.3659256339678362E-2</v>
      </c>
      <c r="CK60">
        <f t="shared" si="29"/>
        <v>-0.27213858485504777</v>
      </c>
      <c r="CL60">
        <f t="shared" si="30"/>
        <v>-0.27213858485504777</v>
      </c>
      <c r="CM60">
        <f t="shared" si="31"/>
        <v>4.5281826997102766E-2</v>
      </c>
      <c r="CN60">
        <f t="shared" si="32"/>
        <v>-0.3860819371618846</v>
      </c>
      <c r="CO60">
        <f t="shared" si="33"/>
        <v>-0.6871119328258658</v>
      </c>
      <c r="CP60">
        <v>61</v>
      </c>
      <c r="CQ60">
        <v>2.0149521176918701</v>
      </c>
      <c r="CR60">
        <v>0.58631644530696103</v>
      </c>
      <c r="CS60">
        <v>0.42052365737737801</v>
      </c>
      <c r="CT60">
        <v>-0.75711664938381895</v>
      </c>
      <c r="CU60">
        <v>-0.78148360088019697</v>
      </c>
      <c r="CV60">
        <v>-1.32021198103905</v>
      </c>
      <c r="CW60">
        <v>0.38682957540827301</v>
      </c>
      <c r="CX60">
        <v>-1.5776550305330099</v>
      </c>
    </row>
    <row r="61" spans="1:102" x14ac:dyDescent="0.35">
      <c r="A61" t="s">
        <v>1002</v>
      </c>
      <c r="B61" t="s">
        <v>78</v>
      </c>
      <c r="C61" t="s">
        <v>1003</v>
      </c>
      <c r="D61" t="s">
        <v>80</v>
      </c>
      <c r="E61" t="s">
        <v>80</v>
      </c>
      <c r="F61" t="s">
        <v>81</v>
      </c>
      <c r="G61" t="s">
        <v>82</v>
      </c>
      <c r="H61" t="s">
        <v>368</v>
      </c>
      <c r="I61" t="s">
        <v>369</v>
      </c>
      <c r="J61" t="s">
        <v>85</v>
      </c>
      <c r="K61" t="s">
        <v>1004</v>
      </c>
      <c r="L61" t="s">
        <v>1005</v>
      </c>
      <c r="M61" t="s">
        <v>1006</v>
      </c>
      <c r="N61">
        <v>57</v>
      </c>
      <c r="O61" t="s">
        <v>89</v>
      </c>
      <c r="P61">
        <v>1440</v>
      </c>
      <c r="Q61">
        <v>1</v>
      </c>
      <c r="R61">
        <v>240</v>
      </c>
      <c r="S61">
        <v>1</v>
      </c>
      <c r="T61" t="s">
        <v>373</v>
      </c>
      <c r="U61" t="s">
        <v>374</v>
      </c>
      <c r="V61" t="s">
        <v>1007</v>
      </c>
      <c r="W61" t="s">
        <v>93</v>
      </c>
      <c r="X61" t="s">
        <v>1008</v>
      </c>
      <c r="Y61" t="s">
        <v>377</v>
      </c>
      <c r="Z61" t="s">
        <v>1009</v>
      </c>
      <c r="AA61" t="s">
        <v>173</v>
      </c>
      <c r="AB61">
        <v>16116</v>
      </c>
      <c r="AC61">
        <v>26</v>
      </c>
      <c r="AD61" t="s">
        <v>1010</v>
      </c>
      <c r="AE61">
        <v>62</v>
      </c>
      <c r="AF61" t="s">
        <v>99</v>
      </c>
      <c r="AG61" t="s">
        <v>1011</v>
      </c>
      <c r="AH61" t="s">
        <v>80</v>
      </c>
      <c r="AI61" t="s">
        <v>80</v>
      </c>
      <c r="AJ61" t="s">
        <v>81</v>
      </c>
      <c r="AK61" t="s">
        <v>101</v>
      </c>
      <c r="AL61" t="s">
        <v>567</v>
      </c>
      <c r="AM61" t="s">
        <v>146</v>
      </c>
      <c r="AN61" t="s">
        <v>1012</v>
      </c>
      <c r="AO61" t="s">
        <v>1013</v>
      </c>
      <c r="AP61" t="s">
        <v>1014</v>
      </c>
      <c r="AQ61">
        <v>33</v>
      </c>
      <c r="AR61" t="s">
        <v>89</v>
      </c>
      <c r="AS61">
        <v>1395</v>
      </c>
      <c r="AT61">
        <v>1</v>
      </c>
      <c r="AU61">
        <v>181</v>
      </c>
      <c r="AV61">
        <v>0.97370000000000001</v>
      </c>
      <c r="AW61" t="s">
        <v>572</v>
      </c>
      <c r="AX61" t="s">
        <v>573</v>
      </c>
      <c r="AY61" t="s">
        <v>574</v>
      </c>
      <c r="AZ61" t="s">
        <v>153</v>
      </c>
      <c r="BA61" t="s">
        <v>576</v>
      </c>
      <c r="BB61" t="s">
        <v>577</v>
      </c>
      <c r="BC61" t="s">
        <v>1015</v>
      </c>
      <c r="BD61" t="s">
        <v>114</v>
      </c>
      <c r="BE61">
        <v>51020</v>
      </c>
      <c r="BF61" t="s">
        <v>624</v>
      </c>
      <c r="BG61">
        <v>80</v>
      </c>
      <c r="BH61" t="s">
        <v>89</v>
      </c>
      <c r="BI61">
        <v>1</v>
      </c>
      <c r="BJ61">
        <v>135</v>
      </c>
      <c r="BK61">
        <v>0</v>
      </c>
      <c r="BL61">
        <v>46</v>
      </c>
      <c r="BM61">
        <v>255</v>
      </c>
      <c r="BN61">
        <v>53</v>
      </c>
      <c r="BO61">
        <v>700</v>
      </c>
      <c r="BP61">
        <v>5</v>
      </c>
      <c r="BQ61">
        <v>200</v>
      </c>
      <c r="BR61">
        <f t="shared" si="17"/>
        <v>136</v>
      </c>
      <c r="BS61">
        <f t="shared" si="18"/>
        <v>1</v>
      </c>
      <c r="BT61">
        <f t="shared" si="19"/>
        <v>47</v>
      </c>
      <c r="BU61">
        <f t="shared" si="20"/>
        <v>256</v>
      </c>
      <c r="BV61">
        <f t="shared" si="21"/>
        <v>54</v>
      </c>
      <c r="BW61">
        <f t="shared" si="22"/>
        <v>701</v>
      </c>
      <c r="BX61">
        <f t="shared" si="23"/>
        <v>6</v>
      </c>
      <c r="BY61">
        <f t="shared" si="24"/>
        <v>201</v>
      </c>
      <c r="BZ61">
        <f t="shared" si="25"/>
        <v>54.220931848159992</v>
      </c>
      <c r="CA61">
        <v>54.220931848159992</v>
      </c>
      <c r="CB61">
        <v>54.220931848159992</v>
      </c>
      <c r="CC61">
        <v>54.220931848159992</v>
      </c>
      <c r="CD61">
        <v>54.220931848159992</v>
      </c>
      <c r="CE61">
        <v>54.220931848159992</v>
      </c>
      <c r="CF61">
        <v>54.220931848159992</v>
      </c>
      <c r="CG61">
        <v>54.220931848159992</v>
      </c>
      <c r="CH61">
        <f t="shared" si="26"/>
        <v>0.39937193121877451</v>
      </c>
      <c r="CI61">
        <f t="shared" si="27"/>
        <v>-1.734166977151443</v>
      </c>
      <c r="CJ61">
        <f t="shared" si="28"/>
        <v>-6.2069119215725513E-2</v>
      </c>
      <c r="CK61">
        <f t="shared" si="29"/>
        <v>0.67407298816040651</v>
      </c>
      <c r="CL61">
        <f t="shared" si="30"/>
        <v>-1.773217328474486E-3</v>
      </c>
      <c r="CM61">
        <f t="shared" si="31"/>
        <v>1.1115510408152156</v>
      </c>
      <c r="CN61">
        <f t="shared" si="32"/>
        <v>-0.95601572676779933</v>
      </c>
      <c r="CO61">
        <f t="shared" si="33"/>
        <v>0.56902908026904586</v>
      </c>
      <c r="CP61">
        <v>62</v>
      </c>
      <c r="CQ61">
        <v>-0.32443624194825499</v>
      </c>
      <c r="CR61">
        <v>-2.8101924918208301</v>
      </c>
      <c r="CS61">
        <v>0.37401425043035302</v>
      </c>
      <c r="CT61">
        <v>1.36276234523109</v>
      </c>
      <c r="CU61">
        <v>-0.10142453568889</v>
      </c>
      <c r="CV61">
        <v>0.80016069276583501</v>
      </c>
      <c r="CW61">
        <v>-0.76537747575961701</v>
      </c>
      <c r="CX61">
        <v>0.86848602902327199</v>
      </c>
    </row>
    <row r="62" spans="1:102" x14ac:dyDescent="0.35">
      <c r="A62" t="s">
        <v>1563</v>
      </c>
      <c r="B62" t="s">
        <v>78</v>
      </c>
      <c r="C62" t="s">
        <v>1564</v>
      </c>
      <c r="D62" t="s">
        <v>80</v>
      </c>
      <c r="E62" t="s">
        <v>80</v>
      </c>
      <c r="F62" t="s">
        <v>81</v>
      </c>
      <c r="G62" t="s">
        <v>82</v>
      </c>
      <c r="H62" t="s">
        <v>420</v>
      </c>
      <c r="I62" t="s">
        <v>1565</v>
      </c>
      <c r="J62" t="s">
        <v>85</v>
      </c>
      <c r="K62" t="s">
        <v>1566</v>
      </c>
      <c r="L62" t="s">
        <v>1567</v>
      </c>
      <c r="M62" t="s">
        <v>1568</v>
      </c>
      <c r="N62">
        <v>48</v>
      </c>
      <c r="O62" t="s">
        <v>89</v>
      </c>
      <c r="P62">
        <v>1080</v>
      </c>
      <c r="Q62">
        <v>0.86109999999999998</v>
      </c>
      <c r="R62">
        <v>159</v>
      </c>
      <c r="S62">
        <v>0.8125</v>
      </c>
      <c r="T62" t="s">
        <v>1569</v>
      </c>
      <c r="U62" t="s">
        <v>1570</v>
      </c>
      <c r="V62" t="s">
        <v>1571</v>
      </c>
      <c r="W62" t="s">
        <v>1572</v>
      </c>
      <c r="X62" t="s">
        <v>1573</v>
      </c>
      <c r="Y62" t="s">
        <v>1574</v>
      </c>
      <c r="Z62" t="s">
        <v>1575</v>
      </c>
      <c r="AA62" t="s">
        <v>890</v>
      </c>
      <c r="AB62">
        <v>24486</v>
      </c>
      <c r="AC62">
        <v>51</v>
      </c>
      <c r="AD62" t="s">
        <v>1576</v>
      </c>
      <c r="AE62">
        <v>63</v>
      </c>
      <c r="AF62" t="s">
        <v>99</v>
      </c>
      <c r="AG62" t="s">
        <v>1577</v>
      </c>
      <c r="AH62" t="s">
        <v>80</v>
      </c>
      <c r="AI62" t="s">
        <v>80</v>
      </c>
      <c r="AJ62" t="s">
        <v>81</v>
      </c>
      <c r="AK62" t="s">
        <v>101</v>
      </c>
      <c r="AL62" t="s">
        <v>145</v>
      </c>
      <c r="AM62" t="s">
        <v>1206</v>
      </c>
      <c r="AN62" t="s">
        <v>1578</v>
      </c>
      <c r="AO62" t="s">
        <v>1579</v>
      </c>
      <c r="AP62" t="s">
        <v>1580</v>
      </c>
      <c r="AQ62">
        <v>36</v>
      </c>
      <c r="AR62" t="s">
        <v>89</v>
      </c>
      <c r="AS62">
        <v>1152</v>
      </c>
      <c r="AT62">
        <v>0.9032</v>
      </c>
      <c r="AU62">
        <v>145</v>
      </c>
      <c r="AV62">
        <v>0.86839999999999995</v>
      </c>
      <c r="AW62" t="s">
        <v>1581</v>
      </c>
      <c r="AX62" t="s">
        <v>1582</v>
      </c>
      <c r="AY62" t="s">
        <v>1583</v>
      </c>
      <c r="AZ62" t="s">
        <v>1584</v>
      </c>
      <c r="BA62" t="s">
        <v>1585</v>
      </c>
      <c r="BB62" t="s">
        <v>1586</v>
      </c>
      <c r="BC62" t="s">
        <v>1587</v>
      </c>
      <c r="BD62" t="s">
        <v>114</v>
      </c>
      <c r="BE62">
        <v>50830</v>
      </c>
      <c r="BF62" t="s">
        <v>1588</v>
      </c>
      <c r="BG62">
        <v>52</v>
      </c>
      <c r="BH62" t="s">
        <v>89</v>
      </c>
      <c r="BI62">
        <v>1</v>
      </c>
      <c r="BJ62">
        <v>106</v>
      </c>
      <c r="BK62">
        <v>0</v>
      </c>
      <c r="BL62">
        <v>387</v>
      </c>
      <c r="BM62">
        <v>39</v>
      </c>
      <c r="BN62">
        <v>82</v>
      </c>
      <c r="BO62">
        <v>397</v>
      </c>
      <c r="BP62">
        <v>0</v>
      </c>
      <c r="BQ62">
        <v>38</v>
      </c>
      <c r="BR62">
        <f t="shared" si="17"/>
        <v>107</v>
      </c>
      <c r="BS62">
        <f t="shared" si="18"/>
        <v>1</v>
      </c>
      <c r="BT62">
        <f t="shared" si="19"/>
        <v>388</v>
      </c>
      <c r="BU62">
        <f t="shared" si="20"/>
        <v>40</v>
      </c>
      <c r="BV62">
        <f t="shared" si="21"/>
        <v>83</v>
      </c>
      <c r="BW62">
        <f t="shared" si="22"/>
        <v>398</v>
      </c>
      <c r="BX62">
        <f t="shared" si="23"/>
        <v>1</v>
      </c>
      <c r="BY62">
        <f t="shared" si="24"/>
        <v>39</v>
      </c>
      <c r="BZ62">
        <f t="shared" si="25"/>
        <v>34.776643092075069</v>
      </c>
      <c r="CA62">
        <v>34.776643092075069</v>
      </c>
      <c r="CB62">
        <v>34.776643092075069</v>
      </c>
      <c r="CC62">
        <v>34.776643092075069</v>
      </c>
      <c r="CD62">
        <v>34.776643092075069</v>
      </c>
      <c r="CE62">
        <v>34.776643092075069</v>
      </c>
      <c r="CF62">
        <v>34.776643092075069</v>
      </c>
      <c r="CG62">
        <v>34.776643092075069</v>
      </c>
      <c r="CH62">
        <f t="shared" si="26"/>
        <v>0.48809611942475462</v>
      </c>
      <c r="CI62">
        <f t="shared" si="27"/>
        <v>-1.5412876582604551</v>
      </c>
      <c r="CJ62">
        <f t="shared" si="28"/>
        <v>1.0475440673337522</v>
      </c>
      <c r="CK62">
        <f t="shared" si="29"/>
        <v>6.0772333067507386E-2</v>
      </c>
      <c r="CL62">
        <f t="shared" si="30"/>
        <v>0.37779043411561891</v>
      </c>
      <c r="CM62">
        <f t="shared" si="31"/>
        <v>1.0585954138132327</v>
      </c>
      <c r="CN62">
        <f t="shared" si="32"/>
        <v>-1.5412876582604551</v>
      </c>
      <c r="CO62">
        <f t="shared" si="33"/>
        <v>4.9776948766044188E-2</v>
      </c>
      <c r="CP62">
        <v>63</v>
      </c>
      <c r="CQ62">
        <v>-0.19851358061004401</v>
      </c>
      <c r="CR62">
        <v>-2.8101924918208301</v>
      </c>
      <c r="CS62">
        <v>3.17726442097673</v>
      </c>
      <c r="CT62">
        <v>-1.12677482412141E-2</v>
      </c>
      <c r="CU62">
        <v>0.85330463078358298</v>
      </c>
      <c r="CV62">
        <v>0.69485364369786595</v>
      </c>
      <c r="CW62">
        <v>-2.83505630539632</v>
      </c>
      <c r="CX62">
        <v>-0.14267748358440099</v>
      </c>
    </row>
    <row r="63" spans="1:102" x14ac:dyDescent="0.35">
      <c r="A63" t="s">
        <v>1173</v>
      </c>
      <c r="B63" t="s">
        <v>78</v>
      </c>
      <c r="C63" t="s">
        <v>1174</v>
      </c>
      <c r="D63" t="s">
        <v>80</v>
      </c>
      <c r="E63" t="s">
        <v>80</v>
      </c>
      <c r="F63" t="s">
        <v>81</v>
      </c>
      <c r="G63" t="s">
        <v>82</v>
      </c>
      <c r="H63" t="s">
        <v>815</v>
      </c>
      <c r="I63" t="s">
        <v>194</v>
      </c>
      <c r="J63" t="s">
        <v>85</v>
      </c>
      <c r="K63" t="s">
        <v>1175</v>
      </c>
      <c r="L63" t="s">
        <v>1176</v>
      </c>
      <c r="M63" t="s">
        <v>1177</v>
      </c>
      <c r="N63">
        <v>36</v>
      </c>
      <c r="O63" t="s">
        <v>89</v>
      </c>
      <c r="P63">
        <v>1344</v>
      </c>
      <c r="Q63">
        <v>0.95240000000000002</v>
      </c>
      <c r="R63">
        <v>186</v>
      </c>
      <c r="S63">
        <v>0.875</v>
      </c>
      <c r="T63" t="s">
        <v>1178</v>
      </c>
      <c r="U63" t="s">
        <v>1179</v>
      </c>
      <c r="V63" t="s">
        <v>1180</v>
      </c>
      <c r="W63" t="s">
        <v>1181</v>
      </c>
      <c r="X63" t="s">
        <v>1182</v>
      </c>
      <c r="Y63" t="s">
        <v>1183</v>
      </c>
      <c r="Z63" t="s">
        <v>1184</v>
      </c>
      <c r="AA63" t="s">
        <v>405</v>
      </c>
      <c r="AB63">
        <v>3266</v>
      </c>
      <c r="AC63">
        <v>7</v>
      </c>
      <c r="AD63" t="s">
        <v>1185</v>
      </c>
      <c r="AE63">
        <v>64</v>
      </c>
      <c r="AF63" t="s">
        <v>99</v>
      </c>
      <c r="AG63" t="s">
        <v>1186</v>
      </c>
      <c r="AH63" t="s">
        <v>80</v>
      </c>
      <c r="AI63" t="s">
        <v>80</v>
      </c>
      <c r="AJ63" t="s">
        <v>81</v>
      </c>
      <c r="AK63" t="s">
        <v>176</v>
      </c>
      <c r="AL63" t="s">
        <v>659</v>
      </c>
      <c r="AM63" t="s">
        <v>261</v>
      </c>
      <c r="AN63" t="s">
        <v>1187</v>
      </c>
      <c r="AO63" t="s">
        <v>1188</v>
      </c>
      <c r="AP63" t="s">
        <v>1189</v>
      </c>
      <c r="AQ63">
        <v>33</v>
      </c>
      <c r="AR63" t="s">
        <v>89</v>
      </c>
      <c r="AS63">
        <v>1269</v>
      </c>
      <c r="AT63">
        <v>0.94979999999999998</v>
      </c>
      <c r="AU63">
        <v>144</v>
      </c>
      <c r="AV63">
        <v>0.88890000000000002</v>
      </c>
      <c r="AW63" t="s">
        <v>1190</v>
      </c>
      <c r="AX63" t="s">
        <v>1191</v>
      </c>
      <c r="AY63" t="s">
        <v>1192</v>
      </c>
      <c r="AZ63" t="s">
        <v>1193</v>
      </c>
      <c r="BA63" t="s">
        <v>1194</v>
      </c>
      <c r="BB63" t="s">
        <v>1195</v>
      </c>
      <c r="BC63" t="s">
        <v>1196</v>
      </c>
      <c r="BD63" t="s">
        <v>189</v>
      </c>
      <c r="BE63">
        <v>23986</v>
      </c>
      <c r="BF63" t="s">
        <v>1197</v>
      </c>
      <c r="BG63">
        <v>23</v>
      </c>
      <c r="BH63" t="s">
        <v>89</v>
      </c>
      <c r="BI63">
        <v>1</v>
      </c>
      <c r="BJ63">
        <v>124</v>
      </c>
      <c r="BK63">
        <v>0</v>
      </c>
      <c r="BL63">
        <v>0</v>
      </c>
      <c r="BM63">
        <v>0</v>
      </c>
      <c r="BN63">
        <v>0</v>
      </c>
      <c r="BO63">
        <v>15</v>
      </c>
      <c r="BP63">
        <v>0</v>
      </c>
      <c r="BQ63">
        <v>9</v>
      </c>
      <c r="BR63">
        <f t="shared" si="17"/>
        <v>125</v>
      </c>
      <c r="BS63">
        <f t="shared" si="18"/>
        <v>1</v>
      </c>
      <c r="BT63">
        <f t="shared" si="19"/>
        <v>1</v>
      </c>
      <c r="BU63">
        <f t="shared" si="20"/>
        <v>1</v>
      </c>
      <c r="BV63">
        <f t="shared" si="21"/>
        <v>1</v>
      </c>
      <c r="BW63">
        <f t="shared" si="22"/>
        <v>16</v>
      </c>
      <c r="BX63">
        <f t="shared" si="23"/>
        <v>1</v>
      </c>
      <c r="BY63">
        <f t="shared" si="24"/>
        <v>10</v>
      </c>
      <c r="BZ63">
        <f t="shared" si="25"/>
        <v>3.4484882412482158</v>
      </c>
      <c r="CA63">
        <v>3.4484882412482158</v>
      </c>
      <c r="CB63">
        <v>3.4484882412482158</v>
      </c>
      <c r="CC63">
        <v>3.4484882412482158</v>
      </c>
      <c r="CD63">
        <v>3.4484882412482158</v>
      </c>
      <c r="CE63">
        <v>3.4484882412482158</v>
      </c>
      <c r="CF63">
        <v>3.4484882412482158</v>
      </c>
      <c r="CG63">
        <v>3.4484882412482158</v>
      </c>
      <c r="CH63">
        <f t="shared" si="26"/>
        <v>1.5592812635500588</v>
      </c>
      <c r="CI63">
        <f t="shared" si="27"/>
        <v>-0.53762874945799777</v>
      </c>
      <c r="CJ63">
        <f t="shared" si="28"/>
        <v>-0.53762874945799777</v>
      </c>
      <c r="CK63">
        <f t="shared" si="29"/>
        <v>-0.53762874945799777</v>
      </c>
      <c r="CL63">
        <f t="shared" si="30"/>
        <v>-0.53762874945799777</v>
      </c>
      <c r="CM63">
        <f t="shared" si="31"/>
        <v>0.66649123319792702</v>
      </c>
      <c r="CN63">
        <f t="shared" si="32"/>
        <v>-0.53762874945799777</v>
      </c>
      <c r="CO63">
        <f t="shared" si="33"/>
        <v>0.46237125054200234</v>
      </c>
      <c r="CP63">
        <v>64</v>
      </c>
      <c r="CQ63">
        <v>1.32177628466394</v>
      </c>
      <c r="CR63">
        <v>-2.8101924918208301</v>
      </c>
      <c r="CS63">
        <v>-1.90638622950665</v>
      </c>
      <c r="CT63">
        <v>-2.7279301294217002</v>
      </c>
      <c r="CU63">
        <v>-1.52396762003097</v>
      </c>
      <c r="CV63">
        <v>-8.4880947798247605E-2</v>
      </c>
      <c r="CW63">
        <v>-2.83505630539632</v>
      </c>
      <c r="CX63">
        <v>0.66078634093198696</v>
      </c>
    </row>
    <row r="64" spans="1:102" x14ac:dyDescent="0.35">
      <c r="A64" t="s">
        <v>1137</v>
      </c>
      <c r="B64" t="s">
        <v>99</v>
      </c>
      <c r="C64" t="s">
        <v>1138</v>
      </c>
      <c r="D64" t="s">
        <v>80</v>
      </c>
      <c r="E64" t="s">
        <v>80</v>
      </c>
      <c r="F64" t="s">
        <v>81</v>
      </c>
      <c r="G64" t="s">
        <v>82</v>
      </c>
      <c r="H64" t="s">
        <v>555</v>
      </c>
      <c r="I64" t="s">
        <v>224</v>
      </c>
      <c r="J64" t="s">
        <v>85</v>
      </c>
      <c r="K64" t="s">
        <v>1139</v>
      </c>
      <c r="L64" t="s">
        <v>1140</v>
      </c>
      <c r="M64" t="s">
        <v>1141</v>
      </c>
      <c r="N64">
        <v>45</v>
      </c>
      <c r="O64" t="s">
        <v>89</v>
      </c>
      <c r="P64">
        <v>1440</v>
      </c>
      <c r="Q64">
        <v>1</v>
      </c>
      <c r="R64">
        <v>204</v>
      </c>
      <c r="S64">
        <v>0.91669999999999996</v>
      </c>
      <c r="T64" t="s">
        <v>559</v>
      </c>
      <c r="U64" t="s">
        <v>560</v>
      </c>
      <c r="V64" t="s">
        <v>561</v>
      </c>
      <c r="W64" t="s">
        <v>93</v>
      </c>
      <c r="X64" t="s">
        <v>562</v>
      </c>
      <c r="Y64" t="s">
        <v>563</v>
      </c>
      <c r="Z64" t="s">
        <v>1142</v>
      </c>
      <c r="AA64" t="s">
        <v>173</v>
      </c>
      <c r="AB64">
        <v>20006</v>
      </c>
      <c r="AC64">
        <v>23</v>
      </c>
      <c r="AD64" t="s">
        <v>1143</v>
      </c>
      <c r="AE64">
        <v>65</v>
      </c>
      <c r="AF64" t="s">
        <v>78</v>
      </c>
      <c r="AG64" t="s">
        <v>1144</v>
      </c>
      <c r="AH64" t="s">
        <v>80</v>
      </c>
      <c r="AI64" t="s">
        <v>80</v>
      </c>
      <c r="AJ64" t="s">
        <v>81</v>
      </c>
      <c r="AK64" t="s">
        <v>176</v>
      </c>
      <c r="AL64" t="s">
        <v>177</v>
      </c>
      <c r="AM64" t="s">
        <v>209</v>
      </c>
      <c r="AN64" t="s">
        <v>1145</v>
      </c>
      <c r="AO64" t="s">
        <v>1146</v>
      </c>
      <c r="AP64" t="s">
        <v>1147</v>
      </c>
      <c r="AQ64">
        <v>39</v>
      </c>
      <c r="AR64" t="s">
        <v>89</v>
      </c>
      <c r="AS64">
        <v>1440</v>
      </c>
      <c r="AT64">
        <v>1</v>
      </c>
      <c r="AU64">
        <v>185</v>
      </c>
      <c r="AV64">
        <v>1</v>
      </c>
      <c r="AW64" t="s">
        <v>182</v>
      </c>
      <c r="AX64" t="s">
        <v>1148</v>
      </c>
      <c r="AY64" t="s">
        <v>265</v>
      </c>
      <c r="AZ64" t="s">
        <v>215</v>
      </c>
      <c r="BA64" t="s">
        <v>186</v>
      </c>
      <c r="BB64" t="s">
        <v>600</v>
      </c>
      <c r="BC64" t="s">
        <v>1149</v>
      </c>
      <c r="BD64" t="s">
        <v>219</v>
      </c>
      <c r="BE64">
        <v>32028</v>
      </c>
      <c r="BF64" t="s">
        <v>1150</v>
      </c>
      <c r="BG64">
        <v>32</v>
      </c>
      <c r="BH64" t="s">
        <v>89</v>
      </c>
      <c r="BI64">
        <v>1</v>
      </c>
      <c r="BJ64">
        <v>7</v>
      </c>
      <c r="BK64">
        <v>0</v>
      </c>
      <c r="BL64">
        <v>9</v>
      </c>
      <c r="BM64">
        <v>44</v>
      </c>
      <c r="BN64">
        <v>80</v>
      </c>
      <c r="BO64">
        <v>65</v>
      </c>
      <c r="BP64">
        <v>0</v>
      </c>
      <c r="BQ64">
        <v>31</v>
      </c>
      <c r="BR64">
        <f t="shared" si="17"/>
        <v>8</v>
      </c>
      <c r="BS64">
        <f t="shared" si="18"/>
        <v>1</v>
      </c>
      <c r="BT64">
        <f t="shared" si="19"/>
        <v>10</v>
      </c>
      <c r="BU64">
        <f t="shared" si="20"/>
        <v>45</v>
      </c>
      <c r="BV64">
        <f t="shared" si="21"/>
        <v>81</v>
      </c>
      <c r="BW64">
        <f t="shared" si="22"/>
        <v>66</v>
      </c>
      <c r="BX64">
        <f t="shared" si="23"/>
        <v>1</v>
      </c>
      <c r="BY64">
        <f t="shared" si="24"/>
        <v>32</v>
      </c>
      <c r="BZ64">
        <f t="shared" si="25"/>
        <v>12.55119795360533</v>
      </c>
      <c r="CA64">
        <v>12.55119795360533</v>
      </c>
      <c r="CB64">
        <v>12.55119795360533</v>
      </c>
      <c r="CC64">
        <v>12.55119795360533</v>
      </c>
      <c r="CD64">
        <v>12.55119795360533</v>
      </c>
      <c r="CE64">
        <v>12.55119795360533</v>
      </c>
      <c r="CF64">
        <v>12.55119795360533</v>
      </c>
      <c r="CG64">
        <v>12.55119795360533</v>
      </c>
      <c r="CH64">
        <f t="shared" si="26"/>
        <v>-0.19559519219652041</v>
      </c>
      <c r="CI64">
        <f t="shared" si="27"/>
        <v>-1.098685179188464</v>
      </c>
      <c r="CJ64">
        <f t="shared" si="28"/>
        <v>-9.8685179188463978E-2</v>
      </c>
      <c r="CK64">
        <f t="shared" si="29"/>
        <v>0.55452733458687975</v>
      </c>
      <c r="CL64">
        <f t="shared" si="30"/>
        <v>0.80979983969018576</v>
      </c>
      <c r="CM64">
        <f t="shared" si="31"/>
        <v>0.72085875635340468</v>
      </c>
      <c r="CN64">
        <f t="shared" si="32"/>
        <v>-1.098685179188464</v>
      </c>
      <c r="CO64">
        <f t="shared" si="33"/>
        <v>0.40646479913144196</v>
      </c>
      <c r="CP64">
        <v>65</v>
      </c>
      <c r="CQ64">
        <v>-1.1688490802518501</v>
      </c>
      <c r="CR64">
        <v>-2.8101924918208301</v>
      </c>
      <c r="CS64">
        <v>0.28150996370454001</v>
      </c>
      <c r="CT64">
        <v>1.09493395765345</v>
      </c>
      <c r="CU64">
        <v>1.93995235936153</v>
      </c>
      <c r="CV64">
        <v>2.32337843419918E-2</v>
      </c>
      <c r="CW64">
        <v>-2.83505630539632</v>
      </c>
      <c r="CX64">
        <v>0.55191714164319094</v>
      </c>
    </row>
    <row r="65" spans="1:102" x14ac:dyDescent="0.35">
      <c r="A65" t="s">
        <v>1438</v>
      </c>
      <c r="B65" t="s">
        <v>99</v>
      </c>
      <c r="C65" t="s">
        <v>1439</v>
      </c>
      <c r="D65" t="s">
        <v>80</v>
      </c>
      <c r="E65" t="s">
        <v>80</v>
      </c>
      <c r="F65" t="s">
        <v>81</v>
      </c>
      <c r="G65" t="s">
        <v>82</v>
      </c>
      <c r="H65" t="s">
        <v>341</v>
      </c>
      <c r="I65" t="s">
        <v>369</v>
      </c>
      <c r="J65" t="s">
        <v>133</v>
      </c>
      <c r="K65" t="s">
        <v>1440</v>
      </c>
      <c r="L65" t="s">
        <v>1441</v>
      </c>
      <c r="M65" t="s">
        <v>1442</v>
      </c>
      <c r="N65">
        <v>51</v>
      </c>
      <c r="O65" t="s">
        <v>89</v>
      </c>
      <c r="P65">
        <v>1257</v>
      </c>
      <c r="Q65">
        <v>0.9244</v>
      </c>
      <c r="R65">
        <v>246</v>
      </c>
      <c r="S65">
        <v>0.98040000000000005</v>
      </c>
      <c r="T65" t="s">
        <v>1443</v>
      </c>
      <c r="U65" t="s">
        <v>1444</v>
      </c>
      <c r="V65" t="s">
        <v>1445</v>
      </c>
      <c r="W65" t="s">
        <v>1446</v>
      </c>
      <c r="X65" t="s">
        <v>1447</v>
      </c>
      <c r="Y65" t="s">
        <v>1448</v>
      </c>
      <c r="Z65" t="s">
        <v>1449</v>
      </c>
      <c r="AA65" t="s">
        <v>890</v>
      </c>
      <c r="AB65">
        <v>2956</v>
      </c>
      <c r="AC65">
        <v>9</v>
      </c>
      <c r="AD65" t="s">
        <v>1450</v>
      </c>
      <c r="AE65">
        <v>66</v>
      </c>
      <c r="AF65" t="s">
        <v>78</v>
      </c>
      <c r="AG65" t="s">
        <v>1451</v>
      </c>
      <c r="AH65" t="s">
        <v>80</v>
      </c>
      <c r="AI65" t="s">
        <v>80</v>
      </c>
      <c r="AJ65" t="s">
        <v>81</v>
      </c>
      <c r="AK65" t="s">
        <v>176</v>
      </c>
      <c r="AL65" t="s">
        <v>1452</v>
      </c>
      <c r="AM65" t="s">
        <v>178</v>
      </c>
      <c r="AN65" t="s">
        <v>1453</v>
      </c>
      <c r="AO65" t="s">
        <v>1454</v>
      </c>
      <c r="AP65" t="s">
        <v>1455</v>
      </c>
      <c r="AQ65">
        <v>42</v>
      </c>
      <c r="AR65" t="s">
        <v>89</v>
      </c>
      <c r="AS65">
        <v>1233</v>
      </c>
      <c r="AT65">
        <v>0.92010000000000003</v>
      </c>
      <c r="AU65">
        <v>136</v>
      </c>
      <c r="AV65">
        <v>0.84209999999999996</v>
      </c>
      <c r="AW65" t="s">
        <v>1456</v>
      </c>
      <c r="AX65" t="s">
        <v>1457</v>
      </c>
      <c r="AY65" t="s">
        <v>1458</v>
      </c>
      <c r="AZ65" t="s">
        <v>1459</v>
      </c>
      <c r="BA65" t="s">
        <v>1460</v>
      </c>
      <c r="BB65" t="s">
        <v>1461</v>
      </c>
      <c r="BC65" t="s">
        <v>1462</v>
      </c>
      <c r="BD65" t="s">
        <v>189</v>
      </c>
      <c r="BE65">
        <v>18292</v>
      </c>
      <c r="BF65" t="s">
        <v>1463</v>
      </c>
      <c r="BG65">
        <v>63</v>
      </c>
      <c r="BH65" t="s">
        <v>89</v>
      </c>
      <c r="BI65">
        <v>1</v>
      </c>
      <c r="BJ65">
        <v>4</v>
      </c>
      <c r="BK65">
        <v>0</v>
      </c>
      <c r="BL65">
        <v>7</v>
      </c>
      <c r="BM65">
        <v>0</v>
      </c>
      <c r="BN65">
        <v>0</v>
      </c>
      <c r="BO65">
        <v>16</v>
      </c>
      <c r="BP65">
        <v>0</v>
      </c>
      <c r="BQ65">
        <v>11</v>
      </c>
      <c r="BR65">
        <f t="shared" si="17"/>
        <v>5</v>
      </c>
      <c r="BS65">
        <f t="shared" si="18"/>
        <v>1</v>
      </c>
      <c r="BT65">
        <f t="shared" si="19"/>
        <v>8</v>
      </c>
      <c r="BU65">
        <f t="shared" si="20"/>
        <v>1</v>
      </c>
      <c r="BV65">
        <f t="shared" si="21"/>
        <v>1</v>
      </c>
      <c r="BW65">
        <f t="shared" si="22"/>
        <v>17</v>
      </c>
      <c r="BX65">
        <f t="shared" si="23"/>
        <v>1</v>
      </c>
      <c r="BY65">
        <f t="shared" si="24"/>
        <v>12</v>
      </c>
      <c r="BZ65">
        <f t="shared" si="25"/>
        <v>3.0829130054132086</v>
      </c>
      <c r="CA65">
        <v>3.0829130054132086</v>
      </c>
      <c r="CB65">
        <v>3.0829130054132086</v>
      </c>
      <c r="CC65">
        <v>3.0829130054132086</v>
      </c>
      <c r="CD65">
        <v>3.0829130054132086</v>
      </c>
      <c r="CE65">
        <v>3.0829130054132086</v>
      </c>
      <c r="CF65">
        <v>3.0829130054132086</v>
      </c>
      <c r="CG65">
        <v>3.0829130054132086</v>
      </c>
      <c r="CH65">
        <f t="shared" si="26"/>
        <v>0.21000873449178617</v>
      </c>
      <c r="CI65">
        <f t="shared" si="27"/>
        <v>-0.48896126984423266</v>
      </c>
      <c r="CJ65">
        <f t="shared" si="28"/>
        <v>0.41412871714771093</v>
      </c>
      <c r="CK65">
        <f t="shared" si="29"/>
        <v>-0.48896126984423266</v>
      </c>
      <c r="CL65">
        <f t="shared" si="30"/>
        <v>-0.48896126984423266</v>
      </c>
      <c r="CM65">
        <f t="shared" si="31"/>
        <v>0.74148765153404128</v>
      </c>
      <c r="CN65">
        <f t="shared" si="32"/>
        <v>-0.48896126984423266</v>
      </c>
      <c r="CO65">
        <f t="shared" si="33"/>
        <v>0.59021997620339217</v>
      </c>
      <c r="CP65">
        <v>66</v>
      </c>
      <c r="CQ65">
        <v>-0.59319178847425202</v>
      </c>
      <c r="CR65">
        <v>-2.8101924918208301</v>
      </c>
      <c r="CS65">
        <v>1.57704759770943</v>
      </c>
      <c r="CT65">
        <v>-2.7279301294217002</v>
      </c>
      <c r="CU65">
        <v>-1.52396762003097</v>
      </c>
      <c r="CV65">
        <v>6.4256206320376499E-2</v>
      </c>
      <c r="CW65">
        <v>-2.83505630539632</v>
      </c>
      <c r="CX65">
        <v>0.90975203347135103</v>
      </c>
    </row>
    <row r="66" spans="1:102" x14ac:dyDescent="0.35">
      <c r="A66" t="s">
        <v>1278</v>
      </c>
      <c r="B66" t="s">
        <v>99</v>
      </c>
      <c r="C66" t="s">
        <v>1279</v>
      </c>
      <c r="D66" t="s">
        <v>80</v>
      </c>
      <c r="E66" t="s">
        <v>80</v>
      </c>
      <c r="F66" t="s">
        <v>81</v>
      </c>
      <c r="G66" t="s">
        <v>82</v>
      </c>
      <c r="H66" t="s">
        <v>160</v>
      </c>
      <c r="I66" t="s">
        <v>272</v>
      </c>
      <c r="J66" t="s">
        <v>133</v>
      </c>
      <c r="K66" t="s">
        <v>1280</v>
      </c>
      <c r="L66" t="s">
        <v>1281</v>
      </c>
      <c r="M66" t="s">
        <v>1282</v>
      </c>
      <c r="N66">
        <v>51</v>
      </c>
      <c r="O66" t="s">
        <v>89</v>
      </c>
      <c r="P66">
        <v>1425</v>
      </c>
      <c r="Q66">
        <v>1</v>
      </c>
      <c r="R66">
        <v>228</v>
      </c>
      <c r="S66">
        <v>0.94120000000000004</v>
      </c>
      <c r="T66" t="s">
        <v>276</v>
      </c>
      <c r="U66" t="s">
        <v>277</v>
      </c>
      <c r="V66" t="s">
        <v>1283</v>
      </c>
      <c r="W66" t="s">
        <v>93</v>
      </c>
      <c r="X66" t="s">
        <v>170</v>
      </c>
      <c r="Y66" t="s">
        <v>171</v>
      </c>
      <c r="Z66" t="s">
        <v>1284</v>
      </c>
      <c r="AA66" t="s">
        <v>173</v>
      </c>
      <c r="AB66">
        <v>45028</v>
      </c>
      <c r="AC66">
        <v>43</v>
      </c>
      <c r="AD66" t="s">
        <v>1285</v>
      </c>
      <c r="AE66">
        <v>67</v>
      </c>
      <c r="AF66" t="s">
        <v>78</v>
      </c>
      <c r="AG66" t="s">
        <v>1286</v>
      </c>
      <c r="AH66" t="s">
        <v>80</v>
      </c>
      <c r="AI66" t="s">
        <v>80</v>
      </c>
      <c r="AJ66" t="s">
        <v>81</v>
      </c>
      <c r="AK66" t="s">
        <v>176</v>
      </c>
      <c r="AL66" t="s">
        <v>1287</v>
      </c>
      <c r="AM66" t="s">
        <v>178</v>
      </c>
      <c r="AN66" t="s">
        <v>1288</v>
      </c>
      <c r="AO66" t="s">
        <v>1289</v>
      </c>
      <c r="AP66" t="s">
        <v>1290</v>
      </c>
      <c r="AQ66">
        <v>39</v>
      </c>
      <c r="AR66" t="s">
        <v>89</v>
      </c>
      <c r="AS66">
        <v>1425</v>
      </c>
      <c r="AT66">
        <v>1</v>
      </c>
      <c r="AU66">
        <v>175</v>
      </c>
      <c r="AV66">
        <v>1</v>
      </c>
      <c r="AW66" t="s">
        <v>1291</v>
      </c>
      <c r="AX66" t="s">
        <v>1292</v>
      </c>
      <c r="AY66" t="s">
        <v>1293</v>
      </c>
      <c r="AZ66" t="s">
        <v>185</v>
      </c>
      <c r="BA66" t="s">
        <v>1294</v>
      </c>
      <c r="BB66" t="s">
        <v>1295</v>
      </c>
      <c r="BC66" t="s">
        <v>1296</v>
      </c>
      <c r="BD66" t="s">
        <v>189</v>
      </c>
      <c r="BE66">
        <v>5888</v>
      </c>
      <c r="BF66" t="s">
        <v>1297</v>
      </c>
      <c r="BG66">
        <v>7</v>
      </c>
      <c r="BH66" t="s">
        <v>89</v>
      </c>
      <c r="BI66">
        <v>1</v>
      </c>
      <c r="BJ66">
        <v>43</v>
      </c>
      <c r="BK66">
        <v>0</v>
      </c>
      <c r="BL66">
        <v>0</v>
      </c>
      <c r="BM66">
        <v>5</v>
      </c>
      <c r="BN66">
        <v>10</v>
      </c>
      <c r="BO66">
        <v>26</v>
      </c>
      <c r="BP66">
        <v>0</v>
      </c>
      <c r="BQ66">
        <v>15</v>
      </c>
      <c r="BR66">
        <f t="shared" ref="BR66:BR81" si="34">BJ66+1</f>
        <v>44</v>
      </c>
      <c r="BS66">
        <f t="shared" ref="BS66:BS81" si="35">BK66+1</f>
        <v>1</v>
      </c>
      <c r="BT66">
        <f t="shared" ref="BT66:BT81" si="36">BL66+1</f>
        <v>1</v>
      </c>
      <c r="BU66">
        <f t="shared" ref="BU66:BU81" si="37">BM66+1</f>
        <v>6</v>
      </c>
      <c r="BV66">
        <f t="shared" ref="BV66:BV81" si="38">BN66+1</f>
        <v>11</v>
      </c>
      <c r="BW66">
        <f t="shared" ref="BW66:BW81" si="39">BO66+1</f>
        <v>27</v>
      </c>
      <c r="BX66">
        <f t="shared" ref="BX66:BX81" si="40">BP66+1</f>
        <v>1</v>
      </c>
      <c r="BY66">
        <f t="shared" ref="BY66:BY81" si="41">BQ66+1</f>
        <v>16</v>
      </c>
      <c r="BZ66">
        <f t="shared" ref="BZ66:BZ81" si="42">GEOMEAN(BR66:BY66)</f>
        <v>5.7850890022036392</v>
      </c>
      <c r="CA66">
        <v>5.7850890022036392</v>
      </c>
      <c r="CB66">
        <v>5.7850890022036392</v>
      </c>
      <c r="CC66">
        <v>5.7850890022036392</v>
      </c>
      <c r="CD66">
        <v>5.7850890022036392</v>
      </c>
      <c r="CE66">
        <v>5.7850890022036392</v>
      </c>
      <c r="CF66">
        <v>5.7850890022036392</v>
      </c>
      <c r="CG66">
        <v>5.7850890022036392</v>
      </c>
      <c r="CH66">
        <f t="shared" ref="CH66:CH81" si="43">LOG(BR66/BZ66)</f>
        <v>0.88114263163081641</v>
      </c>
      <c r="CI66">
        <f t="shared" ref="CI66:CI81" si="44">LOG(BS66/CA66)</f>
        <v>-0.76231004485537102</v>
      </c>
      <c r="CJ66">
        <f t="shared" ref="CJ66:CJ81" si="45">LOG(BT66/CB66)</f>
        <v>-0.76231004485537102</v>
      </c>
      <c r="CK66">
        <f t="shared" ref="CK66:CK81" si="46">LOG(BU66/CC66)</f>
        <v>1.5841205528272648E-2</v>
      </c>
      <c r="CL66">
        <f t="shared" ref="CL66:CL81" si="47">LOG(BV66/CD66)</f>
        <v>0.27908264030285401</v>
      </c>
      <c r="CM66">
        <f t="shared" ref="CM66:CM81" si="48">LOG(BW66/CE66)</f>
        <v>0.66905371930361623</v>
      </c>
      <c r="CN66">
        <f t="shared" ref="CN66:CN81" si="49">LOG(BX66/CF66)</f>
        <v>-0.76231004485537102</v>
      </c>
      <c r="CO66">
        <f t="shared" ref="CO66:CO81" si="50">LOG(BY66/CG66)</f>
        <v>0.44180993780055378</v>
      </c>
      <c r="CP66">
        <v>67</v>
      </c>
      <c r="CQ66">
        <v>0.359321479337599</v>
      </c>
      <c r="CR66">
        <v>-2.8101924918208301</v>
      </c>
      <c r="CS66">
        <v>-1.90638622950665</v>
      </c>
      <c r="CT66">
        <v>-0.111930809432954</v>
      </c>
      <c r="CU66">
        <v>0.60502161065598703</v>
      </c>
      <c r="CV66">
        <v>-7.9785212645160003E-2</v>
      </c>
      <c r="CW66">
        <v>-2.83505630539632</v>
      </c>
      <c r="CX66">
        <v>0.62074635273725798</v>
      </c>
    </row>
    <row r="67" spans="1:102" x14ac:dyDescent="0.35">
      <c r="A67" t="s">
        <v>1546</v>
      </c>
      <c r="B67" t="s">
        <v>78</v>
      </c>
      <c r="C67" t="s">
        <v>1547</v>
      </c>
      <c r="D67" t="s">
        <v>80</v>
      </c>
      <c r="E67" t="s">
        <v>80</v>
      </c>
      <c r="F67" t="s">
        <v>81</v>
      </c>
      <c r="G67" t="s">
        <v>82</v>
      </c>
      <c r="H67" t="s">
        <v>131</v>
      </c>
      <c r="I67" t="s">
        <v>468</v>
      </c>
      <c r="J67" t="s">
        <v>85</v>
      </c>
      <c r="K67" t="s">
        <v>1548</v>
      </c>
      <c r="L67" t="s">
        <v>1549</v>
      </c>
      <c r="M67" t="s">
        <v>1550</v>
      </c>
      <c r="N67">
        <v>45</v>
      </c>
      <c r="O67" t="s">
        <v>89</v>
      </c>
      <c r="P67">
        <v>1413</v>
      </c>
      <c r="Q67">
        <v>0.98960000000000004</v>
      </c>
      <c r="R67">
        <v>204</v>
      </c>
      <c r="S67">
        <v>0.91669999999999996</v>
      </c>
      <c r="T67" t="s">
        <v>1551</v>
      </c>
      <c r="U67" t="s">
        <v>138</v>
      </c>
      <c r="V67" t="s">
        <v>1552</v>
      </c>
      <c r="W67" t="s">
        <v>93</v>
      </c>
      <c r="X67" t="s">
        <v>495</v>
      </c>
      <c r="Y67" t="s">
        <v>496</v>
      </c>
      <c r="Z67" t="s">
        <v>1553</v>
      </c>
      <c r="AA67" t="s">
        <v>173</v>
      </c>
      <c r="AB67">
        <v>21474</v>
      </c>
      <c r="AC67">
        <v>27</v>
      </c>
      <c r="AD67" t="s">
        <v>1554</v>
      </c>
      <c r="AE67">
        <v>68</v>
      </c>
      <c r="AF67" t="s">
        <v>99</v>
      </c>
      <c r="AG67" t="s">
        <v>1555</v>
      </c>
      <c r="AH67" t="s">
        <v>80</v>
      </c>
      <c r="AI67" t="s">
        <v>80</v>
      </c>
      <c r="AJ67" t="s">
        <v>81</v>
      </c>
      <c r="AK67" t="s">
        <v>101</v>
      </c>
      <c r="AL67" t="s">
        <v>381</v>
      </c>
      <c r="AM67" t="s">
        <v>103</v>
      </c>
      <c r="AN67" t="s">
        <v>1556</v>
      </c>
      <c r="AO67" t="s">
        <v>1557</v>
      </c>
      <c r="AP67" t="s">
        <v>1558</v>
      </c>
      <c r="AQ67">
        <v>33</v>
      </c>
      <c r="AR67" t="s">
        <v>89</v>
      </c>
      <c r="AS67">
        <v>1365</v>
      </c>
      <c r="AT67">
        <v>0.98229999999999995</v>
      </c>
      <c r="AU67">
        <v>185</v>
      </c>
      <c r="AV67">
        <v>1</v>
      </c>
      <c r="AW67" t="s">
        <v>385</v>
      </c>
      <c r="AX67" t="s">
        <v>503</v>
      </c>
      <c r="AY67" t="s">
        <v>1559</v>
      </c>
      <c r="AZ67" t="s">
        <v>125</v>
      </c>
      <c r="BA67" t="s">
        <v>388</v>
      </c>
      <c r="BB67" t="s">
        <v>1560</v>
      </c>
      <c r="BC67" t="s">
        <v>1561</v>
      </c>
      <c r="BD67" t="s">
        <v>114</v>
      </c>
      <c r="BE67">
        <v>52358</v>
      </c>
      <c r="BF67" t="s">
        <v>1562</v>
      </c>
      <c r="BG67">
        <v>52</v>
      </c>
      <c r="BH67" t="s">
        <v>89</v>
      </c>
      <c r="BI67">
        <v>1</v>
      </c>
      <c r="BJ67">
        <v>2559</v>
      </c>
      <c r="BK67">
        <v>12</v>
      </c>
      <c r="BL67">
        <v>31</v>
      </c>
      <c r="BM67">
        <v>18</v>
      </c>
      <c r="BN67">
        <v>26</v>
      </c>
      <c r="BO67">
        <v>362</v>
      </c>
      <c r="BP67">
        <v>7</v>
      </c>
      <c r="BQ67">
        <v>221</v>
      </c>
      <c r="BR67">
        <f t="shared" si="34"/>
        <v>2560</v>
      </c>
      <c r="BS67">
        <f t="shared" si="35"/>
        <v>13</v>
      </c>
      <c r="BT67">
        <f t="shared" si="36"/>
        <v>32</v>
      </c>
      <c r="BU67">
        <f t="shared" si="37"/>
        <v>19</v>
      </c>
      <c r="BV67">
        <f t="shared" si="38"/>
        <v>27</v>
      </c>
      <c r="BW67">
        <f t="shared" si="39"/>
        <v>363</v>
      </c>
      <c r="BX67">
        <f t="shared" si="40"/>
        <v>8</v>
      </c>
      <c r="BY67">
        <f t="shared" si="41"/>
        <v>222</v>
      </c>
      <c r="BZ67">
        <f t="shared" si="42"/>
        <v>65.818810747019185</v>
      </c>
      <c r="CA67">
        <v>65.818810747019185</v>
      </c>
      <c r="CB67">
        <v>65.818810747019185</v>
      </c>
      <c r="CC67">
        <v>65.818810747019185</v>
      </c>
      <c r="CD67">
        <v>65.818810747019185</v>
      </c>
      <c r="CE67">
        <v>65.818810747019185</v>
      </c>
      <c r="CF67">
        <v>65.818810747019185</v>
      </c>
      <c r="CG67">
        <v>65.818810747019185</v>
      </c>
      <c r="CH67">
        <f t="shared" si="43"/>
        <v>1.5898899343707116</v>
      </c>
      <c r="CI67">
        <f t="shared" si="44"/>
        <v>-0.70440667863430118</v>
      </c>
      <c r="CJ67">
        <f t="shared" si="45"/>
        <v>-0.31320005262123191</v>
      </c>
      <c r="CK67">
        <f t="shared" si="46"/>
        <v>-0.53959642998830892</v>
      </c>
      <c r="CL67">
        <f t="shared" si="47"/>
        <v>-0.38698626678215059</v>
      </c>
      <c r="CM67">
        <f t="shared" si="48"/>
        <v>0.74155659409497454</v>
      </c>
      <c r="CN67">
        <f t="shared" si="49"/>
        <v>-0.91526004394919436</v>
      </c>
      <c r="CO67">
        <f t="shared" si="50"/>
        <v>0.52800294350950072</v>
      </c>
      <c r="CP67">
        <v>68</v>
      </c>
      <c r="CQ67">
        <v>1.3652179364580801</v>
      </c>
      <c r="CR67">
        <v>0.123308950875094</v>
      </c>
      <c r="CS67">
        <v>-0.26042560701907702</v>
      </c>
      <c r="CT67">
        <v>-1.3563254141171399</v>
      </c>
      <c r="CU67">
        <v>-1.0703638222090499</v>
      </c>
      <c r="CV67">
        <v>6.43933048320567E-2</v>
      </c>
      <c r="CW67">
        <v>-0.68298372059863799</v>
      </c>
      <c r="CX67">
        <v>0.78859394955423601</v>
      </c>
    </row>
    <row r="68" spans="1:102" x14ac:dyDescent="0.35">
      <c r="A68" t="s">
        <v>1254</v>
      </c>
      <c r="B68" t="s">
        <v>78</v>
      </c>
      <c r="C68" t="s">
        <v>1255</v>
      </c>
      <c r="D68" t="s">
        <v>80</v>
      </c>
      <c r="E68" t="s">
        <v>80</v>
      </c>
      <c r="F68" t="s">
        <v>81</v>
      </c>
      <c r="G68" t="s">
        <v>82</v>
      </c>
      <c r="H68" t="s">
        <v>815</v>
      </c>
      <c r="I68" t="s">
        <v>298</v>
      </c>
      <c r="J68" t="s">
        <v>85</v>
      </c>
      <c r="K68" t="s">
        <v>1256</v>
      </c>
      <c r="L68" t="s">
        <v>1257</v>
      </c>
      <c r="M68" t="s">
        <v>1258</v>
      </c>
      <c r="N68">
        <v>30</v>
      </c>
      <c r="O68" t="s">
        <v>89</v>
      </c>
      <c r="P68">
        <v>1434</v>
      </c>
      <c r="Q68">
        <v>0.98640000000000005</v>
      </c>
      <c r="R68">
        <v>159</v>
      </c>
      <c r="S68">
        <v>0.8125</v>
      </c>
      <c r="T68" t="s">
        <v>1259</v>
      </c>
      <c r="U68" t="s">
        <v>1179</v>
      </c>
      <c r="V68" t="s">
        <v>1260</v>
      </c>
      <c r="W68" t="s">
        <v>1261</v>
      </c>
      <c r="X68" t="s">
        <v>823</v>
      </c>
      <c r="Y68" t="s">
        <v>1262</v>
      </c>
      <c r="Z68" t="s">
        <v>1263</v>
      </c>
      <c r="AA68" t="s">
        <v>173</v>
      </c>
      <c r="AB68">
        <v>11144</v>
      </c>
      <c r="AC68">
        <v>18</v>
      </c>
      <c r="AD68" t="s">
        <v>1264</v>
      </c>
      <c r="AE68">
        <v>69</v>
      </c>
      <c r="AF68" t="s">
        <v>99</v>
      </c>
      <c r="AG68" t="s">
        <v>1265</v>
      </c>
      <c r="AH68" t="s">
        <v>80</v>
      </c>
      <c r="AI68" t="s">
        <v>80</v>
      </c>
      <c r="AJ68" t="s">
        <v>81</v>
      </c>
      <c r="AK68" t="s">
        <v>176</v>
      </c>
      <c r="AL68" t="s">
        <v>1266</v>
      </c>
      <c r="AM68" t="s">
        <v>209</v>
      </c>
      <c r="AN68" t="s">
        <v>1267</v>
      </c>
      <c r="AO68" t="s">
        <v>1268</v>
      </c>
      <c r="AP68" t="s">
        <v>1269</v>
      </c>
      <c r="AQ68">
        <v>45</v>
      </c>
      <c r="AR68" t="s">
        <v>89</v>
      </c>
      <c r="AS68">
        <v>1494</v>
      </c>
      <c r="AT68">
        <v>0.9869</v>
      </c>
      <c r="AU68">
        <v>163</v>
      </c>
      <c r="AV68">
        <v>0.92110000000000003</v>
      </c>
      <c r="AW68" t="s">
        <v>1270</v>
      </c>
      <c r="AX68" t="s">
        <v>1271</v>
      </c>
      <c r="AY68" t="s">
        <v>1272</v>
      </c>
      <c r="AZ68" t="s">
        <v>1273</v>
      </c>
      <c r="BA68" t="s">
        <v>1274</v>
      </c>
      <c r="BB68" t="s">
        <v>1275</v>
      </c>
      <c r="BC68" t="s">
        <v>1276</v>
      </c>
      <c r="BD68" t="s">
        <v>219</v>
      </c>
      <c r="BE68">
        <v>57046</v>
      </c>
      <c r="BF68" t="s">
        <v>1277</v>
      </c>
      <c r="BG68">
        <v>57</v>
      </c>
      <c r="BH68" t="s">
        <v>89</v>
      </c>
      <c r="BI68">
        <v>1</v>
      </c>
      <c r="BJ68">
        <v>34</v>
      </c>
      <c r="BK68">
        <v>0</v>
      </c>
      <c r="BL68">
        <v>43</v>
      </c>
      <c r="BM68">
        <v>15</v>
      </c>
      <c r="BN68">
        <v>37</v>
      </c>
      <c r="BO68">
        <v>7172</v>
      </c>
      <c r="BP68">
        <v>0</v>
      </c>
      <c r="BQ68">
        <v>20</v>
      </c>
      <c r="BR68">
        <f t="shared" si="34"/>
        <v>35</v>
      </c>
      <c r="BS68">
        <f t="shared" si="35"/>
        <v>1</v>
      </c>
      <c r="BT68">
        <f t="shared" si="36"/>
        <v>44</v>
      </c>
      <c r="BU68">
        <f t="shared" si="37"/>
        <v>16</v>
      </c>
      <c r="BV68">
        <f t="shared" si="38"/>
        <v>38</v>
      </c>
      <c r="BW68">
        <f t="shared" si="39"/>
        <v>7173</v>
      </c>
      <c r="BX68">
        <f t="shared" si="40"/>
        <v>1</v>
      </c>
      <c r="BY68">
        <f t="shared" si="41"/>
        <v>21</v>
      </c>
      <c r="BZ68">
        <f t="shared" si="42"/>
        <v>24.755291989164473</v>
      </c>
      <c r="CA68">
        <v>24.755291989164473</v>
      </c>
      <c r="CB68">
        <v>24.755291989164473</v>
      </c>
      <c r="CC68">
        <v>24.755291989164473</v>
      </c>
      <c r="CD68">
        <v>24.755291989164473</v>
      </c>
      <c r="CE68">
        <v>24.755291989164473</v>
      </c>
      <c r="CF68">
        <v>24.755291989164473</v>
      </c>
      <c r="CG68">
        <v>24.755291989164473</v>
      </c>
      <c r="CH68">
        <f t="shared" si="43"/>
        <v>0.15039999114045627</v>
      </c>
      <c r="CI68">
        <f t="shared" si="44"/>
        <v>-1.3936680532098193</v>
      </c>
      <c r="CJ68">
        <f t="shared" si="45"/>
        <v>0.24978462327636808</v>
      </c>
      <c r="CK68">
        <f t="shared" si="46"/>
        <v>-0.18954807055389458</v>
      </c>
      <c r="CL68">
        <f t="shared" si="47"/>
        <v>0.18611554340699082</v>
      </c>
      <c r="CM68">
        <f t="shared" si="48"/>
        <v>2.4620327776256179</v>
      </c>
      <c r="CN68">
        <f t="shared" si="49"/>
        <v>-1.3936680532098193</v>
      </c>
      <c r="CO68">
        <f t="shared" si="50"/>
        <v>-7.1448758475900112E-2</v>
      </c>
      <c r="CP68">
        <v>69</v>
      </c>
      <c r="CQ68">
        <v>-0.67779207339767999</v>
      </c>
      <c r="CR68">
        <v>-2.8101924918208301</v>
      </c>
      <c r="CS68">
        <v>1.16186002175267</v>
      </c>
      <c r="CT68">
        <v>-0.57208203195307505</v>
      </c>
      <c r="CU68">
        <v>0.37117835777584002</v>
      </c>
      <c r="CV68">
        <v>3.48571564839621</v>
      </c>
      <c r="CW68">
        <v>-2.83505630539632</v>
      </c>
      <c r="CX68">
        <v>-0.37874586831746399</v>
      </c>
    </row>
    <row r="69" spans="1:102" x14ac:dyDescent="0.35">
      <c r="A69" t="s">
        <v>1751</v>
      </c>
      <c r="B69" t="s">
        <v>78</v>
      </c>
      <c r="C69" t="s">
        <v>1752</v>
      </c>
      <c r="D69" t="s">
        <v>80</v>
      </c>
      <c r="E69" t="s">
        <v>80</v>
      </c>
      <c r="F69" t="s">
        <v>81</v>
      </c>
      <c r="G69" t="s">
        <v>82</v>
      </c>
      <c r="H69" t="s">
        <v>420</v>
      </c>
      <c r="I69" t="s">
        <v>342</v>
      </c>
      <c r="J69" t="s">
        <v>162</v>
      </c>
      <c r="K69" t="s">
        <v>1753</v>
      </c>
      <c r="L69" t="s">
        <v>1754</v>
      </c>
      <c r="M69" t="s">
        <v>1755</v>
      </c>
      <c r="N69">
        <v>57</v>
      </c>
      <c r="O69" t="s">
        <v>89</v>
      </c>
      <c r="P69">
        <v>1422</v>
      </c>
      <c r="Q69">
        <v>0.99309999999999998</v>
      </c>
      <c r="R69">
        <v>220</v>
      </c>
      <c r="S69">
        <v>0.8387</v>
      </c>
      <c r="T69" t="s">
        <v>424</v>
      </c>
      <c r="U69" t="s">
        <v>425</v>
      </c>
      <c r="V69" t="s">
        <v>426</v>
      </c>
      <c r="W69" t="s">
        <v>427</v>
      </c>
      <c r="X69" t="s">
        <v>1756</v>
      </c>
      <c r="Y69" t="s">
        <v>1757</v>
      </c>
      <c r="Z69" t="s">
        <v>1758</v>
      </c>
      <c r="AA69" t="s">
        <v>591</v>
      </c>
      <c r="AB69">
        <v>550</v>
      </c>
      <c r="AC69">
        <v>4</v>
      </c>
      <c r="AD69" t="s">
        <v>1759</v>
      </c>
      <c r="AE69">
        <v>70</v>
      </c>
      <c r="AF69" t="s">
        <v>99</v>
      </c>
      <c r="AG69" t="s">
        <v>1760</v>
      </c>
      <c r="AH69" t="s">
        <v>80</v>
      </c>
      <c r="AI69" t="s">
        <v>80</v>
      </c>
      <c r="AJ69" t="s">
        <v>81</v>
      </c>
      <c r="AK69" t="s">
        <v>101</v>
      </c>
      <c r="AL69" t="s">
        <v>1761</v>
      </c>
      <c r="AM69" t="s">
        <v>568</v>
      </c>
      <c r="AN69" t="s">
        <v>1762</v>
      </c>
      <c r="AO69" t="s">
        <v>1763</v>
      </c>
      <c r="AP69" t="s">
        <v>1764</v>
      </c>
      <c r="AQ69">
        <v>33</v>
      </c>
      <c r="AR69" t="s">
        <v>89</v>
      </c>
      <c r="AS69">
        <v>1395</v>
      </c>
      <c r="AT69">
        <v>1</v>
      </c>
      <c r="AU69">
        <v>162</v>
      </c>
      <c r="AV69">
        <v>0.94440000000000002</v>
      </c>
      <c r="AW69" t="s">
        <v>1765</v>
      </c>
      <c r="AX69" t="s">
        <v>1766</v>
      </c>
      <c r="AY69" t="s">
        <v>1767</v>
      </c>
      <c r="AZ69" t="s">
        <v>575</v>
      </c>
      <c r="BA69" t="s">
        <v>1768</v>
      </c>
      <c r="BB69" t="s">
        <v>112</v>
      </c>
      <c r="BC69" t="s">
        <v>1769</v>
      </c>
      <c r="BD69" t="s">
        <v>114</v>
      </c>
      <c r="BE69">
        <v>39566</v>
      </c>
      <c r="BF69" t="s">
        <v>1770</v>
      </c>
      <c r="BG69">
        <v>65</v>
      </c>
      <c r="BH69" t="s">
        <v>89</v>
      </c>
      <c r="BI69">
        <v>1</v>
      </c>
      <c r="BJ69">
        <v>12</v>
      </c>
      <c r="BK69">
        <v>0</v>
      </c>
      <c r="BL69">
        <v>6</v>
      </c>
      <c r="BM69">
        <v>4</v>
      </c>
      <c r="BN69">
        <v>17</v>
      </c>
      <c r="BO69">
        <v>10</v>
      </c>
      <c r="BP69">
        <v>4</v>
      </c>
      <c r="BQ69">
        <v>0</v>
      </c>
      <c r="BR69">
        <f t="shared" si="34"/>
        <v>13</v>
      </c>
      <c r="BS69">
        <f t="shared" si="35"/>
        <v>1</v>
      </c>
      <c r="BT69">
        <f t="shared" si="36"/>
        <v>7</v>
      </c>
      <c r="BU69">
        <f t="shared" si="37"/>
        <v>5</v>
      </c>
      <c r="BV69">
        <f t="shared" si="38"/>
        <v>18</v>
      </c>
      <c r="BW69">
        <f t="shared" si="39"/>
        <v>11</v>
      </c>
      <c r="BX69">
        <f t="shared" si="40"/>
        <v>5</v>
      </c>
      <c r="BY69">
        <f t="shared" si="41"/>
        <v>1</v>
      </c>
      <c r="BZ69">
        <f t="shared" si="42"/>
        <v>5.0898598472399446</v>
      </c>
      <c r="CA69">
        <v>5.0898598472399446</v>
      </c>
      <c r="CB69">
        <v>5.0898598472399446</v>
      </c>
      <c r="CC69">
        <v>5.0898598472399446</v>
      </c>
      <c r="CD69">
        <v>5.0898598472399446</v>
      </c>
      <c r="CE69">
        <v>5.0898598472399446</v>
      </c>
      <c r="CF69">
        <v>5.0898598472399446</v>
      </c>
      <c r="CG69">
        <v>5.0898598472399446</v>
      </c>
      <c r="CH69">
        <f t="shared" si="43"/>
        <v>0.40723752840000393</v>
      </c>
      <c r="CI69">
        <f t="shared" si="44"/>
        <v>-0.70670582390683279</v>
      </c>
      <c r="CJ69">
        <f t="shared" si="45"/>
        <v>0.13839221610742403</v>
      </c>
      <c r="CK69">
        <f t="shared" si="46"/>
        <v>-7.7358195708140363E-3</v>
      </c>
      <c r="CL69">
        <f t="shared" si="47"/>
        <v>0.54856668119647323</v>
      </c>
      <c r="CM69">
        <f t="shared" si="48"/>
        <v>0.33468686125139224</v>
      </c>
      <c r="CN69">
        <f t="shared" si="49"/>
        <v>-7.7358195708140363E-3</v>
      </c>
      <c r="CO69">
        <f t="shared" si="50"/>
        <v>-0.70670582390683279</v>
      </c>
      <c r="CP69">
        <v>70</v>
      </c>
      <c r="CQ69">
        <v>-0.31327291715372102</v>
      </c>
      <c r="CR69">
        <v>-2.8101924918208301</v>
      </c>
      <c r="CS69">
        <v>0.88044593242939995</v>
      </c>
      <c r="CT69">
        <v>-0.16475244223520399</v>
      </c>
      <c r="CU69">
        <v>1.2828638454462</v>
      </c>
      <c r="CV69">
        <v>-0.74470392140277097</v>
      </c>
      <c r="CW69">
        <v>1.15171327316526</v>
      </c>
      <c r="CX69">
        <v>-3.48945987673619</v>
      </c>
    </row>
    <row r="70" spans="1:102" x14ac:dyDescent="0.35">
      <c r="A70" t="s">
        <v>1213</v>
      </c>
      <c r="B70" t="s">
        <v>78</v>
      </c>
      <c r="C70" t="s">
        <v>1214</v>
      </c>
      <c r="D70" t="s">
        <v>80</v>
      </c>
      <c r="E70" t="s">
        <v>80</v>
      </c>
      <c r="F70" t="s">
        <v>81</v>
      </c>
      <c r="G70" t="s">
        <v>82</v>
      </c>
      <c r="H70" t="s">
        <v>983</v>
      </c>
      <c r="I70" t="s">
        <v>445</v>
      </c>
      <c r="J70" t="s">
        <v>85</v>
      </c>
      <c r="K70" t="s">
        <v>1215</v>
      </c>
      <c r="L70" t="s">
        <v>1216</v>
      </c>
      <c r="M70" t="s">
        <v>1217</v>
      </c>
      <c r="N70">
        <v>48</v>
      </c>
      <c r="O70" t="s">
        <v>89</v>
      </c>
      <c r="P70">
        <v>1215</v>
      </c>
      <c r="Q70">
        <v>0.91320000000000001</v>
      </c>
      <c r="R70">
        <v>213</v>
      </c>
      <c r="S70">
        <v>0.9375</v>
      </c>
      <c r="T70" t="s">
        <v>1218</v>
      </c>
      <c r="U70" t="s">
        <v>1219</v>
      </c>
      <c r="V70" t="s">
        <v>1220</v>
      </c>
      <c r="W70" t="s">
        <v>1221</v>
      </c>
      <c r="X70" t="s">
        <v>1222</v>
      </c>
      <c r="Y70" t="s">
        <v>1223</v>
      </c>
      <c r="Z70" t="s">
        <v>1224</v>
      </c>
      <c r="AA70" t="s">
        <v>405</v>
      </c>
      <c r="AB70">
        <v>1784</v>
      </c>
      <c r="AC70">
        <v>5</v>
      </c>
      <c r="AD70" t="s">
        <v>1225</v>
      </c>
      <c r="AE70">
        <v>71</v>
      </c>
      <c r="AF70" t="s">
        <v>99</v>
      </c>
      <c r="AG70" t="s">
        <v>1226</v>
      </c>
      <c r="AH70" t="s">
        <v>80</v>
      </c>
      <c r="AI70" t="s">
        <v>80</v>
      </c>
      <c r="AJ70" t="s">
        <v>81</v>
      </c>
      <c r="AK70" t="s">
        <v>101</v>
      </c>
      <c r="AL70" t="s">
        <v>237</v>
      </c>
      <c r="AM70" t="s">
        <v>568</v>
      </c>
      <c r="AN70" t="s">
        <v>1227</v>
      </c>
      <c r="AO70" t="s">
        <v>1228</v>
      </c>
      <c r="AP70" t="s">
        <v>1229</v>
      </c>
      <c r="AQ70">
        <v>33</v>
      </c>
      <c r="AR70" t="s">
        <v>89</v>
      </c>
      <c r="AS70">
        <v>1332</v>
      </c>
      <c r="AT70">
        <v>0.94279999999999997</v>
      </c>
      <c r="AU70">
        <v>181</v>
      </c>
      <c r="AV70">
        <v>0.97370000000000001</v>
      </c>
      <c r="AW70" t="s">
        <v>1230</v>
      </c>
      <c r="AX70" t="s">
        <v>1231</v>
      </c>
      <c r="AY70" t="s">
        <v>1232</v>
      </c>
      <c r="AZ70" t="s">
        <v>1233</v>
      </c>
      <c r="BA70" t="s">
        <v>1234</v>
      </c>
      <c r="BB70" t="s">
        <v>245</v>
      </c>
      <c r="BC70" t="s">
        <v>1235</v>
      </c>
      <c r="BD70" t="s">
        <v>114</v>
      </c>
      <c r="BE70">
        <v>38404</v>
      </c>
      <c r="BF70" t="s">
        <v>1236</v>
      </c>
      <c r="BG70">
        <v>49</v>
      </c>
      <c r="BH70" t="s">
        <v>89</v>
      </c>
      <c r="BI70">
        <v>1</v>
      </c>
      <c r="BJ70">
        <v>5</v>
      </c>
      <c r="BK70">
        <v>0</v>
      </c>
      <c r="BL70">
        <v>0</v>
      </c>
      <c r="BM70">
        <v>7</v>
      </c>
      <c r="BN70">
        <v>10</v>
      </c>
      <c r="BO70">
        <v>8</v>
      </c>
      <c r="BP70">
        <v>0</v>
      </c>
      <c r="BQ70">
        <v>9</v>
      </c>
      <c r="BR70">
        <f t="shared" si="34"/>
        <v>6</v>
      </c>
      <c r="BS70">
        <f t="shared" si="35"/>
        <v>1</v>
      </c>
      <c r="BT70">
        <f t="shared" si="36"/>
        <v>1</v>
      </c>
      <c r="BU70">
        <f t="shared" si="37"/>
        <v>8</v>
      </c>
      <c r="BV70">
        <f t="shared" si="38"/>
        <v>11</v>
      </c>
      <c r="BW70">
        <f t="shared" si="39"/>
        <v>9</v>
      </c>
      <c r="BX70">
        <f t="shared" si="40"/>
        <v>1</v>
      </c>
      <c r="BY70">
        <f t="shared" si="41"/>
        <v>10</v>
      </c>
      <c r="BZ70">
        <f t="shared" si="42"/>
        <v>3.8424617589538266</v>
      </c>
      <c r="CA70">
        <v>3.8424617589538266</v>
      </c>
      <c r="CB70">
        <v>3.8424617589538266</v>
      </c>
      <c r="CC70">
        <v>3.8424617589538266</v>
      </c>
      <c r="CD70">
        <v>3.8424617589538266</v>
      </c>
      <c r="CE70">
        <v>3.8424617589538266</v>
      </c>
      <c r="CF70">
        <v>3.8424617589538266</v>
      </c>
      <c r="CG70">
        <v>3.8424617589538266</v>
      </c>
      <c r="CH70">
        <f t="shared" si="43"/>
        <v>0.19354169638700147</v>
      </c>
      <c r="CI70">
        <f t="shared" si="44"/>
        <v>-0.58460955399664216</v>
      </c>
      <c r="CJ70">
        <f t="shared" si="45"/>
        <v>-0.58460955399664216</v>
      </c>
      <c r="CK70">
        <f t="shared" si="46"/>
        <v>0.31848043299530143</v>
      </c>
      <c r="CL70">
        <f t="shared" si="47"/>
        <v>0.45678313116158287</v>
      </c>
      <c r="CM70">
        <f t="shared" si="48"/>
        <v>0.36963295544268276</v>
      </c>
      <c r="CN70">
        <f t="shared" si="49"/>
        <v>-0.58460955399664216</v>
      </c>
      <c r="CO70">
        <f t="shared" si="50"/>
        <v>0.41539044600335784</v>
      </c>
      <c r="CP70">
        <v>71</v>
      </c>
      <c r="CQ70">
        <v>-0.61656279140412096</v>
      </c>
      <c r="CR70">
        <v>-2.8101924918208301</v>
      </c>
      <c r="CS70">
        <v>-1.90638622950665</v>
      </c>
      <c r="CT70">
        <v>0.56609782554693</v>
      </c>
      <c r="CU70">
        <v>1.05199760762996</v>
      </c>
      <c r="CV70">
        <v>-0.67521045556960602</v>
      </c>
      <c r="CW70">
        <v>-2.83505630539632</v>
      </c>
      <c r="CX70">
        <v>0.56929846354008495</v>
      </c>
    </row>
    <row r="71" spans="1:102" x14ac:dyDescent="0.35">
      <c r="A71" t="s">
        <v>1641</v>
      </c>
      <c r="B71" t="s">
        <v>78</v>
      </c>
      <c r="C71" t="s">
        <v>1642</v>
      </c>
      <c r="D71" t="s">
        <v>80</v>
      </c>
      <c r="E71" t="s">
        <v>80</v>
      </c>
      <c r="F71" t="s">
        <v>81</v>
      </c>
      <c r="G71" t="s">
        <v>82</v>
      </c>
      <c r="H71" t="s">
        <v>193</v>
      </c>
      <c r="I71" t="s">
        <v>194</v>
      </c>
      <c r="J71" t="s">
        <v>133</v>
      </c>
      <c r="K71" t="s">
        <v>1643</v>
      </c>
      <c r="L71" t="s">
        <v>1644</v>
      </c>
      <c r="M71" t="s">
        <v>1645</v>
      </c>
      <c r="N71">
        <v>51</v>
      </c>
      <c r="O71" t="s">
        <v>89</v>
      </c>
      <c r="P71">
        <v>1377</v>
      </c>
      <c r="Q71">
        <v>0.97570000000000001</v>
      </c>
      <c r="R71">
        <v>237</v>
      </c>
      <c r="S71">
        <v>0.96079999999999999</v>
      </c>
      <c r="T71" t="s">
        <v>199</v>
      </c>
      <c r="U71" t="s">
        <v>322</v>
      </c>
      <c r="V71" t="s">
        <v>1646</v>
      </c>
      <c r="W71" t="s">
        <v>1647</v>
      </c>
      <c r="X71" t="s">
        <v>1648</v>
      </c>
      <c r="Y71" t="s">
        <v>1649</v>
      </c>
      <c r="Z71" t="s">
        <v>1650</v>
      </c>
      <c r="AA71" t="s">
        <v>97</v>
      </c>
      <c r="AB71">
        <v>192</v>
      </c>
      <c r="AC71">
        <v>4</v>
      </c>
      <c r="AD71" t="s">
        <v>1651</v>
      </c>
      <c r="AE71">
        <v>72</v>
      </c>
      <c r="AF71" t="s">
        <v>99</v>
      </c>
      <c r="AG71" t="s">
        <v>1652</v>
      </c>
      <c r="AH71" t="s">
        <v>80</v>
      </c>
      <c r="AI71" t="s">
        <v>80</v>
      </c>
      <c r="AJ71" t="s">
        <v>81</v>
      </c>
      <c r="AK71" t="s">
        <v>176</v>
      </c>
      <c r="AL71" t="s">
        <v>1452</v>
      </c>
      <c r="AM71" t="s">
        <v>178</v>
      </c>
      <c r="AN71" t="s">
        <v>1653</v>
      </c>
      <c r="AO71" t="s">
        <v>1654</v>
      </c>
      <c r="AP71" t="s">
        <v>1655</v>
      </c>
      <c r="AQ71">
        <v>39</v>
      </c>
      <c r="AR71" t="s">
        <v>89</v>
      </c>
      <c r="AS71">
        <v>1287</v>
      </c>
      <c r="AT71">
        <v>0.94099999999999995</v>
      </c>
      <c r="AU71">
        <v>185</v>
      </c>
      <c r="AV71">
        <v>1</v>
      </c>
      <c r="AW71" t="s">
        <v>1656</v>
      </c>
      <c r="AX71" t="s">
        <v>1657</v>
      </c>
      <c r="AY71" t="s">
        <v>1658</v>
      </c>
      <c r="AZ71" t="s">
        <v>185</v>
      </c>
      <c r="BA71" t="s">
        <v>1659</v>
      </c>
      <c r="BB71" t="s">
        <v>1660</v>
      </c>
      <c r="BC71" t="s">
        <v>1661</v>
      </c>
      <c r="BD71" t="s">
        <v>189</v>
      </c>
      <c r="BE71">
        <v>4248</v>
      </c>
      <c r="BF71" t="s">
        <v>1662</v>
      </c>
      <c r="BG71">
        <v>22</v>
      </c>
      <c r="BH71" t="s">
        <v>89</v>
      </c>
      <c r="BI71">
        <v>1</v>
      </c>
      <c r="BJ71">
        <v>4081</v>
      </c>
      <c r="BK71">
        <v>0</v>
      </c>
      <c r="BL71">
        <v>24</v>
      </c>
      <c r="BM71">
        <v>20</v>
      </c>
      <c r="BN71">
        <v>20</v>
      </c>
      <c r="BO71">
        <v>43</v>
      </c>
      <c r="BP71">
        <v>22</v>
      </c>
      <c r="BQ71">
        <v>24</v>
      </c>
      <c r="BR71">
        <f t="shared" si="34"/>
        <v>4082</v>
      </c>
      <c r="BS71">
        <f t="shared" si="35"/>
        <v>1</v>
      </c>
      <c r="BT71">
        <f t="shared" si="36"/>
        <v>25</v>
      </c>
      <c r="BU71">
        <f t="shared" si="37"/>
        <v>21</v>
      </c>
      <c r="BV71">
        <f t="shared" si="38"/>
        <v>21</v>
      </c>
      <c r="BW71">
        <f t="shared" si="39"/>
        <v>44</v>
      </c>
      <c r="BX71">
        <f t="shared" si="40"/>
        <v>23</v>
      </c>
      <c r="BY71">
        <f t="shared" si="41"/>
        <v>25</v>
      </c>
      <c r="BZ71">
        <f t="shared" si="42"/>
        <v>32.140047550865937</v>
      </c>
      <c r="CA71">
        <v>32.140047550865937</v>
      </c>
      <c r="CB71">
        <v>32.140047550865937</v>
      </c>
      <c r="CC71">
        <v>32.140047550865937</v>
      </c>
      <c r="CD71">
        <v>32.140047550865937</v>
      </c>
      <c r="CE71">
        <v>32.140047550865937</v>
      </c>
      <c r="CF71">
        <v>32.140047550865937</v>
      </c>
      <c r="CG71">
        <v>32.140047550865937</v>
      </c>
      <c r="CH71">
        <f t="shared" si="43"/>
        <v>2.1038264854180833</v>
      </c>
      <c r="CI71">
        <f t="shared" si="44"/>
        <v>-1.5070465149619683</v>
      </c>
      <c r="CJ71">
        <f t="shared" si="45"/>
        <v>-0.10910650628993059</v>
      </c>
      <c r="CK71">
        <f t="shared" si="46"/>
        <v>-0.18482722022804896</v>
      </c>
      <c r="CL71">
        <f t="shared" si="47"/>
        <v>-0.18482722022804896</v>
      </c>
      <c r="CM71">
        <f t="shared" si="48"/>
        <v>0.13640616152421922</v>
      </c>
      <c r="CN71">
        <f t="shared" si="49"/>
        <v>-0.14531867894437533</v>
      </c>
      <c r="CO71">
        <f t="shared" si="50"/>
        <v>-0.10910650628993059</v>
      </c>
      <c r="CP71">
        <v>72</v>
      </c>
      <c r="CQ71">
        <v>2.09462735203507</v>
      </c>
      <c r="CR71">
        <v>-2.8101924918208301</v>
      </c>
      <c r="CS71">
        <v>0.25518224218083502</v>
      </c>
      <c r="CT71">
        <v>-0.56150550580619196</v>
      </c>
      <c r="CU71">
        <v>-0.56186640082228601</v>
      </c>
      <c r="CV71">
        <v>-1.1390030083462399</v>
      </c>
      <c r="CW71">
        <v>0.87356878764586698</v>
      </c>
      <c r="CX71">
        <v>-0.45207852936270598</v>
      </c>
    </row>
    <row r="72" spans="1:102" x14ac:dyDescent="0.35">
      <c r="A72" t="s">
        <v>1464</v>
      </c>
      <c r="B72" t="s">
        <v>78</v>
      </c>
      <c r="C72" t="s">
        <v>1465</v>
      </c>
      <c r="D72" t="s">
        <v>80</v>
      </c>
      <c r="E72" t="s">
        <v>80</v>
      </c>
      <c r="F72" t="s">
        <v>80</v>
      </c>
      <c r="G72" t="s">
        <v>82</v>
      </c>
      <c r="H72" t="s">
        <v>193</v>
      </c>
      <c r="I72" t="s">
        <v>132</v>
      </c>
      <c r="J72" t="s">
        <v>85</v>
      </c>
      <c r="K72" t="s">
        <v>1466</v>
      </c>
      <c r="L72" t="s">
        <v>1467</v>
      </c>
      <c r="M72" t="s">
        <v>1468</v>
      </c>
      <c r="N72">
        <v>48</v>
      </c>
      <c r="O72" t="s">
        <v>89</v>
      </c>
      <c r="P72">
        <v>1242</v>
      </c>
      <c r="Q72">
        <v>0.92359999999999998</v>
      </c>
      <c r="R72">
        <v>204</v>
      </c>
      <c r="S72">
        <v>0.91669999999999996</v>
      </c>
      <c r="T72" t="s">
        <v>1469</v>
      </c>
      <c r="U72" t="s">
        <v>1470</v>
      </c>
      <c r="V72" t="s">
        <v>1471</v>
      </c>
      <c r="W72" t="s">
        <v>1472</v>
      </c>
      <c r="X72" t="s">
        <v>1473</v>
      </c>
      <c r="Y72" t="s">
        <v>1474</v>
      </c>
      <c r="Z72" t="s">
        <v>1475</v>
      </c>
      <c r="AA72" t="s">
        <v>405</v>
      </c>
      <c r="AB72">
        <v>1570</v>
      </c>
      <c r="AC72">
        <v>4</v>
      </c>
      <c r="AD72" t="s">
        <v>1476</v>
      </c>
      <c r="AE72">
        <v>73</v>
      </c>
      <c r="AF72" t="s">
        <v>99</v>
      </c>
      <c r="AG72" t="s">
        <v>1477</v>
      </c>
      <c r="AH72" t="s">
        <v>80</v>
      </c>
      <c r="AI72" t="s">
        <v>80</v>
      </c>
      <c r="AJ72" t="s">
        <v>81</v>
      </c>
      <c r="AK72" t="s">
        <v>176</v>
      </c>
      <c r="AL72" t="s">
        <v>1478</v>
      </c>
      <c r="AM72" t="s">
        <v>178</v>
      </c>
      <c r="AN72" t="s">
        <v>1479</v>
      </c>
      <c r="AO72" t="s">
        <v>1480</v>
      </c>
      <c r="AP72" t="s">
        <v>1481</v>
      </c>
      <c r="AQ72">
        <v>36</v>
      </c>
      <c r="AR72" t="s">
        <v>89</v>
      </c>
      <c r="AS72">
        <v>1341</v>
      </c>
      <c r="AT72">
        <v>0.96179999999999999</v>
      </c>
      <c r="AU72">
        <v>154</v>
      </c>
      <c r="AV72">
        <v>0.89470000000000005</v>
      </c>
      <c r="AW72" t="s">
        <v>1482</v>
      </c>
      <c r="AX72" t="s">
        <v>1483</v>
      </c>
      <c r="AY72" t="s">
        <v>1484</v>
      </c>
      <c r="AZ72" t="s">
        <v>1485</v>
      </c>
      <c r="BA72" t="s">
        <v>1486</v>
      </c>
      <c r="BB72" t="s">
        <v>187</v>
      </c>
      <c r="BC72" t="s">
        <v>1487</v>
      </c>
      <c r="BD72" t="s">
        <v>189</v>
      </c>
      <c r="BE72">
        <v>59342</v>
      </c>
      <c r="BF72" t="s">
        <v>1488</v>
      </c>
      <c r="BG72">
        <v>77</v>
      </c>
      <c r="BH72" t="s">
        <v>89</v>
      </c>
      <c r="BI72">
        <v>1</v>
      </c>
      <c r="BJ72">
        <v>5</v>
      </c>
      <c r="BK72">
        <v>0</v>
      </c>
      <c r="BL72">
        <v>0</v>
      </c>
      <c r="BM72">
        <v>4</v>
      </c>
      <c r="BN72">
        <v>4</v>
      </c>
      <c r="BO72">
        <v>12</v>
      </c>
      <c r="BP72">
        <v>0</v>
      </c>
      <c r="BQ72">
        <v>12</v>
      </c>
      <c r="BR72">
        <f t="shared" si="34"/>
        <v>6</v>
      </c>
      <c r="BS72">
        <f t="shared" si="35"/>
        <v>1</v>
      </c>
      <c r="BT72">
        <f t="shared" si="36"/>
        <v>1</v>
      </c>
      <c r="BU72">
        <f t="shared" si="37"/>
        <v>5</v>
      </c>
      <c r="BV72">
        <f t="shared" si="38"/>
        <v>5</v>
      </c>
      <c r="BW72">
        <f t="shared" si="39"/>
        <v>13</v>
      </c>
      <c r="BX72">
        <f t="shared" si="40"/>
        <v>1</v>
      </c>
      <c r="BY72">
        <f t="shared" si="41"/>
        <v>13</v>
      </c>
      <c r="BZ72">
        <f t="shared" si="42"/>
        <v>3.5521986546980227</v>
      </c>
      <c r="CA72">
        <v>3.5521986546980227</v>
      </c>
      <c r="CB72">
        <v>3.5521986546980227</v>
      </c>
      <c r="CC72">
        <v>3.5521986546980227</v>
      </c>
      <c r="CD72">
        <v>3.5521986546980227</v>
      </c>
      <c r="CE72">
        <v>3.5521986546980227</v>
      </c>
      <c r="CF72">
        <v>3.5521986546980227</v>
      </c>
      <c r="CG72">
        <v>3.5521986546980227</v>
      </c>
      <c r="CH72">
        <f t="shared" si="43"/>
        <v>0.22765400492497428</v>
      </c>
      <c r="CI72">
        <f t="shared" si="44"/>
        <v>-0.55049724545866929</v>
      </c>
      <c r="CJ72">
        <f t="shared" si="45"/>
        <v>-0.55049724545866929</v>
      </c>
      <c r="CK72">
        <f t="shared" si="46"/>
        <v>0.14847275887734943</v>
      </c>
      <c r="CL72">
        <f t="shared" si="47"/>
        <v>0.14847275887734943</v>
      </c>
      <c r="CM72">
        <f t="shared" si="48"/>
        <v>0.56344610684816743</v>
      </c>
      <c r="CN72">
        <f t="shared" si="49"/>
        <v>-0.55049724545866929</v>
      </c>
      <c r="CO72">
        <f t="shared" si="50"/>
        <v>0.56344610684816743</v>
      </c>
      <c r="CP72">
        <v>73</v>
      </c>
      <c r="CQ72">
        <v>-0.56814856792856405</v>
      </c>
      <c r="CR72">
        <v>-2.8101924918208301</v>
      </c>
      <c r="CS72">
        <v>-1.90638622950665</v>
      </c>
      <c r="CT72">
        <v>0.18521504249509299</v>
      </c>
      <c r="CU72">
        <v>0.27649420095272298</v>
      </c>
      <c r="CV72">
        <v>-0.28979549212651801</v>
      </c>
      <c r="CW72">
        <v>-2.83505630539632</v>
      </c>
      <c r="CX72">
        <v>0.85761404858727497</v>
      </c>
    </row>
    <row r="73" spans="1:102" x14ac:dyDescent="0.35">
      <c r="A73" t="s">
        <v>1237</v>
      </c>
      <c r="B73" t="s">
        <v>99</v>
      </c>
      <c r="C73" t="s">
        <v>1238</v>
      </c>
      <c r="D73" t="s">
        <v>80</v>
      </c>
      <c r="E73" t="s">
        <v>80</v>
      </c>
      <c r="F73" t="s">
        <v>81</v>
      </c>
      <c r="G73" t="s">
        <v>82</v>
      </c>
      <c r="H73" t="s">
        <v>368</v>
      </c>
      <c r="I73" t="s">
        <v>194</v>
      </c>
      <c r="J73" t="s">
        <v>162</v>
      </c>
      <c r="K73" t="s">
        <v>1239</v>
      </c>
      <c r="L73" t="s">
        <v>1240</v>
      </c>
      <c r="M73" t="s">
        <v>1241</v>
      </c>
      <c r="N73">
        <v>63</v>
      </c>
      <c r="O73" t="s">
        <v>89</v>
      </c>
      <c r="P73">
        <v>1440</v>
      </c>
      <c r="Q73">
        <v>1</v>
      </c>
      <c r="R73">
        <v>310</v>
      </c>
      <c r="S73">
        <v>1</v>
      </c>
      <c r="T73" t="s">
        <v>373</v>
      </c>
      <c r="U73" t="s">
        <v>374</v>
      </c>
      <c r="V73" t="s">
        <v>1007</v>
      </c>
      <c r="W73" t="s">
        <v>231</v>
      </c>
      <c r="X73" t="s">
        <v>1008</v>
      </c>
      <c r="Y73" t="s">
        <v>377</v>
      </c>
      <c r="Z73" t="s">
        <v>1242</v>
      </c>
      <c r="AA73" t="s">
        <v>1243</v>
      </c>
      <c r="AB73">
        <v>9500</v>
      </c>
      <c r="AC73">
        <v>14</v>
      </c>
      <c r="AD73" t="s">
        <v>1244</v>
      </c>
      <c r="AE73">
        <v>74</v>
      </c>
      <c r="AF73" t="s">
        <v>78</v>
      </c>
      <c r="AG73" t="s">
        <v>1245</v>
      </c>
      <c r="AH73" t="s">
        <v>80</v>
      </c>
      <c r="AI73" t="s">
        <v>80</v>
      </c>
      <c r="AJ73" t="s">
        <v>81</v>
      </c>
      <c r="AK73" t="s">
        <v>101</v>
      </c>
      <c r="AL73" t="s">
        <v>118</v>
      </c>
      <c r="AM73" t="s">
        <v>103</v>
      </c>
      <c r="AN73" t="s">
        <v>1246</v>
      </c>
      <c r="AO73" t="s">
        <v>1247</v>
      </c>
      <c r="AP73" t="s">
        <v>1248</v>
      </c>
      <c r="AQ73">
        <v>33</v>
      </c>
      <c r="AR73" t="s">
        <v>89</v>
      </c>
      <c r="AS73">
        <v>1395</v>
      </c>
      <c r="AT73">
        <v>1</v>
      </c>
      <c r="AU73">
        <v>171</v>
      </c>
      <c r="AV73">
        <v>0.97219999999999995</v>
      </c>
      <c r="AW73" t="s">
        <v>122</v>
      </c>
      <c r="AX73" t="s">
        <v>1249</v>
      </c>
      <c r="AY73" t="s">
        <v>1250</v>
      </c>
      <c r="AZ73" t="s">
        <v>125</v>
      </c>
      <c r="BA73" t="s">
        <v>1251</v>
      </c>
      <c r="BB73" t="s">
        <v>112</v>
      </c>
      <c r="BC73" t="s">
        <v>1252</v>
      </c>
      <c r="BD73" t="s">
        <v>114</v>
      </c>
      <c r="BE73">
        <v>1608</v>
      </c>
      <c r="BF73" t="s">
        <v>1253</v>
      </c>
      <c r="BG73">
        <v>2</v>
      </c>
      <c r="BH73" t="s">
        <v>89</v>
      </c>
      <c r="BI73">
        <v>1</v>
      </c>
      <c r="BJ73">
        <v>170</v>
      </c>
      <c r="BK73">
        <v>0</v>
      </c>
      <c r="BL73">
        <v>6</v>
      </c>
      <c r="BM73">
        <v>19</v>
      </c>
      <c r="BN73">
        <v>719</v>
      </c>
      <c r="BO73">
        <v>1577</v>
      </c>
      <c r="BP73">
        <v>0</v>
      </c>
      <c r="BQ73">
        <v>309</v>
      </c>
      <c r="BR73">
        <f t="shared" si="34"/>
        <v>171</v>
      </c>
      <c r="BS73">
        <f t="shared" si="35"/>
        <v>1</v>
      </c>
      <c r="BT73">
        <f t="shared" si="36"/>
        <v>7</v>
      </c>
      <c r="BU73">
        <f t="shared" si="37"/>
        <v>20</v>
      </c>
      <c r="BV73">
        <f t="shared" si="38"/>
        <v>720</v>
      </c>
      <c r="BW73">
        <f t="shared" si="39"/>
        <v>1578</v>
      </c>
      <c r="BX73">
        <f t="shared" si="40"/>
        <v>1</v>
      </c>
      <c r="BY73">
        <f t="shared" si="41"/>
        <v>310</v>
      </c>
      <c r="BZ73">
        <f t="shared" si="42"/>
        <v>41.280092986507121</v>
      </c>
      <c r="CA73">
        <v>41.280092986507121</v>
      </c>
      <c r="CB73">
        <v>41.280092986507121</v>
      </c>
      <c r="CC73">
        <v>41.280092986507121</v>
      </c>
      <c r="CD73">
        <v>41.280092986507121</v>
      </c>
      <c r="CE73">
        <v>41.280092986507121</v>
      </c>
      <c r="CF73">
        <v>41.280092986507121</v>
      </c>
      <c r="CG73">
        <v>41.280092986507121</v>
      </c>
      <c r="CH73">
        <f t="shared" si="43"/>
        <v>0.61725544349098704</v>
      </c>
      <c r="CI73">
        <f t="shared" si="44"/>
        <v>-1.6157406669011669</v>
      </c>
      <c r="CJ73">
        <f t="shared" si="45"/>
        <v>-0.77064262688690999</v>
      </c>
      <c r="CK73">
        <f t="shared" si="46"/>
        <v>-0.3147106712371856</v>
      </c>
      <c r="CL73">
        <f t="shared" si="47"/>
        <v>1.2415918295301016</v>
      </c>
      <c r="CM73">
        <f t="shared" si="48"/>
        <v>1.5823663319722348</v>
      </c>
      <c r="CN73">
        <f t="shared" si="49"/>
        <v>-1.6157406669011669</v>
      </c>
      <c r="CO73">
        <f t="shared" si="50"/>
        <v>0.87562102693310584</v>
      </c>
      <c r="CP73">
        <v>74</v>
      </c>
      <c r="CQ73">
        <v>-1.5202962029843E-2</v>
      </c>
      <c r="CR73">
        <v>-2.8101924918208301</v>
      </c>
      <c r="CS73">
        <v>-1.4160769545963701</v>
      </c>
      <c r="CT73">
        <v>-0.85249454820915005</v>
      </c>
      <c r="CU73">
        <v>3.0260532148594699</v>
      </c>
      <c r="CV73">
        <v>1.7364194394702399</v>
      </c>
      <c r="CW73">
        <v>-2.83505630539632</v>
      </c>
      <c r="CX73">
        <v>1.46552660125685</v>
      </c>
    </row>
    <row r="74" spans="1:102" x14ac:dyDescent="0.35">
      <c r="A74" t="s">
        <v>1602</v>
      </c>
      <c r="B74" t="s">
        <v>99</v>
      </c>
      <c r="C74" t="s">
        <v>1603</v>
      </c>
      <c r="D74" t="s">
        <v>80</v>
      </c>
      <c r="E74" t="s">
        <v>80</v>
      </c>
      <c r="F74" t="s">
        <v>81</v>
      </c>
      <c r="G74" t="s">
        <v>82</v>
      </c>
      <c r="H74" t="s">
        <v>509</v>
      </c>
      <c r="I74" t="s">
        <v>1604</v>
      </c>
      <c r="J74" t="s">
        <v>162</v>
      </c>
      <c r="K74" t="s">
        <v>1605</v>
      </c>
      <c r="L74" t="s">
        <v>1606</v>
      </c>
      <c r="M74" t="s">
        <v>1607</v>
      </c>
      <c r="N74">
        <v>60</v>
      </c>
      <c r="O74" t="s">
        <v>89</v>
      </c>
      <c r="P74">
        <v>1395</v>
      </c>
      <c r="Q74">
        <v>0.98260000000000003</v>
      </c>
      <c r="R74">
        <v>247</v>
      </c>
      <c r="S74">
        <v>0.8871</v>
      </c>
      <c r="T74" t="s">
        <v>199</v>
      </c>
      <c r="U74" t="s">
        <v>1608</v>
      </c>
      <c r="V74" t="s">
        <v>1609</v>
      </c>
      <c r="W74" t="s">
        <v>231</v>
      </c>
      <c r="X74" t="s">
        <v>1610</v>
      </c>
      <c r="Y74" t="s">
        <v>515</v>
      </c>
      <c r="Z74" t="s">
        <v>1611</v>
      </c>
      <c r="AA74" t="s">
        <v>97</v>
      </c>
      <c r="AB74">
        <v>1016</v>
      </c>
      <c r="AC74">
        <v>2</v>
      </c>
      <c r="AD74" t="s">
        <v>1612</v>
      </c>
      <c r="AE74">
        <v>75</v>
      </c>
      <c r="AF74" t="s">
        <v>78</v>
      </c>
      <c r="AG74" t="s">
        <v>1613</v>
      </c>
      <c r="AH74" t="s">
        <v>80</v>
      </c>
      <c r="AI74" t="s">
        <v>80</v>
      </c>
      <c r="AJ74" t="s">
        <v>81</v>
      </c>
      <c r="AK74" t="s">
        <v>176</v>
      </c>
      <c r="AL74" t="s">
        <v>177</v>
      </c>
      <c r="AM74" t="s">
        <v>209</v>
      </c>
      <c r="AN74" t="s">
        <v>1614</v>
      </c>
      <c r="AO74" t="s">
        <v>1615</v>
      </c>
      <c r="AP74" t="s">
        <v>1616</v>
      </c>
      <c r="AQ74">
        <v>39</v>
      </c>
      <c r="AR74" t="s">
        <v>89</v>
      </c>
      <c r="AS74">
        <v>1431</v>
      </c>
      <c r="AT74">
        <v>0.99650000000000005</v>
      </c>
      <c r="AU74">
        <v>181</v>
      </c>
      <c r="AV74">
        <v>0.97370000000000001</v>
      </c>
      <c r="AW74" t="s">
        <v>182</v>
      </c>
      <c r="AX74" t="s">
        <v>213</v>
      </c>
      <c r="AY74" t="s">
        <v>265</v>
      </c>
      <c r="AZ74" t="s">
        <v>215</v>
      </c>
      <c r="BA74" t="s">
        <v>1617</v>
      </c>
      <c r="BB74" t="s">
        <v>267</v>
      </c>
      <c r="BC74" t="s">
        <v>1618</v>
      </c>
      <c r="BD74" t="s">
        <v>219</v>
      </c>
      <c r="BE74">
        <v>12126</v>
      </c>
      <c r="BF74" t="s">
        <v>1619</v>
      </c>
      <c r="BG74">
        <v>39</v>
      </c>
      <c r="BH74" t="s">
        <v>89</v>
      </c>
      <c r="BI74">
        <v>1</v>
      </c>
      <c r="BJ74">
        <v>0</v>
      </c>
      <c r="BK74">
        <v>0</v>
      </c>
      <c r="BL74">
        <v>0</v>
      </c>
      <c r="BM74">
        <v>5</v>
      </c>
      <c r="BN74">
        <v>0</v>
      </c>
      <c r="BO74">
        <v>13</v>
      </c>
      <c r="BP74">
        <v>0</v>
      </c>
      <c r="BQ74">
        <v>4</v>
      </c>
      <c r="BR74">
        <f t="shared" si="34"/>
        <v>1</v>
      </c>
      <c r="BS74">
        <f t="shared" si="35"/>
        <v>1</v>
      </c>
      <c r="BT74">
        <f t="shared" si="36"/>
        <v>1</v>
      </c>
      <c r="BU74">
        <f t="shared" si="37"/>
        <v>6</v>
      </c>
      <c r="BV74">
        <f t="shared" si="38"/>
        <v>1</v>
      </c>
      <c r="BW74">
        <f t="shared" si="39"/>
        <v>14</v>
      </c>
      <c r="BX74">
        <f t="shared" si="40"/>
        <v>1</v>
      </c>
      <c r="BY74">
        <f t="shared" si="41"/>
        <v>5</v>
      </c>
      <c r="BZ74">
        <f t="shared" si="42"/>
        <v>2.1276792652648258</v>
      </c>
      <c r="CA74">
        <v>2.1276792652648258</v>
      </c>
      <c r="CB74">
        <v>2.1276792652648258</v>
      </c>
      <c r="CC74">
        <v>2.1276792652648258</v>
      </c>
      <c r="CD74">
        <v>2.1276792652648258</v>
      </c>
      <c r="CE74">
        <v>2.1276792652648258</v>
      </c>
      <c r="CF74">
        <v>2.1276792652648258</v>
      </c>
      <c r="CG74">
        <v>2.1276792652648258</v>
      </c>
      <c r="CH74">
        <f t="shared" si="43"/>
        <v>-0.32790616129973754</v>
      </c>
      <c r="CI74">
        <f t="shared" si="44"/>
        <v>-0.32790616129973754</v>
      </c>
      <c r="CJ74">
        <f t="shared" si="45"/>
        <v>-0.32790616129973754</v>
      </c>
      <c r="CK74">
        <f t="shared" si="46"/>
        <v>0.45024508908390615</v>
      </c>
      <c r="CL74">
        <f t="shared" si="47"/>
        <v>-0.32790616129973754</v>
      </c>
      <c r="CM74">
        <f t="shared" si="48"/>
        <v>0.81822187437850047</v>
      </c>
      <c r="CN74">
        <f t="shared" si="49"/>
        <v>-0.32790616129973754</v>
      </c>
      <c r="CO74">
        <f t="shared" si="50"/>
        <v>0.37106384303628132</v>
      </c>
      <c r="CP74">
        <v>75</v>
      </c>
      <c r="CQ74">
        <v>-1.53996978270225</v>
      </c>
      <c r="CR74">
        <v>-2.8101924918208301</v>
      </c>
      <c r="CS74">
        <v>-1.90638622950665</v>
      </c>
      <c r="CT74">
        <v>0.86130149314181803</v>
      </c>
      <c r="CU74">
        <v>-1.52396762003097</v>
      </c>
      <c r="CV74">
        <v>0.216849141722149</v>
      </c>
      <c r="CW74">
        <v>-2.83505630539632</v>
      </c>
      <c r="CX74">
        <v>0.48297923471300902</v>
      </c>
    </row>
    <row r="75" spans="1:102" x14ac:dyDescent="0.35">
      <c r="A75" t="s">
        <v>1378</v>
      </c>
      <c r="B75" t="s">
        <v>99</v>
      </c>
      <c r="C75" t="s">
        <v>1379</v>
      </c>
      <c r="D75" t="s">
        <v>80</v>
      </c>
      <c r="E75" t="s">
        <v>80</v>
      </c>
      <c r="F75" t="s">
        <v>81</v>
      </c>
      <c r="G75" t="s">
        <v>82</v>
      </c>
      <c r="H75" t="s">
        <v>1380</v>
      </c>
      <c r="I75" t="s">
        <v>1095</v>
      </c>
      <c r="J75" t="s">
        <v>133</v>
      </c>
      <c r="K75" t="s">
        <v>1381</v>
      </c>
      <c r="L75" t="s">
        <v>1382</v>
      </c>
      <c r="M75" t="s">
        <v>1383</v>
      </c>
      <c r="N75">
        <v>42</v>
      </c>
      <c r="O75" t="s">
        <v>89</v>
      </c>
      <c r="P75">
        <v>1332</v>
      </c>
      <c r="Q75">
        <v>0.95830000000000004</v>
      </c>
      <c r="R75">
        <v>228</v>
      </c>
      <c r="S75">
        <v>0.94120000000000004</v>
      </c>
      <c r="T75" t="s">
        <v>1384</v>
      </c>
      <c r="U75" t="s">
        <v>1385</v>
      </c>
      <c r="V75" t="s">
        <v>1386</v>
      </c>
      <c r="W75" t="s">
        <v>93</v>
      </c>
      <c r="X75" t="s">
        <v>1387</v>
      </c>
      <c r="Y75" t="s">
        <v>1388</v>
      </c>
      <c r="Z75" t="s">
        <v>1389</v>
      </c>
      <c r="AA75" t="s">
        <v>405</v>
      </c>
      <c r="AB75">
        <v>5638</v>
      </c>
      <c r="AC75">
        <v>9</v>
      </c>
      <c r="AD75" t="s">
        <v>1390</v>
      </c>
      <c r="AE75">
        <v>76</v>
      </c>
      <c r="AF75" t="s">
        <v>78</v>
      </c>
      <c r="AG75" t="s">
        <v>1391</v>
      </c>
      <c r="AH75" t="s">
        <v>80</v>
      </c>
      <c r="AI75" t="s">
        <v>80</v>
      </c>
      <c r="AJ75" t="s">
        <v>81</v>
      </c>
      <c r="AK75" t="s">
        <v>176</v>
      </c>
      <c r="AL75" t="s">
        <v>1266</v>
      </c>
      <c r="AM75" t="s">
        <v>261</v>
      </c>
      <c r="AN75" t="s">
        <v>1392</v>
      </c>
      <c r="AO75" t="s">
        <v>1393</v>
      </c>
      <c r="AP75" t="s">
        <v>1394</v>
      </c>
      <c r="AQ75">
        <v>33</v>
      </c>
      <c r="AR75" t="s">
        <v>89</v>
      </c>
      <c r="AS75">
        <v>1431</v>
      </c>
      <c r="AT75">
        <v>0.96409999999999996</v>
      </c>
      <c r="AU75">
        <v>180</v>
      </c>
      <c r="AV75">
        <v>1</v>
      </c>
      <c r="AW75" t="s">
        <v>1395</v>
      </c>
      <c r="AX75" t="s">
        <v>1396</v>
      </c>
      <c r="AY75" t="s">
        <v>1397</v>
      </c>
      <c r="AZ75" t="s">
        <v>185</v>
      </c>
      <c r="BA75" t="s">
        <v>1398</v>
      </c>
      <c r="BB75" t="s">
        <v>1399</v>
      </c>
      <c r="BC75" t="s">
        <v>1400</v>
      </c>
      <c r="BD75" t="s">
        <v>364</v>
      </c>
      <c r="BE75">
        <v>50014</v>
      </c>
      <c r="BF75" t="s">
        <v>1401</v>
      </c>
      <c r="BG75">
        <v>59</v>
      </c>
      <c r="BH75" t="s">
        <v>89</v>
      </c>
      <c r="BI75">
        <v>1</v>
      </c>
      <c r="BJ75">
        <v>4</v>
      </c>
      <c r="BK75">
        <v>0</v>
      </c>
      <c r="BL75">
        <v>0</v>
      </c>
      <c r="BM75">
        <v>5</v>
      </c>
      <c r="BN75">
        <v>5</v>
      </c>
      <c r="BO75">
        <v>12</v>
      </c>
      <c r="BP75">
        <v>0</v>
      </c>
      <c r="BQ75">
        <v>4</v>
      </c>
      <c r="BR75">
        <f t="shared" si="34"/>
        <v>5</v>
      </c>
      <c r="BS75">
        <f t="shared" si="35"/>
        <v>1</v>
      </c>
      <c r="BT75">
        <f t="shared" si="36"/>
        <v>1</v>
      </c>
      <c r="BU75">
        <f t="shared" si="37"/>
        <v>6</v>
      </c>
      <c r="BV75">
        <f t="shared" si="38"/>
        <v>6</v>
      </c>
      <c r="BW75">
        <f t="shared" si="39"/>
        <v>13</v>
      </c>
      <c r="BX75">
        <f t="shared" si="40"/>
        <v>1</v>
      </c>
      <c r="BY75">
        <f t="shared" si="41"/>
        <v>5</v>
      </c>
      <c r="BZ75">
        <f t="shared" si="42"/>
        <v>3.224951834502527</v>
      </c>
      <c r="CA75">
        <v>3.224951834502527</v>
      </c>
      <c r="CB75">
        <v>3.224951834502527</v>
      </c>
      <c r="CC75">
        <v>3.224951834502527</v>
      </c>
      <c r="CD75">
        <v>3.224951834502527</v>
      </c>
      <c r="CE75">
        <v>3.224951834502527</v>
      </c>
      <c r="CF75">
        <v>3.224951834502527</v>
      </c>
      <c r="CG75">
        <v>3.224951834502527</v>
      </c>
      <c r="CH75">
        <f t="shared" si="43"/>
        <v>0.19044677161774859</v>
      </c>
      <c r="CI75">
        <f t="shared" si="44"/>
        <v>-0.50852323271827016</v>
      </c>
      <c r="CJ75">
        <f t="shared" si="45"/>
        <v>-0.50852323271827016</v>
      </c>
      <c r="CK75">
        <f t="shared" si="46"/>
        <v>0.26962801766537348</v>
      </c>
      <c r="CL75">
        <f t="shared" si="47"/>
        <v>0.26962801766537348</v>
      </c>
      <c r="CM75">
        <f t="shared" si="48"/>
        <v>0.60542011958856656</v>
      </c>
      <c r="CN75">
        <f t="shared" si="49"/>
        <v>-0.50852323271827016</v>
      </c>
      <c r="CO75">
        <f t="shared" si="50"/>
        <v>0.19044677161774859</v>
      </c>
      <c r="CP75">
        <v>76</v>
      </c>
      <c r="CQ75">
        <v>-0.62095529328513099</v>
      </c>
      <c r="CR75">
        <v>-2.8101924918208301</v>
      </c>
      <c r="CS75">
        <v>-1.90638622950665</v>
      </c>
      <c r="CT75">
        <v>0.45664956677740198</v>
      </c>
      <c r="CU75">
        <v>0.58124008164062702</v>
      </c>
      <c r="CV75">
        <v>-0.206326375255005</v>
      </c>
      <c r="CW75">
        <v>-2.83505630539632</v>
      </c>
      <c r="CX75">
        <v>0.13125532008249399</v>
      </c>
    </row>
    <row r="76" spans="1:102" x14ac:dyDescent="0.35">
      <c r="A76" t="s">
        <v>1677</v>
      </c>
      <c r="B76" t="s">
        <v>78</v>
      </c>
      <c r="C76" t="s">
        <v>1678</v>
      </c>
      <c r="D76" t="s">
        <v>80</v>
      </c>
      <c r="E76" t="s">
        <v>80</v>
      </c>
      <c r="F76" t="s">
        <v>81</v>
      </c>
      <c r="G76" t="s">
        <v>82</v>
      </c>
      <c r="H76" t="s">
        <v>1679</v>
      </c>
      <c r="I76" t="s">
        <v>1680</v>
      </c>
      <c r="J76" t="s">
        <v>85</v>
      </c>
      <c r="K76" t="s">
        <v>1681</v>
      </c>
      <c r="L76" t="s">
        <v>1682</v>
      </c>
      <c r="M76" t="s">
        <v>1683</v>
      </c>
      <c r="N76">
        <v>27</v>
      </c>
      <c r="O76" t="s">
        <v>89</v>
      </c>
      <c r="P76">
        <v>1227</v>
      </c>
      <c r="Q76">
        <v>0.90820000000000001</v>
      </c>
      <c r="R76">
        <v>159</v>
      </c>
      <c r="S76">
        <v>0.8125</v>
      </c>
      <c r="T76" t="s">
        <v>1684</v>
      </c>
      <c r="U76" t="s">
        <v>1685</v>
      </c>
      <c r="V76" t="s">
        <v>1686</v>
      </c>
      <c r="W76" t="s">
        <v>93</v>
      </c>
      <c r="X76" t="s">
        <v>1687</v>
      </c>
      <c r="Y76" t="s">
        <v>1688</v>
      </c>
      <c r="Z76" t="s">
        <v>1689</v>
      </c>
      <c r="AA76" t="s">
        <v>173</v>
      </c>
      <c r="AB76">
        <v>20798</v>
      </c>
      <c r="AC76">
        <v>27</v>
      </c>
      <c r="AD76" t="s">
        <v>1690</v>
      </c>
      <c r="AE76">
        <v>77</v>
      </c>
      <c r="AF76" t="s">
        <v>99</v>
      </c>
      <c r="AG76" t="s">
        <v>1691</v>
      </c>
      <c r="AH76" t="s">
        <v>80</v>
      </c>
      <c r="AI76" t="s">
        <v>80</v>
      </c>
      <c r="AJ76" t="s">
        <v>81</v>
      </c>
      <c r="AK76" t="s">
        <v>101</v>
      </c>
      <c r="AL76" t="s">
        <v>757</v>
      </c>
      <c r="AM76" t="s">
        <v>146</v>
      </c>
      <c r="AN76" t="s">
        <v>1692</v>
      </c>
      <c r="AO76" t="s">
        <v>1693</v>
      </c>
      <c r="AP76" t="s">
        <v>1694</v>
      </c>
      <c r="AQ76">
        <v>33</v>
      </c>
      <c r="AR76" t="s">
        <v>89</v>
      </c>
      <c r="AS76">
        <v>1371</v>
      </c>
      <c r="AT76">
        <v>0.96260000000000001</v>
      </c>
      <c r="AU76">
        <v>171</v>
      </c>
      <c r="AV76">
        <v>0.97219999999999995</v>
      </c>
      <c r="AW76" t="s">
        <v>1695</v>
      </c>
      <c r="AX76" t="s">
        <v>1696</v>
      </c>
      <c r="AY76" t="s">
        <v>1697</v>
      </c>
      <c r="AZ76" t="s">
        <v>1698</v>
      </c>
      <c r="BA76" t="s">
        <v>1699</v>
      </c>
      <c r="BB76" t="s">
        <v>765</v>
      </c>
      <c r="BC76" t="s">
        <v>1700</v>
      </c>
      <c r="BD76" t="s">
        <v>114</v>
      </c>
      <c r="BE76">
        <v>8244</v>
      </c>
      <c r="BF76" t="s">
        <v>1701</v>
      </c>
      <c r="BG76">
        <v>11</v>
      </c>
      <c r="BH76" t="s">
        <v>89</v>
      </c>
      <c r="BI76">
        <v>1</v>
      </c>
      <c r="BJ76">
        <v>8</v>
      </c>
      <c r="BK76">
        <v>0</v>
      </c>
      <c r="BL76">
        <v>0</v>
      </c>
      <c r="BM76">
        <v>0</v>
      </c>
      <c r="BN76">
        <v>0</v>
      </c>
      <c r="BO76">
        <v>5</v>
      </c>
      <c r="BP76">
        <v>0</v>
      </c>
      <c r="BQ76">
        <v>0</v>
      </c>
      <c r="BR76">
        <f t="shared" si="34"/>
        <v>9</v>
      </c>
      <c r="BS76">
        <f t="shared" si="35"/>
        <v>1</v>
      </c>
      <c r="BT76">
        <f t="shared" si="36"/>
        <v>1</v>
      </c>
      <c r="BU76">
        <f t="shared" si="37"/>
        <v>1</v>
      </c>
      <c r="BV76">
        <f t="shared" si="38"/>
        <v>1</v>
      </c>
      <c r="BW76">
        <f t="shared" si="39"/>
        <v>6</v>
      </c>
      <c r="BX76">
        <f t="shared" si="40"/>
        <v>1</v>
      </c>
      <c r="BY76">
        <f t="shared" si="41"/>
        <v>1</v>
      </c>
      <c r="BZ76">
        <f t="shared" si="42"/>
        <v>1.6464525534705015</v>
      </c>
      <c r="CA76">
        <v>1.6464525534705015</v>
      </c>
      <c r="CB76">
        <v>1.6464525534705015</v>
      </c>
      <c r="CC76">
        <v>1.6464525534705015</v>
      </c>
      <c r="CD76">
        <v>1.6464525534705015</v>
      </c>
      <c r="CE76">
        <v>1.6464525534705015</v>
      </c>
      <c r="CF76">
        <v>1.6464525534705015</v>
      </c>
      <c r="CG76">
        <v>1.6464525534705015</v>
      </c>
      <c r="CH76">
        <f t="shared" si="43"/>
        <v>0.73769328946145385</v>
      </c>
      <c r="CI76">
        <f t="shared" si="44"/>
        <v>-0.21654921997787102</v>
      </c>
      <c r="CJ76">
        <f t="shared" si="45"/>
        <v>-0.21654921997787102</v>
      </c>
      <c r="CK76">
        <f t="shared" si="46"/>
        <v>-0.21654921997787102</v>
      </c>
      <c r="CL76">
        <f t="shared" si="47"/>
        <v>-0.21654921997787102</v>
      </c>
      <c r="CM76">
        <f t="shared" si="48"/>
        <v>0.56160203040577261</v>
      </c>
      <c r="CN76">
        <f t="shared" si="49"/>
        <v>-0.21654921997787102</v>
      </c>
      <c r="CO76">
        <f t="shared" si="50"/>
        <v>-0.21654921997787102</v>
      </c>
      <c r="CP76">
        <v>77</v>
      </c>
      <c r="CQ76">
        <v>0.15572961449860001</v>
      </c>
      <c r="CR76">
        <v>-2.8101924918208301</v>
      </c>
      <c r="CS76">
        <v>-1.90638622950665</v>
      </c>
      <c r="CT76">
        <v>-2.7279301294217002</v>
      </c>
      <c r="CU76">
        <v>-1.52396762003097</v>
      </c>
      <c r="CV76">
        <v>-0.293462604752663</v>
      </c>
      <c r="CW76">
        <v>-2.83505630539632</v>
      </c>
      <c r="CX76">
        <v>-3.48945987673619</v>
      </c>
    </row>
    <row r="77" spans="1:102" x14ac:dyDescent="0.35">
      <c r="A77" t="s">
        <v>1337</v>
      </c>
      <c r="B77" t="s">
        <v>78</v>
      </c>
      <c r="C77" t="s">
        <v>1338</v>
      </c>
      <c r="D77" t="s">
        <v>80</v>
      </c>
      <c r="E77" t="s">
        <v>80</v>
      </c>
      <c r="F77" t="s">
        <v>81</v>
      </c>
      <c r="G77" t="s">
        <v>82</v>
      </c>
      <c r="H77" t="s">
        <v>83</v>
      </c>
      <c r="I77" t="s">
        <v>194</v>
      </c>
      <c r="J77" t="s">
        <v>162</v>
      </c>
      <c r="K77" t="s">
        <v>1339</v>
      </c>
      <c r="L77" t="s">
        <v>1340</v>
      </c>
      <c r="M77" t="s">
        <v>1341</v>
      </c>
      <c r="N77">
        <v>54</v>
      </c>
      <c r="O77" t="s">
        <v>89</v>
      </c>
      <c r="P77">
        <v>1368</v>
      </c>
      <c r="Q77">
        <v>0.97219999999999995</v>
      </c>
      <c r="R77">
        <v>247</v>
      </c>
      <c r="S77">
        <v>0.8871</v>
      </c>
      <c r="T77" t="s">
        <v>254</v>
      </c>
      <c r="U77" t="s">
        <v>91</v>
      </c>
      <c r="V77" t="s">
        <v>1342</v>
      </c>
      <c r="W77" t="s">
        <v>1343</v>
      </c>
      <c r="X77" t="s">
        <v>1344</v>
      </c>
      <c r="Y77" t="s">
        <v>1345</v>
      </c>
      <c r="Z77" t="s">
        <v>1346</v>
      </c>
      <c r="AA77" t="s">
        <v>173</v>
      </c>
      <c r="AB77">
        <v>2590</v>
      </c>
      <c r="AC77">
        <v>2</v>
      </c>
      <c r="AD77" t="s">
        <v>1347</v>
      </c>
      <c r="AE77">
        <v>78</v>
      </c>
      <c r="AF77" t="s">
        <v>99</v>
      </c>
      <c r="AG77" t="s">
        <v>1348</v>
      </c>
      <c r="AH77" t="s">
        <v>80</v>
      </c>
      <c r="AI77" t="s">
        <v>80</v>
      </c>
      <c r="AJ77" t="s">
        <v>81</v>
      </c>
      <c r="AK77" t="s">
        <v>101</v>
      </c>
      <c r="AL77" t="s">
        <v>145</v>
      </c>
      <c r="AM77" t="s">
        <v>103</v>
      </c>
      <c r="AN77" t="s">
        <v>1349</v>
      </c>
      <c r="AO77" t="s">
        <v>1350</v>
      </c>
      <c r="AP77" t="s">
        <v>1351</v>
      </c>
      <c r="AQ77">
        <v>33</v>
      </c>
      <c r="AR77" t="s">
        <v>89</v>
      </c>
      <c r="AS77">
        <v>1368</v>
      </c>
      <c r="AT77">
        <v>0.98919999999999997</v>
      </c>
      <c r="AU77">
        <v>172</v>
      </c>
      <c r="AV77">
        <v>0.94740000000000002</v>
      </c>
      <c r="AW77" t="s">
        <v>548</v>
      </c>
      <c r="AX77" t="s">
        <v>549</v>
      </c>
      <c r="AY77" t="s">
        <v>1352</v>
      </c>
      <c r="AZ77" t="s">
        <v>125</v>
      </c>
      <c r="BA77" t="s">
        <v>291</v>
      </c>
      <c r="BB77" t="s">
        <v>292</v>
      </c>
      <c r="BC77" t="s">
        <v>1353</v>
      </c>
      <c r="BD77" t="s">
        <v>114</v>
      </c>
      <c r="BE77">
        <v>30212</v>
      </c>
      <c r="BF77" t="s">
        <v>1354</v>
      </c>
      <c r="BG77">
        <v>27</v>
      </c>
      <c r="BH77" t="s">
        <v>89</v>
      </c>
      <c r="BI77">
        <v>1</v>
      </c>
      <c r="BJ77">
        <v>5441</v>
      </c>
      <c r="BK77">
        <v>0</v>
      </c>
      <c r="BL77">
        <v>31</v>
      </c>
      <c r="BM77">
        <v>16</v>
      </c>
      <c r="BN77">
        <v>27</v>
      </c>
      <c r="BO77">
        <v>27</v>
      </c>
      <c r="BP77">
        <v>16</v>
      </c>
      <c r="BQ77">
        <v>10</v>
      </c>
      <c r="BR77">
        <f t="shared" si="34"/>
        <v>5442</v>
      </c>
      <c r="BS77">
        <f t="shared" si="35"/>
        <v>1</v>
      </c>
      <c r="BT77">
        <f t="shared" si="36"/>
        <v>32</v>
      </c>
      <c r="BU77">
        <f t="shared" si="37"/>
        <v>17</v>
      </c>
      <c r="BV77">
        <f t="shared" si="38"/>
        <v>28</v>
      </c>
      <c r="BW77">
        <f t="shared" si="39"/>
        <v>28</v>
      </c>
      <c r="BX77">
        <f t="shared" si="40"/>
        <v>17</v>
      </c>
      <c r="BY77">
        <f t="shared" si="41"/>
        <v>11</v>
      </c>
      <c r="BZ77">
        <f t="shared" si="42"/>
        <v>28.489799200785896</v>
      </c>
      <c r="CA77">
        <v>28.489799200785896</v>
      </c>
      <c r="CB77">
        <v>28.489799200785896</v>
      </c>
      <c r="CC77">
        <v>28.489799200785896</v>
      </c>
      <c r="CD77">
        <v>28.489799200785896</v>
      </c>
      <c r="CE77">
        <v>28.489799200785896</v>
      </c>
      <c r="CF77">
        <v>28.489799200785896</v>
      </c>
      <c r="CG77">
        <v>28.489799200785896</v>
      </c>
      <c r="CH77">
        <f t="shared" si="43"/>
        <v>2.2810691491483817</v>
      </c>
      <c r="CI77">
        <f t="shared" si="44"/>
        <v>-1.4546893882953571</v>
      </c>
      <c r="CJ77">
        <f t="shared" si="45"/>
        <v>5.0460590024548932E-2</v>
      </c>
      <c r="CK77">
        <f t="shared" si="46"/>
        <v>-0.2242404669170831</v>
      </c>
      <c r="CL77">
        <f t="shared" si="47"/>
        <v>-7.5313569531378242E-3</v>
      </c>
      <c r="CM77">
        <f t="shared" si="48"/>
        <v>-7.5313569531378242E-3</v>
      </c>
      <c r="CN77">
        <f t="shared" si="49"/>
        <v>-0.2242404669170831</v>
      </c>
      <c r="CO77">
        <f t="shared" si="50"/>
        <v>-0.41329670313713196</v>
      </c>
      <c r="CP77">
        <v>78</v>
      </c>
      <c r="CQ77">
        <v>2.3461807150005001</v>
      </c>
      <c r="CR77">
        <v>-2.8101924918208301</v>
      </c>
      <c r="CS77">
        <v>0.65830154121163298</v>
      </c>
      <c r="CT77">
        <v>-0.64980638496305099</v>
      </c>
      <c r="CU77">
        <v>-0.115908177163439</v>
      </c>
      <c r="CV77">
        <v>-1.42523576922827</v>
      </c>
      <c r="CW77">
        <v>0.71401649885139495</v>
      </c>
      <c r="CX77">
        <v>-1.04444206392252</v>
      </c>
    </row>
    <row r="78" spans="1:102" x14ac:dyDescent="0.35">
      <c r="A78" t="s">
        <v>1738</v>
      </c>
      <c r="B78" t="s">
        <v>99</v>
      </c>
      <c r="C78" t="s">
        <v>1739</v>
      </c>
      <c r="D78" t="s">
        <v>80</v>
      </c>
      <c r="E78" t="s">
        <v>80</v>
      </c>
      <c r="F78" t="s">
        <v>81</v>
      </c>
      <c r="G78" t="s">
        <v>82</v>
      </c>
      <c r="H78" t="s">
        <v>368</v>
      </c>
      <c r="I78" t="s">
        <v>224</v>
      </c>
      <c r="J78" t="s">
        <v>133</v>
      </c>
      <c r="K78" t="s">
        <v>1740</v>
      </c>
      <c r="L78" t="s">
        <v>1741</v>
      </c>
      <c r="M78" t="s">
        <v>1742</v>
      </c>
      <c r="N78">
        <v>57</v>
      </c>
      <c r="O78" t="s">
        <v>89</v>
      </c>
      <c r="P78">
        <v>1440</v>
      </c>
      <c r="Q78">
        <v>1</v>
      </c>
      <c r="R78">
        <v>210</v>
      </c>
      <c r="S78">
        <v>0.90200000000000002</v>
      </c>
      <c r="T78" t="s">
        <v>373</v>
      </c>
      <c r="U78" t="s">
        <v>374</v>
      </c>
      <c r="V78" t="s">
        <v>1007</v>
      </c>
      <c r="W78" t="s">
        <v>93</v>
      </c>
      <c r="X78" t="s">
        <v>1008</v>
      </c>
      <c r="Y78" t="s">
        <v>377</v>
      </c>
      <c r="Z78" t="s">
        <v>1743</v>
      </c>
      <c r="AA78" t="s">
        <v>173</v>
      </c>
      <c r="AB78">
        <v>15508</v>
      </c>
      <c r="AC78">
        <v>35</v>
      </c>
      <c r="AD78" t="s">
        <v>1744</v>
      </c>
      <c r="AE78">
        <v>79</v>
      </c>
      <c r="AF78" t="s">
        <v>78</v>
      </c>
      <c r="AG78" t="s">
        <v>1745</v>
      </c>
      <c r="AH78" t="s">
        <v>80</v>
      </c>
      <c r="AI78" t="s">
        <v>80</v>
      </c>
      <c r="AJ78" t="s">
        <v>81</v>
      </c>
      <c r="AK78" t="s">
        <v>176</v>
      </c>
      <c r="AL78" t="s">
        <v>177</v>
      </c>
      <c r="AM78" t="s">
        <v>209</v>
      </c>
      <c r="AN78" t="s">
        <v>1746</v>
      </c>
      <c r="AO78" t="s">
        <v>1747</v>
      </c>
      <c r="AP78" t="s">
        <v>1748</v>
      </c>
      <c r="AQ78">
        <v>36</v>
      </c>
      <c r="AR78" t="s">
        <v>89</v>
      </c>
      <c r="AS78">
        <v>1440</v>
      </c>
      <c r="AT78">
        <v>1</v>
      </c>
      <c r="AU78">
        <v>185</v>
      </c>
      <c r="AV78">
        <v>1</v>
      </c>
      <c r="AW78" t="s">
        <v>182</v>
      </c>
      <c r="AX78" t="s">
        <v>213</v>
      </c>
      <c r="AY78" t="s">
        <v>265</v>
      </c>
      <c r="AZ78" t="s">
        <v>215</v>
      </c>
      <c r="BA78" t="s">
        <v>186</v>
      </c>
      <c r="BB78" t="s">
        <v>267</v>
      </c>
      <c r="BC78" t="s">
        <v>1749</v>
      </c>
      <c r="BD78" t="s">
        <v>219</v>
      </c>
      <c r="BE78">
        <v>48780</v>
      </c>
      <c r="BF78" t="s">
        <v>1750</v>
      </c>
      <c r="BG78">
        <v>71</v>
      </c>
      <c r="BH78" t="s">
        <v>89</v>
      </c>
      <c r="BI78">
        <v>1</v>
      </c>
      <c r="BJ78">
        <v>16</v>
      </c>
      <c r="BK78">
        <v>0</v>
      </c>
      <c r="BL78">
        <v>4</v>
      </c>
      <c r="BM78">
        <v>5</v>
      </c>
      <c r="BN78">
        <v>4</v>
      </c>
      <c r="BO78">
        <v>30</v>
      </c>
      <c r="BP78">
        <v>0</v>
      </c>
      <c r="BQ78">
        <v>9</v>
      </c>
      <c r="BR78">
        <f t="shared" si="34"/>
        <v>17</v>
      </c>
      <c r="BS78">
        <f t="shared" si="35"/>
        <v>1</v>
      </c>
      <c r="BT78">
        <f t="shared" si="36"/>
        <v>5</v>
      </c>
      <c r="BU78">
        <f t="shared" si="37"/>
        <v>6</v>
      </c>
      <c r="BV78">
        <f t="shared" si="38"/>
        <v>5</v>
      </c>
      <c r="BW78">
        <f t="shared" si="39"/>
        <v>31</v>
      </c>
      <c r="BX78">
        <f t="shared" si="40"/>
        <v>1</v>
      </c>
      <c r="BY78">
        <f t="shared" si="41"/>
        <v>10</v>
      </c>
      <c r="BZ78">
        <f t="shared" si="42"/>
        <v>5.4605669259270639</v>
      </c>
      <c r="CA78">
        <v>5.4605669259270639</v>
      </c>
      <c r="CB78">
        <v>5.4605669259270639</v>
      </c>
      <c r="CC78">
        <v>5.4605669259270639</v>
      </c>
      <c r="CD78">
        <v>5.4605669259270639</v>
      </c>
      <c r="CE78">
        <v>5.4605669259270639</v>
      </c>
      <c r="CF78">
        <v>5.4605669259270639</v>
      </c>
      <c r="CG78">
        <v>5.4605669259270639</v>
      </c>
      <c r="CH78">
        <f t="shared" si="43"/>
        <v>0.49321118709474543</v>
      </c>
      <c r="CI78">
        <f t="shared" si="44"/>
        <v>-0.73723773428352857</v>
      </c>
      <c r="CJ78">
        <f t="shared" si="45"/>
        <v>-3.8267729947509724E-2</v>
      </c>
      <c r="CK78">
        <f t="shared" si="46"/>
        <v>4.0913516100115108E-2</v>
      </c>
      <c r="CL78">
        <f t="shared" si="47"/>
        <v>-3.8267729947509724E-2</v>
      </c>
      <c r="CM78">
        <f t="shared" si="48"/>
        <v>0.75412395955074418</v>
      </c>
      <c r="CN78">
        <f t="shared" si="49"/>
        <v>-0.73723773428352857</v>
      </c>
      <c r="CO78">
        <f t="shared" si="50"/>
        <v>0.26276226571647149</v>
      </c>
      <c r="CP78">
        <v>79</v>
      </c>
      <c r="CQ78">
        <v>-0.191253971399138</v>
      </c>
      <c r="CR78">
        <v>-2.8101924918208301</v>
      </c>
      <c r="CS78">
        <v>0.434144437538932</v>
      </c>
      <c r="CT78">
        <v>-5.5759160254824497E-2</v>
      </c>
      <c r="CU78">
        <v>-0.193220405712347</v>
      </c>
      <c r="CV78">
        <v>8.93846465577674E-2</v>
      </c>
      <c r="CW78">
        <v>-2.83505630539632</v>
      </c>
      <c r="CX78">
        <v>0.27207860147599899</v>
      </c>
    </row>
    <row r="79" spans="1:102" x14ac:dyDescent="0.35">
      <c r="A79" t="s">
        <v>1508</v>
      </c>
      <c r="B79" t="s">
        <v>78</v>
      </c>
      <c r="C79" t="s">
        <v>1509</v>
      </c>
      <c r="D79" t="s">
        <v>80</v>
      </c>
      <c r="E79" t="s">
        <v>80</v>
      </c>
      <c r="F79" t="s">
        <v>81</v>
      </c>
      <c r="G79" t="s">
        <v>82</v>
      </c>
      <c r="H79" t="s">
        <v>1510</v>
      </c>
      <c r="I79" t="s">
        <v>132</v>
      </c>
      <c r="J79" t="s">
        <v>85</v>
      </c>
      <c r="K79" t="s">
        <v>1511</v>
      </c>
      <c r="L79" t="s">
        <v>1512</v>
      </c>
      <c r="M79" t="s">
        <v>1513</v>
      </c>
      <c r="N79">
        <v>72</v>
      </c>
      <c r="O79" t="s">
        <v>89</v>
      </c>
      <c r="P79">
        <v>1455</v>
      </c>
      <c r="Q79">
        <v>1</v>
      </c>
      <c r="R79">
        <v>222</v>
      </c>
      <c r="S79">
        <v>0.95830000000000004</v>
      </c>
      <c r="T79" t="s">
        <v>1514</v>
      </c>
      <c r="U79" t="s">
        <v>1515</v>
      </c>
      <c r="V79" t="s">
        <v>1516</v>
      </c>
      <c r="W79" t="s">
        <v>93</v>
      </c>
      <c r="X79" t="s">
        <v>1517</v>
      </c>
      <c r="Y79" t="s">
        <v>1518</v>
      </c>
      <c r="Z79" t="s">
        <v>1519</v>
      </c>
      <c r="AA79" t="s">
        <v>173</v>
      </c>
      <c r="AB79">
        <v>37078</v>
      </c>
      <c r="AC79">
        <v>37</v>
      </c>
      <c r="AD79" t="s">
        <v>1520</v>
      </c>
      <c r="AE79">
        <v>80</v>
      </c>
      <c r="AF79" t="s">
        <v>99</v>
      </c>
      <c r="AG79" t="s">
        <v>1521</v>
      </c>
      <c r="AH79" t="s">
        <v>80</v>
      </c>
      <c r="AI79" t="s">
        <v>80</v>
      </c>
      <c r="AJ79" t="s">
        <v>81</v>
      </c>
      <c r="AK79" t="s">
        <v>176</v>
      </c>
      <c r="AL79" t="s">
        <v>354</v>
      </c>
      <c r="AM79" t="s">
        <v>261</v>
      </c>
      <c r="AN79" t="s">
        <v>1522</v>
      </c>
      <c r="AO79" t="s">
        <v>1523</v>
      </c>
      <c r="AP79" t="s">
        <v>1524</v>
      </c>
      <c r="AQ79">
        <v>45</v>
      </c>
      <c r="AR79" t="s">
        <v>89</v>
      </c>
      <c r="AS79">
        <v>1425</v>
      </c>
      <c r="AT79">
        <v>1</v>
      </c>
      <c r="AU79">
        <v>181</v>
      </c>
      <c r="AV79">
        <v>0.97370000000000001</v>
      </c>
      <c r="AW79" t="s">
        <v>358</v>
      </c>
      <c r="AX79" t="s">
        <v>359</v>
      </c>
      <c r="AY79" t="s">
        <v>360</v>
      </c>
      <c r="AZ79" t="s">
        <v>185</v>
      </c>
      <c r="BA79" t="s">
        <v>361</v>
      </c>
      <c r="BB79" t="s">
        <v>362</v>
      </c>
      <c r="BC79" t="s">
        <v>1525</v>
      </c>
      <c r="BD79" t="s">
        <v>364</v>
      </c>
      <c r="BE79">
        <v>30474</v>
      </c>
      <c r="BF79" t="s">
        <v>1526</v>
      </c>
      <c r="BG79">
        <v>45</v>
      </c>
      <c r="BH79" t="s">
        <v>89</v>
      </c>
      <c r="BI79">
        <v>1</v>
      </c>
      <c r="BJ79">
        <v>8</v>
      </c>
      <c r="BK79">
        <v>0</v>
      </c>
      <c r="BL79">
        <v>0</v>
      </c>
      <c r="BM79">
        <v>6</v>
      </c>
      <c r="BN79">
        <v>4</v>
      </c>
      <c r="BO79">
        <v>16</v>
      </c>
      <c r="BP79">
        <v>0</v>
      </c>
      <c r="BQ79">
        <v>4</v>
      </c>
      <c r="BR79">
        <f t="shared" si="34"/>
        <v>9</v>
      </c>
      <c r="BS79">
        <f t="shared" si="35"/>
        <v>1</v>
      </c>
      <c r="BT79">
        <f t="shared" si="36"/>
        <v>1</v>
      </c>
      <c r="BU79">
        <f t="shared" si="37"/>
        <v>7</v>
      </c>
      <c r="BV79">
        <f t="shared" si="38"/>
        <v>5</v>
      </c>
      <c r="BW79">
        <f t="shared" si="39"/>
        <v>17</v>
      </c>
      <c r="BX79">
        <f t="shared" si="40"/>
        <v>1</v>
      </c>
      <c r="BY79">
        <f t="shared" si="41"/>
        <v>5</v>
      </c>
      <c r="BZ79">
        <f t="shared" si="42"/>
        <v>3.5765655161723817</v>
      </c>
      <c r="CA79">
        <v>3.5765655161723817</v>
      </c>
      <c r="CB79">
        <v>3.5765655161723817</v>
      </c>
      <c r="CC79">
        <v>3.5765655161723817</v>
      </c>
      <c r="CD79">
        <v>3.5765655161723817</v>
      </c>
      <c r="CE79">
        <v>3.5765655161723817</v>
      </c>
      <c r="CF79">
        <v>3.5765655161723817</v>
      </c>
      <c r="CG79">
        <v>3.5765655161723817</v>
      </c>
      <c r="CH79">
        <f t="shared" si="43"/>
        <v>0.40077632450133821</v>
      </c>
      <c r="CI79">
        <f t="shared" si="44"/>
        <v>-0.5534661849379866</v>
      </c>
      <c r="CJ79">
        <f t="shared" si="45"/>
        <v>-0.5534661849379866</v>
      </c>
      <c r="CK79">
        <f t="shared" si="46"/>
        <v>0.29163185507627015</v>
      </c>
      <c r="CL79">
        <f t="shared" si="47"/>
        <v>0.14550381939803214</v>
      </c>
      <c r="CM79">
        <f t="shared" si="48"/>
        <v>0.67698273644028728</v>
      </c>
      <c r="CN79">
        <f t="shared" si="49"/>
        <v>-0.5534661849379866</v>
      </c>
      <c r="CO79">
        <f t="shared" si="50"/>
        <v>0.14550381939803214</v>
      </c>
      <c r="CP79">
        <v>80</v>
      </c>
      <c r="CQ79">
        <v>-0.32244304321314399</v>
      </c>
      <c r="CR79">
        <v>-2.8101924918208301</v>
      </c>
      <c r="CS79">
        <v>-1.90638622950665</v>
      </c>
      <c r="CT79">
        <v>0.50594665218466295</v>
      </c>
      <c r="CU79">
        <v>0.26902632803177401</v>
      </c>
      <c r="CV79">
        <v>-6.40176456472107E-2</v>
      </c>
      <c r="CW79">
        <v>-2.83505630539632</v>
      </c>
      <c r="CX79">
        <v>4.3735846061453101E-2</v>
      </c>
    </row>
    <row r="80" spans="1:102" x14ac:dyDescent="0.35">
      <c r="A80" t="s">
        <v>1663</v>
      </c>
      <c r="B80" t="s">
        <v>78</v>
      </c>
      <c r="C80" t="s">
        <v>1664</v>
      </c>
      <c r="D80" t="s">
        <v>80</v>
      </c>
      <c r="E80" t="s">
        <v>80</v>
      </c>
      <c r="F80" t="s">
        <v>81</v>
      </c>
      <c r="G80" t="s">
        <v>82</v>
      </c>
      <c r="H80" t="s">
        <v>1665</v>
      </c>
      <c r="I80" t="s">
        <v>342</v>
      </c>
      <c r="J80" t="s">
        <v>162</v>
      </c>
      <c r="K80" t="s">
        <v>1666</v>
      </c>
      <c r="L80" t="s">
        <v>1667</v>
      </c>
      <c r="M80" t="s">
        <v>1668</v>
      </c>
      <c r="N80">
        <v>33</v>
      </c>
      <c r="O80" t="s">
        <v>89</v>
      </c>
      <c r="P80">
        <v>1425</v>
      </c>
      <c r="Q80">
        <v>1</v>
      </c>
      <c r="R80">
        <v>202</v>
      </c>
      <c r="S80">
        <v>0.8679</v>
      </c>
      <c r="T80" t="s">
        <v>1669</v>
      </c>
      <c r="U80" t="s">
        <v>1670</v>
      </c>
      <c r="V80" t="s">
        <v>1671</v>
      </c>
      <c r="W80" t="s">
        <v>427</v>
      </c>
      <c r="X80" t="s">
        <v>1672</v>
      </c>
      <c r="Y80" t="s">
        <v>1673</v>
      </c>
      <c r="Z80" t="s">
        <v>1674</v>
      </c>
      <c r="AA80" t="s">
        <v>173</v>
      </c>
      <c r="AB80">
        <v>22396</v>
      </c>
      <c r="AC80">
        <v>37</v>
      </c>
      <c r="AD80" t="s">
        <v>1675</v>
      </c>
      <c r="AE80">
        <v>81</v>
      </c>
      <c r="AF80" t="s">
        <v>99</v>
      </c>
      <c r="AG80" t="s">
        <v>1676</v>
      </c>
      <c r="AH80" t="s">
        <v>80</v>
      </c>
      <c r="AI80" t="s">
        <v>80</v>
      </c>
      <c r="AJ80" t="s">
        <v>81</v>
      </c>
      <c r="AK80" t="s">
        <v>176</v>
      </c>
      <c r="AL80" t="s">
        <v>659</v>
      </c>
      <c r="AM80" t="s">
        <v>178</v>
      </c>
      <c r="AN80" t="s">
        <v>660</v>
      </c>
      <c r="AO80" t="s">
        <v>661</v>
      </c>
      <c r="AP80" t="s">
        <v>662</v>
      </c>
      <c r="AQ80">
        <v>33</v>
      </c>
      <c r="AR80" t="s">
        <v>89</v>
      </c>
      <c r="AS80">
        <v>1395</v>
      </c>
      <c r="AT80">
        <v>1</v>
      </c>
      <c r="AU80">
        <v>180</v>
      </c>
      <c r="AV80">
        <v>1</v>
      </c>
      <c r="AW80" t="s">
        <v>663</v>
      </c>
      <c r="AX80" t="s">
        <v>664</v>
      </c>
      <c r="AY80" t="s">
        <v>665</v>
      </c>
      <c r="AZ80" t="s">
        <v>185</v>
      </c>
      <c r="BA80" t="s">
        <v>666</v>
      </c>
      <c r="BB80" t="s">
        <v>667</v>
      </c>
      <c r="BC80" t="s">
        <v>668</v>
      </c>
      <c r="BD80" t="s">
        <v>189</v>
      </c>
      <c r="BE80">
        <v>28986</v>
      </c>
      <c r="BF80" t="s">
        <v>669</v>
      </c>
      <c r="BG80">
        <v>44</v>
      </c>
      <c r="BH80" t="s">
        <v>89</v>
      </c>
      <c r="BI80">
        <v>1</v>
      </c>
      <c r="BJ80">
        <v>78</v>
      </c>
      <c r="BK80">
        <v>0</v>
      </c>
      <c r="BL80">
        <v>10</v>
      </c>
      <c r="BM80">
        <v>42</v>
      </c>
      <c r="BN80">
        <v>29</v>
      </c>
      <c r="BO80">
        <v>1368</v>
      </c>
      <c r="BP80">
        <v>0</v>
      </c>
      <c r="BQ80">
        <v>4</v>
      </c>
      <c r="BR80">
        <f t="shared" si="34"/>
        <v>79</v>
      </c>
      <c r="BS80">
        <f t="shared" si="35"/>
        <v>1</v>
      </c>
      <c r="BT80">
        <f t="shared" si="36"/>
        <v>11</v>
      </c>
      <c r="BU80">
        <f t="shared" si="37"/>
        <v>43</v>
      </c>
      <c r="BV80">
        <f t="shared" si="38"/>
        <v>30</v>
      </c>
      <c r="BW80">
        <f t="shared" si="39"/>
        <v>1369</v>
      </c>
      <c r="BX80">
        <f t="shared" si="40"/>
        <v>1</v>
      </c>
      <c r="BY80">
        <f t="shared" si="41"/>
        <v>5</v>
      </c>
      <c r="BZ80">
        <f t="shared" si="42"/>
        <v>17.203739879576226</v>
      </c>
      <c r="CA80">
        <v>17.203739879576226</v>
      </c>
      <c r="CB80">
        <v>17.203739879576226</v>
      </c>
      <c r="CC80">
        <v>17.203739879576226</v>
      </c>
      <c r="CD80">
        <v>17.203739879576226</v>
      </c>
      <c r="CE80">
        <v>17.203739879576226</v>
      </c>
      <c r="CF80">
        <v>17.203739879576226</v>
      </c>
      <c r="CG80">
        <v>17.203739879576226</v>
      </c>
      <c r="CH80">
        <f t="shared" si="43"/>
        <v>0.6620042238882009</v>
      </c>
      <c r="CI80">
        <f t="shared" si="44"/>
        <v>-1.2356228674022405</v>
      </c>
      <c r="CJ80">
        <f t="shared" si="45"/>
        <v>-0.19423018224401545</v>
      </c>
      <c r="CK80">
        <f t="shared" si="46"/>
        <v>0.397845588177346</v>
      </c>
      <c r="CL80">
        <f t="shared" si="47"/>
        <v>0.24149838731742196</v>
      </c>
      <c r="CM80">
        <f t="shared" si="48"/>
        <v>1.9007805807317495</v>
      </c>
      <c r="CN80">
        <f t="shared" si="49"/>
        <v>-1.2356228674022405</v>
      </c>
      <c r="CO80">
        <f t="shared" si="50"/>
        <v>-0.53665286306622173</v>
      </c>
      <c r="CP80">
        <v>81</v>
      </c>
      <c r="CQ80">
        <v>4.8307176898388302E-2</v>
      </c>
      <c r="CR80">
        <v>-2.8101924918208301</v>
      </c>
      <c r="CS80">
        <v>4.0131662367647501E-2</v>
      </c>
      <c r="CT80">
        <v>0.74390639413016402</v>
      </c>
      <c r="CU80">
        <v>0.51048468018661197</v>
      </c>
      <c r="CV80">
        <v>2.3696149432606699</v>
      </c>
      <c r="CW80">
        <v>-2.83505630539632</v>
      </c>
      <c r="CX80">
        <v>-1.28465917697441</v>
      </c>
    </row>
    <row r="81" spans="1:102" x14ac:dyDescent="0.35">
      <c r="A81" t="s">
        <v>1620</v>
      </c>
      <c r="B81" t="s">
        <v>99</v>
      </c>
      <c r="C81" t="s">
        <v>1621</v>
      </c>
      <c r="D81" t="s">
        <v>80</v>
      </c>
      <c r="E81" t="s">
        <v>80</v>
      </c>
      <c r="F81" t="s">
        <v>81</v>
      </c>
      <c r="G81" t="s">
        <v>82</v>
      </c>
      <c r="H81" t="s">
        <v>815</v>
      </c>
      <c r="I81" t="s">
        <v>771</v>
      </c>
      <c r="J81" t="s">
        <v>195</v>
      </c>
      <c r="K81" t="s">
        <v>1622</v>
      </c>
      <c r="L81" t="s">
        <v>1623</v>
      </c>
      <c r="M81" t="s">
        <v>1624</v>
      </c>
      <c r="N81">
        <v>60</v>
      </c>
      <c r="O81" t="s">
        <v>89</v>
      </c>
      <c r="P81">
        <v>1290</v>
      </c>
      <c r="Q81">
        <v>0.93200000000000005</v>
      </c>
      <c r="R81">
        <v>223</v>
      </c>
      <c r="S81">
        <v>0.94</v>
      </c>
      <c r="T81" t="s">
        <v>1625</v>
      </c>
      <c r="U81" t="s">
        <v>1626</v>
      </c>
      <c r="V81" t="s">
        <v>1627</v>
      </c>
      <c r="W81" t="s">
        <v>202</v>
      </c>
      <c r="X81" t="s">
        <v>1628</v>
      </c>
      <c r="Y81" t="s">
        <v>1629</v>
      </c>
      <c r="Z81" t="s">
        <v>1630</v>
      </c>
      <c r="AA81" t="s">
        <v>173</v>
      </c>
      <c r="AB81">
        <v>18062</v>
      </c>
      <c r="AC81">
        <v>30</v>
      </c>
      <c r="AD81" t="s">
        <v>1631</v>
      </c>
      <c r="AE81">
        <v>82</v>
      </c>
      <c r="AF81" t="s">
        <v>78</v>
      </c>
      <c r="AG81" t="s">
        <v>1632</v>
      </c>
      <c r="AH81" t="s">
        <v>80</v>
      </c>
      <c r="AI81" t="s">
        <v>80</v>
      </c>
      <c r="AJ81" t="s">
        <v>81</v>
      </c>
      <c r="AK81" t="s">
        <v>176</v>
      </c>
      <c r="AL81" t="s">
        <v>1125</v>
      </c>
      <c r="AM81" t="s">
        <v>178</v>
      </c>
      <c r="AN81" t="s">
        <v>1633</v>
      </c>
      <c r="AO81" t="s">
        <v>1634</v>
      </c>
      <c r="AP81" t="s">
        <v>1635</v>
      </c>
      <c r="AQ81">
        <v>36</v>
      </c>
      <c r="AR81" t="s">
        <v>89</v>
      </c>
      <c r="AS81">
        <v>1422</v>
      </c>
      <c r="AT81">
        <v>0.99309999999999998</v>
      </c>
      <c r="AU81">
        <v>172</v>
      </c>
      <c r="AV81">
        <v>0.94740000000000002</v>
      </c>
      <c r="AW81" t="s">
        <v>1419</v>
      </c>
      <c r="AX81" t="s">
        <v>1636</v>
      </c>
      <c r="AY81" t="s">
        <v>1637</v>
      </c>
      <c r="AZ81" t="s">
        <v>185</v>
      </c>
      <c r="BA81" t="s">
        <v>186</v>
      </c>
      <c r="BB81" t="s">
        <v>1638</v>
      </c>
      <c r="BC81" t="s">
        <v>1639</v>
      </c>
      <c r="BD81" t="s">
        <v>189</v>
      </c>
      <c r="BE81">
        <v>42412</v>
      </c>
      <c r="BF81" t="s">
        <v>1640</v>
      </c>
      <c r="BG81">
        <v>50</v>
      </c>
      <c r="BH81" t="s">
        <v>89</v>
      </c>
      <c r="BI81">
        <v>1</v>
      </c>
      <c r="BJ81">
        <v>9</v>
      </c>
      <c r="BK81">
        <v>0</v>
      </c>
      <c r="BL81">
        <v>0</v>
      </c>
      <c r="BM81">
        <v>16</v>
      </c>
      <c r="BN81">
        <v>8</v>
      </c>
      <c r="BO81">
        <v>22</v>
      </c>
      <c r="BP81">
        <v>0</v>
      </c>
      <c r="BQ81">
        <v>24</v>
      </c>
      <c r="BR81">
        <f t="shared" si="34"/>
        <v>10</v>
      </c>
      <c r="BS81">
        <f t="shared" si="35"/>
        <v>1</v>
      </c>
      <c r="BT81">
        <f t="shared" si="36"/>
        <v>1</v>
      </c>
      <c r="BU81">
        <f t="shared" si="37"/>
        <v>17</v>
      </c>
      <c r="BV81">
        <f t="shared" si="38"/>
        <v>9</v>
      </c>
      <c r="BW81">
        <f t="shared" si="39"/>
        <v>23</v>
      </c>
      <c r="BX81">
        <f t="shared" si="40"/>
        <v>1</v>
      </c>
      <c r="BY81">
        <f t="shared" si="41"/>
        <v>25</v>
      </c>
      <c r="BZ81">
        <f t="shared" si="42"/>
        <v>5.5340733289367998</v>
      </c>
      <c r="CA81">
        <v>5.5340733289367998</v>
      </c>
      <c r="CB81">
        <v>5.5340733289367998</v>
      </c>
      <c r="CC81">
        <v>5.5340733289367998</v>
      </c>
      <c r="CD81">
        <v>5.5340733289367998</v>
      </c>
      <c r="CE81">
        <v>5.5340733289367998</v>
      </c>
      <c r="CF81">
        <v>5.5340733289367998</v>
      </c>
      <c r="CG81">
        <v>5.5340733289367998</v>
      </c>
      <c r="CH81">
        <f t="shared" si="43"/>
        <v>0.25695509056159632</v>
      </c>
      <c r="CI81">
        <f t="shared" si="44"/>
        <v>-0.74304490943840362</v>
      </c>
      <c r="CJ81">
        <f t="shared" si="45"/>
        <v>-0.74304490943840362</v>
      </c>
      <c r="CK81">
        <f t="shared" si="46"/>
        <v>0.48740401193987021</v>
      </c>
      <c r="CL81">
        <f t="shared" si="47"/>
        <v>0.21119760000092117</v>
      </c>
      <c r="CM81">
        <f t="shared" si="48"/>
        <v>0.61868292657918922</v>
      </c>
      <c r="CN81">
        <f t="shared" si="49"/>
        <v>-0.74304490943840362</v>
      </c>
      <c r="CO81">
        <f t="shared" si="50"/>
        <v>0.65489509923363387</v>
      </c>
      <c r="CP81">
        <v>82</v>
      </c>
      <c r="CQ81">
        <v>-0.526562719040362</v>
      </c>
      <c r="CR81">
        <v>-2.8101924918208301</v>
      </c>
      <c r="CS81">
        <v>-1.90638622950665</v>
      </c>
      <c r="CT81">
        <v>0.94455181714053704</v>
      </c>
      <c r="CU81">
        <v>0.43426809488378199</v>
      </c>
      <c r="CV81">
        <v>-0.17995208520102801</v>
      </c>
      <c r="CW81">
        <v>-2.83505630539632</v>
      </c>
      <c r="CX81">
        <v>1.03569686954222</v>
      </c>
    </row>
  </sheetData>
  <autoFilter ref="A1:CX1" xr:uid="{00000000-0009-0000-0000-000000000000}">
    <sortState xmlns:xlrd2="http://schemas.microsoft.com/office/spreadsheetml/2017/richdata2" ref="A2:CX81">
      <sortCondition ref="AE1"/>
    </sortState>
  </autoFilter>
  <conditionalFormatting sqref="CQ2:CX81">
    <cfRule type="colorScale" priority="2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conditionalFormatting sqref="CH2:CO81">
    <cfRule type="colorScale" priority="1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22DA-A6CA-403E-8092-43F3654DF40E}">
  <dimension ref="A1:CX6"/>
  <sheetViews>
    <sheetView topLeftCell="AD1" workbookViewId="0">
      <selection activeCell="AM7" sqref="AM7"/>
    </sheetView>
  </sheetViews>
  <sheetFormatPr defaultRowHeight="14.5" x14ac:dyDescent="0.35"/>
  <cols>
    <col min="1" max="2" width="0" hidden="1" customWidth="1"/>
    <col min="4" max="30" width="8.81640625" customWidth="1"/>
    <col min="31" max="31" width="8.81640625" style="5"/>
    <col min="32" max="32" width="8.81640625" style="5" hidden="1" customWidth="1"/>
    <col min="33" max="33" width="0" style="5" hidden="1" customWidth="1"/>
    <col min="34" max="36" width="8.81640625" style="5" hidden="1" customWidth="1"/>
    <col min="37" max="37" width="8.81640625" style="5" customWidth="1"/>
    <col min="38" max="102" width="8.81640625" customWidth="1"/>
  </cols>
  <sheetData>
    <row r="1" spans="1:10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1771</v>
      </c>
      <c r="BS1" t="s">
        <v>1772</v>
      </c>
      <c r="BT1" t="s">
        <v>1773</v>
      </c>
      <c r="BU1" t="s">
        <v>1774</v>
      </c>
      <c r="BV1" t="s">
        <v>1775</v>
      </c>
      <c r="BW1" t="s">
        <v>1776</v>
      </c>
      <c r="BX1" t="s">
        <v>1777</v>
      </c>
      <c r="BY1" t="s">
        <v>1778</v>
      </c>
      <c r="BZ1" t="s">
        <v>1779</v>
      </c>
      <c r="CA1" t="s">
        <v>1779</v>
      </c>
      <c r="CB1" t="s">
        <v>1779</v>
      </c>
      <c r="CC1" t="s">
        <v>1779</v>
      </c>
      <c r="CD1" t="s">
        <v>1779</v>
      </c>
      <c r="CE1" t="s">
        <v>1779</v>
      </c>
      <c r="CF1" t="s">
        <v>1779</v>
      </c>
      <c r="CG1" t="s">
        <v>1779</v>
      </c>
      <c r="CH1" t="s">
        <v>1780</v>
      </c>
      <c r="CI1" t="s">
        <v>1781</v>
      </c>
      <c r="CJ1" t="s">
        <v>1782</v>
      </c>
      <c r="CK1" t="s">
        <v>1783</v>
      </c>
      <c r="CL1" t="s">
        <v>1784</v>
      </c>
      <c r="CM1" t="s">
        <v>1785</v>
      </c>
      <c r="CN1" t="s">
        <v>1786</v>
      </c>
      <c r="CO1" t="s">
        <v>1787</v>
      </c>
      <c r="CP1" t="s">
        <v>30</v>
      </c>
      <c r="CQ1" t="s">
        <v>69</v>
      </c>
      <c r="CR1" t="s">
        <v>70</v>
      </c>
      <c r="CS1" t="s">
        <v>71</v>
      </c>
      <c r="CT1" t="s">
        <v>72</v>
      </c>
      <c r="CU1" t="s">
        <v>73</v>
      </c>
      <c r="CV1" t="s">
        <v>74</v>
      </c>
      <c r="CW1" t="s">
        <v>75</v>
      </c>
      <c r="CX1" t="s">
        <v>76</v>
      </c>
    </row>
    <row r="2" spans="1:102" x14ac:dyDescent="0.35">
      <c r="A2" t="s">
        <v>221</v>
      </c>
      <c r="B2" t="s">
        <v>78</v>
      </c>
      <c r="C2" t="s">
        <v>222</v>
      </c>
      <c r="D2" t="s">
        <v>80</v>
      </c>
      <c r="E2" t="s">
        <v>80</v>
      </c>
      <c r="F2" t="s">
        <v>81</v>
      </c>
      <c r="G2" t="s">
        <v>82</v>
      </c>
      <c r="H2" t="s">
        <v>223</v>
      </c>
      <c r="I2" t="s">
        <v>224</v>
      </c>
      <c r="J2" t="s">
        <v>162</v>
      </c>
      <c r="K2" t="s">
        <v>225</v>
      </c>
      <c r="L2" t="s">
        <v>226</v>
      </c>
      <c r="M2" t="s">
        <v>227</v>
      </c>
      <c r="N2">
        <v>72</v>
      </c>
      <c r="O2" t="s">
        <v>89</v>
      </c>
      <c r="P2">
        <v>1440</v>
      </c>
      <c r="Q2">
        <v>1</v>
      </c>
      <c r="R2">
        <v>283</v>
      </c>
      <c r="S2">
        <v>0.9516</v>
      </c>
      <c r="T2" t="s">
        <v>228</v>
      </c>
      <c r="U2" t="s">
        <v>229</v>
      </c>
      <c r="V2" t="s">
        <v>230</v>
      </c>
      <c r="W2" t="s">
        <v>231</v>
      </c>
      <c r="X2" t="s">
        <v>232</v>
      </c>
      <c r="Y2" t="s">
        <v>233</v>
      </c>
      <c r="Z2" t="s">
        <v>234</v>
      </c>
      <c r="AA2" t="s">
        <v>173</v>
      </c>
      <c r="AB2">
        <v>16314</v>
      </c>
      <c r="AC2">
        <v>30</v>
      </c>
      <c r="AD2" t="s">
        <v>235</v>
      </c>
      <c r="AE2" s="5">
        <v>3</v>
      </c>
      <c r="AF2" s="5" t="s">
        <v>99</v>
      </c>
      <c r="AG2" s="5" t="s">
        <v>236</v>
      </c>
      <c r="AH2" s="5" t="s">
        <v>80</v>
      </c>
      <c r="AI2" s="5" t="s">
        <v>80</v>
      </c>
      <c r="AJ2" s="5" t="s">
        <v>81</v>
      </c>
      <c r="AK2" s="5" t="s">
        <v>101</v>
      </c>
      <c r="AL2" t="s">
        <v>237</v>
      </c>
      <c r="AM2" t="s">
        <v>146</v>
      </c>
      <c r="AN2" t="s">
        <v>238</v>
      </c>
      <c r="AO2" t="s">
        <v>239</v>
      </c>
      <c r="AP2" t="s">
        <v>240</v>
      </c>
      <c r="AQ2">
        <v>33</v>
      </c>
      <c r="AR2" t="s">
        <v>89</v>
      </c>
      <c r="AS2">
        <v>1485</v>
      </c>
      <c r="AT2">
        <v>1</v>
      </c>
      <c r="AU2">
        <v>175</v>
      </c>
      <c r="AV2">
        <v>1</v>
      </c>
      <c r="AW2" t="s">
        <v>241</v>
      </c>
      <c r="AX2" t="s">
        <v>242</v>
      </c>
      <c r="AY2" t="s">
        <v>243</v>
      </c>
      <c r="AZ2" t="s">
        <v>153</v>
      </c>
      <c r="BA2" t="s">
        <v>244</v>
      </c>
      <c r="BB2" t="s">
        <v>245</v>
      </c>
      <c r="BC2" t="s">
        <v>246</v>
      </c>
      <c r="BD2" t="s">
        <v>114</v>
      </c>
      <c r="BE2">
        <v>36060</v>
      </c>
      <c r="BF2" t="s">
        <v>247</v>
      </c>
      <c r="BG2">
        <v>32</v>
      </c>
      <c r="BH2" t="s">
        <v>89</v>
      </c>
      <c r="BI2">
        <v>1</v>
      </c>
      <c r="BJ2">
        <v>365</v>
      </c>
      <c r="BK2">
        <v>0</v>
      </c>
      <c r="BL2">
        <v>431</v>
      </c>
      <c r="BM2">
        <v>235</v>
      </c>
      <c r="BN2">
        <v>26</v>
      </c>
      <c r="BO2">
        <v>5215</v>
      </c>
      <c r="BP2">
        <v>0</v>
      </c>
      <c r="BQ2">
        <v>1310</v>
      </c>
      <c r="BR2">
        <f t="shared" ref="BR2:BY6" si="0">BJ2+1</f>
        <v>366</v>
      </c>
      <c r="BS2">
        <f t="shared" si="0"/>
        <v>1</v>
      </c>
      <c r="BT2">
        <f t="shared" si="0"/>
        <v>432</v>
      </c>
      <c r="BU2">
        <f t="shared" si="0"/>
        <v>236</v>
      </c>
      <c r="BV2">
        <f t="shared" si="0"/>
        <v>27</v>
      </c>
      <c r="BW2">
        <f t="shared" si="0"/>
        <v>5216</v>
      </c>
      <c r="BX2">
        <f t="shared" si="0"/>
        <v>1</v>
      </c>
      <c r="BY2">
        <f t="shared" si="0"/>
        <v>1311</v>
      </c>
      <c r="BZ2">
        <f t="shared" ref="BZ2:BZ6" si="1">GEOMEAN(BR2:BY2)</f>
        <v>95.449269555819868</v>
      </c>
      <c r="CA2">
        <v>95.449269555819868</v>
      </c>
      <c r="CB2">
        <v>95.449269555819868</v>
      </c>
      <c r="CC2">
        <v>95.449269555819868</v>
      </c>
      <c r="CD2">
        <v>95.449269555819868</v>
      </c>
      <c r="CE2">
        <v>95.449269555819868</v>
      </c>
      <c r="CF2">
        <v>95.449269555819868</v>
      </c>
      <c r="CG2">
        <v>95.449269555819868</v>
      </c>
      <c r="CH2">
        <f t="shared" ref="CH2:CO6" si="2">LOG(BR2/BZ2)</f>
        <v>0.58370847617536514</v>
      </c>
      <c r="CI2">
        <f t="shared" si="2"/>
        <v>-1.9797726092190455</v>
      </c>
      <c r="CJ2">
        <f t="shared" si="2"/>
        <v>0.65571113759586652</v>
      </c>
      <c r="CK2">
        <f t="shared" si="2"/>
        <v>0.39313939375106105</v>
      </c>
      <c r="CL2">
        <f t="shared" si="2"/>
        <v>-0.54840884506005827</v>
      </c>
      <c r="CM2">
        <f t="shared" si="2"/>
        <v>1.7375649735048182</v>
      </c>
      <c r="CN2">
        <f t="shared" si="2"/>
        <v>-1.9797726092190455</v>
      </c>
      <c r="CO2">
        <f t="shared" si="2"/>
        <v>1.1378300824710388</v>
      </c>
      <c r="CP2">
        <v>3</v>
      </c>
      <c r="CQ2">
        <v>-6.2814819513418899E-2</v>
      </c>
      <c r="CR2">
        <v>-2.8101924918208301</v>
      </c>
      <c r="CS2">
        <v>2.18736475104844</v>
      </c>
      <c r="CT2">
        <v>0.73336270285289396</v>
      </c>
      <c r="CU2">
        <v>-1.4763954404179001</v>
      </c>
      <c r="CV2">
        <v>2.0450459610397398</v>
      </c>
      <c r="CW2">
        <v>-2.83505630539632</v>
      </c>
      <c r="CX2">
        <v>1.9761383321472401</v>
      </c>
    </row>
    <row r="3" spans="1:102" x14ac:dyDescent="0.35">
      <c r="A3" t="s">
        <v>580</v>
      </c>
      <c r="B3" t="s">
        <v>78</v>
      </c>
      <c r="C3" t="s">
        <v>581</v>
      </c>
      <c r="D3" t="s">
        <v>80</v>
      </c>
      <c r="E3" t="s">
        <v>80</v>
      </c>
      <c r="F3" t="s">
        <v>81</v>
      </c>
      <c r="G3" t="s">
        <v>82</v>
      </c>
      <c r="H3" t="s">
        <v>509</v>
      </c>
      <c r="I3" t="s">
        <v>272</v>
      </c>
      <c r="J3" t="s">
        <v>85</v>
      </c>
      <c r="K3" t="s">
        <v>582</v>
      </c>
      <c r="L3" t="s">
        <v>583</v>
      </c>
      <c r="M3" t="s">
        <v>584</v>
      </c>
      <c r="N3">
        <v>51</v>
      </c>
      <c r="O3" t="s">
        <v>89</v>
      </c>
      <c r="P3">
        <v>1278</v>
      </c>
      <c r="Q3">
        <v>0.9375</v>
      </c>
      <c r="R3">
        <v>177</v>
      </c>
      <c r="S3">
        <v>0.85419999999999996</v>
      </c>
      <c r="T3" t="s">
        <v>199</v>
      </c>
      <c r="U3" t="s">
        <v>585</v>
      </c>
      <c r="V3" t="s">
        <v>586</v>
      </c>
      <c r="W3" t="s">
        <v>587</v>
      </c>
      <c r="X3" t="s">
        <v>588</v>
      </c>
      <c r="Y3" t="s">
        <v>589</v>
      </c>
      <c r="Z3" t="s">
        <v>590</v>
      </c>
      <c r="AA3" t="s">
        <v>591</v>
      </c>
      <c r="AB3">
        <v>40</v>
      </c>
      <c r="AC3">
        <v>1</v>
      </c>
      <c r="AD3" t="s">
        <v>592</v>
      </c>
      <c r="AE3" s="5">
        <v>19</v>
      </c>
      <c r="AF3" s="5" t="s">
        <v>99</v>
      </c>
      <c r="AG3" s="5" t="s">
        <v>593</v>
      </c>
      <c r="AH3" s="5" t="s">
        <v>80</v>
      </c>
      <c r="AI3" s="5" t="s">
        <v>80</v>
      </c>
      <c r="AJ3" s="5" t="s">
        <v>81</v>
      </c>
      <c r="AK3" s="5" t="s">
        <v>176</v>
      </c>
      <c r="AL3" t="s">
        <v>177</v>
      </c>
      <c r="AM3" t="s">
        <v>178</v>
      </c>
      <c r="AN3" t="s">
        <v>594</v>
      </c>
      <c r="AO3" t="s">
        <v>595</v>
      </c>
      <c r="AP3" t="s">
        <v>596</v>
      </c>
      <c r="AQ3">
        <v>39</v>
      </c>
      <c r="AR3" t="s">
        <v>89</v>
      </c>
      <c r="AS3">
        <v>1341</v>
      </c>
      <c r="AT3">
        <v>0.96179999999999999</v>
      </c>
      <c r="AU3">
        <v>163</v>
      </c>
      <c r="AV3">
        <v>0.92110000000000003</v>
      </c>
      <c r="AW3" t="s">
        <v>182</v>
      </c>
      <c r="AX3" t="s">
        <v>183</v>
      </c>
      <c r="AY3" t="s">
        <v>597</v>
      </c>
      <c r="AZ3" t="s">
        <v>598</v>
      </c>
      <c r="BA3" t="s">
        <v>599</v>
      </c>
      <c r="BB3" t="s">
        <v>600</v>
      </c>
      <c r="BC3" t="s">
        <v>601</v>
      </c>
      <c r="BD3" t="s">
        <v>189</v>
      </c>
      <c r="BE3">
        <v>61536</v>
      </c>
      <c r="BF3" t="s">
        <v>602</v>
      </c>
      <c r="BG3">
        <v>555</v>
      </c>
      <c r="BH3" t="s">
        <v>89</v>
      </c>
      <c r="BI3">
        <v>1</v>
      </c>
      <c r="BJ3">
        <v>91</v>
      </c>
      <c r="BK3">
        <v>0</v>
      </c>
      <c r="BL3">
        <v>27</v>
      </c>
      <c r="BM3">
        <v>867</v>
      </c>
      <c r="BN3">
        <v>1269</v>
      </c>
      <c r="BO3">
        <v>1619</v>
      </c>
      <c r="BP3">
        <v>5</v>
      </c>
      <c r="BQ3">
        <v>934</v>
      </c>
      <c r="BR3">
        <f t="shared" si="0"/>
        <v>92</v>
      </c>
      <c r="BS3">
        <f t="shared" si="0"/>
        <v>1</v>
      </c>
      <c r="BT3">
        <f t="shared" si="0"/>
        <v>28</v>
      </c>
      <c r="BU3">
        <f t="shared" si="0"/>
        <v>868</v>
      </c>
      <c r="BV3">
        <f t="shared" si="0"/>
        <v>1270</v>
      </c>
      <c r="BW3">
        <f t="shared" si="0"/>
        <v>1620</v>
      </c>
      <c r="BX3">
        <f t="shared" si="0"/>
        <v>6</v>
      </c>
      <c r="BY3">
        <f t="shared" si="0"/>
        <v>935</v>
      </c>
      <c r="BZ3">
        <f t="shared" si="1"/>
        <v>112.5818543175432</v>
      </c>
      <c r="CA3">
        <v>112.5818543175432</v>
      </c>
      <c r="CB3">
        <v>112.5818543175432</v>
      </c>
      <c r="CC3">
        <v>112.5818543175432</v>
      </c>
      <c r="CD3">
        <v>112.5818543175432</v>
      </c>
      <c r="CE3">
        <v>112.5818543175432</v>
      </c>
      <c r="CF3">
        <v>112.5818543175432</v>
      </c>
      <c r="CG3">
        <v>112.5818543175432</v>
      </c>
      <c r="CH3">
        <f t="shared" si="2"/>
        <v>-8.7680570231821631E-2</v>
      </c>
      <c r="CI3">
        <f t="shared" si="2"/>
        <v>-2.0514683975773771</v>
      </c>
      <c r="CJ3">
        <f t="shared" si="2"/>
        <v>-0.60431036623515766</v>
      </c>
      <c r="CK3">
        <f t="shared" si="2"/>
        <v>0.88705132759911498</v>
      </c>
      <c r="CL3">
        <f t="shared" si="2"/>
        <v>1.0523353233785799</v>
      </c>
      <c r="CM3">
        <f t="shared" si="2"/>
        <v>1.1580466169652541</v>
      </c>
      <c r="CN3">
        <f t="shared" si="2"/>
        <v>-1.2733171471937332</v>
      </c>
      <c r="CO3">
        <f t="shared" si="2"/>
        <v>0.9193432132951409</v>
      </c>
      <c r="CP3">
        <v>19</v>
      </c>
      <c r="CQ3">
        <v>-1.01569021038928</v>
      </c>
      <c r="CR3">
        <v>-2.8101924918208301</v>
      </c>
      <c r="CS3">
        <v>-0.99586661130607901</v>
      </c>
      <c r="CT3">
        <v>1.8399159977120501</v>
      </c>
      <c r="CU3">
        <v>2.5500099855352598</v>
      </c>
      <c r="CV3">
        <v>0.89262134702061802</v>
      </c>
      <c r="CW3">
        <v>-1.4068501180697801</v>
      </c>
      <c r="CX3">
        <v>1.5506688218824101</v>
      </c>
    </row>
    <row r="4" spans="1:102" x14ac:dyDescent="0.35">
      <c r="A4" t="s">
        <v>1489</v>
      </c>
      <c r="B4" t="s">
        <v>99</v>
      </c>
      <c r="C4" t="s">
        <v>1490</v>
      </c>
      <c r="D4" t="s">
        <v>80</v>
      </c>
      <c r="E4" t="s">
        <v>80</v>
      </c>
      <c r="F4" t="s">
        <v>81</v>
      </c>
      <c r="G4" t="s">
        <v>82</v>
      </c>
      <c r="H4" t="s">
        <v>83</v>
      </c>
      <c r="I4" t="s">
        <v>272</v>
      </c>
      <c r="J4" t="s">
        <v>85</v>
      </c>
      <c r="K4" t="s">
        <v>1491</v>
      </c>
      <c r="L4" t="s">
        <v>1492</v>
      </c>
      <c r="M4" t="s">
        <v>1493</v>
      </c>
      <c r="N4">
        <v>54</v>
      </c>
      <c r="O4" t="s">
        <v>89</v>
      </c>
      <c r="P4">
        <v>1422</v>
      </c>
      <c r="Q4">
        <v>0.99309999999999998</v>
      </c>
      <c r="R4">
        <v>240</v>
      </c>
      <c r="S4">
        <v>1</v>
      </c>
      <c r="T4" t="s">
        <v>1494</v>
      </c>
      <c r="U4" t="s">
        <v>91</v>
      </c>
      <c r="V4" t="s">
        <v>1495</v>
      </c>
      <c r="W4" t="s">
        <v>93</v>
      </c>
      <c r="X4" t="s">
        <v>94</v>
      </c>
      <c r="Y4" t="s">
        <v>1496</v>
      </c>
      <c r="Z4" t="s">
        <v>1497</v>
      </c>
      <c r="AA4" t="s">
        <v>173</v>
      </c>
      <c r="AB4">
        <v>2130</v>
      </c>
      <c r="AC4">
        <v>63</v>
      </c>
      <c r="AD4" t="s">
        <v>1498</v>
      </c>
      <c r="AE4" s="5">
        <v>53</v>
      </c>
      <c r="AF4" s="5" t="s">
        <v>78</v>
      </c>
      <c r="AG4" s="5" t="s">
        <v>1499</v>
      </c>
      <c r="AH4" s="5" t="s">
        <v>80</v>
      </c>
      <c r="AI4" s="5" t="s">
        <v>80</v>
      </c>
      <c r="AJ4" s="5" t="s">
        <v>81</v>
      </c>
      <c r="AK4" s="5" t="s">
        <v>176</v>
      </c>
      <c r="AL4" t="s">
        <v>177</v>
      </c>
      <c r="AM4" t="s">
        <v>178</v>
      </c>
      <c r="AN4" t="s">
        <v>1500</v>
      </c>
      <c r="AO4" t="s">
        <v>1501</v>
      </c>
      <c r="AP4" t="s">
        <v>1502</v>
      </c>
      <c r="AQ4">
        <v>39</v>
      </c>
      <c r="AR4" t="s">
        <v>89</v>
      </c>
      <c r="AS4">
        <v>1341</v>
      </c>
      <c r="AT4">
        <v>0.96179999999999999</v>
      </c>
      <c r="AU4">
        <v>172</v>
      </c>
      <c r="AV4">
        <v>0.94740000000000002</v>
      </c>
      <c r="AW4" t="s">
        <v>1503</v>
      </c>
      <c r="AX4" t="s">
        <v>183</v>
      </c>
      <c r="AY4" t="s">
        <v>1504</v>
      </c>
      <c r="AZ4" t="s">
        <v>185</v>
      </c>
      <c r="BA4" t="s">
        <v>1505</v>
      </c>
      <c r="BB4" t="s">
        <v>600</v>
      </c>
      <c r="BC4" t="s">
        <v>1506</v>
      </c>
      <c r="BD4" t="s">
        <v>189</v>
      </c>
      <c r="BE4">
        <v>52626</v>
      </c>
      <c r="BF4" t="s">
        <v>1507</v>
      </c>
      <c r="BG4">
        <v>1249</v>
      </c>
      <c r="BH4" t="s">
        <v>89</v>
      </c>
      <c r="BI4">
        <v>1</v>
      </c>
      <c r="BJ4">
        <v>103</v>
      </c>
      <c r="BK4">
        <v>0</v>
      </c>
      <c r="BL4">
        <v>73</v>
      </c>
      <c r="BM4">
        <v>3020</v>
      </c>
      <c r="BN4">
        <v>4372</v>
      </c>
      <c r="BO4">
        <v>5693</v>
      </c>
      <c r="BP4">
        <v>15</v>
      </c>
      <c r="BQ4">
        <v>3046</v>
      </c>
      <c r="BR4">
        <f t="shared" si="0"/>
        <v>104</v>
      </c>
      <c r="BS4">
        <f t="shared" si="0"/>
        <v>1</v>
      </c>
      <c r="BT4">
        <f t="shared" si="0"/>
        <v>74</v>
      </c>
      <c r="BU4">
        <f t="shared" si="0"/>
        <v>3021</v>
      </c>
      <c r="BV4">
        <f t="shared" si="0"/>
        <v>4373</v>
      </c>
      <c r="BW4">
        <f t="shared" si="0"/>
        <v>5694</v>
      </c>
      <c r="BX4">
        <f t="shared" si="0"/>
        <v>16</v>
      </c>
      <c r="BY4">
        <f t="shared" si="0"/>
        <v>3047</v>
      </c>
      <c r="BZ4">
        <f t="shared" si="1"/>
        <v>269.97630253998392</v>
      </c>
      <c r="CA4">
        <v>269.97630253998392</v>
      </c>
      <c r="CB4">
        <v>269.97630253998392</v>
      </c>
      <c r="CC4">
        <v>269.97630253998392</v>
      </c>
      <c r="CD4">
        <v>269.97630253998392</v>
      </c>
      <c r="CE4">
        <v>269.97630253998392</v>
      </c>
      <c r="CF4">
        <v>269.97630253998392</v>
      </c>
      <c r="CG4">
        <v>269.97630253998392</v>
      </c>
      <c r="CH4">
        <f t="shared" si="2"/>
        <v>-0.41429230586839827</v>
      </c>
      <c r="CI4">
        <f t="shared" si="2"/>
        <v>-2.4313256451671785</v>
      </c>
      <c r="CJ4">
        <f t="shared" si="2"/>
        <v>-0.5620939254362024</v>
      </c>
      <c r="CK4">
        <f t="shared" si="2"/>
        <v>1.0488250801061019</v>
      </c>
      <c r="CL4">
        <f t="shared" si="2"/>
        <v>1.2094538321776784</v>
      </c>
      <c r="CM4">
        <f t="shared" si="2"/>
        <v>1.3240918176437577</v>
      </c>
      <c r="CN4">
        <f t="shared" si="2"/>
        <v>-1.2272056625112537</v>
      </c>
      <c r="CO4">
        <f t="shared" si="2"/>
        <v>1.052546809055495</v>
      </c>
      <c r="CP4">
        <v>53</v>
      </c>
      <c r="CQ4">
        <v>-1.4792370718175101</v>
      </c>
      <c r="CR4">
        <v>-2.8101924918208301</v>
      </c>
      <c r="CS4">
        <v>-0.88921390899137398</v>
      </c>
      <c r="CT4">
        <v>2.2023516195114001</v>
      </c>
      <c r="CU4">
        <v>2.9452154336134599</v>
      </c>
      <c r="CV4">
        <v>1.22281723148625</v>
      </c>
      <c r="CW4">
        <v>-1.3136288022609499</v>
      </c>
      <c r="CX4">
        <v>1.81006229878763</v>
      </c>
    </row>
    <row r="5" spans="1:102" x14ac:dyDescent="0.35">
      <c r="A5" t="s">
        <v>1563</v>
      </c>
      <c r="B5" t="s">
        <v>78</v>
      </c>
      <c r="C5" t="s">
        <v>1564</v>
      </c>
      <c r="D5" t="s">
        <v>80</v>
      </c>
      <c r="E5" t="s">
        <v>80</v>
      </c>
      <c r="F5" t="s">
        <v>81</v>
      </c>
      <c r="G5" t="s">
        <v>82</v>
      </c>
      <c r="H5" t="s">
        <v>420</v>
      </c>
      <c r="I5" t="s">
        <v>1565</v>
      </c>
      <c r="J5" t="s">
        <v>85</v>
      </c>
      <c r="K5" t="s">
        <v>1566</v>
      </c>
      <c r="L5" t="s">
        <v>1567</v>
      </c>
      <c r="M5" t="s">
        <v>1568</v>
      </c>
      <c r="N5">
        <v>48</v>
      </c>
      <c r="O5" t="s">
        <v>89</v>
      </c>
      <c r="P5">
        <v>1080</v>
      </c>
      <c r="Q5">
        <v>0.86109999999999998</v>
      </c>
      <c r="R5">
        <v>159</v>
      </c>
      <c r="S5">
        <v>0.8125</v>
      </c>
      <c r="T5" t="s">
        <v>1569</v>
      </c>
      <c r="U5" t="s">
        <v>1570</v>
      </c>
      <c r="V5" t="s">
        <v>1571</v>
      </c>
      <c r="W5" t="s">
        <v>1572</v>
      </c>
      <c r="X5" t="s">
        <v>1573</v>
      </c>
      <c r="Y5" t="s">
        <v>1574</v>
      </c>
      <c r="Z5" t="s">
        <v>1575</v>
      </c>
      <c r="AA5" t="s">
        <v>890</v>
      </c>
      <c r="AB5">
        <v>24486</v>
      </c>
      <c r="AC5">
        <v>51</v>
      </c>
      <c r="AD5" t="s">
        <v>1576</v>
      </c>
      <c r="AE5" s="5">
        <v>63</v>
      </c>
      <c r="AF5" s="5" t="s">
        <v>99</v>
      </c>
      <c r="AG5" s="5" t="s">
        <v>1577</v>
      </c>
      <c r="AH5" s="5" t="s">
        <v>80</v>
      </c>
      <c r="AI5" s="5" t="s">
        <v>80</v>
      </c>
      <c r="AJ5" s="5" t="s">
        <v>81</v>
      </c>
      <c r="AK5" s="5" t="s">
        <v>101</v>
      </c>
      <c r="AL5" t="s">
        <v>145</v>
      </c>
      <c r="AM5" t="s">
        <v>1206</v>
      </c>
      <c r="AN5" t="s">
        <v>1578</v>
      </c>
      <c r="AO5" t="s">
        <v>1579</v>
      </c>
      <c r="AP5" t="s">
        <v>1580</v>
      </c>
      <c r="AQ5">
        <v>36</v>
      </c>
      <c r="AR5" t="s">
        <v>89</v>
      </c>
      <c r="AS5">
        <v>1152</v>
      </c>
      <c r="AT5">
        <v>0.9032</v>
      </c>
      <c r="AU5">
        <v>145</v>
      </c>
      <c r="AV5">
        <v>0.86839999999999995</v>
      </c>
      <c r="AW5" t="s">
        <v>1581</v>
      </c>
      <c r="AX5" t="s">
        <v>1582</v>
      </c>
      <c r="AY5" t="s">
        <v>1583</v>
      </c>
      <c r="AZ5" t="s">
        <v>1584</v>
      </c>
      <c r="BA5" t="s">
        <v>1585</v>
      </c>
      <c r="BB5" t="s">
        <v>1586</v>
      </c>
      <c r="BC5" t="s">
        <v>1587</v>
      </c>
      <c r="BD5" t="s">
        <v>114</v>
      </c>
      <c r="BE5">
        <v>50830</v>
      </c>
      <c r="BF5" t="s">
        <v>1588</v>
      </c>
      <c r="BG5">
        <v>52</v>
      </c>
      <c r="BH5" t="s">
        <v>89</v>
      </c>
      <c r="BI5">
        <v>1</v>
      </c>
      <c r="BJ5">
        <v>106</v>
      </c>
      <c r="BK5">
        <v>0</v>
      </c>
      <c r="BL5">
        <v>387</v>
      </c>
      <c r="BM5">
        <v>39</v>
      </c>
      <c r="BN5">
        <v>82</v>
      </c>
      <c r="BO5">
        <v>397</v>
      </c>
      <c r="BP5">
        <v>0</v>
      </c>
      <c r="BQ5">
        <v>38</v>
      </c>
      <c r="BR5">
        <f t="shared" si="0"/>
        <v>107</v>
      </c>
      <c r="BS5">
        <f t="shared" si="0"/>
        <v>1</v>
      </c>
      <c r="BT5">
        <f t="shared" si="0"/>
        <v>388</v>
      </c>
      <c r="BU5">
        <f t="shared" si="0"/>
        <v>40</v>
      </c>
      <c r="BV5">
        <f t="shared" si="0"/>
        <v>83</v>
      </c>
      <c r="BW5">
        <f t="shared" si="0"/>
        <v>398</v>
      </c>
      <c r="BX5">
        <f t="shared" si="0"/>
        <v>1</v>
      </c>
      <c r="BY5">
        <f t="shared" si="0"/>
        <v>39</v>
      </c>
      <c r="BZ5">
        <f t="shared" si="1"/>
        <v>34.776643092075069</v>
      </c>
      <c r="CA5">
        <v>34.776643092075069</v>
      </c>
      <c r="CB5">
        <v>34.776643092075069</v>
      </c>
      <c r="CC5">
        <v>34.776643092075069</v>
      </c>
      <c r="CD5">
        <v>34.776643092075069</v>
      </c>
      <c r="CE5">
        <v>34.776643092075069</v>
      </c>
      <c r="CF5">
        <v>34.776643092075069</v>
      </c>
      <c r="CG5">
        <v>34.776643092075069</v>
      </c>
      <c r="CH5">
        <f t="shared" si="2"/>
        <v>0.48809611942475462</v>
      </c>
      <c r="CI5">
        <f t="shared" si="2"/>
        <v>-1.5412876582604551</v>
      </c>
      <c r="CJ5">
        <f t="shared" si="2"/>
        <v>1.0475440673337522</v>
      </c>
      <c r="CK5">
        <f t="shared" si="2"/>
        <v>6.0772333067507386E-2</v>
      </c>
      <c r="CL5">
        <f t="shared" si="2"/>
        <v>0.37779043411561891</v>
      </c>
      <c r="CM5">
        <f t="shared" si="2"/>
        <v>1.0585954138132327</v>
      </c>
      <c r="CN5">
        <f t="shared" si="2"/>
        <v>-1.5412876582604551</v>
      </c>
      <c r="CO5">
        <f t="shared" si="2"/>
        <v>4.9776948766044188E-2</v>
      </c>
      <c r="CP5">
        <v>63</v>
      </c>
      <c r="CQ5">
        <v>-0.19851358061004401</v>
      </c>
      <c r="CR5">
        <v>-2.8101924918208301</v>
      </c>
      <c r="CS5">
        <v>3.17726442097673</v>
      </c>
      <c r="CT5">
        <v>-1.12677482412141E-2</v>
      </c>
      <c r="CU5">
        <v>0.85330463078358298</v>
      </c>
      <c r="CV5">
        <v>0.69485364369786595</v>
      </c>
      <c r="CW5">
        <v>-2.83505630539632</v>
      </c>
      <c r="CX5">
        <v>-0.14267748358440099</v>
      </c>
    </row>
    <row r="6" spans="1:102" x14ac:dyDescent="0.35">
      <c r="A6" t="s">
        <v>1641</v>
      </c>
      <c r="B6" t="s">
        <v>78</v>
      </c>
      <c r="C6" t="s">
        <v>1642</v>
      </c>
      <c r="D6" t="s">
        <v>80</v>
      </c>
      <c r="E6" t="s">
        <v>80</v>
      </c>
      <c r="F6" t="s">
        <v>81</v>
      </c>
      <c r="G6" t="s">
        <v>82</v>
      </c>
      <c r="H6" t="s">
        <v>193</v>
      </c>
      <c r="I6" t="s">
        <v>194</v>
      </c>
      <c r="J6" t="s">
        <v>133</v>
      </c>
      <c r="K6" t="s">
        <v>1643</v>
      </c>
      <c r="L6" t="s">
        <v>1644</v>
      </c>
      <c r="M6" t="s">
        <v>1645</v>
      </c>
      <c r="N6">
        <v>51</v>
      </c>
      <c r="O6" t="s">
        <v>89</v>
      </c>
      <c r="P6">
        <v>1377</v>
      </c>
      <c r="Q6">
        <v>0.97570000000000001</v>
      </c>
      <c r="R6">
        <v>237</v>
      </c>
      <c r="S6">
        <v>0.96079999999999999</v>
      </c>
      <c r="T6" t="s">
        <v>199</v>
      </c>
      <c r="U6" t="s">
        <v>322</v>
      </c>
      <c r="V6" t="s">
        <v>1646</v>
      </c>
      <c r="W6" t="s">
        <v>1647</v>
      </c>
      <c r="X6" t="s">
        <v>1648</v>
      </c>
      <c r="Y6" t="s">
        <v>1649</v>
      </c>
      <c r="Z6" t="s">
        <v>1650</v>
      </c>
      <c r="AA6" t="s">
        <v>97</v>
      </c>
      <c r="AB6">
        <v>192</v>
      </c>
      <c r="AC6">
        <v>4</v>
      </c>
      <c r="AD6" t="s">
        <v>1651</v>
      </c>
      <c r="AE6" s="5">
        <v>72</v>
      </c>
      <c r="AF6" s="5" t="s">
        <v>99</v>
      </c>
      <c r="AG6" s="5" t="s">
        <v>1652</v>
      </c>
      <c r="AH6" s="5" t="s">
        <v>80</v>
      </c>
      <c r="AI6" s="5" t="s">
        <v>80</v>
      </c>
      <c r="AJ6" s="5" t="s">
        <v>81</v>
      </c>
      <c r="AK6" s="5" t="s">
        <v>176</v>
      </c>
      <c r="AL6" t="s">
        <v>1452</v>
      </c>
      <c r="AM6" t="s">
        <v>178</v>
      </c>
      <c r="AN6" t="s">
        <v>1653</v>
      </c>
      <c r="AO6" t="s">
        <v>1654</v>
      </c>
      <c r="AP6" t="s">
        <v>1655</v>
      </c>
      <c r="AQ6">
        <v>39</v>
      </c>
      <c r="AR6" t="s">
        <v>89</v>
      </c>
      <c r="AS6">
        <v>1287</v>
      </c>
      <c r="AT6">
        <v>0.94099999999999995</v>
      </c>
      <c r="AU6">
        <v>185</v>
      </c>
      <c r="AV6">
        <v>1</v>
      </c>
      <c r="AW6" t="s">
        <v>1656</v>
      </c>
      <c r="AX6" t="s">
        <v>1657</v>
      </c>
      <c r="AY6" t="s">
        <v>1658</v>
      </c>
      <c r="AZ6" t="s">
        <v>185</v>
      </c>
      <c r="BA6" t="s">
        <v>1659</v>
      </c>
      <c r="BB6" t="s">
        <v>1660</v>
      </c>
      <c r="BC6" t="s">
        <v>1661</v>
      </c>
      <c r="BD6" t="s">
        <v>189</v>
      </c>
      <c r="BE6">
        <v>4248</v>
      </c>
      <c r="BF6" t="s">
        <v>1662</v>
      </c>
      <c r="BG6">
        <v>22</v>
      </c>
      <c r="BH6" t="s">
        <v>89</v>
      </c>
      <c r="BI6">
        <v>1</v>
      </c>
      <c r="BJ6">
        <v>4081</v>
      </c>
      <c r="BK6">
        <v>0</v>
      </c>
      <c r="BL6">
        <v>24</v>
      </c>
      <c r="BM6">
        <v>20</v>
      </c>
      <c r="BN6">
        <v>20</v>
      </c>
      <c r="BO6">
        <v>43</v>
      </c>
      <c r="BP6">
        <v>22</v>
      </c>
      <c r="BQ6">
        <v>24</v>
      </c>
      <c r="BR6">
        <f t="shared" si="0"/>
        <v>4082</v>
      </c>
      <c r="BS6">
        <f t="shared" si="0"/>
        <v>1</v>
      </c>
      <c r="BT6">
        <f t="shared" si="0"/>
        <v>25</v>
      </c>
      <c r="BU6">
        <f t="shared" si="0"/>
        <v>21</v>
      </c>
      <c r="BV6">
        <f t="shared" si="0"/>
        <v>21</v>
      </c>
      <c r="BW6">
        <f t="shared" si="0"/>
        <v>44</v>
      </c>
      <c r="BX6">
        <f t="shared" si="0"/>
        <v>23</v>
      </c>
      <c r="BY6">
        <f t="shared" si="0"/>
        <v>25</v>
      </c>
      <c r="BZ6">
        <f t="shared" si="1"/>
        <v>32.140047550865937</v>
      </c>
      <c r="CA6">
        <v>32.140047550865937</v>
      </c>
      <c r="CB6">
        <v>32.140047550865937</v>
      </c>
      <c r="CC6">
        <v>32.140047550865937</v>
      </c>
      <c r="CD6">
        <v>32.140047550865937</v>
      </c>
      <c r="CE6">
        <v>32.140047550865937</v>
      </c>
      <c r="CF6">
        <v>32.140047550865937</v>
      </c>
      <c r="CG6">
        <v>32.140047550865937</v>
      </c>
      <c r="CH6">
        <f t="shared" si="2"/>
        <v>2.1038264854180833</v>
      </c>
      <c r="CI6">
        <f t="shared" si="2"/>
        <v>-1.5070465149619683</v>
      </c>
      <c r="CJ6">
        <f t="shared" si="2"/>
        <v>-0.10910650628993059</v>
      </c>
      <c r="CK6">
        <f t="shared" si="2"/>
        <v>-0.18482722022804896</v>
      </c>
      <c r="CL6">
        <f t="shared" si="2"/>
        <v>-0.18482722022804896</v>
      </c>
      <c r="CM6">
        <f t="shared" si="2"/>
        <v>0.13640616152421922</v>
      </c>
      <c r="CN6">
        <f t="shared" si="2"/>
        <v>-0.14531867894437533</v>
      </c>
      <c r="CO6">
        <f t="shared" si="2"/>
        <v>-0.10910650628993059</v>
      </c>
      <c r="CP6">
        <v>72</v>
      </c>
      <c r="CQ6">
        <v>2.09462735203507</v>
      </c>
      <c r="CR6">
        <v>-2.8101924918208301</v>
      </c>
      <c r="CS6">
        <v>0.25518224218083502</v>
      </c>
      <c r="CT6">
        <v>-0.56150550580619196</v>
      </c>
      <c r="CU6">
        <v>-0.56186640082228601</v>
      </c>
      <c r="CV6">
        <v>-1.1390030083462399</v>
      </c>
      <c r="CW6">
        <v>0.87356878764586698</v>
      </c>
      <c r="CX6">
        <v>-0.45207852936270598</v>
      </c>
    </row>
  </sheetData>
  <conditionalFormatting sqref="CQ2:CX2">
    <cfRule type="colorScale" priority="10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conditionalFormatting sqref="CH2:CO2">
    <cfRule type="colorScale" priority="9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conditionalFormatting sqref="CQ3:CX3">
    <cfRule type="colorScale" priority="8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conditionalFormatting sqref="CH3:CO3">
    <cfRule type="colorScale" priority="7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conditionalFormatting sqref="CQ4:CX4">
    <cfRule type="colorScale" priority="6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conditionalFormatting sqref="CH4:CO4">
    <cfRule type="colorScale" priority="5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conditionalFormatting sqref="CQ5:CX5">
    <cfRule type="colorScale" priority="4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conditionalFormatting sqref="CH5:CO5">
    <cfRule type="colorScale" priority="3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conditionalFormatting sqref="CQ6:CX6">
    <cfRule type="colorScale" priority="2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conditionalFormatting sqref="CH6:CO6">
    <cfRule type="colorScale" priority="1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3"/>
  <sheetViews>
    <sheetView workbookViewId="0">
      <selection activeCell="I17" sqref="I17"/>
    </sheetView>
  </sheetViews>
  <sheetFormatPr defaultRowHeight="14.5" x14ac:dyDescent="0.35"/>
  <sheetData>
    <row r="1" spans="1:7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35">
      <c r="A2" t="s">
        <v>1489</v>
      </c>
      <c r="B2" t="s">
        <v>99</v>
      </c>
      <c r="C2" t="s">
        <v>1490</v>
      </c>
      <c r="D2" t="s">
        <v>80</v>
      </c>
      <c r="E2" t="s">
        <v>80</v>
      </c>
      <c r="F2" t="s">
        <v>81</v>
      </c>
      <c r="G2" t="s">
        <v>82</v>
      </c>
      <c r="H2" t="s">
        <v>83</v>
      </c>
      <c r="I2" t="s">
        <v>272</v>
      </c>
      <c r="J2" t="s">
        <v>85</v>
      </c>
      <c r="K2" t="s">
        <v>1491</v>
      </c>
      <c r="L2" t="s">
        <v>1492</v>
      </c>
      <c r="M2" t="s">
        <v>1493</v>
      </c>
      <c r="N2">
        <v>54</v>
      </c>
      <c r="O2" t="s">
        <v>89</v>
      </c>
      <c r="P2">
        <v>1422</v>
      </c>
      <c r="Q2">
        <v>0.99309999999999998</v>
      </c>
      <c r="R2">
        <v>240</v>
      </c>
      <c r="S2">
        <v>1</v>
      </c>
      <c r="T2" t="s">
        <v>1494</v>
      </c>
      <c r="U2" t="s">
        <v>91</v>
      </c>
      <c r="V2" t="s">
        <v>1495</v>
      </c>
      <c r="W2" t="s">
        <v>93</v>
      </c>
      <c r="X2" t="s">
        <v>94</v>
      </c>
      <c r="Y2" t="s">
        <v>1496</v>
      </c>
      <c r="Z2" t="s">
        <v>1497</v>
      </c>
      <c r="AA2" t="s">
        <v>173</v>
      </c>
      <c r="AB2">
        <v>2130</v>
      </c>
      <c r="AC2">
        <v>63</v>
      </c>
      <c r="AD2" t="s">
        <v>1498</v>
      </c>
      <c r="AE2">
        <v>53</v>
      </c>
      <c r="AF2" t="s">
        <v>78</v>
      </c>
      <c r="AG2" t="s">
        <v>1499</v>
      </c>
      <c r="AH2" t="s">
        <v>80</v>
      </c>
      <c r="AI2" t="s">
        <v>80</v>
      </c>
      <c r="AJ2" t="s">
        <v>81</v>
      </c>
      <c r="AK2" t="s">
        <v>176</v>
      </c>
      <c r="AL2" t="s">
        <v>177</v>
      </c>
      <c r="AM2" t="s">
        <v>178</v>
      </c>
      <c r="AN2" t="s">
        <v>1500</v>
      </c>
      <c r="AO2" t="s">
        <v>1501</v>
      </c>
      <c r="AP2" t="s">
        <v>1502</v>
      </c>
      <c r="AQ2">
        <v>39</v>
      </c>
      <c r="AR2" t="s">
        <v>89</v>
      </c>
      <c r="AS2">
        <v>1341</v>
      </c>
      <c r="AT2">
        <v>0.96179999999999999</v>
      </c>
      <c r="AU2">
        <v>172</v>
      </c>
      <c r="AV2">
        <v>0.94740000000000002</v>
      </c>
      <c r="AW2" t="s">
        <v>1503</v>
      </c>
      <c r="AX2" t="s">
        <v>183</v>
      </c>
      <c r="AY2" t="s">
        <v>1504</v>
      </c>
      <c r="AZ2" t="s">
        <v>185</v>
      </c>
      <c r="BA2" t="s">
        <v>1505</v>
      </c>
      <c r="BB2" t="s">
        <v>600</v>
      </c>
      <c r="BC2" t="s">
        <v>1506</v>
      </c>
      <c r="BD2" t="s">
        <v>189</v>
      </c>
      <c r="BE2">
        <v>52626</v>
      </c>
      <c r="BF2" t="s">
        <v>1507</v>
      </c>
      <c r="BG2">
        <v>1249</v>
      </c>
      <c r="BH2" t="s">
        <v>89</v>
      </c>
      <c r="BI2">
        <v>1</v>
      </c>
      <c r="BJ2">
        <v>103</v>
      </c>
      <c r="BK2">
        <v>0</v>
      </c>
      <c r="BL2">
        <v>73</v>
      </c>
      <c r="BM2">
        <v>3020</v>
      </c>
      <c r="BN2">
        <v>4372</v>
      </c>
      <c r="BO2">
        <v>5693</v>
      </c>
      <c r="BP2">
        <v>15</v>
      </c>
      <c r="BQ2">
        <v>3046</v>
      </c>
      <c r="BR2">
        <v>-1.4792370718175101</v>
      </c>
      <c r="BS2">
        <v>-2.8101924918208301</v>
      </c>
      <c r="BT2">
        <v>-0.88921390899137398</v>
      </c>
      <c r="BU2">
        <v>2.2023516195114001</v>
      </c>
      <c r="BV2">
        <v>2.9452154336134599</v>
      </c>
      <c r="BW2">
        <v>1.22281723148625</v>
      </c>
      <c r="BX2">
        <v>-1.3136288022609499</v>
      </c>
      <c r="BY2">
        <v>1.81006229878763</v>
      </c>
    </row>
    <row r="3" spans="1:77" x14ac:dyDescent="0.35">
      <c r="A3" t="s">
        <v>580</v>
      </c>
      <c r="B3" t="s">
        <v>78</v>
      </c>
      <c r="C3" t="s">
        <v>581</v>
      </c>
      <c r="D3" t="s">
        <v>80</v>
      </c>
      <c r="E3" t="s">
        <v>80</v>
      </c>
      <c r="F3" t="s">
        <v>81</v>
      </c>
      <c r="G3" t="s">
        <v>82</v>
      </c>
      <c r="H3" t="s">
        <v>509</v>
      </c>
      <c r="I3" t="s">
        <v>272</v>
      </c>
      <c r="J3" t="s">
        <v>85</v>
      </c>
      <c r="K3" t="s">
        <v>582</v>
      </c>
      <c r="L3" t="s">
        <v>583</v>
      </c>
      <c r="M3" t="s">
        <v>584</v>
      </c>
      <c r="N3">
        <v>51</v>
      </c>
      <c r="O3" t="s">
        <v>89</v>
      </c>
      <c r="P3">
        <v>1278</v>
      </c>
      <c r="Q3">
        <v>0.9375</v>
      </c>
      <c r="R3">
        <v>177</v>
      </c>
      <c r="S3">
        <v>0.85419999999999996</v>
      </c>
      <c r="T3" t="s">
        <v>199</v>
      </c>
      <c r="U3" t="s">
        <v>585</v>
      </c>
      <c r="V3" t="s">
        <v>586</v>
      </c>
      <c r="W3" t="s">
        <v>587</v>
      </c>
      <c r="X3" t="s">
        <v>588</v>
      </c>
      <c r="Y3" t="s">
        <v>589</v>
      </c>
      <c r="Z3" t="s">
        <v>590</v>
      </c>
      <c r="AA3" t="s">
        <v>591</v>
      </c>
      <c r="AB3">
        <v>40</v>
      </c>
      <c r="AC3">
        <v>1</v>
      </c>
      <c r="AD3" t="s">
        <v>592</v>
      </c>
      <c r="AE3">
        <v>19</v>
      </c>
      <c r="AF3" t="s">
        <v>99</v>
      </c>
      <c r="AG3" t="s">
        <v>593</v>
      </c>
      <c r="AH3" t="s">
        <v>80</v>
      </c>
      <c r="AI3" t="s">
        <v>80</v>
      </c>
      <c r="AJ3" t="s">
        <v>81</v>
      </c>
      <c r="AK3" t="s">
        <v>176</v>
      </c>
      <c r="AL3" t="s">
        <v>177</v>
      </c>
      <c r="AM3" t="s">
        <v>178</v>
      </c>
      <c r="AN3" t="s">
        <v>594</v>
      </c>
      <c r="AO3" t="s">
        <v>595</v>
      </c>
      <c r="AP3" t="s">
        <v>596</v>
      </c>
      <c r="AQ3">
        <v>39</v>
      </c>
      <c r="AR3" t="s">
        <v>89</v>
      </c>
      <c r="AS3">
        <v>1341</v>
      </c>
      <c r="AT3">
        <v>0.96179999999999999</v>
      </c>
      <c r="AU3">
        <v>163</v>
      </c>
      <c r="AV3">
        <v>0.92110000000000003</v>
      </c>
      <c r="AW3" t="s">
        <v>182</v>
      </c>
      <c r="AX3" t="s">
        <v>183</v>
      </c>
      <c r="AY3" t="s">
        <v>597</v>
      </c>
      <c r="AZ3" t="s">
        <v>598</v>
      </c>
      <c r="BA3" t="s">
        <v>599</v>
      </c>
      <c r="BB3" t="s">
        <v>600</v>
      </c>
      <c r="BC3" t="s">
        <v>601</v>
      </c>
      <c r="BD3" t="s">
        <v>189</v>
      </c>
      <c r="BE3">
        <v>61536</v>
      </c>
      <c r="BF3" t="s">
        <v>602</v>
      </c>
      <c r="BG3">
        <v>555</v>
      </c>
      <c r="BH3" t="s">
        <v>89</v>
      </c>
      <c r="BI3">
        <v>1</v>
      </c>
      <c r="BJ3">
        <v>91</v>
      </c>
      <c r="BK3">
        <v>0</v>
      </c>
      <c r="BL3">
        <v>27</v>
      </c>
      <c r="BM3">
        <v>867</v>
      </c>
      <c r="BN3">
        <v>1269</v>
      </c>
      <c r="BO3">
        <v>1619</v>
      </c>
      <c r="BP3">
        <v>5</v>
      </c>
      <c r="BQ3">
        <v>934</v>
      </c>
      <c r="BR3">
        <v>-1.01569021038928</v>
      </c>
      <c r="BS3">
        <v>-2.8101924918208301</v>
      </c>
      <c r="BT3">
        <v>-0.99586661130607901</v>
      </c>
      <c r="BU3">
        <v>1.8399159977120501</v>
      </c>
      <c r="BV3">
        <v>2.5500099855352598</v>
      </c>
      <c r="BW3">
        <v>0.89262134702061802</v>
      </c>
      <c r="BX3">
        <v>-1.4068501180697801</v>
      </c>
      <c r="BY3">
        <v>1.5506688218824101</v>
      </c>
    </row>
  </sheetData>
  <autoFilter ref="A1:BY1" xr:uid="{00000000-0009-0000-0000-000001000000}"/>
  <conditionalFormatting sqref="BR2:BY3">
    <cfRule type="colorScale" priority="1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46E7-2A7E-4D64-B5E8-500EC9AABE6A}">
  <dimension ref="A1:CZ8"/>
  <sheetViews>
    <sheetView topLeftCell="AN1" workbookViewId="0">
      <selection activeCell="BG2" sqref="BG2:BG8"/>
    </sheetView>
  </sheetViews>
  <sheetFormatPr defaultRowHeight="14.5" x14ac:dyDescent="0.35"/>
  <cols>
    <col min="88" max="88" width="8.81640625" style="2"/>
  </cols>
  <sheetData>
    <row r="1" spans="1:10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1797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1800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1771</v>
      </c>
      <c r="BU1" t="s">
        <v>1772</v>
      </c>
      <c r="BV1" t="s">
        <v>1773</v>
      </c>
      <c r="BW1" t="s">
        <v>1774</v>
      </c>
      <c r="BX1" t="s">
        <v>1775</v>
      </c>
      <c r="BY1" t="s">
        <v>1776</v>
      </c>
      <c r="BZ1" t="s">
        <v>1777</v>
      </c>
      <c r="CA1" t="s">
        <v>1778</v>
      </c>
      <c r="CB1" t="s">
        <v>1779</v>
      </c>
      <c r="CC1" t="s">
        <v>1779</v>
      </c>
      <c r="CD1" t="s">
        <v>1779</v>
      </c>
      <c r="CE1" t="s">
        <v>1779</v>
      </c>
      <c r="CF1" t="s">
        <v>1779</v>
      </c>
      <c r="CG1" t="s">
        <v>1779</v>
      </c>
      <c r="CH1" t="s">
        <v>1779</v>
      </c>
      <c r="CI1" t="s">
        <v>1779</v>
      </c>
      <c r="CJ1" t="s">
        <v>1780</v>
      </c>
      <c r="CK1" t="s">
        <v>1781</v>
      </c>
      <c r="CL1" t="s">
        <v>1782</v>
      </c>
      <c r="CM1" t="s">
        <v>1783</v>
      </c>
      <c r="CN1" t="s">
        <v>1784</v>
      </c>
      <c r="CO1" t="s">
        <v>1785</v>
      </c>
      <c r="CP1" t="s">
        <v>1786</v>
      </c>
      <c r="CQ1" t="s">
        <v>1787</v>
      </c>
      <c r="CR1" t="s">
        <v>69</v>
      </c>
      <c r="CS1" t="s">
        <v>70</v>
      </c>
      <c r="CT1" t="s">
        <v>71</v>
      </c>
      <c r="CU1" t="s">
        <v>72</v>
      </c>
      <c r="CV1" t="s">
        <v>73</v>
      </c>
      <c r="CW1" t="s">
        <v>74</v>
      </c>
      <c r="CX1" t="s">
        <v>75</v>
      </c>
      <c r="CY1" t="s">
        <v>76</v>
      </c>
    </row>
    <row r="2" spans="1:104" x14ac:dyDescent="0.35">
      <c r="A2" t="s">
        <v>1589</v>
      </c>
      <c r="B2" t="s">
        <v>99</v>
      </c>
      <c r="C2" t="s">
        <v>1590</v>
      </c>
      <c r="D2" t="s">
        <v>80</v>
      </c>
      <c r="E2" t="s">
        <v>80</v>
      </c>
      <c r="F2" t="s">
        <v>81</v>
      </c>
      <c r="G2" t="s">
        <v>82</v>
      </c>
      <c r="H2" t="s">
        <v>840</v>
      </c>
      <c r="I2" t="s">
        <v>369</v>
      </c>
      <c r="J2" t="s">
        <v>195</v>
      </c>
      <c r="K2" t="s">
        <v>1591</v>
      </c>
      <c r="L2" t="s">
        <v>1592</v>
      </c>
      <c r="M2" t="s">
        <v>1593</v>
      </c>
      <c r="N2">
        <v>54</v>
      </c>
      <c r="O2" t="s">
        <v>89</v>
      </c>
      <c r="P2">
        <v>1440</v>
      </c>
      <c r="Q2">
        <v>1</v>
      </c>
      <c r="R2">
        <v>250</v>
      </c>
      <c r="S2">
        <v>1</v>
      </c>
      <c r="T2" t="s">
        <v>950</v>
      </c>
      <c r="U2" t="s">
        <v>322</v>
      </c>
      <c r="V2" t="s">
        <v>951</v>
      </c>
      <c r="W2" t="s">
        <v>202</v>
      </c>
      <c r="X2" t="s">
        <v>514</v>
      </c>
      <c r="Y2" t="s">
        <v>953</v>
      </c>
      <c r="Z2" t="s">
        <v>1594</v>
      </c>
      <c r="AA2" t="s">
        <v>173</v>
      </c>
      <c r="AB2">
        <v>24028</v>
      </c>
      <c r="AC2">
        <v>29</v>
      </c>
      <c r="AD2" t="s">
        <v>1595</v>
      </c>
      <c r="AE2">
        <f>LEN(AD2)-2</f>
        <v>16</v>
      </c>
      <c r="AF2">
        <v>44</v>
      </c>
      <c r="AG2" t="s">
        <v>78</v>
      </c>
      <c r="AH2" t="s">
        <v>1596</v>
      </c>
      <c r="AI2" t="s">
        <v>80</v>
      </c>
      <c r="AJ2" t="s">
        <v>80</v>
      </c>
      <c r="AK2" t="s">
        <v>81</v>
      </c>
      <c r="AL2" t="s">
        <v>101</v>
      </c>
      <c r="AM2" t="s">
        <v>102</v>
      </c>
      <c r="AN2" t="s">
        <v>146</v>
      </c>
      <c r="AO2" t="s">
        <v>1597</v>
      </c>
      <c r="AP2" t="s">
        <v>1598</v>
      </c>
      <c r="AQ2" t="s">
        <v>1599</v>
      </c>
      <c r="AR2">
        <v>33</v>
      </c>
      <c r="AS2" t="s">
        <v>89</v>
      </c>
      <c r="AT2">
        <v>1395</v>
      </c>
      <c r="AU2">
        <v>1</v>
      </c>
      <c r="AV2">
        <v>166</v>
      </c>
      <c r="AW2">
        <v>0.97140000000000004</v>
      </c>
      <c r="AX2" t="s">
        <v>122</v>
      </c>
      <c r="AY2" t="s">
        <v>731</v>
      </c>
      <c r="AZ2" t="s">
        <v>732</v>
      </c>
      <c r="BA2" t="s">
        <v>153</v>
      </c>
      <c r="BB2" t="s">
        <v>733</v>
      </c>
      <c r="BC2" t="s">
        <v>112</v>
      </c>
      <c r="BD2" t="s">
        <v>1600</v>
      </c>
      <c r="BE2" t="s">
        <v>114</v>
      </c>
      <c r="BF2">
        <v>27972</v>
      </c>
      <c r="BG2" t="s">
        <v>1601</v>
      </c>
      <c r="BH2">
        <f>LEN(BG2)-2</f>
        <v>9</v>
      </c>
      <c r="BI2">
        <v>31</v>
      </c>
      <c r="BJ2" t="s">
        <v>89</v>
      </c>
      <c r="BK2">
        <v>1</v>
      </c>
      <c r="BL2">
        <v>0</v>
      </c>
      <c r="BM2">
        <v>0</v>
      </c>
      <c r="BN2">
        <v>0</v>
      </c>
      <c r="BO2">
        <v>5</v>
      </c>
      <c r="BP2">
        <v>6</v>
      </c>
      <c r="BQ2">
        <v>11</v>
      </c>
      <c r="BR2">
        <v>0</v>
      </c>
      <c r="BS2">
        <v>8</v>
      </c>
      <c r="BT2">
        <f t="shared" ref="BT2:CA8" si="0">BL2+1</f>
        <v>1</v>
      </c>
      <c r="BU2">
        <f t="shared" si="0"/>
        <v>1</v>
      </c>
      <c r="BV2">
        <f t="shared" si="0"/>
        <v>1</v>
      </c>
      <c r="BW2">
        <f t="shared" si="0"/>
        <v>6</v>
      </c>
      <c r="BX2">
        <f t="shared" si="0"/>
        <v>7</v>
      </c>
      <c r="BY2">
        <f t="shared" si="0"/>
        <v>12</v>
      </c>
      <c r="BZ2">
        <f t="shared" si="0"/>
        <v>1</v>
      </c>
      <c r="CA2">
        <f t="shared" si="0"/>
        <v>9</v>
      </c>
      <c r="CB2">
        <f t="shared" ref="CB2:CB8" si="1">GEOMEAN(BT2:CA2)</f>
        <v>2.8647328669885233</v>
      </c>
      <c r="CC2">
        <v>2.8647328669885233</v>
      </c>
      <c r="CD2">
        <v>2.8647328669885233</v>
      </c>
      <c r="CE2">
        <v>2.8647328669885233</v>
      </c>
      <c r="CF2">
        <v>2.8647328669885233</v>
      </c>
      <c r="CG2">
        <v>2.8647328669885233</v>
      </c>
      <c r="CH2">
        <v>2.8647328669885233</v>
      </c>
      <c r="CI2">
        <v>2.8647328669885233</v>
      </c>
      <c r="CJ2">
        <f t="shared" ref="CJ2:CQ8" si="2">LOG(BT2/CB2)</f>
        <v>-0.45708413073560633</v>
      </c>
      <c r="CK2">
        <f t="shared" si="2"/>
        <v>-0.45708413073560633</v>
      </c>
      <c r="CL2">
        <f t="shared" si="2"/>
        <v>-0.45708413073560633</v>
      </c>
      <c r="CM2">
        <f t="shared" si="2"/>
        <v>0.3210671196480373</v>
      </c>
      <c r="CN2">
        <f t="shared" si="2"/>
        <v>0.38801390927865048</v>
      </c>
      <c r="CO2">
        <f t="shared" si="2"/>
        <v>0.6220971153120185</v>
      </c>
      <c r="CP2">
        <f t="shared" si="2"/>
        <v>-0.45708413073560633</v>
      </c>
      <c r="CQ2">
        <f t="shared" si="2"/>
        <v>0.49715837870371854</v>
      </c>
      <c r="CR2">
        <v>-1.53996978270225</v>
      </c>
      <c r="CS2">
        <v>-2.8101924918208301</v>
      </c>
      <c r="CT2">
        <v>-1.90638622950665</v>
      </c>
      <c r="CU2">
        <v>0.57189300165464796</v>
      </c>
      <c r="CV2">
        <v>0.87902008031021095</v>
      </c>
      <c r="CW2">
        <v>-0.173162662418783</v>
      </c>
      <c r="CX2">
        <v>-2.83505630539632</v>
      </c>
      <c r="CY2">
        <v>0.72852891254881802</v>
      </c>
      <c r="CZ2">
        <v>44</v>
      </c>
    </row>
    <row r="3" spans="1:104" x14ac:dyDescent="0.35">
      <c r="A3" t="s">
        <v>1137</v>
      </c>
      <c r="B3" t="s">
        <v>99</v>
      </c>
      <c r="C3" t="s">
        <v>1138</v>
      </c>
      <c r="D3" t="s">
        <v>80</v>
      </c>
      <c r="E3" t="s">
        <v>80</v>
      </c>
      <c r="F3" t="s">
        <v>81</v>
      </c>
      <c r="G3" t="s">
        <v>82</v>
      </c>
      <c r="H3" t="s">
        <v>555</v>
      </c>
      <c r="I3" t="s">
        <v>224</v>
      </c>
      <c r="J3" t="s">
        <v>85</v>
      </c>
      <c r="K3" t="s">
        <v>1139</v>
      </c>
      <c r="L3" t="s">
        <v>1140</v>
      </c>
      <c r="M3" t="s">
        <v>1141</v>
      </c>
      <c r="N3">
        <v>45</v>
      </c>
      <c r="O3" t="s">
        <v>89</v>
      </c>
      <c r="P3">
        <v>1440</v>
      </c>
      <c r="Q3">
        <v>1</v>
      </c>
      <c r="R3">
        <v>204</v>
      </c>
      <c r="S3">
        <v>0.91669999999999996</v>
      </c>
      <c r="T3" t="s">
        <v>559</v>
      </c>
      <c r="U3" t="s">
        <v>560</v>
      </c>
      <c r="V3" t="s">
        <v>561</v>
      </c>
      <c r="W3" t="s">
        <v>93</v>
      </c>
      <c r="X3" t="s">
        <v>562</v>
      </c>
      <c r="Y3" t="s">
        <v>563</v>
      </c>
      <c r="Z3" t="s">
        <v>1142</v>
      </c>
      <c r="AA3" t="s">
        <v>173</v>
      </c>
      <c r="AB3">
        <v>20006</v>
      </c>
      <c r="AC3">
        <v>23</v>
      </c>
      <c r="AD3" t="s">
        <v>1143</v>
      </c>
      <c r="AE3">
        <f t="shared" ref="AE3:AE8" si="3">LEN(AD3)-2</f>
        <v>13</v>
      </c>
      <c r="AF3">
        <v>65</v>
      </c>
      <c r="AG3" t="s">
        <v>78</v>
      </c>
      <c r="AH3" t="s">
        <v>1144</v>
      </c>
      <c r="AI3" t="s">
        <v>80</v>
      </c>
      <c r="AJ3" t="s">
        <v>80</v>
      </c>
      <c r="AK3" t="s">
        <v>81</v>
      </c>
      <c r="AL3" t="s">
        <v>176</v>
      </c>
      <c r="AM3" t="s">
        <v>177</v>
      </c>
      <c r="AN3" t="s">
        <v>209</v>
      </c>
      <c r="AO3" t="s">
        <v>1145</v>
      </c>
      <c r="AP3" t="s">
        <v>1146</v>
      </c>
      <c r="AQ3" t="s">
        <v>1147</v>
      </c>
      <c r="AR3">
        <v>39</v>
      </c>
      <c r="AS3" t="s">
        <v>89</v>
      </c>
      <c r="AT3">
        <v>1440</v>
      </c>
      <c r="AU3">
        <v>1</v>
      </c>
      <c r="AV3">
        <v>185</v>
      </c>
      <c r="AW3">
        <v>1</v>
      </c>
      <c r="AX3" t="s">
        <v>182</v>
      </c>
      <c r="AY3" t="s">
        <v>1148</v>
      </c>
      <c r="AZ3" t="s">
        <v>265</v>
      </c>
      <c r="BA3" t="s">
        <v>215</v>
      </c>
      <c r="BB3" t="s">
        <v>186</v>
      </c>
      <c r="BC3" t="s">
        <v>600</v>
      </c>
      <c r="BD3" t="s">
        <v>1149</v>
      </c>
      <c r="BE3" t="s">
        <v>219</v>
      </c>
      <c r="BF3">
        <v>32028</v>
      </c>
      <c r="BG3" t="s">
        <v>1150</v>
      </c>
      <c r="BH3">
        <f t="shared" ref="BH3:BH8" si="4">LEN(BG3)-2</f>
        <v>11</v>
      </c>
      <c r="BI3">
        <v>32</v>
      </c>
      <c r="BJ3" t="s">
        <v>89</v>
      </c>
      <c r="BK3">
        <v>1</v>
      </c>
      <c r="BL3">
        <v>7</v>
      </c>
      <c r="BM3">
        <v>0</v>
      </c>
      <c r="BN3">
        <v>9</v>
      </c>
      <c r="BO3">
        <v>44</v>
      </c>
      <c r="BP3">
        <v>80</v>
      </c>
      <c r="BQ3">
        <v>65</v>
      </c>
      <c r="BR3">
        <v>0</v>
      </c>
      <c r="BS3">
        <v>31</v>
      </c>
      <c r="BT3">
        <f t="shared" si="0"/>
        <v>8</v>
      </c>
      <c r="BU3">
        <f t="shared" si="0"/>
        <v>1</v>
      </c>
      <c r="BV3">
        <f t="shared" si="0"/>
        <v>10</v>
      </c>
      <c r="BW3">
        <f t="shared" si="0"/>
        <v>45</v>
      </c>
      <c r="BX3">
        <f t="shared" si="0"/>
        <v>81</v>
      </c>
      <c r="BY3">
        <f t="shared" si="0"/>
        <v>66</v>
      </c>
      <c r="BZ3">
        <f t="shared" si="0"/>
        <v>1</v>
      </c>
      <c r="CA3">
        <f t="shared" si="0"/>
        <v>32</v>
      </c>
      <c r="CB3">
        <f t="shared" si="1"/>
        <v>12.55119795360533</v>
      </c>
      <c r="CC3">
        <v>12.55119795360533</v>
      </c>
      <c r="CD3">
        <v>12.55119795360533</v>
      </c>
      <c r="CE3">
        <v>12.55119795360533</v>
      </c>
      <c r="CF3">
        <v>12.55119795360533</v>
      </c>
      <c r="CG3">
        <v>12.55119795360533</v>
      </c>
      <c r="CH3">
        <v>12.55119795360533</v>
      </c>
      <c r="CI3">
        <v>12.55119795360533</v>
      </c>
      <c r="CJ3">
        <f t="shared" si="2"/>
        <v>-0.19559519219652041</v>
      </c>
      <c r="CK3">
        <f t="shared" si="2"/>
        <v>-1.098685179188464</v>
      </c>
      <c r="CL3">
        <f t="shared" si="2"/>
        <v>-9.8685179188463978E-2</v>
      </c>
      <c r="CM3">
        <f t="shared" si="2"/>
        <v>0.55452733458687975</v>
      </c>
      <c r="CN3">
        <f t="shared" si="2"/>
        <v>0.80979983969018576</v>
      </c>
      <c r="CO3">
        <f t="shared" si="2"/>
        <v>0.72085875635340468</v>
      </c>
      <c r="CP3">
        <f t="shared" si="2"/>
        <v>-1.098685179188464</v>
      </c>
      <c r="CQ3">
        <f t="shared" si="2"/>
        <v>0.40646479913144196</v>
      </c>
      <c r="CR3">
        <v>-1.1688490802518501</v>
      </c>
      <c r="CS3">
        <v>-2.8101924918208301</v>
      </c>
      <c r="CT3">
        <v>0.28150996370454001</v>
      </c>
      <c r="CU3">
        <v>1.09493395765345</v>
      </c>
      <c r="CV3">
        <v>1.93995235936153</v>
      </c>
      <c r="CW3">
        <v>2.32337843419918E-2</v>
      </c>
      <c r="CX3">
        <v>-2.83505630539632</v>
      </c>
      <c r="CY3">
        <v>0.55191714164319094</v>
      </c>
      <c r="CZ3">
        <v>65</v>
      </c>
    </row>
    <row r="4" spans="1:104" x14ac:dyDescent="0.35">
      <c r="A4" t="s">
        <v>1489</v>
      </c>
      <c r="B4" t="s">
        <v>99</v>
      </c>
      <c r="C4" t="s">
        <v>1490</v>
      </c>
      <c r="D4" t="s">
        <v>80</v>
      </c>
      <c r="E4" t="s">
        <v>80</v>
      </c>
      <c r="F4" t="s">
        <v>81</v>
      </c>
      <c r="G4" t="s">
        <v>82</v>
      </c>
      <c r="H4" t="s">
        <v>83</v>
      </c>
      <c r="I4" t="s">
        <v>272</v>
      </c>
      <c r="J4" t="s">
        <v>85</v>
      </c>
      <c r="K4" t="s">
        <v>1491</v>
      </c>
      <c r="L4" t="s">
        <v>1492</v>
      </c>
      <c r="M4" t="s">
        <v>1493</v>
      </c>
      <c r="N4">
        <v>54</v>
      </c>
      <c r="O4" t="s">
        <v>89</v>
      </c>
      <c r="P4">
        <v>1422</v>
      </c>
      <c r="Q4">
        <v>0.99309999999999998</v>
      </c>
      <c r="R4">
        <v>240</v>
      </c>
      <c r="S4">
        <v>1</v>
      </c>
      <c r="T4" t="s">
        <v>1494</v>
      </c>
      <c r="U4" t="s">
        <v>91</v>
      </c>
      <c r="V4" t="s">
        <v>1495</v>
      </c>
      <c r="W4" t="s">
        <v>93</v>
      </c>
      <c r="X4" t="s">
        <v>94</v>
      </c>
      <c r="Y4" t="s">
        <v>1496</v>
      </c>
      <c r="Z4" t="s">
        <v>1497</v>
      </c>
      <c r="AA4" t="s">
        <v>173</v>
      </c>
      <c r="AB4">
        <v>2130</v>
      </c>
      <c r="AC4">
        <v>63</v>
      </c>
      <c r="AD4" t="s">
        <v>1498</v>
      </c>
      <c r="AE4">
        <f t="shared" si="3"/>
        <v>16</v>
      </c>
      <c r="AF4">
        <v>53</v>
      </c>
      <c r="AG4" t="s">
        <v>78</v>
      </c>
      <c r="AH4" t="s">
        <v>1499</v>
      </c>
      <c r="AI4" t="s">
        <v>80</v>
      </c>
      <c r="AJ4" t="s">
        <v>80</v>
      </c>
      <c r="AK4" t="s">
        <v>81</v>
      </c>
      <c r="AL4" t="s">
        <v>176</v>
      </c>
      <c r="AM4" t="s">
        <v>177</v>
      </c>
      <c r="AN4" t="s">
        <v>178</v>
      </c>
      <c r="AO4" t="s">
        <v>1500</v>
      </c>
      <c r="AP4" t="s">
        <v>1501</v>
      </c>
      <c r="AQ4" t="s">
        <v>1502</v>
      </c>
      <c r="AR4">
        <v>39</v>
      </c>
      <c r="AS4" t="s">
        <v>89</v>
      </c>
      <c r="AT4">
        <v>1341</v>
      </c>
      <c r="AU4">
        <v>0.96179999999999999</v>
      </c>
      <c r="AV4">
        <v>172</v>
      </c>
      <c r="AW4">
        <v>0.94740000000000002</v>
      </c>
      <c r="AX4" t="s">
        <v>1503</v>
      </c>
      <c r="AY4" t="s">
        <v>183</v>
      </c>
      <c r="AZ4" t="s">
        <v>1504</v>
      </c>
      <c r="BA4" t="s">
        <v>185</v>
      </c>
      <c r="BB4" t="s">
        <v>1505</v>
      </c>
      <c r="BC4" t="s">
        <v>600</v>
      </c>
      <c r="BD4" t="s">
        <v>1506</v>
      </c>
      <c r="BE4" t="s">
        <v>189</v>
      </c>
      <c r="BF4">
        <v>52626</v>
      </c>
      <c r="BG4" t="s">
        <v>1507</v>
      </c>
      <c r="BH4">
        <f t="shared" si="4"/>
        <v>11</v>
      </c>
      <c r="BI4">
        <v>1249</v>
      </c>
      <c r="BJ4" t="s">
        <v>89</v>
      </c>
      <c r="BK4">
        <v>1</v>
      </c>
      <c r="BL4">
        <v>103</v>
      </c>
      <c r="BM4">
        <v>0</v>
      </c>
      <c r="BN4">
        <v>73</v>
      </c>
      <c r="BO4">
        <v>3020</v>
      </c>
      <c r="BP4">
        <v>4372</v>
      </c>
      <c r="BQ4">
        <v>5693</v>
      </c>
      <c r="BR4">
        <v>15</v>
      </c>
      <c r="BS4">
        <v>3046</v>
      </c>
      <c r="BT4">
        <f t="shared" si="0"/>
        <v>104</v>
      </c>
      <c r="BU4">
        <f t="shared" si="0"/>
        <v>1</v>
      </c>
      <c r="BV4">
        <f t="shared" si="0"/>
        <v>74</v>
      </c>
      <c r="BW4">
        <f t="shared" si="0"/>
        <v>3021</v>
      </c>
      <c r="BX4">
        <f t="shared" si="0"/>
        <v>4373</v>
      </c>
      <c r="BY4">
        <f t="shared" si="0"/>
        <v>5694</v>
      </c>
      <c r="BZ4">
        <f t="shared" si="0"/>
        <v>16</v>
      </c>
      <c r="CA4">
        <f t="shared" si="0"/>
        <v>3047</v>
      </c>
      <c r="CB4">
        <f t="shared" si="1"/>
        <v>269.97630253998392</v>
      </c>
      <c r="CC4">
        <v>269.97630253998392</v>
      </c>
      <c r="CD4">
        <v>269.97630253998392</v>
      </c>
      <c r="CE4">
        <v>269.97630253998392</v>
      </c>
      <c r="CF4">
        <v>269.97630253998392</v>
      </c>
      <c r="CG4">
        <v>269.97630253998392</v>
      </c>
      <c r="CH4">
        <v>269.97630253998392</v>
      </c>
      <c r="CI4">
        <v>269.97630253998392</v>
      </c>
      <c r="CJ4">
        <f t="shared" si="2"/>
        <v>-0.41429230586839827</v>
      </c>
      <c r="CK4">
        <f t="shared" si="2"/>
        <v>-2.4313256451671785</v>
      </c>
      <c r="CL4">
        <f t="shared" si="2"/>
        <v>-0.5620939254362024</v>
      </c>
      <c r="CM4">
        <f t="shared" si="2"/>
        <v>1.0488250801061019</v>
      </c>
      <c r="CN4">
        <f t="shared" si="2"/>
        <v>1.2094538321776784</v>
      </c>
      <c r="CO4">
        <f t="shared" si="2"/>
        <v>1.3240918176437577</v>
      </c>
      <c r="CP4">
        <f t="shared" si="2"/>
        <v>-1.2272056625112537</v>
      </c>
      <c r="CQ4">
        <f t="shared" si="2"/>
        <v>1.052546809055495</v>
      </c>
      <c r="CR4">
        <v>-1.4792370718175101</v>
      </c>
      <c r="CS4">
        <v>-2.8101924918208301</v>
      </c>
      <c r="CT4">
        <v>-0.88921390899137398</v>
      </c>
      <c r="CU4">
        <v>2.2023516195114001</v>
      </c>
      <c r="CV4">
        <v>2.9452154336134599</v>
      </c>
      <c r="CW4">
        <v>1.22281723148625</v>
      </c>
      <c r="CX4">
        <v>-1.3136288022609499</v>
      </c>
      <c r="CY4">
        <v>1.81006229878763</v>
      </c>
      <c r="CZ4">
        <v>53</v>
      </c>
    </row>
    <row r="5" spans="1:104" x14ac:dyDescent="0.35">
      <c r="A5" t="s">
        <v>221</v>
      </c>
      <c r="B5" t="s">
        <v>78</v>
      </c>
      <c r="C5" t="s">
        <v>222</v>
      </c>
      <c r="D5" t="s">
        <v>80</v>
      </c>
      <c r="E5" t="s">
        <v>80</v>
      </c>
      <c r="F5" t="s">
        <v>81</v>
      </c>
      <c r="G5" t="s">
        <v>82</v>
      </c>
      <c r="H5" t="s">
        <v>223</v>
      </c>
      <c r="I5" t="s">
        <v>224</v>
      </c>
      <c r="J5" t="s">
        <v>162</v>
      </c>
      <c r="K5" t="s">
        <v>225</v>
      </c>
      <c r="L5" t="s">
        <v>226</v>
      </c>
      <c r="M5" t="s">
        <v>227</v>
      </c>
      <c r="N5">
        <v>72</v>
      </c>
      <c r="O5" t="s">
        <v>89</v>
      </c>
      <c r="P5">
        <v>1440</v>
      </c>
      <c r="Q5">
        <v>1</v>
      </c>
      <c r="R5">
        <v>283</v>
      </c>
      <c r="S5">
        <v>0.9516</v>
      </c>
      <c r="T5" t="s">
        <v>228</v>
      </c>
      <c r="U5" t="s">
        <v>229</v>
      </c>
      <c r="V5" t="s">
        <v>230</v>
      </c>
      <c r="W5" t="s">
        <v>231</v>
      </c>
      <c r="X5" t="s">
        <v>232</v>
      </c>
      <c r="Y5" t="s">
        <v>233</v>
      </c>
      <c r="Z5" t="s">
        <v>234</v>
      </c>
      <c r="AA5" t="s">
        <v>173</v>
      </c>
      <c r="AB5">
        <v>16314</v>
      </c>
      <c r="AC5">
        <v>30</v>
      </c>
      <c r="AD5" t="s">
        <v>235</v>
      </c>
      <c r="AE5">
        <f t="shared" si="3"/>
        <v>22</v>
      </c>
      <c r="AF5">
        <v>3</v>
      </c>
      <c r="AG5" t="s">
        <v>99</v>
      </c>
      <c r="AH5" t="s">
        <v>236</v>
      </c>
      <c r="AI5" t="s">
        <v>80</v>
      </c>
      <c r="AJ5" t="s">
        <v>80</v>
      </c>
      <c r="AK5" t="s">
        <v>81</v>
      </c>
      <c r="AL5" t="s">
        <v>101</v>
      </c>
      <c r="AM5" t="s">
        <v>237</v>
      </c>
      <c r="AN5" t="s">
        <v>146</v>
      </c>
      <c r="AO5" t="s">
        <v>238</v>
      </c>
      <c r="AP5" t="s">
        <v>239</v>
      </c>
      <c r="AQ5" t="s">
        <v>240</v>
      </c>
      <c r="AR5">
        <v>33</v>
      </c>
      <c r="AS5" t="s">
        <v>89</v>
      </c>
      <c r="AT5">
        <v>1485</v>
      </c>
      <c r="AU5">
        <v>1</v>
      </c>
      <c r="AV5">
        <v>175</v>
      </c>
      <c r="AW5">
        <v>1</v>
      </c>
      <c r="AX5" t="s">
        <v>241</v>
      </c>
      <c r="AY5" t="s">
        <v>242</v>
      </c>
      <c r="AZ5" t="s">
        <v>243</v>
      </c>
      <c r="BA5" t="s">
        <v>153</v>
      </c>
      <c r="BB5" t="s">
        <v>244</v>
      </c>
      <c r="BC5" t="s">
        <v>245</v>
      </c>
      <c r="BD5" t="s">
        <v>246</v>
      </c>
      <c r="BE5" t="s">
        <v>114</v>
      </c>
      <c r="BF5">
        <v>36060</v>
      </c>
      <c r="BG5" t="s">
        <v>247</v>
      </c>
      <c r="BH5">
        <f t="shared" si="4"/>
        <v>9</v>
      </c>
      <c r="BI5">
        <v>32</v>
      </c>
      <c r="BJ5" t="s">
        <v>89</v>
      </c>
      <c r="BK5">
        <v>1</v>
      </c>
      <c r="BL5">
        <v>365</v>
      </c>
      <c r="BM5">
        <v>0</v>
      </c>
      <c r="BN5">
        <v>431</v>
      </c>
      <c r="BO5">
        <v>235</v>
      </c>
      <c r="BP5">
        <v>26</v>
      </c>
      <c r="BQ5">
        <v>5215</v>
      </c>
      <c r="BR5">
        <v>0</v>
      </c>
      <c r="BS5">
        <v>1310</v>
      </c>
      <c r="BT5">
        <f t="shared" si="0"/>
        <v>366</v>
      </c>
      <c r="BU5">
        <f t="shared" si="0"/>
        <v>1</v>
      </c>
      <c r="BV5">
        <f t="shared" si="0"/>
        <v>432</v>
      </c>
      <c r="BW5">
        <f t="shared" si="0"/>
        <v>236</v>
      </c>
      <c r="BX5">
        <f t="shared" si="0"/>
        <v>27</v>
      </c>
      <c r="BY5">
        <f t="shared" si="0"/>
        <v>5216</v>
      </c>
      <c r="BZ5">
        <f t="shared" si="0"/>
        <v>1</v>
      </c>
      <c r="CA5">
        <f t="shared" si="0"/>
        <v>1311</v>
      </c>
      <c r="CB5">
        <f t="shared" si="1"/>
        <v>95.449269555819868</v>
      </c>
      <c r="CC5">
        <v>95.449269555819868</v>
      </c>
      <c r="CD5">
        <v>95.449269555819868</v>
      </c>
      <c r="CE5">
        <v>95.449269555819868</v>
      </c>
      <c r="CF5">
        <v>95.449269555819868</v>
      </c>
      <c r="CG5">
        <v>95.449269555819868</v>
      </c>
      <c r="CH5">
        <v>95.449269555819868</v>
      </c>
      <c r="CI5">
        <v>95.449269555819868</v>
      </c>
      <c r="CJ5">
        <f t="shared" si="2"/>
        <v>0.58370847617536514</v>
      </c>
      <c r="CK5">
        <f t="shared" si="2"/>
        <v>-1.9797726092190455</v>
      </c>
      <c r="CL5">
        <f t="shared" si="2"/>
        <v>0.65571113759586652</v>
      </c>
      <c r="CM5">
        <f t="shared" si="2"/>
        <v>0.39313939375106105</v>
      </c>
      <c r="CN5">
        <f t="shared" si="2"/>
        <v>-0.54840884506005827</v>
      </c>
      <c r="CO5">
        <f t="shared" si="2"/>
        <v>1.7375649735048182</v>
      </c>
      <c r="CP5">
        <f t="shared" si="2"/>
        <v>-1.9797726092190455</v>
      </c>
      <c r="CQ5">
        <f t="shared" si="2"/>
        <v>1.1378300824710388</v>
      </c>
      <c r="CR5">
        <v>-6.2814819513418899E-2</v>
      </c>
      <c r="CS5">
        <v>-2.8101924918208301</v>
      </c>
      <c r="CT5">
        <v>2.18736475104844</v>
      </c>
      <c r="CU5">
        <v>0.73336270285289396</v>
      </c>
      <c r="CV5">
        <v>-1.4763954404179001</v>
      </c>
      <c r="CW5">
        <v>2.0450459610397398</v>
      </c>
      <c r="CX5">
        <v>-2.83505630539632</v>
      </c>
      <c r="CY5">
        <v>1.9761383321472401</v>
      </c>
      <c r="CZ5">
        <v>3</v>
      </c>
    </row>
    <row r="6" spans="1:104" x14ac:dyDescent="0.35">
      <c r="A6" t="s">
        <v>580</v>
      </c>
      <c r="B6" t="s">
        <v>78</v>
      </c>
      <c r="C6" t="s">
        <v>581</v>
      </c>
      <c r="D6" t="s">
        <v>80</v>
      </c>
      <c r="E6" t="s">
        <v>80</v>
      </c>
      <c r="F6" t="s">
        <v>81</v>
      </c>
      <c r="G6" t="s">
        <v>82</v>
      </c>
      <c r="H6" t="s">
        <v>509</v>
      </c>
      <c r="I6" t="s">
        <v>272</v>
      </c>
      <c r="J6" t="s">
        <v>85</v>
      </c>
      <c r="K6" t="s">
        <v>582</v>
      </c>
      <c r="L6" t="s">
        <v>583</v>
      </c>
      <c r="M6" t="s">
        <v>584</v>
      </c>
      <c r="N6">
        <v>51</v>
      </c>
      <c r="O6" t="s">
        <v>89</v>
      </c>
      <c r="P6">
        <v>1278</v>
      </c>
      <c r="Q6">
        <v>0.9375</v>
      </c>
      <c r="R6">
        <v>177</v>
      </c>
      <c r="S6">
        <v>0.85419999999999996</v>
      </c>
      <c r="T6" t="s">
        <v>199</v>
      </c>
      <c r="U6" t="s">
        <v>585</v>
      </c>
      <c r="V6" t="s">
        <v>586</v>
      </c>
      <c r="W6" t="s">
        <v>587</v>
      </c>
      <c r="X6" t="s">
        <v>588</v>
      </c>
      <c r="Y6" t="s">
        <v>589</v>
      </c>
      <c r="Z6" t="s">
        <v>590</v>
      </c>
      <c r="AA6" t="s">
        <v>591</v>
      </c>
      <c r="AB6">
        <v>40</v>
      </c>
      <c r="AC6">
        <v>1</v>
      </c>
      <c r="AD6" t="s">
        <v>592</v>
      </c>
      <c r="AE6">
        <f t="shared" si="3"/>
        <v>15</v>
      </c>
      <c r="AF6">
        <v>19</v>
      </c>
      <c r="AG6" t="s">
        <v>99</v>
      </c>
      <c r="AH6" t="s">
        <v>593</v>
      </c>
      <c r="AI6" t="s">
        <v>80</v>
      </c>
      <c r="AJ6" t="s">
        <v>80</v>
      </c>
      <c r="AK6" t="s">
        <v>81</v>
      </c>
      <c r="AL6" t="s">
        <v>176</v>
      </c>
      <c r="AM6" t="s">
        <v>177</v>
      </c>
      <c r="AN6" t="s">
        <v>178</v>
      </c>
      <c r="AO6" t="s">
        <v>594</v>
      </c>
      <c r="AP6" t="s">
        <v>595</v>
      </c>
      <c r="AQ6" t="s">
        <v>596</v>
      </c>
      <c r="AR6">
        <v>39</v>
      </c>
      <c r="AS6" t="s">
        <v>89</v>
      </c>
      <c r="AT6">
        <v>1341</v>
      </c>
      <c r="AU6">
        <v>0.96179999999999999</v>
      </c>
      <c r="AV6">
        <v>163</v>
      </c>
      <c r="AW6">
        <v>0.92110000000000003</v>
      </c>
      <c r="AX6" t="s">
        <v>182</v>
      </c>
      <c r="AY6" t="s">
        <v>183</v>
      </c>
      <c r="AZ6" t="s">
        <v>597</v>
      </c>
      <c r="BA6" t="s">
        <v>598</v>
      </c>
      <c r="BB6" t="s">
        <v>599</v>
      </c>
      <c r="BC6" t="s">
        <v>600</v>
      </c>
      <c r="BD6" t="s">
        <v>601</v>
      </c>
      <c r="BE6" t="s">
        <v>189</v>
      </c>
      <c r="BF6">
        <v>61536</v>
      </c>
      <c r="BG6" t="s">
        <v>602</v>
      </c>
      <c r="BH6">
        <f t="shared" si="4"/>
        <v>11</v>
      </c>
      <c r="BI6">
        <v>555</v>
      </c>
      <c r="BJ6" t="s">
        <v>89</v>
      </c>
      <c r="BK6">
        <v>1</v>
      </c>
      <c r="BL6">
        <v>91</v>
      </c>
      <c r="BM6">
        <v>0</v>
      </c>
      <c r="BN6">
        <v>27</v>
      </c>
      <c r="BO6">
        <v>867</v>
      </c>
      <c r="BP6">
        <v>1269</v>
      </c>
      <c r="BQ6">
        <v>1619</v>
      </c>
      <c r="BR6">
        <v>5</v>
      </c>
      <c r="BS6">
        <v>934</v>
      </c>
      <c r="BT6">
        <f t="shared" si="0"/>
        <v>92</v>
      </c>
      <c r="BU6">
        <f t="shared" si="0"/>
        <v>1</v>
      </c>
      <c r="BV6">
        <f t="shared" si="0"/>
        <v>28</v>
      </c>
      <c r="BW6">
        <f t="shared" si="0"/>
        <v>868</v>
      </c>
      <c r="BX6">
        <f t="shared" si="0"/>
        <v>1270</v>
      </c>
      <c r="BY6">
        <f t="shared" si="0"/>
        <v>1620</v>
      </c>
      <c r="BZ6">
        <f t="shared" si="0"/>
        <v>6</v>
      </c>
      <c r="CA6">
        <f t="shared" si="0"/>
        <v>935</v>
      </c>
      <c r="CB6">
        <f t="shared" si="1"/>
        <v>112.5818543175432</v>
      </c>
      <c r="CC6">
        <v>112.5818543175432</v>
      </c>
      <c r="CD6">
        <v>112.5818543175432</v>
      </c>
      <c r="CE6">
        <v>112.5818543175432</v>
      </c>
      <c r="CF6">
        <v>112.5818543175432</v>
      </c>
      <c r="CG6">
        <v>112.5818543175432</v>
      </c>
      <c r="CH6">
        <v>112.5818543175432</v>
      </c>
      <c r="CI6">
        <v>112.5818543175432</v>
      </c>
      <c r="CJ6">
        <f t="shared" si="2"/>
        <v>-8.7680570231821631E-2</v>
      </c>
      <c r="CK6">
        <f t="shared" si="2"/>
        <v>-2.0514683975773771</v>
      </c>
      <c r="CL6">
        <f t="shared" si="2"/>
        <v>-0.60431036623515766</v>
      </c>
      <c r="CM6">
        <f t="shared" si="2"/>
        <v>0.88705132759911498</v>
      </c>
      <c r="CN6">
        <f t="shared" si="2"/>
        <v>1.0523353233785799</v>
      </c>
      <c r="CO6">
        <f t="shared" si="2"/>
        <v>1.1580466169652541</v>
      </c>
      <c r="CP6">
        <f t="shared" si="2"/>
        <v>-1.2733171471937332</v>
      </c>
      <c r="CQ6">
        <f t="shared" si="2"/>
        <v>0.9193432132951409</v>
      </c>
      <c r="CR6">
        <v>-1.01569021038928</v>
      </c>
      <c r="CS6">
        <v>-2.8101924918208301</v>
      </c>
      <c r="CT6">
        <v>-0.99586661130607901</v>
      </c>
      <c r="CU6">
        <v>1.8399159977120501</v>
      </c>
      <c r="CV6">
        <v>2.5500099855352598</v>
      </c>
      <c r="CW6">
        <v>0.89262134702061802</v>
      </c>
      <c r="CX6">
        <v>-1.4068501180697801</v>
      </c>
      <c r="CY6">
        <v>1.5506688218824101</v>
      </c>
      <c r="CZ6">
        <v>19</v>
      </c>
    </row>
    <row r="7" spans="1:104" x14ac:dyDescent="0.35">
      <c r="A7" t="s">
        <v>1563</v>
      </c>
      <c r="B7" t="s">
        <v>78</v>
      </c>
      <c r="C7" t="s">
        <v>1564</v>
      </c>
      <c r="D7" t="s">
        <v>80</v>
      </c>
      <c r="E7" t="s">
        <v>80</v>
      </c>
      <c r="F7" t="s">
        <v>81</v>
      </c>
      <c r="G7" t="s">
        <v>82</v>
      </c>
      <c r="H7" t="s">
        <v>420</v>
      </c>
      <c r="I7" t="s">
        <v>1565</v>
      </c>
      <c r="J7" t="s">
        <v>85</v>
      </c>
      <c r="K7" t="s">
        <v>1566</v>
      </c>
      <c r="L7" t="s">
        <v>1567</v>
      </c>
      <c r="M7" t="s">
        <v>1568</v>
      </c>
      <c r="N7">
        <v>48</v>
      </c>
      <c r="O7" t="s">
        <v>89</v>
      </c>
      <c r="P7">
        <v>1080</v>
      </c>
      <c r="Q7">
        <v>0.86109999999999998</v>
      </c>
      <c r="R7">
        <v>159</v>
      </c>
      <c r="S7">
        <v>0.8125</v>
      </c>
      <c r="T7" t="s">
        <v>1569</v>
      </c>
      <c r="U7" t="s">
        <v>1570</v>
      </c>
      <c r="V7" t="s">
        <v>1571</v>
      </c>
      <c r="W7" t="s">
        <v>1572</v>
      </c>
      <c r="X7" t="s">
        <v>1573</v>
      </c>
      <c r="Y7" t="s">
        <v>1574</v>
      </c>
      <c r="Z7" t="s">
        <v>1575</v>
      </c>
      <c r="AA7" t="s">
        <v>890</v>
      </c>
      <c r="AB7">
        <v>24486</v>
      </c>
      <c r="AC7">
        <v>51</v>
      </c>
      <c r="AD7" t="s">
        <v>1576</v>
      </c>
      <c r="AE7">
        <f t="shared" si="3"/>
        <v>14</v>
      </c>
      <c r="AF7">
        <v>63</v>
      </c>
      <c r="AG7" t="s">
        <v>99</v>
      </c>
      <c r="AH7" t="s">
        <v>1577</v>
      </c>
      <c r="AI7" t="s">
        <v>80</v>
      </c>
      <c r="AJ7" t="s">
        <v>80</v>
      </c>
      <c r="AK7" t="s">
        <v>81</v>
      </c>
      <c r="AL7" t="s">
        <v>101</v>
      </c>
      <c r="AM7" t="s">
        <v>145</v>
      </c>
      <c r="AN7" t="s">
        <v>1206</v>
      </c>
      <c r="AO7" t="s">
        <v>1578</v>
      </c>
      <c r="AP7" t="s">
        <v>1579</v>
      </c>
      <c r="AQ7" t="s">
        <v>1580</v>
      </c>
      <c r="AR7">
        <v>36</v>
      </c>
      <c r="AS7" t="s">
        <v>89</v>
      </c>
      <c r="AT7">
        <v>1152</v>
      </c>
      <c r="AU7">
        <v>0.9032</v>
      </c>
      <c r="AV7">
        <v>145</v>
      </c>
      <c r="AW7">
        <v>0.86839999999999995</v>
      </c>
      <c r="AX7" t="s">
        <v>1581</v>
      </c>
      <c r="AY7" t="s">
        <v>1582</v>
      </c>
      <c r="AZ7" t="s">
        <v>1583</v>
      </c>
      <c r="BA7" t="s">
        <v>1584</v>
      </c>
      <c r="BB7" t="s">
        <v>1585</v>
      </c>
      <c r="BC7" t="s">
        <v>1586</v>
      </c>
      <c r="BD7" t="s">
        <v>1587</v>
      </c>
      <c r="BE7" t="s">
        <v>114</v>
      </c>
      <c r="BF7">
        <v>50830</v>
      </c>
      <c r="BG7" t="s">
        <v>1588</v>
      </c>
      <c r="BH7">
        <f t="shared" si="4"/>
        <v>10</v>
      </c>
      <c r="BI7">
        <v>52</v>
      </c>
      <c r="BJ7" t="s">
        <v>89</v>
      </c>
      <c r="BK7">
        <v>1</v>
      </c>
      <c r="BL7">
        <v>106</v>
      </c>
      <c r="BM7">
        <v>0</v>
      </c>
      <c r="BN7">
        <v>387</v>
      </c>
      <c r="BO7">
        <v>39</v>
      </c>
      <c r="BP7">
        <v>82</v>
      </c>
      <c r="BQ7">
        <v>397</v>
      </c>
      <c r="BR7">
        <v>0</v>
      </c>
      <c r="BS7">
        <v>38</v>
      </c>
      <c r="BT7">
        <f t="shared" si="0"/>
        <v>107</v>
      </c>
      <c r="BU7">
        <f t="shared" si="0"/>
        <v>1</v>
      </c>
      <c r="BV7">
        <f t="shared" si="0"/>
        <v>388</v>
      </c>
      <c r="BW7">
        <f t="shared" si="0"/>
        <v>40</v>
      </c>
      <c r="BX7">
        <f t="shared" si="0"/>
        <v>83</v>
      </c>
      <c r="BY7">
        <f t="shared" si="0"/>
        <v>398</v>
      </c>
      <c r="BZ7">
        <f t="shared" si="0"/>
        <v>1</v>
      </c>
      <c r="CA7">
        <f t="shared" si="0"/>
        <v>39</v>
      </c>
      <c r="CB7">
        <f t="shared" si="1"/>
        <v>34.776643092075069</v>
      </c>
      <c r="CC7">
        <v>34.776643092075069</v>
      </c>
      <c r="CD7">
        <v>34.776643092075069</v>
      </c>
      <c r="CE7">
        <v>34.776643092075069</v>
      </c>
      <c r="CF7">
        <v>34.776643092075069</v>
      </c>
      <c r="CG7">
        <v>34.776643092075069</v>
      </c>
      <c r="CH7">
        <v>34.776643092075069</v>
      </c>
      <c r="CI7">
        <v>34.776643092075069</v>
      </c>
      <c r="CJ7">
        <f t="shared" si="2"/>
        <v>0.48809611942475462</v>
      </c>
      <c r="CK7">
        <f t="shared" si="2"/>
        <v>-1.5412876582604551</v>
      </c>
      <c r="CL7">
        <f t="shared" si="2"/>
        <v>1.0475440673337522</v>
      </c>
      <c r="CM7">
        <f t="shared" si="2"/>
        <v>6.0772333067507386E-2</v>
      </c>
      <c r="CN7">
        <f t="shared" si="2"/>
        <v>0.37779043411561891</v>
      </c>
      <c r="CO7">
        <f t="shared" si="2"/>
        <v>1.0585954138132327</v>
      </c>
      <c r="CP7">
        <f t="shared" si="2"/>
        <v>-1.5412876582604551</v>
      </c>
      <c r="CQ7">
        <f t="shared" si="2"/>
        <v>4.9776948766044188E-2</v>
      </c>
      <c r="CR7">
        <v>-0.19851358061004401</v>
      </c>
      <c r="CS7">
        <v>-2.8101924918208301</v>
      </c>
      <c r="CT7">
        <v>3.17726442097673</v>
      </c>
      <c r="CU7">
        <v>-1.12677482412141E-2</v>
      </c>
      <c r="CV7">
        <v>0.85330463078358298</v>
      </c>
      <c r="CW7">
        <v>0.69485364369786595</v>
      </c>
      <c r="CX7">
        <v>-2.83505630539632</v>
      </c>
      <c r="CY7">
        <v>-0.14267748358440099</v>
      </c>
      <c r="CZ7">
        <v>63</v>
      </c>
    </row>
    <row r="8" spans="1:104" x14ac:dyDescent="0.35">
      <c r="A8" t="s">
        <v>1641</v>
      </c>
      <c r="B8" t="s">
        <v>78</v>
      </c>
      <c r="C8" t="s">
        <v>1642</v>
      </c>
      <c r="D8" t="s">
        <v>80</v>
      </c>
      <c r="E8" t="s">
        <v>80</v>
      </c>
      <c r="F8" t="s">
        <v>81</v>
      </c>
      <c r="G8" t="s">
        <v>82</v>
      </c>
      <c r="H8" t="s">
        <v>193</v>
      </c>
      <c r="I8" t="s">
        <v>194</v>
      </c>
      <c r="J8" t="s">
        <v>133</v>
      </c>
      <c r="K8" t="s">
        <v>1643</v>
      </c>
      <c r="L8" t="s">
        <v>1644</v>
      </c>
      <c r="M8" t="s">
        <v>1645</v>
      </c>
      <c r="N8">
        <v>51</v>
      </c>
      <c r="O8" t="s">
        <v>89</v>
      </c>
      <c r="P8">
        <v>1377</v>
      </c>
      <c r="Q8">
        <v>0.97570000000000001</v>
      </c>
      <c r="R8">
        <v>237</v>
      </c>
      <c r="S8">
        <v>0.96079999999999999</v>
      </c>
      <c r="T8" t="s">
        <v>199</v>
      </c>
      <c r="U8" t="s">
        <v>322</v>
      </c>
      <c r="V8" t="s">
        <v>1646</v>
      </c>
      <c r="W8" t="s">
        <v>1647</v>
      </c>
      <c r="X8" t="s">
        <v>1648</v>
      </c>
      <c r="Y8" t="s">
        <v>1649</v>
      </c>
      <c r="Z8" t="s">
        <v>1650</v>
      </c>
      <c r="AA8" t="s">
        <v>97</v>
      </c>
      <c r="AB8">
        <v>192</v>
      </c>
      <c r="AC8">
        <v>4</v>
      </c>
      <c r="AD8" t="s">
        <v>1651</v>
      </c>
      <c r="AE8">
        <f t="shared" si="3"/>
        <v>15</v>
      </c>
      <c r="AF8">
        <v>72</v>
      </c>
      <c r="AG8" t="s">
        <v>99</v>
      </c>
      <c r="AH8" t="s">
        <v>1652</v>
      </c>
      <c r="AI8" t="s">
        <v>80</v>
      </c>
      <c r="AJ8" t="s">
        <v>80</v>
      </c>
      <c r="AK8" t="s">
        <v>81</v>
      </c>
      <c r="AL8" t="s">
        <v>176</v>
      </c>
      <c r="AM8" t="s">
        <v>1452</v>
      </c>
      <c r="AN8" t="s">
        <v>178</v>
      </c>
      <c r="AO8" t="s">
        <v>1653</v>
      </c>
      <c r="AP8" t="s">
        <v>1654</v>
      </c>
      <c r="AQ8" t="s">
        <v>1655</v>
      </c>
      <c r="AR8">
        <v>39</v>
      </c>
      <c r="AS8" t="s">
        <v>89</v>
      </c>
      <c r="AT8">
        <v>1287</v>
      </c>
      <c r="AU8">
        <v>0.94099999999999995</v>
      </c>
      <c r="AV8">
        <v>185</v>
      </c>
      <c r="AW8">
        <v>1</v>
      </c>
      <c r="AX8" t="s">
        <v>1656</v>
      </c>
      <c r="AY8" t="s">
        <v>1657</v>
      </c>
      <c r="AZ8" t="s">
        <v>1658</v>
      </c>
      <c r="BA8" t="s">
        <v>185</v>
      </c>
      <c r="BB8" t="s">
        <v>1659</v>
      </c>
      <c r="BC8" t="s">
        <v>1660</v>
      </c>
      <c r="BD8" t="s">
        <v>1661</v>
      </c>
      <c r="BE8" t="s">
        <v>189</v>
      </c>
      <c r="BF8">
        <v>4248</v>
      </c>
      <c r="BG8" t="s">
        <v>1662</v>
      </c>
      <c r="BH8">
        <f t="shared" si="4"/>
        <v>11</v>
      </c>
      <c r="BI8">
        <v>22</v>
      </c>
      <c r="BJ8" t="s">
        <v>89</v>
      </c>
      <c r="BK8">
        <v>1</v>
      </c>
      <c r="BL8">
        <v>4081</v>
      </c>
      <c r="BM8">
        <v>0</v>
      </c>
      <c r="BN8">
        <v>24</v>
      </c>
      <c r="BO8">
        <v>20</v>
      </c>
      <c r="BP8">
        <v>20</v>
      </c>
      <c r="BQ8">
        <v>43</v>
      </c>
      <c r="BR8">
        <v>22</v>
      </c>
      <c r="BS8">
        <v>24</v>
      </c>
      <c r="BT8">
        <f t="shared" si="0"/>
        <v>4082</v>
      </c>
      <c r="BU8">
        <f t="shared" si="0"/>
        <v>1</v>
      </c>
      <c r="BV8">
        <f t="shared" si="0"/>
        <v>25</v>
      </c>
      <c r="BW8">
        <f t="shared" si="0"/>
        <v>21</v>
      </c>
      <c r="BX8">
        <f t="shared" si="0"/>
        <v>21</v>
      </c>
      <c r="BY8">
        <f t="shared" si="0"/>
        <v>44</v>
      </c>
      <c r="BZ8">
        <f t="shared" si="0"/>
        <v>23</v>
      </c>
      <c r="CA8">
        <f t="shared" si="0"/>
        <v>25</v>
      </c>
      <c r="CB8">
        <f t="shared" si="1"/>
        <v>32.140047550865937</v>
      </c>
      <c r="CC8">
        <v>32.140047550865937</v>
      </c>
      <c r="CD8">
        <v>32.140047550865937</v>
      </c>
      <c r="CE8">
        <v>32.140047550865937</v>
      </c>
      <c r="CF8">
        <v>32.140047550865937</v>
      </c>
      <c r="CG8">
        <v>32.140047550865937</v>
      </c>
      <c r="CH8">
        <v>32.140047550865937</v>
      </c>
      <c r="CI8">
        <v>32.140047550865937</v>
      </c>
      <c r="CJ8">
        <f t="shared" si="2"/>
        <v>2.1038264854180833</v>
      </c>
      <c r="CK8">
        <f t="shared" si="2"/>
        <v>-1.5070465149619683</v>
      </c>
      <c r="CL8">
        <f t="shared" si="2"/>
        <v>-0.10910650628993059</v>
      </c>
      <c r="CM8">
        <f t="shared" si="2"/>
        <v>-0.18482722022804896</v>
      </c>
      <c r="CN8">
        <f t="shared" si="2"/>
        <v>-0.18482722022804896</v>
      </c>
      <c r="CO8">
        <f t="shared" si="2"/>
        <v>0.13640616152421922</v>
      </c>
      <c r="CP8">
        <f t="shared" si="2"/>
        <v>-0.14531867894437533</v>
      </c>
      <c r="CQ8">
        <f t="shared" si="2"/>
        <v>-0.10910650628993059</v>
      </c>
      <c r="CR8">
        <v>2.09462735203507</v>
      </c>
      <c r="CS8">
        <v>-2.8101924918208301</v>
      </c>
      <c r="CT8">
        <v>0.25518224218083502</v>
      </c>
      <c r="CU8">
        <v>-0.56150550580619196</v>
      </c>
      <c r="CV8">
        <v>-0.56186640082228601</v>
      </c>
      <c r="CW8">
        <v>-1.1390030083462399</v>
      </c>
      <c r="CX8">
        <v>0.87356878764586698</v>
      </c>
      <c r="CY8">
        <v>-0.45207852936270598</v>
      </c>
      <c r="CZ8">
        <v>72</v>
      </c>
    </row>
  </sheetData>
  <conditionalFormatting sqref="CR2:CY2">
    <cfRule type="colorScale" priority="14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conditionalFormatting sqref="CJ2:CQ2">
    <cfRule type="colorScale" priority="13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conditionalFormatting sqref="CR3:CY3">
    <cfRule type="colorScale" priority="12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conditionalFormatting sqref="CJ3:CQ3">
    <cfRule type="colorScale" priority="11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conditionalFormatting sqref="CR4:CY4">
    <cfRule type="colorScale" priority="10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conditionalFormatting sqref="CJ4:CQ4">
    <cfRule type="colorScale" priority="9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conditionalFormatting sqref="CR5:CY5">
    <cfRule type="colorScale" priority="8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conditionalFormatting sqref="CJ5:CQ5">
    <cfRule type="colorScale" priority="7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conditionalFormatting sqref="CR6:CY6">
    <cfRule type="colorScale" priority="6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conditionalFormatting sqref="CJ6:CQ6">
    <cfRule type="colorScale" priority="5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conditionalFormatting sqref="CR7:CY7">
    <cfRule type="colorScale" priority="4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conditionalFormatting sqref="CJ7:CQ7">
    <cfRule type="colorScale" priority="3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conditionalFormatting sqref="CR8:CY8">
    <cfRule type="colorScale" priority="2">
      <colorScale>
        <cfvo type="min"/>
        <cfvo type="percentile" val="50"/>
        <cfvo type="max"/>
        <color theme="7" tint="0.79998168889431442"/>
        <color theme="0"/>
        <color rgb="FF7030A0"/>
      </colorScale>
    </cfRule>
  </conditionalFormatting>
  <conditionalFormatting sqref="CJ8:CQ8">
    <cfRule type="colorScale" priority="1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09B0-255A-4067-9A25-EFBD5BDA4B69}">
  <dimension ref="A1:Z27"/>
  <sheetViews>
    <sheetView workbookViewId="0">
      <selection activeCell="L31" sqref="L31"/>
    </sheetView>
  </sheetViews>
  <sheetFormatPr defaultRowHeight="14.5" x14ac:dyDescent="0.35"/>
  <cols>
    <col min="1" max="1" width="10.81640625" style="1" customWidth="1"/>
    <col min="2" max="2" width="10.1796875" style="1" customWidth="1"/>
    <col min="3" max="3" width="8.81640625" style="1"/>
    <col min="4" max="4" width="10" style="1" customWidth="1"/>
    <col min="5" max="5" width="10.453125" style="1" customWidth="1"/>
    <col min="6" max="6" width="28.54296875" customWidth="1"/>
    <col min="7" max="7" width="11.54296875" style="1" customWidth="1"/>
    <col min="8" max="8" width="9.54296875" style="1" customWidth="1"/>
    <col min="9" max="9" width="9.453125" customWidth="1"/>
    <col min="10" max="10" width="15.453125" style="1" customWidth="1"/>
    <col min="12" max="12" width="11.1796875" customWidth="1"/>
  </cols>
  <sheetData>
    <row r="1" spans="1:26" s="3" customFormat="1" ht="29" x14ac:dyDescent="0.35">
      <c r="A1" s="3" t="s">
        <v>1795</v>
      </c>
      <c r="B1" s="3" t="s">
        <v>1796</v>
      </c>
      <c r="C1" s="4" t="s">
        <v>1802</v>
      </c>
      <c r="D1" s="3" t="s">
        <v>1803</v>
      </c>
      <c r="E1" s="4" t="s">
        <v>1805</v>
      </c>
      <c r="F1" s="4" t="s">
        <v>1804</v>
      </c>
      <c r="G1" s="3" t="s">
        <v>1798</v>
      </c>
      <c r="H1" s="4" t="s">
        <v>1799</v>
      </c>
      <c r="I1" s="4" t="s">
        <v>1806</v>
      </c>
      <c r="J1" s="3" t="s">
        <v>1801</v>
      </c>
      <c r="K1" s="3" t="s">
        <v>1780</v>
      </c>
      <c r="L1" s="3" t="s">
        <v>1781</v>
      </c>
      <c r="M1" s="3" t="s">
        <v>1782</v>
      </c>
      <c r="N1" s="3" t="s">
        <v>1783</v>
      </c>
      <c r="O1" s="3" t="s">
        <v>1784</v>
      </c>
      <c r="P1" s="3" t="s">
        <v>1785</v>
      </c>
      <c r="Q1" s="3" t="s">
        <v>1786</v>
      </c>
      <c r="R1" s="3" t="s">
        <v>1787</v>
      </c>
      <c r="S1" s="3" t="s">
        <v>69</v>
      </c>
      <c r="T1" s="3" t="s">
        <v>70</v>
      </c>
      <c r="U1" s="3" t="s">
        <v>71</v>
      </c>
      <c r="V1" s="3" t="s">
        <v>72</v>
      </c>
      <c r="W1" s="3" t="s">
        <v>73</v>
      </c>
      <c r="X1" s="3" t="s">
        <v>74</v>
      </c>
      <c r="Y1" s="3" t="s">
        <v>75</v>
      </c>
      <c r="Z1" s="3" t="s">
        <v>76</v>
      </c>
    </row>
    <row r="2" spans="1:26" x14ac:dyDescent="0.35">
      <c r="A2" s="1" t="s">
        <v>1788</v>
      </c>
      <c r="B2" s="1" t="s">
        <v>840</v>
      </c>
      <c r="C2" s="1">
        <v>100</v>
      </c>
      <c r="D2" s="1" t="s">
        <v>173</v>
      </c>
      <c r="E2" s="1">
        <v>16</v>
      </c>
      <c r="F2" t="s">
        <v>1595</v>
      </c>
      <c r="G2" s="1" t="s">
        <v>102</v>
      </c>
      <c r="H2" s="1">
        <v>100</v>
      </c>
      <c r="I2" s="1">
        <v>9</v>
      </c>
      <c r="J2" s="1" t="s">
        <v>1601</v>
      </c>
      <c r="K2">
        <v>-0.45708413073560633</v>
      </c>
      <c r="L2">
        <v>-0.45708413073560633</v>
      </c>
      <c r="M2">
        <v>-0.45708413073560633</v>
      </c>
      <c r="N2">
        <v>0.3210671196480373</v>
      </c>
      <c r="O2">
        <v>0.38801390927865048</v>
      </c>
      <c r="P2">
        <v>0.6220971153120185</v>
      </c>
      <c r="Q2">
        <v>-0.45708413073560633</v>
      </c>
      <c r="R2">
        <v>0.49715837870371854</v>
      </c>
      <c r="S2">
        <v>-1.53996978270225</v>
      </c>
      <c r="T2">
        <v>-2.8101924918208301</v>
      </c>
      <c r="U2">
        <v>-1.90638622950665</v>
      </c>
      <c r="V2">
        <v>0.57189300165464796</v>
      </c>
      <c r="W2">
        <v>0.87902008031021095</v>
      </c>
      <c r="X2">
        <v>-0.173162662418783</v>
      </c>
      <c r="Y2">
        <v>-2.83505630539632</v>
      </c>
      <c r="Z2">
        <v>0.72852891254881802</v>
      </c>
    </row>
    <row r="3" spans="1:26" x14ac:dyDescent="0.35">
      <c r="A3" s="1" t="s">
        <v>1789</v>
      </c>
      <c r="B3" s="1" t="s">
        <v>555</v>
      </c>
      <c r="C3" s="1">
        <v>100</v>
      </c>
      <c r="D3" s="1" t="s">
        <v>173</v>
      </c>
      <c r="E3" s="1">
        <v>13</v>
      </c>
      <c r="F3" t="s">
        <v>1143</v>
      </c>
      <c r="G3" s="1" t="s">
        <v>177</v>
      </c>
      <c r="H3" s="1">
        <v>100</v>
      </c>
      <c r="I3" s="1">
        <v>11</v>
      </c>
      <c r="J3" s="1" t="s">
        <v>1150</v>
      </c>
      <c r="K3">
        <v>-0.19559519219652041</v>
      </c>
      <c r="L3">
        <v>-1.098685179188464</v>
      </c>
      <c r="M3">
        <v>-9.8685179188463978E-2</v>
      </c>
      <c r="N3">
        <v>0.55452733458687975</v>
      </c>
      <c r="O3">
        <v>0.80979983969018576</v>
      </c>
      <c r="P3">
        <v>0.72085875635340468</v>
      </c>
      <c r="Q3">
        <v>-1.098685179188464</v>
      </c>
      <c r="R3">
        <v>0.40646479913144196</v>
      </c>
      <c r="S3">
        <v>-1.1688490802518501</v>
      </c>
      <c r="T3">
        <v>-2.8101924918208301</v>
      </c>
      <c r="U3">
        <v>0.28150996370454001</v>
      </c>
      <c r="V3">
        <v>1.09493395765345</v>
      </c>
      <c r="W3">
        <v>1.93995235936153</v>
      </c>
      <c r="X3">
        <v>2.32337843419918E-2</v>
      </c>
      <c r="Y3">
        <v>-2.83505630539632</v>
      </c>
      <c r="Z3">
        <v>0.55191714164319094</v>
      </c>
    </row>
    <row r="4" spans="1:26" x14ac:dyDescent="0.35">
      <c r="A4" s="1" t="s">
        <v>1790</v>
      </c>
      <c r="B4" s="1" t="s">
        <v>83</v>
      </c>
      <c r="C4" s="1">
        <v>99.31</v>
      </c>
      <c r="D4" s="1" t="s">
        <v>173</v>
      </c>
      <c r="E4" s="1">
        <v>16</v>
      </c>
      <c r="F4" t="s">
        <v>1498</v>
      </c>
      <c r="G4" s="1" t="s">
        <v>177</v>
      </c>
      <c r="H4" s="1">
        <v>96.179999999999993</v>
      </c>
      <c r="I4" s="1">
        <v>11</v>
      </c>
      <c r="J4" s="1" t="s">
        <v>1507</v>
      </c>
      <c r="K4">
        <v>-0.41429230586839827</v>
      </c>
      <c r="L4">
        <v>-2.4313256451671785</v>
      </c>
      <c r="M4">
        <v>-0.5620939254362024</v>
      </c>
      <c r="N4">
        <v>1.0488250801061019</v>
      </c>
      <c r="O4">
        <v>1.2094538321776784</v>
      </c>
      <c r="P4">
        <v>1.3240918176437577</v>
      </c>
      <c r="Q4">
        <v>-1.2272056625112537</v>
      </c>
      <c r="R4">
        <v>1.052546809055495</v>
      </c>
      <c r="S4">
        <v>-1.4792370718175101</v>
      </c>
      <c r="T4">
        <v>-2.8101924918208301</v>
      </c>
      <c r="U4">
        <v>-0.88921390899137398</v>
      </c>
      <c r="V4">
        <v>2.2023516195114001</v>
      </c>
      <c r="W4">
        <v>2.9452154336134599</v>
      </c>
      <c r="X4">
        <v>1.22281723148625</v>
      </c>
      <c r="Y4">
        <v>-1.3136288022609499</v>
      </c>
      <c r="Z4">
        <v>1.81006229878763</v>
      </c>
    </row>
    <row r="5" spans="1:26" x14ac:dyDescent="0.35">
      <c r="A5" s="1" t="s">
        <v>1791</v>
      </c>
      <c r="B5" s="1" t="s">
        <v>223</v>
      </c>
      <c r="C5" s="1">
        <v>100</v>
      </c>
      <c r="D5" s="1" t="s">
        <v>173</v>
      </c>
      <c r="E5" s="1">
        <v>22</v>
      </c>
      <c r="F5" t="s">
        <v>235</v>
      </c>
      <c r="G5" s="1" t="s">
        <v>237</v>
      </c>
      <c r="H5" s="1">
        <v>100</v>
      </c>
      <c r="I5" s="1">
        <v>9</v>
      </c>
      <c r="J5" s="1" t="s">
        <v>247</v>
      </c>
      <c r="K5">
        <v>0.58370847617536514</v>
      </c>
      <c r="L5">
        <v>-1.9797726092190455</v>
      </c>
      <c r="M5">
        <v>0.65571113759586652</v>
      </c>
      <c r="N5">
        <v>0.39313939375106105</v>
      </c>
      <c r="O5">
        <v>-0.54840884506005827</v>
      </c>
      <c r="P5">
        <v>1.7375649735048182</v>
      </c>
      <c r="Q5">
        <v>-1.9797726092190455</v>
      </c>
      <c r="R5">
        <v>1.1378300824710388</v>
      </c>
      <c r="S5">
        <v>-6.2814819513418899E-2</v>
      </c>
      <c r="T5">
        <v>-2.8101924918208301</v>
      </c>
      <c r="U5">
        <v>2.18736475104844</v>
      </c>
      <c r="V5">
        <v>0.73336270285289396</v>
      </c>
      <c r="W5">
        <v>-1.4763954404179001</v>
      </c>
      <c r="X5">
        <v>2.0450459610397398</v>
      </c>
      <c r="Y5">
        <v>-2.83505630539632</v>
      </c>
      <c r="Z5">
        <v>1.9761383321472401</v>
      </c>
    </row>
    <row r="6" spans="1:26" x14ac:dyDescent="0.35">
      <c r="A6" s="1" t="s">
        <v>1792</v>
      </c>
      <c r="B6" s="1" t="s">
        <v>509</v>
      </c>
      <c r="C6" s="1">
        <v>93.75</v>
      </c>
      <c r="D6" s="1" t="s">
        <v>591</v>
      </c>
      <c r="E6" s="1">
        <v>15</v>
      </c>
      <c r="F6" t="s">
        <v>592</v>
      </c>
      <c r="G6" s="1" t="s">
        <v>177</v>
      </c>
      <c r="H6" s="1">
        <v>96.179999999999993</v>
      </c>
      <c r="I6" s="1">
        <v>11</v>
      </c>
      <c r="J6" s="1" t="s">
        <v>602</v>
      </c>
      <c r="K6">
        <v>-8.7680570231821631E-2</v>
      </c>
      <c r="L6">
        <v>-2.0514683975773771</v>
      </c>
      <c r="M6">
        <v>-0.60431036623515766</v>
      </c>
      <c r="N6">
        <v>0.88705132759911498</v>
      </c>
      <c r="O6">
        <v>1.0523353233785799</v>
      </c>
      <c r="P6">
        <v>1.1580466169652541</v>
      </c>
      <c r="Q6">
        <v>-1.2733171471937332</v>
      </c>
      <c r="R6">
        <v>0.9193432132951409</v>
      </c>
      <c r="S6">
        <v>-1.01569021038928</v>
      </c>
      <c r="T6">
        <v>-2.8101924918208301</v>
      </c>
      <c r="U6">
        <v>-0.99586661130607901</v>
      </c>
      <c r="V6">
        <v>1.8399159977120501</v>
      </c>
      <c r="W6">
        <v>2.5500099855352598</v>
      </c>
      <c r="X6">
        <v>0.89262134702061802</v>
      </c>
      <c r="Y6">
        <v>-1.4068501180697801</v>
      </c>
      <c r="Z6">
        <v>1.5506688218824101</v>
      </c>
    </row>
    <row r="7" spans="1:26" x14ac:dyDescent="0.35">
      <c r="A7" s="1" t="s">
        <v>1793</v>
      </c>
      <c r="B7" s="1" t="s">
        <v>420</v>
      </c>
      <c r="C7" s="1">
        <v>86.11</v>
      </c>
      <c r="D7" s="1" t="s">
        <v>890</v>
      </c>
      <c r="E7" s="1">
        <v>14</v>
      </c>
      <c r="F7" t="s">
        <v>1576</v>
      </c>
      <c r="G7" s="1" t="s">
        <v>145</v>
      </c>
      <c r="H7" s="1">
        <v>90.32</v>
      </c>
      <c r="I7" s="1">
        <v>10</v>
      </c>
      <c r="J7" s="1" t="s">
        <v>1588</v>
      </c>
      <c r="K7">
        <v>0.48809611942475462</v>
      </c>
      <c r="L7">
        <v>-1.5412876582604551</v>
      </c>
      <c r="M7">
        <v>1.0475440673337522</v>
      </c>
      <c r="N7">
        <v>6.0772333067507386E-2</v>
      </c>
      <c r="O7">
        <v>0.37779043411561891</v>
      </c>
      <c r="P7">
        <v>1.0585954138132327</v>
      </c>
      <c r="Q7">
        <v>-1.5412876582604551</v>
      </c>
      <c r="R7">
        <v>4.9776948766044188E-2</v>
      </c>
      <c r="S7">
        <v>-0.19851358061004401</v>
      </c>
      <c r="T7">
        <v>-2.8101924918208301</v>
      </c>
      <c r="U7">
        <v>3.17726442097673</v>
      </c>
      <c r="V7">
        <v>-1.12677482412141E-2</v>
      </c>
      <c r="W7">
        <v>0.85330463078358298</v>
      </c>
      <c r="X7">
        <v>0.69485364369786595</v>
      </c>
      <c r="Y7">
        <v>-2.83505630539632</v>
      </c>
      <c r="Z7">
        <v>-0.14267748358440099</v>
      </c>
    </row>
    <row r="8" spans="1:26" x14ac:dyDescent="0.35">
      <c r="A8" s="1" t="s">
        <v>1794</v>
      </c>
      <c r="B8" s="1" t="s">
        <v>193</v>
      </c>
      <c r="C8" s="1">
        <v>97.570000000000007</v>
      </c>
      <c r="D8" s="1" t="s">
        <v>97</v>
      </c>
      <c r="E8" s="1">
        <v>15</v>
      </c>
      <c r="F8" t="s">
        <v>1651</v>
      </c>
      <c r="G8" s="1" t="s">
        <v>1452</v>
      </c>
      <c r="H8" s="1">
        <v>94.1</v>
      </c>
      <c r="I8" s="1">
        <v>11</v>
      </c>
      <c r="J8" s="1" t="s">
        <v>1662</v>
      </c>
      <c r="K8">
        <v>2.1038264854180833</v>
      </c>
      <c r="L8">
        <v>-1.5070465149619683</v>
      </c>
      <c r="M8">
        <v>-0.10910650628993059</v>
      </c>
      <c r="N8">
        <v>-0.18482722022804896</v>
      </c>
      <c r="O8">
        <v>-0.18482722022804896</v>
      </c>
      <c r="P8">
        <v>0.13640616152421922</v>
      </c>
      <c r="Q8">
        <v>-0.14531867894437533</v>
      </c>
      <c r="R8">
        <v>-0.10910650628993059</v>
      </c>
      <c r="S8">
        <v>2.09462735203507</v>
      </c>
      <c r="T8">
        <v>-2.8101924918208301</v>
      </c>
      <c r="U8">
        <v>0.25518224218083502</v>
      </c>
      <c r="V8">
        <v>-0.56150550580619196</v>
      </c>
      <c r="W8">
        <v>-0.56186640082228601</v>
      </c>
      <c r="X8">
        <v>-1.1390030083462399</v>
      </c>
      <c r="Y8">
        <v>0.87356878764586698</v>
      </c>
      <c r="Z8">
        <v>-0.45207852936270598</v>
      </c>
    </row>
    <row r="9" spans="1:26" x14ac:dyDescent="0.35">
      <c r="I9" s="1"/>
    </row>
    <row r="11" spans="1:26" ht="29" x14ac:dyDescent="0.35">
      <c r="A11" s="3" t="s">
        <v>1795</v>
      </c>
      <c r="B11" s="3" t="s">
        <v>1796</v>
      </c>
      <c r="C11" s="4" t="s">
        <v>1802</v>
      </c>
      <c r="D11" s="3" t="s">
        <v>1803</v>
      </c>
      <c r="E11" s="4" t="s">
        <v>1805</v>
      </c>
      <c r="F11" s="4" t="s">
        <v>1804</v>
      </c>
      <c r="G11" s="3" t="s">
        <v>1798</v>
      </c>
      <c r="H11" s="4" t="s">
        <v>1799</v>
      </c>
      <c r="I11" s="4" t="s">
        <v>1806</v>
      </c>
      <c r="J11" s="3" t="s">
        <v>1801</v>
      </c>
      <c r="K11" s="4" t="s">
        <v>1807</v>
      </c>
      <c r="L11" s="4" t="s">
        <v>1808</v>
      </c>
      <c r="M11" s="4" t="s">
        <v>1809</v>
      </c>
      <c r="N11" s="4" t="s">
        <v>1810</v>
      </c>
      <c r="O11" s="4" t="s">
        <v>1811</v>
      </c>
      <c r="P11" s="4" t="s">
        <v>1812</v>
      </c>
      <c r="Q11" s="4" t="s">
        <v>1813</v>
      </c>
      <c r="R11" s="4" t="s">
        <v>1814</v>
      </c>
    </row>
    <row r="12" spans="1:26" x14ac:dyDescent="0.35">
      <c r="A12" s="1" t="s">
        <v>1788</v>
      </c>
      <c r="B12" s="1" t="s">
        <v>840</v>
      </c>
      <c r="C12" s="1">
        <v>100</v>
      </c>
      <c r="D12" s="1" t="s">
        <v>173</v>
      </c>
      <c r="E12" s="1">
        <v>16</v>
      </c>
      <c r="F12" t="s">
        <v>1595</v>
      </c>
      <c r="G12" s="1" t="s">
        <v>102</v>
      </c>
      <c r="H12" s="1">
        <v>100</v>
      </c>
      <c r="I12" s="1">
        <v>9</v>
      </c>
      <c r="J12" s="1" t="s">
        <v>1601</v>
      </c>
      <c r="K12">
        <v>-0.457084130735606</v>
      </c>
      <c r="L12">
        <v>-0.45708413073560633</v>
      </c>
      <c r="M12">
        <v>-0.45708413073560633</v>
      </c>
      <c r="N12">
        <v>0.3210671196480373</v>
      </c>
      <c r="O12">
        <v>0.38801390927865048</v>
      </c>
      <c r="P12">
        <v>0.6220971153120185</v>
      </c>
      <c r="Q12">
        <v>-0.45708413073560633</v>
      </c>
      <c r="R12">
        <v>0.49715837870371854</v>
      </c>
    </row>
    <row r="13" spans="1:26" x14ac:dyDescent="0.35">
      <c r="A13" s="1" t="s">
        <v>1789</v>
      </c>
      <c r="B13" s="1" t="s">
        <v>555</v>
      </c>
      <c r="C13" s="1">
        <v>100</v>
      </c>
      <c r="D13" s="1" t="s">
        <v>173</v>
      </c>
      <c r="E13" s="1">
        <v>13</v>
      </c>
      <c r="F13" t="s">
        <v>1143</v>
      </c>
      <c r="G13" s="1" t="s">
        <v>177</v>
      </c>
      <c r="H13" s="1">
        <v>100</v>
      </c>
      <c r="I13" s="1">
        <v>11</v>
      </c>
      <c r="J13" s="1" t="s">
        <v>1150</v>
      </c>
      <c r="K13">
        <v>-0.19559519219652041</v>
      </c>
      <c r="L13">
        <v>-1.098685179188464</v>
      </c>
      <c r="M13">
        <v>-9.8685179188463978E-2</v>
      </c>
      <c r="N13">
        <v>0.55452733458687975</v>
      </c>
      <c r="O13">
        <v>0.80979983969018576</v>
      </c>
      <c r="P13">
        <v>0.72085875635340468</v>
      </c>
      <c r="Q13">
        <v>-1.098685179188464</v>
      </c>
      <c r="R13">
        <v>0.40646479913144196</v>
      </c>
    </row>
    <row r="14" spans="1:26" x14ac:dyDescent="0.35">
      <c r="A14" s="1" t="s">
        <v>1790</v>
      </c>
      <c r="B14" s="1" t="s">
        <v>83</v>
      </c>
      <c r="C14" s="1">
        <v>99.31</v>
      </c>
      <c r="D14" s="1" t="s">
        <v>173</v>
      </c>
      <c r="E14" s="1">
        <v>16</v>
      </c>
      <c r="F14" t="s">
        <v>1498</v>
      </c>
      <c r="G14" s="1" t="s">
        <v>177</v>
      </c>
      <c r="H14" s="1">
        <v>96.179999999999993</v>
      </c>
      <c r="I14" s="1">
        <v>11</v>
      </c>
      <c r="J14" s="1" t="s">
        <v>1507</v>
      </c>
      <c r="K14">
        <v>-0.41429230586839827</v>
      </c>
      <c r="L14">
        <v>-2.4313256451671785</v>
      </c>
      <c r="M14">
        <v>-0.5620939254362024</v>
      </c>
      <c r="N14">
        <v>1.0488250801061019</v>
      </c>
      <c r="O14">
        <v>1.2094538321776784</v>
      </c>
      <c r="P14">
        <v>1.3240918176437577</v>
      </c>
      <c r="Q14">
        <v>-1.2272056625112537</v>
      </c>
      <c r="R14">
        <v>1.052546809055495</v>
      </c>
    </row>
    <row r="15" spans="1:26" x14ac:dyDescent="0.35">
      <c r="A15" s="1" t="s">
        <v>1791</v>
      </c>
      <c r="B15" s="1" t="s">
        <v>223</v>
      </c>
      <c r="C15" s="1">
        <v>100</v>
      </c>
      <c r="D15" s="1" t="s">
        <v>173</v>
      </c>
      <c r="E15" s="1">
        <v>22</v>
      </c>
      <c r="F15" t="s">
        <v>235</v>
      </c>
      <c r="G15" s="1" t="s">
        <v>237</v>
      </c>
      <c r="H15" s="1">
        <v>100</v>
      </c>
      <c r="I15" s="1">
        <v>9</v>
      </c>
      <c r="J15" s="1" t="s">
        <v>247</v>
      </c>
      <c r="K15">
        <v>0.58370847617536514</v>
      </c>
      <c r="L15">
        <v>-1.9797726092190455</v>
      </c>
      <c r="M15">
        <v>0.65571113759586652</v>
      </c>
      <c r="N15">
        <v>0.39313939375106105</v>
      </c>
      <c r="O15">
        <v>-0.54840884506005827</v>
      </c>
      <c r="P15">
        <v>1.7375649735048182</v>
      </c>
      <c r="Q15">
        <v>-1.9797726092190455</v>
      </c>
      <c r="R15">
        <v>1.1378300824710388</v>
      </c>
    </row>
    <row r="16" spans="1:26" x14ac:dyDescent="0.35">
      <c r="A16" s="1" t="s">
        <v>1792</v>
      </c>
      <c r="B16" s="1" t="s">
        <v>509</v>
      </c>
      <c r="C16" s="1">
        <v>93.75</v>
      </c>
      <c r="D16" s="1" t="s">
        <v>591</v>
      </c>
      <c r="E16" s="1">
        <v>15</v>
      </c>
      <c r="F16" t="s">
        <v>592</v>
      </c>
      <c r="G16" s="1" t="s">
        <v>177</v>
      </c>
      <c r="H16" s="1">
        <v>96.179999999999993</v>
      </c>
      <c r="I16" s="1">
        <v>11</v>
      </c>
      <c r="J16" s="1" t="s">
        <v>602</v>
      </c>
      <c r="K16">
        <v>-8.7680570231821631E-2</v>
      </c>
      <c r="L16">
        <v>-2.0514683975773771</v>
      </c>
      <c r="M16">
        <v>-0.60431036623515766</v>
      </c>
      <c r="N16">
        <v>0.88705132759911498</v>
      </c>
      <c r="O16">
        <v>1.0523353233785799</v>
      </c>
      <c r="P16">
        <v>1.1580466169652541</v>
      </c>
      <c r="Q16">
        <v>-1.2733171471937332</v>
      </c>
      <c r="R16">
        <v>0.9193432132951409</v>
      </c>
    </row>
    <row r="17" spans="1:18" x14ac:dyDescent="0.35">
      <c r="A17" s="1" t="s">
        <v>1793</v>
      </c>
      <c r="B17" s="1" t="s">
        <v>420</v>
      </c>
      <c r="C17" s="1">
        <v>86.11</v>
      </c>
      <c r="D17" s="1" t="s">
        <v>890</v>
      </c>
      <c r="E17" s="1">
        <v>14</v>
      </c>
      <c r="F17" t="s">
        <v>1576</v>
      </c>
      <c r="G17" s="1" t="s">
        <v>145</v>
      </c>
      <c r="H17" s="1">
        <v>90.32</v>
      </c>
      <c r="I17" s="1">
        <v>10</v>
      </c>
      <c r="J17" s="1" t="s">
        <v>1588</v>
      </c>
      <c r="K17">
        <v>0.48809611942475462</v>
      </c>
      <c r="L17">
        <v>-1.5412876582604551</v>
      </c>
      <c r="M17">
        <v>1.0475440673337522</v>
      </c>
      <c r="N17">
        <v>6.0772333067507386E-2</v>
      </c>
      <c r="O17">
        <v>0.37779043411561891</v>
      </c>
      <c r="P17">
        <v>1.0585954138132327</v>
      </c>
      <c r="Q17">
        <v>-1.5412876582604551</v>
      </c>
      <c r="R17">
        <v>4.9776948766044188E-2</v>
      </c>
    </row>
    <row r="18" spans="1:18" x14ac:dyDescent="0.35">
      <c r="A18" s="1" t="s">
        <v>1794</v>
      </c>
      <c r="B18" s="1" t="s">
        <v>193</v>
      </c>
      <c r="C18" s="1">
        <v>97.570000000000007</v>
      </c>
      <c r="D18" s="1" t="s">
        <v>97</v>
      </c>
      <c r="E18" s="1">
        <v>15</v>
      </c>
      <c r="F18" t="s">
        <v>1651</v>
      </c>
      <c r="G18" s="1" t="s">
        <v>1452</v>
      </c>
      <c r="H18" s="1">
        <v>94.1</v>
      </c>
      <c r="I18" s="1">
        <v>11</v>
      </c>
      <c r="J18" s="1" t="s">
        <v>1662</v>
      </c>
      <c r="K18">
        <v>2.1038264854180833</v>
      </c>
      <c r="L18">
        <v>-1.5070465149619683</v>
      </c>
      <c r="M18">
        <v>-0.10910650628993059</v>
      </c>
      <c r="N18">
        <v>-0.18482722022804896</v>
      </c>
      <c r="O18">
        <v>-0.18482722022804896</v>
      </c>
      <c r="P18">
        <v>0.13640616152421922</v>
      </c>
      <c r="Q18">
        <v>-0.14531867894437533</v>
      </c>
      <c r="R18">
        <v>-0.10910650628993059</v>
      </c>
    </row>
    <row r="20" spans="1:18" ht="29" x14ac:dyDescent="0.35">
      <c r="A20" s="3" t="s">
        <v>1795</v>
      </c>
      <c r="B20" s="3" t="s">
        <v>1796</v>
      </c>
      <c r="C20" s="4" t="s">
        <v>1802</v>
      </c>
      <c r="D20" s="3" t="s">
        <v>1803</v>
      </c>
      <c r="E20" s="4" t="s">
        <v>1805</v>
      </c>
      <c r="F20" s="4" t="s">
        <v>1804</v>
      </c>
      <c r="G20" s="3" t="s">
        <v>1798</v>
      </c>
      <c r="H20" s="4" t="s">
        <v>1799</v>
      </c>
      <c r="I20" s="4" t="s">
        <v>1806</v>
      </c>
      <c r="J20" s="3" t="s">
        <v>1801</v>
      </c>
      <c r="K20" s="4" t="s">
        <v>1815</v>
      </c>
      <c r="L20" s="4" t="s">
        <v>1816</v>
      </c>
      <c r="M20" s="4" t="s">
        <v>1817</v>
      </c>
      <c r="N20" s="4" t="s">
        <v>1818</v>
      </c>
      <c r="O20" s="4" t="s">
        <v>1819</v>
      </c>
      <c r="P20" s="4" t="s">
        <v>1820</v>
      </c>
      <c r="Q20" s="4" t="s">
        <v>1821</v>
      </c>
      <c r="R20" s="4" t="s">
        <v>1822</v>
      </c>
    </row>
    <row r="21" spans="1:18" x14ac:dyDescent="0.35">
      <c r="A21" s="1" t="s">
        <v>1788</v>
      </c>
      <c r="B21" s="1" t="s">
        <v>840</v>
      </c>
      <c r="C21" s="1">
        <v>100</v>
      </c>
      <c r="D21" s="1" t="s">
        <v>173</v>
      </c>
      <c r="E21" s="1">
        <v>16</v>
      </c>
      <c r="F21" t="s">
        <v>1595</v>
      </c>
      <c r="G21" s="1" t="s">
        <v>102</v>
      </c>
      <c r="H21" s="1">
        <v>100</v>
      </c>
      <c r="I21" s="1">
        <v>9</v>
      </c>
      <c r="J21" s="1" t="s">
        <v>1601</v>
      </c>
      <c r="K21">
        <v>-1.53996978270225</v>
      </c>
      <c r="L21">
        <v>-2.8101924918208301</v>
      </c>
      <c r="M21">
        <v>-1.90638622950665</v>
      </c>
      <c r="N21">
        <v>0.57189300165464796</v>
      </c>
      <c r="O21">
        <v>0.87902008031021095</v>
      </c>
      <c r="P21">
        <v>-0.173162662418783</v>
      </c>
      <c r="Q21">
        <v>-2.83505630539632</v>
      </c>
      <c r="R21">
        <v>0.72852891254881802</v>
      </c>
    </row>
    <row r="22" spans="1:18" x14ac:dyDescent="0.35">
      <c r="A22" s="1" t="s">
        <v>1789</v>
      </c>
      <c r="B22" s="1" t="s">
        <v>555</v>
      </c>
      <c r="C22" s="1">
        <v>100</v>
      </c>
      <c r="D22" s="1" t="s">
        <v>173</v>
      </c>
      <c r="E22" s="1">
        <v>13</v>
      </c>
      <c r="F22" t="s">
        <v>1143</v>
      </c>
      <c r="G22" s="1" t="s">
        <v>177</v>
      </c>
      <c r="H22" s="1">
        <v>100</v>
      </c>
      <c r="I22" s="1">
        <v>11</v>
      </c>
      <c r="J22" s="1" t="s">
        <v>1150</v>
      </c>
      <c r="K22">
        <v>-1.1688490802518501</v>
      </c>
      <c r="L22">
        <v>-2.8101924918208301</v>
      </c>
      <c r="M22">
        <v>0.28150996370454001</v>
      </c>
      <c r="N22">
        <v>1.09493395765345</v>
      </c>
      <c r="O22">
        <v>1.93995235936153</v>
      </c>
      <c r="P22">
        <v>2.32337843419918E-2</v>
      </c>
      <c r="Q22">
        <v>-2.83505630539632</v>
      </c>
      <c r="R22">
        <v>0.55191714164319094</v>
      </c>
    </row>
    <row r="23" spans="1:18" x14ac:dyDescent="0.35">
      <c r="A23" s="1" t="s">
        <v>1790</v>
      </c>
      <c r="B23" s="1" t="s">
        <v>83</v>
      </c>
      <c r="C23" s="1">
        <v>99.31</v>
      </c>
      <c r="D23" s="1" t="s">
        <v>173</v>
      </c>
      <c r="E23" s="1">
        <v>16</v>
      </c>
      <c r="F23" t="s">
        <v>1498</v>
      </c>
      <c r="G23" s="1" t="s">
        <v>177</v>
      </c>
      <c r="H23" s="1">
        <v>96.179999999999993</v>
      </c>
      <c r="I23" s="1">
        <v>11</v>
      </c>
      <c r="J23" s="1" t="s">
        <v>1507</v>
      </c>
      <c r="K23">
        <v>-1.4792370718175101</v>
      </c>
      <c r="L23">
        <v>-2.8101924918208301</v>
      </c>
      <c r="M23">
        <v>-0.88921390899137398</v>
      </c>
      <c r="N23">
        <v>2.2023516195114001</v>
      </c>
      <c r="O23">
        <v>2.9452154336134599</v>
      </c>
      <c r="P23">
        <v>1.22281723148625</v>
      </c>
      <c r="Q23">
        <v>-1.3136288022609499</v>
      </c>
      <c r="R23">
        <v>1.81006229878763</v>
      </c>
    </row>
    <row r="24" spans="1:18" x14ac:dyDescent="0.35">
      <c r="A24" s="1" t="s">
        <v>1791</v>
      </c>
      <c r="B24" s="1" t="s">
        <v>223</v>
      </c>
      <c r="C24" s="1">
        <v>100</v>
      </c>
      <c r="D24" s="1" t="s">
        <v>173</v>
      </c>
      <c r="E24" s="1">
        <v>22</v>
      </c>
      <c r="F24" t="s">
        <v>235</v>
      </c>
      <c r="G24" s="1" t="s">
        <v>237</v>
      </c>
      <c r="H24" s="1">
        <v>100</v>
      </c>
      <c r="I24" s="1">
        <v>9</v>
      </c>
      <c r="J24" s="1" t="s">
        <v>247</v>
      </c>
      <c r="K24">
        <v>-6.2814819513418899E-2</v>
      </c>
      <c r="L24">
        <v>-2.8101924918208301</v>
      </c>
      <c r="M24">
        <v>2.18736475104844</v>
      </c>
      <c r="N24">
        <v>0.73336270285289396</v>
      </c>
      <c r="O24">
        <v>-1.4763954404179001</v>
      </c>
      <c r="P24">
        <v>2.0450459610397398</v>
      </c>
      <c r="Q24">
        <v>-2.83505630539632</v>
      </c>
      <c r="R24">
        <v>1.9761383321472401</v>
      </c>
    </row>
    <row r="25" spans="1:18" x14ac:dyDescent="0.35">
      <c r="A25" s="1" t="s">
        <v>1792</v>
      </c>
      <c r="B25" s="1" t="s">
        <v>509</v>
      </c>
      <c r="C25" s="1">
        <v>93.75</v>
      </c>
      <c r="D25" s="1" t="s">
        <v>591</v>
      </c>
      <c r="E25" s="1">
        <v>15</v>
      </c>
      <c r="F25" t="s">
        <v>592</v>
      </c>
      <c r="G25" s="1" t="s">
        <v>177</v>
      </c>
      <c r="H25" s="1">
        <v>96.179999999999993</v>
      </c>
      <c r="I25" s="1">
        <v>11</v>
      </c>
      <c r="J25" s="1" t="s">
        <v>602</v>
      </c>
      <c r="K25">
        <v>-1.01569021038928</v>
      </c>
      <c r="L25">
        <v>-2.8101924918208301</v>
      </c>
      <c r="M25">
        <v>-0.99586661130607901</v>
      </c>
      <c r="N25">
        <v>1.8399159977120501</v>
      </c>
      <c r="O25">
        <v>2.5500099855352598</v>
      </c>
      <c r="P25">
        <v>0.89262134702061802</v>
      </c>
      <c r="Q25">
        <v>-1.4068501180697801</v>
      </c>
      <c r="R25">
        <v>1.5506688218824101</v>
      </c>
    </row>
    <row r="26" spans="1:18" x14ac:dyDescent="0.35">
      <c r="A26" s="1" t="s">
        <v>1793</v>
      </c>
      <c r="B26" s="1" t="s">
        <v>420</v>
      </c>
      <c r="C26" s="1">
        <v>86.11</v>
      </c>
      <c r="D26" s="1" t="s">
        <v>890</v>
      </c>
      <c r="E26" s="1">
        <v>14</v>
      </c>
      <c r="F26" t="s">
        <v>1576</v>
      </c>
      <c r="G26" s="1" t="s">
        <v>145</v>
      </c>
      <c r="H26" s="1">
        <v>90.32</v>
      </c>
      <c r="I26" s="1">
        <v>10</v>
      </c>
      <c r="J26" s="1" t="s">
        <v>1588</v>
      </c>
      <c r="K26">
        <v>-0.19851358061004401</v>
      </c>
      <c r="L26">
        <v>-2.8101924918208301</v>
      </c>
      <c r="M26">
        <v>3.17726442097673</v>
      </c>
      <c r="N26">
        <v>-1.12677482412141E-2</v>
      </c>
      <c r="O26">
        <v>0.85330463078358298</v>
      </c>
      <c r="P26">
        <v>0.69485364369786595</v>
      </c>
      <c r="Q26">
        <v>-2.83505630539632</v>
      </c>
      <c r="R26">
        <v>-0.14267748358440099</v>
      </c>
    </row>
    <row r="27" spans="1:18" x14ac:dyDescent="0.35">
      <c r="A27" s="1" t="s">
        <v>1794</v>
      </c>
      <c r="B27" s="1" t="s">
        <v>193</v>
      </c>
      <c r="C27" s="1">
        <v>97.570000000000007</v>
      </c>
      <c r="D27" s="1" t="s">
        <v>97</v>
      </c>
      <c r="E27" s="1">
        <v>15</v>
      </c>
      <c r="F27" t="s">
        <v>1651</v>
      </c>
      <c r="G27" s="1" t="s">
        <v>1452</v>
      </c>
      <c r="H27" s="1">
        <v>94.1</v>
      </c>
      <c r="I27" s="1">
        <v>11</v>
      </c>
      <c r="J27" s="1" t="s">
        <v>1662</v>
      </c>
      <c r="K27">
        <v>2.09462735203507</v>
      </c>
      <c r="L27">
        <v>-2.8101924918208301</v>
      </c>
      <c r="M27">
        <v>0.25518224218083502</v>
      </c>
      <c r="N27">
        <v>-0.56150550580619196</v>
      </c>
      <c r="O27">
        <v>-0.56186640082228601</v>
      </c>
      <c r="P27">
        <v>-1.1390030083462399</v>
      </c>
      <c r="Q27">
        <v>0.87356878764586698</v>
      </c>
      <c r="R27">
        <v>-0.45207852936270598</v>
      </c>
    </row>
  </sheetData>
  <conditionalFormatting sqref="K2:Z8">
    <cfRule type="colorScale" priority="6">
      <colorScale>
        <cfvo type="min"/>
        <cfvo type="percentile" val="50"/>
        <cfvo type="max"/>
        <color theme="7" tint="0.59999389629810485"/>
        <color theme="0"/>
        <color rgb="FF7030A0"/>
      </colorScale>
    </cfRule>
  </conditionalFormatting>
  <conditionalFormatting sqref="K12:R18">
    <cfRule type="colorScale" priority="5">
      <colorScale>
        <cfvo type="min"/>
        <cfvo type="percentile" val="50"/>
        <cfvo type="max"/>
        <color theme="7" tint="0.59999389629810485"/>
        <color theme="0"/>
        <color rgb="FF7030A0"/>
      </colorScale>
    </cfRule>
    <cfRule type="colorScale" priority="3">
      <colorScale>
        <cfvo type="num" val="-2"/>
        <cfvo type="num" val="0"/>
        <cfvo type="num" val="2"/>
        <color theme="7" tint="0.59999389629810485"/>
        <color theme="0"/>
        <color rgb="FF7030A0"/>
      </colorScale>
    </cfRule>
  </conditionalFormatting>
  <conditionalFormatting sqref="K21:R27">
    <cfRule type="colorScale" priority="1">
      <colorScale>
        <cfvo type="num" val="-2"/>
        <cfvo type="num" val="0"/>
        <cfvo type="num" val="2"/>
        <color theme="7" tint="0.59999389629810485"/>
        <color theme="0"/>
        <color rgb="FF7030A0"/>
      </colorScale>
    </cfRule>
    <cfRule type="colorScale" priority="2">
      <colorScale>
        <cfvo type="min"/>
        <cfvo type="percentile" val="50"/>
        <cfvo type="max"/>
        <color theme="7" tint="0.59999389629810485"/>
        <color theme="0"/>
        <color rgb="FF7030A0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78EFF69F39B4FB185611712E851EE" ma:contentTypeVersion="14" ma:contentTypeDescription="Create a new document." ma:contentTypeScope="" ma:versionID="8a982bbd017abebaecf2ea52e4f70b34">
  <xsd:schema xmlns:xsd="http://www.w3.org/2001/XMLSchema" xmlns:xs="http://www.w3.org/2001/XMLSchema" xmlns:p="http://schemas.microsoft.com/office/2006/metadata/properties" xmlns:ns2="f721e87c-4499-4b62-9412-00ba7ddff9dd" xmlns:ns3="6b82293e-2cad-452b-8786-6c262ca78f86" targetNamespace="http://schemas.microsoft.com/office/2006/metadata/properties" ma:root="true" ma:fieldsID="ffa7ab8030db88af2ab85504feab535d" ns2:_="" ns3:_="">
    <xsd:import namespace="f721e87c-4499-4b62-9412-00ba7ddff9dd"/>
    <xsd:import namespace="6b82293e-2cad-452b-8786-6c262ca78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1e87c-4499-4b62-9412-00ba7ddff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e07b1ff-87ca-41ea-8f42-2e31685bc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2293e-2cad-452b-8786-6c262ca78f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5313a2-0f9a-4ac0-8a47-a44db9091b3a}" ma:internalName="TaxCatchAll" ma:showField="CatchAllData" ma:web="6b82293e-2cad-452b-8786-6c262ca78f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1e87c-4499-4b62-9412-00ba7ddff9dd">
      <Terms xmlns="http://schemas.microsoft.com/office/infopath/2007/PartnerControls"/>
    </lcf76f155ced4ddcb4097134ff3c332f>
    <TaxCatchAll xmlns="6b82293e-2cad-452b-8786-6c262ca78f86" xsi:nil="true"/>
  </documentManagement>
</p:properties>
</file>

<file path=customXml/itemProps1.xml><?xml version="1.0" encoding="utf-8"?>
<ds:datastoreItem xmlns:ds="http://schemas.openxmlformats.org/officeDocument/2006/customXml" ds:itemID="{D8B12CE6-CA38-44C0-9D3F-0EE961B826CF}"/>
</file>

<file path=customXml/itemProps2.xml><?xml version="1.0" encoding="utf-8"?>
<ds:datastoreItem xmlns:ds="http://schemas.openxmlformats.org/officeDocument/2006/customXml" ds:itemID="{FB6AD4D1-6897-4C62-AE0D-82BD2D5F8860}"/>
</file>

<file path=customXml/itemProps3.xml><?xml version="1.0" encoding="utf-8"?>
<ds:datastoreItem xmlns:ds="http://schemas.openxmlformats.org/officeDocument/2006/customXml" ds:itemID="{FB745F6A-176E-4FEE-83A8-8BB377568B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6421_1_paired_heavy_light_chain</vt:lpstr>
      <vt:lpstr>Twist </vt:lpstr>
      <vt:lpstr>Sheet1</vt:lpstr>
      <vt:lpstr>To order from Ivelin_old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Walker</dc:creator>
  <cp:lastModifiedBy>Clint Holt</cp:lastModifiedBy>
  <dcterms:created xsi:type="dcterms:W3CDTF">2021-06-23T17:26:54Z</dcterms:created>
  <dcterms:modified xsi:type="dcterms:W3CDTF">2022-11-16T17:44:16Z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0x01010057778EFF69F39B4FB185611712E851EE</vt:lpwstr>
  </property>
  <property fmtid="{D5CDD505-2E9C-101B-9397-08002B2CF9AE}" pid="3" name="Order">
    <vt:r8>4500</vt:r8>
  </property>
</Properties>
</file>