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25DCCFFC-776E-F04E-BC9F-2575DB2BF591}" xr6:coauthVersionLast="45" xr6:coauthVersionMax="45" xr10:uidLastSave="{00000000-0000-0000-0000-000000000000}"/>
  <bookViews>
    <workbookView xWindow="1300" yWindow="500" windowWidth="67340" windowHeight="26620" xr2:uid="{0BE6124A-EC7F-E74E-BAD4-3D2A5EAC1EB9}"/>
  </bookViews>
  <sheets>
    <sheet name="final chart" sheetId="8" r:id="rId1"/>
    <sheet name="0.6 cluster w function" sheetId="3" r:id="rId2"/>
    <sheet name="summary chart" sheetId="7" r:id="rId3"/>
    <sheet name="EBOV publics with HIP clust" sheetId="6" r:id="rId4"/>
    <sheet name="Sheet1" sheetId="5" r:id="rId5"/>
    <sheet name="missing from cluster shee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211" i="8" l="1"/>
  <c r="AS211" i="8"/>
  <c r="AR211" i="8"/>
  <c r="BU210" i="3" l="1"/>
  <c r="BT210" i="3"/>
  <c r="BO210" i="3"/>
  <c r="BN210" i="3"/>
  <c r="BM210" i="3"/>
  <c r="BI210" i="3"/>
  <c r="BH210" i="3"/>
  <c r="BG210" i="3"/>
  <c r="BP210" i="3" l="1"/>
</calcChain>
</file>

<file path=xl/sharedStrings.xml><?xml version="1.0" encoding="utf-8"?>
<sst xmlns="http://schemas.openxmlformats.org/spreadsheetml/2006/main" count="18307" uniqueCount="3708">
  <si>
    <t>Twist name</t>
  </si>
  <si>
    <t>mAb name</t>
  </si>
  <si>
    <t>EBOV-5.1.5E07</t>
  </si>
  <si>
    <t>EBOV-792</t>
  </si>
  <si>
    <t>EBOV-827</t>
  </si>
  <si>
    <t>EBOV-848</t>
  </si>
  <si>
    <t>EBOV-595</t>
  </si>
  <si>
    <t>EBOV-754</t>
  </si>
  <si>
    <t>EBOV-693</t>
  </si>
  <si>
    <t>EBOV-703</t>
  </si>
  <si>
    <t>EBOV-702</t>
  </si>
  <si>
    <t>EBOV-TOWN-66-6-20</t>
  </si>
  <si>
    <t>TOWN-66-6-20</t>
  </si>
  <si>
    <t>EBOV-808</t>
  </si>
  <si>
    <t>EBOV-811</t>
  </si>
  <si>
    <t>EBOV-825</t>
  </si>
  <si>
    <t>EBOV-837</t>
  </si>
  <si>
    <t>EBOV-858</t>
  </si>
  <si>
    <t>EBOV-862</t>
  </si>
  <si>
    <t>EBOV-562</t>
  </si>
  <si>
    <t>EBOV-577</t>
  </si>
  <si>
    <t>EBOV-585</t>
  </si>
  <si>
    <t>EBOV-586</t>
  </si>
  <si>
    <t>EBOV-591</t>
  </si>
  <si>
    <t>EBOV-596</t>
  </si>
  <si>
    <t>EBOV-716</t>
  </si>
  <si>
    <t>EBOV-718</t>
  </si>
  <si>
    <t>EBOV-741</t>
  </si>
  <si>
    <t>EBOV-742</t>
  </si>
  <si>
    <t>EBOV-777</t>
  </si>
  <si>
    <t>EBOV-ADI-15845</t>
  </si>
  <si>
    <t>EBOV-ADI-15941</t>
  </si>
  <si>
    <t>EBOV-787</t>
  </si>
  <si>
    <t>EBOV-833</t>
  </si>
  <si>
    <t>EBOV-567</t>
  </si>
  <si>
    <t>EBOV-593</t>
  </si>
  <si>
    <t>EBOV-556</t>
  </si>
  <si>
    <t>EBOV-707</t>
  </si>
  <si>
    <t>EBOV-726</t>
  </si>
  <si>
    <t>EBOV-755</t>
  </si>
  <si>
    <t>EBOV-ADI-16056</t>
  </si>
  <si>
    <t>EBOV-791</t>
  </si>
  <si>
    <t>EBOV-813</t>
  </si>
  <si>
    <t>EBOV-830</t>
  </si>
  <si>
    <t>EBOV-832</t>
  </si>
  <si>
    <t>EBOV-575</t>
  </si>
  <si>
    <t>EBOV-588</t>
  </si>
  <si>
    <t>EBOV-592</t>
  </si>
  <si>
    <t>EBOV-756</t>
  </si>
  <si>
    <t>EBOV-771</t>
  </si>
  <si>
    <t>EBOV-VSV-5T0465</t>
  </si>
  <si>
    <t>EBOV-802</t>
  </si>
  <si>
    <t>EBOV-587</t>
  </si>
  <si>
    <t>EBOV-729</t>
  </si>
  <si>
    <t>EBOV-747</t>
  </si>
  <si>
    <t>EBOV-733</t>
  </si>
  <si>
    <t>EBOV-VSV-4T0284</t>
  </si>
  <si>
    <t>EBOV-564</t>
  </si>
  <si>
    <t>EBOV-571</t>
  </si>
  <si>
    <t>EBOV-584</t>
  </si>
  <si>
    <t>EBOV-797</t>
  </si>
  <si>
    <t>EBOV-Rafi-9.1.c1475</t>
  </si>
  <si>
    <t>Rafi-9.1.c1475</t>
  </si>
  <si>
    <t>EBOV-784</t>
  </si>
  <si>
    <t>EBOV-563</t>
  </si>
  <si>
    <t>EBOV-579</t>
  </si>
  <si>
    <t>EBOV-758</t>
  </si>
  <si>
    <t>EBOV-ADI-16029</t>
  </si>
  <si>
    <t>EBOV-5.1.6D09</t>
  </si>
  <si>
    <t>EBOV-838</t>
  </si>
  <si>
    <t>EBOV-850</t>
  </si>
  <si>
    <t>EBOV-578</t>
  </si>
  <si>
    <t>EBOV-778</t>
  </si>
  <si>
    <t>EBOV-5.6.1A02</t>
  </si>
  <si>
    <t>EBOV-786</t>
  </si>
  <si>
    <t>EBOV-704</t>
  </si>
  <si>
    <t>EBOV-793</t>
  </si>
  <si>
    <t>EBOV-573</t>
  </si>
  <si>
    <t>EBOV-773</t>
  </si>
  <si>
    <t>EBOV-Rafi-5.6.c2701</t>
  </si>
  <si>
    <t>Rafi-5.6.c2701</t>
  </si>
  <si>
    <t>EBOV-Rafi-5.6.c2801</t>
  </si>
  <si>
    <t>Rafi-5.6.c2801</t>
  </si>
  <si>
    <t>EBOV-800</t>
  </si>
  <si>
    <t>EBOV-817</t>
  </si>
  <si>
    <t>EBOV-Rafi-5.6.c2788</t>
  </si>
  <si>
    <t>Rafi-5.6.c2788</t>
  </si>
  <si>
    <t>EBOV-854</t>
  </si>
  <si>
    <t>EBOV-ADI-15958</t>
  </si>
  <si>
    <t>EBOV-NEB-427</t>
  </si>
  <si>
    <t>EBOV-5.1.1G07</t>
  </si>
  <si>
    <t>EBOV-762</t>
  </si>
  <si>
    <t>EBOV-796</t>
  </si>
  <si>
    <t>EBOV-810</t>
  </si>
  <si>
    <t>EBOV-818</t>
  </si>
  <si>
    <t>EBOV-819</t>
  </si>
  <si>
    <t>EBOV-824</t>
  </si>
  <si>
    <t>EBOV-845</t>
  </si>
  <si>
    <t>EBOV-861</t>
  </si>
  <si>
    <t>EBOV-566</t>
  </si>
  <si>
    <t>EBOV-VSV-4T0726</t>
  </si>
  <si>
    <t>EBOV-807</t>
  </si>
  <si>
    <t>EBOV-839</t>
  </si>
  <si>
    <t>EBOV-846</t>
  </si>
  <si>
    <t>EBOV-561</t>
  </si>
  <si>
    <t>EBOV-570</t>
  </si>
  <si>
    <t>EBOV-576</t>
  </si>
  <si>
    <t>EBOV-581</t>
  </si>
  <si>
    <t>EBOV-597</t>
  </si>
  <si>
    <t>EBOV-713</t>
  </si>
  <si>
    <t>EBOV-714</t>
  </si>
  <si>
    <t>EBOV-ADI-15998</t>
  </si>
  <si>
    <t>EBOV-2.1.6B10</t>
  </si>
  <si>
    <t>EBOV-ADI-15751</t>
  </si>
  <si>
    <t>EBOV-842</t>
  </si>
  <si>
    <t>EBOV-VSV-3T0420</t>
  </si>
  <si>
    <t>EBOV-794</t>
  </si>
  <si>
    <t>EBOV-Rafi-5.6.c2903</t>
  </si>
  <si>
    <t>Rafi-5.6.c2903</t>
  </si>
  <si>
    <t>EBOV-2.1.1B06</t>
  </si>
  <si>
    <t>EBOV-5.1.7D11</t>
  </si>
  <si>
    <t>EBOV-5.1.7E01</t>
  </si>
  <si>
    <t>EBOV-5.1.7D01</t>
  </si>
  <si>
    <t>EBOV-NIG-463</t>
  </si>
  <si>
    <t>EBOV-658</t>
  </si>
  <si>
    <t>EBOV-688</t>
  </si>
  <si>
    <t>EBOV-732</t>
  </si>
  <si>
    <t>EBOV-731</t>
  </si>
  <si>
    <t>EBOV-740</t>
  </si>
  <si>
    <t>EBOV-739</t>
  </si>
  <si>
    <t>EBOV-746</t>
  </si>
  <si>
    <t>EBOV-745</t>
  </si>
  <si>
    <t>EBOV-Rafi-5.6.c2518</t>
  </si>
  <si>
    <t>Rafi-5.6.c2518</t>
  </si>
  <si>
    <t>EBOV-Rafi-5.6.c3567</t>
  </si>
  <si>
    <t>Rafi-5.6.c3567</t>
  </si>
  <si>
    <t>EBOV-5.1.5B08</t>
  </si>
  <si>
    <t>EBOV-617</t>
  </si>
  <si>
    <t>EBOV-VSV-3T0135</t>
  </si>
  <si>
    <t>EBOV-VSV-4T0770</t>
  </si>
  <si>
    <t>EBOV-863</t>
  </si>
  <si>
    <t>EBOV-557</t>
  </si>
  <si>
    <t>EBOV-Rafi-5.6.c3079</t>
  </si>
  <si>
    <t>Rafi-5.6.c3079</t>
  </si>
  <si>
    <t>EBOV-VSV-4T0764</t>
  </si>
  <si>
    <t>EBOV-VSV-5T0376</t>
  </si>
  <si>
    <t>EBOV-663</t>
  </si>
  <si>
    <t>EBOV-Rafi-5.6.c2887</t>
  </si>
  <si>
    <t>Rafi-5.6.c2887</t>
  </si>
  <si>
    <t>EBOV-636</t>
  </si>
  <si>
    <t>EBOV-Rafi-9.1.c1723</t>
  </si>
  <si>
    <t>Rafi-9.1.c1723</t>
  </si>
  <si>
    <t>EBOV-803</t>
  </si>
  <si>
    <t>EBOV-805</t>
  </si>
  <si>
    <t>EBOV-554</t>
  </si>
  <si>
    <t>EBOV-NEB-153</t>
  </si>
  <si>
    <t>EBOV-ADI-15743</t>
  </si>
  <si>
    <t>EBOV-ADI-15839</t>
  </si>
  <si>
    <t>EBOV-ADI-15977</t>
  </si>
  <si>
    <t>EBOV-ADI-16031</t>
  </si>
  <si>
    <t>EBOV-NEB-144</t>
  </si>
  <si>
    <t>EBOV-770</t>
  </si>
  <si>
    <t>EBOV-769</t>
  </si>
  <si>
    <t>EBOV-Rafi-5.6.c2685</t>
  </si>
  <si>
    <t>Rafi-5.6.c2685</t>
  </si>
  <si>
    <t>EBOV-624</t>
  </si>
  <si>
    <t>EBOV-623</t>
  </si>
  <si>
    <t>EBOV-627</t>
  </si>
  <si>
    <t>EBOV-626</t>
  </si>
  <si>
    <t>EBOV-680</t>
  </si>
  <si>
    <t>EBOV-679</t>
  </si>
  <si>
    <t>EBOV-724</t>
  </si>
  <si>
    <t>EBOV-722</t>
  </si>
  <si>
    <t>EBOV-738</t>
  </si>
  <si>
    <t>EBOV-736</t>
  </si>
  <si>
    <t>EBOV-761</t>
  </si>
  <si>
    <t>EBOV-759</t>
  </si>
  <si>
    <t>EBOV-767</t>
  </si>
  <si>
    <t>EBOV-776</t>
  </si>
  <si>
    <t>EBOV-774</t>
  </si>
  <si>
    <t>EBOV-Rafi-9.1.c1923</t>
  </si>
  <si>
    <t>Rafi-9.1.c1923</t>
  </si>
  <si>
    <t>EBOV-812</t>
  </si>
  <si>
    <t>EBOV-820</t>
  </si>
  <si>
    <t>EBOV-844</t>
  </si>
  <si>
    <t>EBOV-857</t>
  </si>
  <si>
    <t>EBOV-589</t>
  </si>
  <si>
    <t>EBOV-840</t>
  </si>
  <si>
    <t>EBOV-708</t>
  </si>
  <si>
    <t>EBOV-VSV-4T0444</t>
  </si>
  <si>
    <t>EBOV-798</t>
  </si>
  <si>
    <t>EBOV-719</t>
  </si>
  <si>
    <t>EBOV-752</t>
  </si>
  <si>
    <t>EBOV-764</t>
  </si>
  <si>
    <t>EBOV-Rafi-5.6.c2957</t>
  </si>
  <si>
    <t>Rafi-5.6.c2957</t>
  </si>
  <si>
    <t>EBOV-5.1.11D02</t>
  </si>
  <si>
    <t>EBOV-821</t>
  </si>
  <si>
    <t>EBOV-582</t>
  </si>
  <si>
    <t>EBOV-594</t>
  </si>
  <si>
    <t>EBOV-757</t>
  </si>
  <si>
    <t>EBOV-790</t>
  </si>
  <si>
    <t>EBOV-855</t>
  </si>
  <si>
    <t>EBOV-720</t>
  </si>
  <si>
    <t>EBOV-751</t>
  </si>
  <si>
    <t>EBOV-ADI-15932</t>
  </si>
  <si>
    <t>EBOV-569</t>
  </si>
  <si>
    <t>EBOV-599</t>
  </si>
  <si>
    <t>EBOV-835</t>
  </si>
  <si>
    <t>EBOV-Rafi-9.1.c1480</t>
  </si>
  <si>
    <t>Rafi-9.1.c1480</t>
  </si>
  <si>
    <t>EBOV-5.1.5A04</t>
  </si>
  <si>
    <t>EBOV-860</t>
  </si>
  <si>
    <t>EBOV-712</t>
  </si>
  <si>
    <t>EBOV-Rafi-5.6.c3034</t>
  </si>
  <si>
    <t>Rafi-5.6.c3034</t>
  </si>
  <si>
    <t>EBOV-852</t>
  </si>
  <si>
    <t>EBOV-TOWN-56-3-7A</t>
  </si>
  <si>
    <t>TOWN-56-3-7A</t>
  </si>
  <si>
    <t>EBOV-753</t>
  </si>
  <si>
    <t>EBOV-788</t>
  </si>
  <si>
    <t>EBOV-709</t>
  </si>
  <si>
    <t>EBOV-ADI-15922</t>
  </si>
  <si>
    <t>EBOV-5.1.7D03</t>
  </si>
  <si>
    <t>EBOV-705</t>
  </si>
  <si>
    <t>EBOV-Rafi-5.6.c2643</t>
  </si>
  <si>
    <t>Rafi-5.6.c2643</t>
  </si>
  <si>
    <t>EBOV-831</t>
  </si>
  <si>
    <t>EBOV-725</t>
  </si>
  <si>
    <t>EBOV-ADI-15737</t>
  </si>
  <si>
    <t>EBOV-5.1.5E03</t>
  </si>
  <si>
    <t>EBOV-750</t>
  </si>
  <si>
    <t>EBOV-Rafi-5.1.8B07</t>
  </si>
  <si>
    <t>Rafi-5.1.8B07</t>
  </si>
  <si>
    <t>EBOV-5.6.3B12</t>
  </si>
  <si>
    <t>EBOV-853</t>
  </si>
  <si>
    <t>EBOV-Rafi-5.6.c3010</t>
  </si>
  <si>
    <t>Rafi-5.6.c3010</t>
  </si>
  <si>
    <t>EBOV-789</t>
  </si>
  <si>
    <t>EBOV-Rafi-5.6.c2934</t>
  </si>
  <si>
    <t>Rafi-5.6.c2934</t>
  </si>
  <si>
    <t>EBOV-Rafi-5.6.c3203</t>
  </si>
  <si>
    <t>Rafi-5.6.c3203</t>
  </si>
  <si>
    <t>EBOV-744</t>
  </si>
  <si>
    <t>EBOV-Rafi-5.6.c2631</t>
  </si>
  <si>
    <t>Rafi-5.6.c2630</t>
  </si>
  <si>
    <t>EBOV-843</t>
  </si>
  <si>
    <t>EBOV-728</t>
  </si>
  <si>
    <t>EBOV-Rafi-5.6.c2732</t>
  </si>
  <si>
    <t>Rafi-5.6.c2732</t>
  </si>
  <si>
    <t>EBOV-749</t>
  </si>
  <si>
    <t>EBOV-Rafi-5.6.c2504</t>
  </si>
  <si>
    <t>Rafi-5.6.c2504</t>
  </si>
  <si>
    <t>EBOV-711</t>
  </si>
  <si>
    <t>EBOV-ADI-15804</t>
  </si>
  <si>
    <t>EBOV-730</t>
  </si>
  <si>
    <t>EBOV-Rafi-5.6.c2764</t>
  </si>
  <si>
    <t>Rafi-5.6.c2764</t>
  </si>
  <si>
    <t>EBOV-801</t>
  </si>
  <si>
    <t>EBOV-Rafi-5.6.c2449</t>
  </si>
  <si>
    <t>Rafi-5.6.c2449</t>
  </si>
  <si>
    <t>EBOV-583</t>
  </si>
  <si>
    <t>EBOV-VSV-3T0253</t>
  </si>
  <si>
    <t>EBOV-822</t>
  </si>
  <si>
    <t>EBOV-ADI-15936</t>
  </si>
  <si>
    <t>EBOV-5.1.13F11</t>
  </si>
  <si>
    <t>EBOV-574</t>
  </si>
  <si>
    <t>EBOV-710</t>
  </si>
  <si>
    <t>EBOV-TOWN-66-6-3</t>
  </si>
  <si>
    <t>TOWN-66-6-3</t>
  </si>
  <si>
    <t>EBOV-816</t>
  </si>
  <si>
    <t>EBOV-ADI-15811</t>
  </si>
  <si>
    <t>EBOV-5.1.5C07</t>
  </si>
  <si>
    <t>EBOV-717</t>
  </si>
  <si>
    <t>EBOV-806</t>
  </si>
  <si>
    <t>EBOV-Rafi-5.6.c3134</t>
  </si>
  <si>
    <t>Rafi-5.6.c3134</t>
  </si>
  <si>
    <t>EBOV-785</t>
  </si>
  <si>
    <t>EBOV-Rafi-5.6.c3955</t>
  </si>
  <si>
    <t>Rafi-5.6.c3955</t>
  </si>
  <si>
    <t>EBOV-2.1.1F04</t>
  </si>
  <si>
    <t>EBOV-851</t>
  </si>
  <si>
    <t>EBOV-763</t>
  </si>
  <si>
    <t>EBOV-Rafi-5.6.c3702</t>
  </si>
  <si>
    <t>Rafi-5.6.c3702</t>
  </si>
  <si>
    <t>EBOV-829</t>
  </si>
  <si>
    <t>EBOV-Rafi-5.6.c3956</t>
  </si>
  <si>
    <t>Rafi-5.6.c3956</t>
  </si>
  <si>
    <t>EBOV-715</t>
  </si>
  <si>
    <t>EBOV-Rafi-15.0.c846</t>
  </si>
  <si>
    <t>Rafi-15.0.c846</t>
  </si>
  <si>
    <t>EBOV-600</t>
  </si>
  <si>
    <t>EBOV-Rafi-5.6.c3276</t>
  </si>
  <si>
    <t>Rafi-5.6.c3276</t>
  </si>
  <si>
    <t>EBOV-823</t>
  </si>
  <si>
    <t>EBOV-ADI-15918</t>
  </si>
  <si>
    <t>EBOV-590</t>
  </si>
  <si>
    <t>EBOV-Rafi-5.6.c3123</t>
  </si>
  <si>
    <t>Rafi-5.6.c3123</t>
  </si>
  <si>
    <t>EBOV-727</t>
  </si>
  <si>
    <t>EBOV-ADI-15944</t>
  </si>
  <si>
    <t>EBOV-Rafi-5.1.5D07</t>
  </si>
  <si>
    <t>Rafi-2.1.1D07</t>
  </si>
  <si>
    <t>EBOV-2.1.1B02</t>
  </si>
  <si>
    <t>EBOV-TOWN-66-3-9A</t>
  </si>
  <si>
    <t>TOWN-66-3-9A</t>
  </si>
  <si>
    <t>EBOV-VSV-1T0130</t>
  </si>
  <si>
    <t>EBOV-799</t>
  </si>
  <si>
    <t>EBOV-828</t>
  </si>
  <si>
    <t>EBOV-Rafi-15.0.c946</t>
  </si>
  <si>
    <t>Rafi-15.0.c946</t>
  </si>
  <si>
    <t>EBOV-Rafi-5.6.c2593</t>
  </si>
  <si>
    <t>Rafi-5.6.c2593</t>
  </si>
  <si>
    <t>EBOV-Rafi-5.6.c2915</t>
  </si>
  <si>
    <t>Rafi-5.6.c2915</t>
  </si>
  <si>
    <t>EBOV-Rafi-5.6.c2675</t>
  </si>
  <si>
    <t>Rafi-5.6.c2675</t>
  </si>
  <si>
    <t>EBOV-VSV-4T0159</t>
  </si>
  <si>
    <t>EBOV-VSV-4T0176</t>
  </si>
  <si>
    <t>EBOV-VSV-5T0378</t>
  </si>
  <si>
    <t>EBOV-VSV-5T0420</t>
  </si>
  <si>
    <t>EBOV-2.1.1B04</t>
  </si>
  <si>
    <t>EBOV-2.1.1D07</t>
  </si>
  <si>
    <t>EBOV-5.1.7H11</t>
  </si>
  <si>
    <t>EBOV-809</t>
  </si>
  <si>
    <t>EBOV-814</t>
  </si>
  <si>
    <t>EBOV-826</t>
  </si>
  <si>
    <t>EBOV-834</t>
  </si>
  <si>
    <t>EBOV-856</t>
  </si>
  <si>
    <t>EBOV-568</t>
  </si>
  <si>
    <t>EBOV-598</t>
  </si>
  <si>
    <t>EBOV-5.1.9E03</t>
  </si>
  <si>
    <t>EBOV-5.1.9.E03</t>
  </si>
  <si>
    <t>EBOV-721</t>
  </si>
  <si>
    <t>EBOV-2.1.6F02</t>
  </si>
  <si>
    <t>EBOV-815</t>
  </si>
  <si>
    <t>EBOV-847</t>
  </si>
  <si>
    <t>EBOV-849</t>
  </si>
  <si>
    <t>EBOV-VSV-4T0429</t>
  </si>
  <si>
    <t>EBOV-2.1.1H02</t>
  </si>
  <si>
    <t>EBOV-5.1.6D01</t>
  </si>
  <si>
    <t>EBOV-555</t>
  </si>
  <si>
    <t>EBOV-859</t>
  </si>
  <si>
    <t>EBOV-743</t>
  </si>
  <si>
    <t>EBOV-Rafi-9.1.c1965</t>
  </si>
  <si>
    <t>Rafi-9.1.c1965</t>
  </si>
  <si>
    <t>EBOV-5.1.5E08</t>
  </si>
  <si>
    <t>EBOV-9.6.3E02</t>
  </si>
  <si>
    <t>EBOV-836</t>
  </si>
  <si>
    <t>EBOV-ADI-16059</t>
  </si>
  <si>
    <t>EBOV-VSV-4T0657</t>
  </si>
  <si>
    <t>EBOV-VSV-5T0257</t>
  </si>
  <si>
    <t>Cluster Number</t>
  </si>
  <si>
    <t>2_01</t>
  </si>
  <si>
    <t>2_02</t>
  </si>
  <si>
    <t>2_03</t>
  </si>
  <si>
    <t>2_04</t>
  </si>
  <si>
    <t>2_05</t>
  </si>
  <si>
    <t>2_06</t>
  </si>
  <si>
    <t>2_07</t>
  </si>
  <si>
    <t>2_08</t>
  </si>
  <si>
    <t>2_09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</si>
  <si>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</si>
  <si>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</si>
  <si>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</si>
  <si>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</si>
  <si>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</si>
  <si>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</si>
  <si>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</si>
  <si>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</si>
  <si>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</si>
  <si>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</si>
  <si>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</si>
  <si>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</si>
  <si>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</si>
  <si>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</si>
  <si>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</si>
  <si>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</si>
  <si>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</si>
  <si>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</si>
  <si>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</si>
  <si>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</si>
  <si>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</si>
  <si>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</si>
  <si>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</si>
  <si>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</si>
  <si>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</si>
  <si>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</si>
  <si>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</si>
  <si>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</si>
  <si>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</si>
  <si>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</si>
  <si>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</si>
  <si>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</si>
  <si>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</si>
  <si>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</si>
  <si>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</si>
  <si>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</si>
  <si>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</si>
  <si>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</si>
  <si>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</si>
  <si>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</si>
  <si>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</si>
  <si>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</si>
  <si>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</si>
  <si>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</si>
  <si>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</si>
  <si>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</si>
  <si>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</si>
  <si>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</si>
  <si>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2_61</t>
  </si>
  <si>
    <t>2_62</t>
  </si>
  <si>
    <t>2_64</t>
  </si>
  <si>
    <t>2_65</t>
  </si>
  <si>
    <t>2_66</t>
  </si>
  <si>
    <t>2_67</t>
  </si>
  <si>
    <t>2_70</t>
  </si>
  <si>
    <t>2_71</t>
  </si>
  <si>
    <t>2_72</t>
  </si>
  <si>
    <t>2_73</t>
  </si>
  <si>
    <t>2_74</t>
  </si>
  <si>
    <t>2_75</t>
  </si>
  <si>
    <t>2_76</t>
  </si>
  <si>
    <t>3_01</t>
  </si>
  <si>
    <t>3_02</t>
  </si>
  <si>
    <t>3_03</t>
  </si>
  <si>
    <t>3_04</t>
  </si>
  <si>
    <t>3_05</t>
  </si>
  <si>
    <t>4_01</t>
  </si>
  <si>
    <t>6_01</t>
  </si>
  <si>
    <t>Cluster Name</t>
  </si>
  <si>
    <t>IGHV1-69_IGHJ4_10_0_IGKV1-16_IGKJ4_Cluster-7</t>
  </si>
  <si>
    <t>IGHV3-23_IGHJ4_15_0_IGLV1-51_IGLJ3_Cluster-1</t>
  </si>
  <si>
    <t>IGHV1-2_IGHJ5_17_0_IGKV4-1_IGKJ2_Cluster-1</t>
  </si>
  <si>
    <t>IGHV3-21_IGHJ3_18_0_IGKV3-15_IGKJ1_Cluster-1</t>
  </si>
  <si>
    <t>IGHV4-59_IGHJ6_19_0_IGLV3-1_IGLJ2_Cluster-1</t>
  </si>
  <si>
    <t>IGHV1-18_IGHJ5_15_0_IGKV3-15_IGKJ4_Cluster-1</t>
  </si>
  <si>
    <t>IGHV1-18_IGHJ4_14_0_IGKV3-20_IGKJ2_Cluster-1</t>
  </si>
  <si>
    <t>IGHV3-13_IGHJ3_12_0_IGKV3-20_IGKJ4_Cluster-2</t>
  </si>
  <si>
    <t>IGHV3-53_IGHJ6_13_0_IGKV1-27_IGKJ4_Cluster-1</t>
  </si>
  <si>
    <t>IGHV3-53_IGHJ6_16_0_IGKV2-28_IGKJ1_Cluster-1</t>
  </si>
  <si>
    <t>IGHV3-7_IGHJ3_16_0_IGKV3-15_IGKJ2_Cluster-2</t>
  </si>
  <si>
    <t>IGHV4-34_IGHJ5_20_0_IGKV1-39_IGKJ4_Cluster-2</t>
  </si>
  <si>
    <t>IGHV4-34_IGHJ6_13_0_IGKV3-20_IGKJ4_Cluster-1</t>
  </si>
  <si>
    <t>IGHV1-18_IGHJ4_14_0_IGKV3-20_IGKJ4_Cluster-2</t>
  </si>
  <si>
    <t>IGHV1-18_IGHJ5_14_1_IGKV3-20_IGKJ3_Cluster-1</t>
  </si>
  <si>
    <t>IGHV3-21_IGHJ6_15_0_IGKV2-28_IGKJ2_Cluster-3</t>
  </si>
  <si>
    <t>IGHV3-23_IGHJ4_13_0_IGLV1-47_IGLJ2_Cluster-1</t>
  </si>
  <si>
    <t>IGHV3-23_IGHJ4_16_0_IGLV3-25_IGLJ2_Cluster-1</t>
  </si>
  <si>
    <t>IGHV3-23_IGHJ5_14_0_IGKV3-15_IGKJ1_Cluster-1</t>
  </si>
  <si>
    <t>IGHV3-30_IGHJ4_17_0_IGKV3-15_IGKJ3_Cluster-1</t>
  </si>
  <si>
    <t>IGHV3-33_IGHJ4_16_0_IGKV3-15_IGKJ4_Cluster-1</t>
  </si>
  <si>
    <t>IGHV3-43_IGHJ4_16_0_IGKV1-39_IGKJ2_Cluster-3</t>
  </si>
  <si>
    <t>IGHV3-48_IGHJ4_17_0_IGLV1-40_IGLJ3_Cluster-1</t>
  </si>
  <si>
    <t>IGHV3-74_IGHJ4_10_0_IGLV2-18_IGLJ1_Cluster-1</t>
  </si>
  <si>
    <t>IGHV3-9_IGHJ4_13_0_IGLV3-19_IGLJ2_Cluster-1</t>
  </si>
  <si>
    <t>IGHV4-59_IGHJ4_10_0_IGLV2-14_IGLJ2_Cluster-1</t>
  </si>
  <si>
    <t>IGHV4-59_IGHJ6_19_0_IGLV3-19_IGLJ2_Cluster-1</t>
  </si>
  <si>
    <t>IGHV4-59_IGHJ6_22_0_IGLV3-19_IGLJ2_Cluster-1</t>
  </si>
  <si>
    <t>IGHV4-34_IGHJ4_15_0_IGKV2-28_IGKJ4_Cluster-2</t>
  </si>
  <si>
    <t>IGHV3-7_IGHJ6_19_0_IGKV3-15_IGKJ4_Cluster-3</t>
  </si>
  <si>
    <t>IGHV3-7_IGHJ6_19_0_IGKV3-15_IGKJ4_Cluster-9</t>
  </si>
  <si>
    <t>IGHV3-13_IGHJ4_12_0_IGKV3-20_IGKJ4_Cluster-3</t>
  </si>
  <si>
    <t>IGHV1-69_IGHJ4_13_0_IGKV1-16_IGKJ4_Cluster-2</t>
  </si>
  <si>
    <t>IGHV3-13_IGHJ4_10_0_IGKV3-20_IGKJ1_Cluster-1</t>
  </si>
  <si>
    <t>IGHV3-48_IGHJ6_18_0_IGKV1-39_IGKJ1_Cluster-2</t>
  </si>
  <si>
    <t>IGHV1-18_IGHJ6_14_0_IGKV3-20_IGKJ1_Cluster-1</t>
  </si>
  <si>
    <t>IGHV3-30_IGHJ6_17_0_IGKV1-12_IGKJ3_Cluster-2</t>
  </si>
  <si>
    <t>IGHV1-2_IGHJ3_17_0_IGLV2-8_IGLJ2_Cluster-1</t>
  </si>
  <si>
    <t>IGHV1-69_IGHJ5_17_0_IGLV1-44_IGLJ1_Cluster-2</t>
  </si>
  <si>
    <t>IGHV3-13_IGHJ4_12_0_IGKV3-20_IGKJ1_Cluster-1</t>
  </si>
  <si>
    <t>IGHV3-21_IGHJ3_18_0_IGKV3-15_IGKJ2_Cluster-1</t>
  </si>
  <si>
    <t>IGHV3-43_IGHJ6_17_0_IGKV1-12_IGKJ1_Cluster-1</t>
  </si>
  <si>
    <t>IGHV3-66_IGHJ6_12_0_IGKV3-20_IGKJ1_Cluster-1</t>
  </si>
  <si>
    <t>IGHV3-7_IGHJ4_17_0_IGKV3-15_IGKJ4_Cluster-1</t>
  </si>
  <si>
    <t>IGHV4-39_IGHJ5_17_0_IGKV1-12_IGKJ5_Cluster-1</t>
  </si>
  <si>
    <t>IGHV4-59_IGHJ4_20_0_IGKV1-39_IGKJ2_Cluster-1</t>
  </si>
  <si>
    <t>IGHV1-18_IGHJ4_14_0_IGKV3-20_IGKJ3_Cluster-1</t>
  </si>
  <si>
    <t>IGHV1-46_IGHJ4_13_0_IGKV2-40_IGKJ1_Cluster-1</t>
  </si>
  <si>
    <t>IGHV1-8_IGHJ6_14_0_IGKV1-12_IGKJ1_Cluster-1</t>
  </si>
  <si>
    <t>IGHV3-13_IGHJ4_12_0_IGKV3-15_IGKJ1_Cluster-1</t>
  </si>
  <si>
    <t>IGHV3-15_IGHJ6_10_0_IGLV1-40_IGLJ2_Cluster-1</t>
  </si>
  <si>
    <t>IGHV3-21_IGHJ3_16_0_IGKV3-15_IGKJ1_Cluster-1</t>
  </si>
  <si>
    <t>IGHV3-21_IGHJ6_17_0_IGLV1-51_IGLJ3_Cluster-1</t>
  </si>
  <si>
    <t>IGHV3-23_IGHJ6_14_0_IGLV1-44_IGLJ3_Cluster-1</t>
  </si>
  <si>
    <t>IGHV3-30_IGHJ4_15_0_IGKV1-27_IGKJ5_Cluster-1</t>
  </si>
  <si>
    <t>IGHV3-30_IGHJ4_15_0_IGKV3-15_IGKJ2_Cluster-1</t>
  </si>
  <si>
    <t>IGHV3-43_IGHJ4_17_0_IGKV3-15_IGKJ4_Cluster-3</t>
  </si>
  <si>
    <t>IGHV3-48_IGHJ4_12_0_IGLV2-14_IGLJ3_Cluster-2</t>
  </si>
  <si>
    <t>IGHV3-48_IGHJ4_17_0_IGLV1-40_IGLJ2_Cluster-1</t>
  </si>
  <si>
    <t>IGHV3-49_IGHJ6_24_0_IGLV2-14_IGLJ1_Cluster-1</t>
  </si>
  <si>
    <t>IGHV3-7_IGHJ6_16_0_IGKV3-15_IGKJ2_Cluster-1</t>
  </si>
  <si>
    <t>IGHV3-7_IGHJ6_18_0_IGKV3D-15_IGKJ4_Cluster-1</t>
  </si>
  <si>
    <t>IGHV4-30-4_IGHJ6_20_0_IGLV7-43_IGLJ2_Cluster-1</t>
  </si>
  <si>
    <t>IGHV4-34_IGHJ5_19_0_IGKV3-20_IGKJ1_Cluster-1</t>
  </si>
  <si>
    <t>IGHV4-39_IGHJ5_16_0_IGKV1-39_IGKJ2_Cluster-1</t>
  </si>
  <si>
    <t>IGHV4-59_IGHJ5_19_0_IGKV1-39_IGKJ2_Cluster-2</t>
  </si>
  <si>
    <t>IGHV4-59_IGHJ6_17_0_IGKV1-39_IGKJ4_Cluster-1</t>
  </si>
  <si>
    <t>IGHV1-46_IGHJ3_13_0_IGLV3-25_IGLJ2_Cluster-1</t>
  </si>
  <si>
    <t>IGHV3-7_IGHJ4_17_0_IGKV3-15_IGKJ2_Cluster-1</t>
  </si>
  <si>
    <t>IGHV4-39_IGHJ4_6_0_IGKV3-15_IGKJ1_Cluster-1</t>
  </si>
  <si>
    <t>IGHV3-23_IGHJ4_18_0_IGKV3-20_IGKJ1_Cluster-1</t>
  </si>
  <si>
    <t>IGHV4-34_IGHJ6_10_0_IGKV2-28_IGKJ4_Cluster-1</t>
  </si>
  <si>
    <t>IGHV1-18_IGHJ4_14_0_IGKV3-20_IGKJ1_Cluster-2</t>
  </si>
  <si>
    <t>IGHV3-23_IGHJ4_14_0_IGLV1-51_IGLJ3_Cluster-1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</si>
  <si>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ACTCCGACGTGGATACAGCTATGGGAACTTTGACTACTGGGGCCAGGGAACCCTGGTCACCGTCTCCTCA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</si>
  <si>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GTCACTTTCGGCGGAGGGACCAAGGTGGAGATCAAA</t>
  </si>
  <si>
    <t>CAGGTTCACCTGGTGCAGTCTGGACCTGAGGTGAAGAAGCCTGGGGCCTCAGTGAAGGTCTCCTGTCAGGCTTCTGGTTACACCTTTAGCAGATTTGGTATCAATTGGGTGCGACAGGCCCCTGGACAAGGGCTTGAGTGGATGGGAAGGGTCAGCGCTTACAACGGTGACACAAACTATGCACAGAAGTTCCAGGGCAGAGTCTCCATGACCACAGACACATCCACGAGTACAGCCTACATGGAGGTGAGGAGCCTGAGATCTGACGACACGGCCGTCTATTATTGTGCGAGAGATCGAGGCATGGTGTATGCTTACTACATTGACTTCTGGGGCCAGGGCACCCTGGTCACCGTCTCCTCA</t>
  </si>
  <si>
    <t>GAAAATGTGTTGACGCAGTCTCCAGGCACCCTGTCTTTGTCTCCAGGGGAAAGAGCCACCCTCTCTTGTAGGGCCAGTCAGAGTGTTACCAGCAGTTACTTAGCCTGGTACCAGCAGAAACCTGGCCAGGCTCCCAGGCTCCTCATCTATGGTGCATCCAGCAGGGCCACTGGCATCCCAGACAGGTTCAGTGGCAGTGGGTCTGGGACAGACTTCACTCTCACCATCAGCAGACTGGAGCCTGAAGATTTTGCAGTGTATTACTGTCAGCAGTATGGTAGTTTACCTCAGACGTTCGGCCAAGGGACCAAGGTGGAAATCAAA</t>
  </si>
  <si>
    <t>GAGGCGCAGCTGGTGGAGTCTGGGGGAGGCCTGGTCAAGCCGGGGGGGTCCCTGAGACTCTCCTGTGTAGCCTCTGGATTCACCTTCAGTACTTATAGCCTGAACTGGGTCCGCCAGGCTCCAGGGAAGGGGCTGGAGTGGGTCGCATCCATTACTAGTCGTGGAAGTTACGTATACTACGCAGACTCAGCGAAGGGCCGATTCACCATCTCCAGAGACAACACCAAGAATTCAATGTATCTCCAAATGAACAGCCTGAGAGCCGAGGACACGGCTGTGTATTACTGTGCGAGAGACTACTTTCATAGTAGTGGTTATTTATACCTAAATGCTTTTGATATCTGGGGCCAAGGGACAATGGTCACCGTCTCTTCA</t>
  </si>
  <si>
    <t>GAAATAGTGATGACGCAGTCTCCAGCCACCCTGTCTGTGTCTCCAGGGGAAGGAGCCACCCTCTCCTGCAGGGCCAGTCAGAGTGTTAGTACCAACTTAGCCTGGTATCAGCAGAAACCTGGCCAGGCTCCCAGGCTCCTCATCTATGGTGCATCCATCAGGGCCACTGGTATCCCAGCCAGGTTCAGTGGCAGTGGGTCTGGGACAGAGTTCACTCTCACCATCAGCAGCCTGCAGTCTGAAGATTTTGCAGTTTATCACTGTCAGCAATATCATAATAGGCCTCCGTGGACGTTCGGCCAAGGGACCAAGGTGGAAATCAA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</si>
  <si>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TTGAGGACATGGCCTTGTATTACTGTGCAAAAGATATAGCGTTCCTGGTAAGCGGAATTGACTACTGGGGCCAGGGAACCCTGGTCACCGTCTCCTCA</t>
  </si>
  <si>
    <t>TCTTCTGAGCTGACTCAGGACCCTGCTGTGTCTGTGGCCTTGGGACAGACAGTCAGGATCACATGCCAAGGAGACAGCCTCAGAAGCTATTATGCAATCTGGTACCAGCAGAAGCCAGGACAGGCCCCTGTACTTGTCATCTATAGTAACAACAACCGGCCCTCAGGGATCCCAGACCGATTCTCTGGCTCCAACTCAGGAAACACGGCTTCCTTGACCATCACTGGGGCTCAGGCGGAAGATGAGGCTGACTATTACTGTAACTCCCGGGACAGCAGTGGTAACCATCTGGTATTCGGCGGAGGGACCAAGCTGACCGTCCTA</t>
  </si>
  <si>
    <t>GAGGAGCAGTTGGTAGAGTCTGGGGGAGGCCTGGTCAAGCCTGGGGGGTCCCTGAGACTCTCCTGTGCAGCCTCTGGATTCACCCTCAGTAACTATAGAATACACTGGGTCCGCCAGGCTCCAGGGAAGGGACTGGAGTGGGTCTCATCCATTAGTAGTGGTAGTACTTACAGATATTACGCTGACTCAGTGAAGGGCCGATTCACCATCTCCAGAGACAACGCCAAGAGCTCACTGTATCTGGAAATGACCAGCCTGAGAGCCGAGGACACGGCTGTATATTTCTGTGCGCGACTACTCTTAGTGGGAGCCTATTATTACGGAATGGACGTCTGGGGCCAGGGGACCACGGTCACCGTCTCCTCA</t>
  </si>
  <si>
    <t>GATATTGTGATGACTCAGTCTCCACTCTCCCTGACCGTCACCCCTGGAGAGCCGGCCTCCATCTCCTGCAGGGCTAGTCAGAGCCTCCTGGATAGTAACGGATTCAACTATTTGGATTGGTACCTGCAGAAGCCAGGGCAGTCTCCACAGCTCCTGATCTATTTGGGTTCTAATCGGGCCTCCGGGGTCCCTGACAGGTTCAGTGGCAGTGGATCAGGCACAGATTTTACACTGAAAATCACCACAGTGGAGGCTGAGGATGTTGGGGTTTATTACTGCATGCAAGCTCTACAAACTCCCATGTACACTTTTGGCCAGGGGACCAAGCTGGAGATCAAA</t>
  </si>
  <si>
    <t>CAGGTGCAGCTGGTGCAGTCTGGGACTGAAGTGAAACAGCCTGGGGCCTCAGTGAGGGTCTCCTGCAAGGCTTCTGGATACAGGTTCATCGGCTACTATATACACTGGGTGCGACAGGCCCCTGGACAAGGGCTTGAGTGGATGGGATGGATCAACCCTAACAGTGGTGGCACAAATTATGCACAGAACTTTCAGGGCAGGGTCACCATGACCAGGGACACGTCCATCAGCACAGCCTACTTGGACCTGAGTAGGCTGAGATCTGACGACACGGCCGTGTATTACTGTGCGAGAGTGAATAAGGATGATTATAGTGGTTATTACGGTTGGTTCGACCCCTGGGGCCAGGGAACCCTGGTCAGCGTCTCCTCA</t>
  </si>
  <si>
    <t>GACATCGTGATGACCCAGTCTGCAGACTCCCTGGCTGTGTCTCTGGGCGAGAGGGCCACCATTAATTGCAAGTCCAGCCAGAGTGTTTTATACAGCTCCAACAATAAGAACTACTTAGCTTGGTACCAGCAGAAACCAGGACAGCCTCCTAAGGTGCTCATTTACTGGGCATCTACCCGGGAATCCGGGGTCCCTGACCGATTCAGTGGCAGCGGGTCTGGGACAGATTTCACTCTCACCATCAGCAGCCTGCAGGCTGAAGATGTGGCAGTTTATTACTGTCAGCAATATTATACTACTCCTTACACTTTTGGCCAGGGGACCAAGCTGGAGATCAAA</t>
  </si>
  <si>
    <t>GAGGTGCAGCTGGTGGAGTCTGGGGGAGGCTTGGTACAGCCTGGGGGGTCCCTGAGACTCTCCTGTGCAGCCTCTGGATTCACCTTCAGAATCTACGACATGCACTGGGTCCGCCAAGTTACAGGAAAAGGTCTGGAGTGGGTCTCAGCTATTGGTACTGCTGGTGACAGATACTATATAGGCTCCGTGAAGGGCCGATTCACCATCTCCAGAGAAAATGCCAAGAACTCCTTGTATCTGCAAATGGACAGCCTGAGAGCCGGGGACACGGCTATATATTACTGTGCAAGAGCCGTTTTCGGCCAAAGTGCTTTTGATATTTGGGGCCAAGGGACAATGGTCACCGTCTCTTCA</t>
  </si>
  <si>
    <t>GAAATTGTGTTGACGCAGTCTCCAGGCACCCTGTCTTTGTCTCCAGGGGAAAGAGCCACCCTCTCCTGCAGGGCCAGTCAGAGTGTTGACAGCAGGTACTTAGTCTGGTACCAACAGAAACCTGGCCAGGCTCCCAGGCTCCTCATCTCTGGTGCATCCAGCAGGGCCGCTGGCATCCCAGACAGGTTCAGTGTCAGTGGGTCTGGGACAGACTTCACTCTCACCATCAGCAGACTTGAGCCTGAAGATTTTGCAGTGTATTACTGTCAGCAGTATGGTGGCTCACCGCTCACTTTCGGCGGAGGGACCAAGGTGGAGATCAAA</t>
  </si>
  <si>
    <t>CAGGTTCAGCTGGTGCAGTCTGGAGCTGAGGTGAAGAAGCCTGGGGCCTCAGTGAAGGTCTCCTGCAAGGCTTCTGGTTACACCTTTACCAGCTATGTTATCAGCTGGGTGCGACAGGCCCCTGGACAAGGGCTTGAGTGGATGGGATGGATCAGCGCTTACAATGGTGACACAAACTATGCACAGAAGCTCCAGGGCAGAGTCACCATGACCACAGACACATCCACGAGCACAGCCTACATGGAGCTGAGGAGCCTGAGATCTGACGACACGGCCGTGTATTACTGTGCGAGAGATCTGGGTATGGTGGTACCCTACTACTTTGACTACTGGGGCCAGGGAACCCTGGTCACCGTCTCCTCA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</si>
  <si>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CACTTTTGGCCAGGGGACCAAGCTGGAGATCAAA</t>
  </si>
  <si>
    <t>CAGGTTCAGCTGGTGCAGTCTGGAGCTGAGGTGAAGAAGCCTGGGGCCTCAGTGAAGGTCTCCTGCAAGGCTTCTGGTTACACCTTCACTAGGTATGGTATCGCCTGGGTGCGACAGGCCCCTGGACAAGGGCTTGAGTGGATGGGATGGATCAGCGCTTACAATGGTGACACAAAGTATGCAGAGAAACTACATGGCAGAGTCATCCTGACCACAGACACATCCACGAGCACAGCCTACATGGAGTTGAGGAGCCTGACATCAGACGACACGGCCGTCTATTACTGTGCGAGGACTATTAGTATGATACTACTTGGCTGGTTCGATATCTGGGGCCAGGGAACCCTGGTCACCGTCTCCTCA</t>
  </si>
  <si>
    <t>GAAATTGTGTTGACGCAGTCTCCAGGCACCCTGTCTTTGTCTTCAGGGGAAAGAGCCACCCTCTCCTGTAGGGCCAGTCAGAGTGTTGCCAGCAACTATTTAGCCTGGTACCAGCAGAAACCTGGCCAGGCTCCCAGGCTCCTCATCTCTGATGCATCCAGCAGGGCCACTGGCATCCCAGACAGGTTCAGTGGCAGTGGGTCTGGGACAGACTTCACTCTCACCATCAGCAGACTGGAGCCTGAAGATTTTGCAGTGTATTACTGTCAGCAGTATGGTAGCTCAGTCACTTTCGGCCCTGGGACCAAAGTGGATATCAAAC</t>
  </si>
  <si>
    <t>GAGGTGCAACTAATGGAGTCTGGGGGAGGCCTGGTCAAGCCTGGGGGGTCCCTGAGACTCTCCTGTGTAGCCTCTGGATTCACCTTCAGTGGCTATAGTATGAACTGGGTCCGCCAGGCTCCAGGGAAGGGGCTGGAGTGGGTCTCATCGATTACTAGTGGAGGAAGCTATACAGATTACGCAGACTCAGTGAAGGGCCGATTCACCATCTCCAGAGACAACGCCAAGAATTCAGTGTATCTGCAAATGAACAGCCTGAGAGCCGAGGACACGGCTGTATATTACTGTGCGAGAGATTATTTTCACAGTAGTGGTTATTTGTACTTTAATGCTTTTGATATCTGGGGCCAAGGGACAATGGTCACCGTCTCTTCA</t>
  </si>
  <si>
    <t>GAAATAGTGATGACGCAGTCTCCAGCCACCCTGTCTGTGTCTCCAGGGGAAAGAGCCACCCTCTCCTGCAGGACCAGTCAGAGTGTTAGCACCAACTTAGCCTGGTACCAGCAGAAACCTGGCCAGGCTCCCAGGCTCCTCATCTATGGTGCCTCCACCAGGGCCACTGGTATCCCGGCCAGGTTCAGTGGCAGTGGGTCTGGGACAGAGTTCACTCTCACCATCAGCAGCCTGCAGTCTGAAGATTTTGGAGTCTATCACTGTCAACAGTATCATAAGAGGCCTCCGTGGACGTTCGGCCAAGGGACCAAGGTGGAAATCAAAC</t>
  </si>
  <si>
    <t>GAGGTGCTGCTATTGGAGTCTGGGGGAGACTTAATACAGCCTGGGGGGTCCCTGAGACTCTCCTGTGCAGCCTCTGGATTCATCTTTAGCCCCTATGCCATGAGTTGGGTCCGCCAGGCTCCAGGGAAGGGGCTGGAGTGGGTCTCAACTATTAGTGGTAGTGGTACTCTCACATACTTCGCAGACTCCGTGAGGGGCCGGTTCACCATCTCCAGAGACGATTCCAAGAATACGCTGTATCTGCAAATGAGCAGCCTGAGAGCCGAGGACACGGCCGTATATTACTGTGCGGCTTGCGGGCCGTATTACGATTTTTGGAGTGGCAAATCTCCCTGGGAGTACTGGGGCCAGGGAACGCTGGTCACCGTCTCCTCA</t>
  </si>
  <si>
    <t>GAAATTGTGTTGACGCAGTCTCCAGGCACCCTGTCTTTGTCTCCAGGGGAAAGAGCCACCCTCTCCTGCAGGGCCAGTCAGAGTGTTAGCAGCAGCTACTTAGCCTGGTACCAGCACAAACCTGGCCAGGCTCCCAGGCTCCTCATGTATGGTGCATTCAACAGGGCCACTGGCATCCCAGACAGGTTCAGTGGCAGTGGGTCTGGGACAGACTTCACTCTCACCATCAGCAGACTGGAGCCTGAAGATTTTGCAGTGTATTACTGTCAGCAGTATGGCACCTCACCGTCGTTCGGCCAAGGGACCAAGGTGGAAATCAAA</t>
  </si>
  <si>
    <t>CAGGTTCACCTGGTGCAGTCTGGAGCTGAGGTGAAGAAGCCTGGGGCCTCAGTGAAGGTCTCCTGCAAGGCTTCTGGTTACATCTTTACCAGGTTTGGTATCAACTGGGTGCGACAGGCCCCTGGACAAGGGCTTGAGTGGATGGGGTGGATCACCCCTTACAATGGTGACACAGATTATGCACAGAAGTTCCAGGACAGAGTCATCATTACCACAGACACATCCACGAGCACAGCCTACTTGGAACTGAGGAGCCTGAGATCTGACGACACGGCCGTGTATTACTGTGTGAGAGATCTTGGAATGATTACGAACTACTACATGGACGTCTGGGGCAAAGGGACCACGGTCACCGTCTCCTCA</t>
  </si>
  <si>
    <t>GAAATTGTGTTGACGCAGTCTCCAGGCACCCTGTCTTTGTCTCCAGGGGAAAGAGCCACCCTCTCCTGCAGGGCCAGTCAGAGTGTTAGTAACAACTATTTAGCCTGGTACCAGCAGAGACCTGGCCAGGCTCCCAGGCTCCTCATTTATGGTGCATTTAGCAGGGCCACTGGCATCCCAGACAGGTTCAGTGGCAGTGGGTCTGGGACAGACTTCACTCTCACCATCAGCAGACTGGAGCCTGAAGATTTCGCAGTGTATTACTGTCAGCACTATGGTAGCTCCCGGACGTTCGGCCAAGGGACCAAGGTGGACATCAAA</t>
  </si>
  <si>
    <t>GAGTTCCAGTTGGTGGAATCAGGGGGAGGCCTGGTCAAGCCTGGGGGGTCCCTGAGACTCTCCTGTGCAGCCTCTGGATTCACCTTCAGTTCCTATAGGATGACCTGGGTCCGCCAGGCTCCAGGGAAGGGACTGGAGTGGGTCTCATCCATTAGTGGTAGTAGTACTTACATATACTACTCAGACTCAGTGAAGGGCCGATTCACCATTTCCAGAGACAACGCCGAGAGCTCACTGTATCTGCAACTGAACAGCCTGAGAGCCGAGGACACGGCTGTTTATTACTGTGCGAGAGTACTCTTAGTGGGAGCCTACTACTACGGTATGGACGTCTGGGGCCAAGGGACCACGGTCACCGTCTCCTCA</t>
  </si>
  <si>
    <t>GATATTGTGATGACTCAGTCTCCACTCTCCCTGCCCGTCACCCCTGGAGAGCCGGCCTCCATCTCCTGTAGGACTAGTCAGAGCCTCCTGGATAGAAATGGATACAACTATTTGGATTGGTACCTGCAGAAGCCAGGGCAGCCTCCACAGCTCCTGATCTATTTGGGTTCTAATCGGGCCTCCGGGGTCCCTGACAGGTTCAGTGGCAGTGGATCAGGCACAGATTTTACACTGAAAATCAGCAGAGTGGAGGCTGAGGATGTTGGGGTTTATTACTGCATGCAAGCTCTACAAACTCACATGTACACTTTTGGCCAGGGGACCAAGCTGGAGATCAAA</t>
  </si>
  <si>
    <t>CAGGTTCAGCTGGTGCAGTCTGGAACTGAGGTGAAGAAGCCTGGGGCCTCAGTGAGGGTCTCCTGTAAGGCTTCTGGTTACACCTTCACCAGATATATTATCGGCTGGGTGCGACAGGCCCCTGGACAAGGGCTTGAGTGGATGGGATGGATCAGCGGTTACAATGGTGGCACAGAGTATGCACAGAAGCTCCAGGGCAGAGTCACCATGACCACAGACACATCCACGAGCACAGCCTACATGGAGTTGAGGAACCTGAGATCTGACGACACGGCCGTCTATTATTGTACTAGAGATCTGGGGATGGTGAACCCCTACTATTTTGACTTCTGGGGCCAGGGAACCCTGGTCACCGTCTCCTCA</t>
  </si>
  <si>
    <t>GAAATTGTGTTGACGCAGTCTCCAGGCACCCTGTCCTTGTCTCCAGGGGAAAGAGCCACCCTCTCCTGCAGGGCCAGTCAGAGTGTTAGTGGCAACTACTTAGCCTGGTACCAGCAGAAACCTGGCCAGGTTCCCAGGCTCCTCATCTATGGTGCATCCAGCAGGGCCACTGGCATCCCAGACAGGTTCAGTGGCAGTGGGTCTGGGACAGACTTCAGTCTCACCATCAGCAGACTGGAGGCTGAAGATTTTGCAGTTTATTACTGTCATCAGTATCGTAGTTCACCTCGCACTTTTGGCCAGGGGACCAAGCTGGAGATCAAA</t>
  </si>
  <si>
    <t>GAGGTGCAGCTGGTGGAGTCTGGGGGAGGCTTGGTCCAGCCGGGGGGGTCCCTGAGACTCTCCTGTGTAGGCTCTGGATTCACCTTTAGAACCTATTGGATGACTTGGGTCCGCCAGGCTCCAGGGAAGGGGCTGGAGTGGGTGGCCAGCATAAAGGAAGATGGAGGTGAGAAATACTATGTGGACTCTGTGAAGGGCCGATTCACCATCTCCAGAGACAACGCCAAGAACTCATTGTATCTGCAAATGAACAGTCTGAGAGGCGAGGACACGGCTGTCTATTACTGTGTGCGAGATGTGCCTGGGGATTCCATTTTGGGGGATGCTTTCGAGATCTGGGGCCAAGGGACAATGGTCACCGTCTCTTCA</t>
  </si>
  <si>
    <t>GAAATAGTGATGACGCAGTCTCCAGCCACCCTGTCTGTGTCTCCAGGGGAGAGAGCCACCCTCTCCTGCAGGGCCAGTCAGAGTGTTAGCAGCAACTTAGCCTGGTACCAACAGAAACCTGGCCAGGCTCCCAGGCTCCTCATCTCTTATGCATCCACCAGGGCCACTGGTATCCCAGCCAGATTCAGTGGCAGTGGGTCTGGGACAGAGTTCACTCTCACCATCAGCAGCCTGCAGTCTGAAGATTTTGCAGTTTATTACTGTCACCAGTATTACAACTGGCCTCGAGGGACTTTTGGCCAGGGGACCAAGCTGGAGATCAA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</si>
  <si>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ATAGTAGTGGTTATTACTCTCACTACTACTACGGTATGGACGTCTGGGGCCAAGGGACCACGGTCACCGTCTCCTC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</si>
  <si>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GTGGGTGTTCGGCGGAGGGACCAAGCTGACCGTCCTA</t>
  </si>
  <si>
    <t>CAGGTGCACCTGCAGGAGTCGGGCCCAGGACTGGTGAAGCCTTCGGAGACCCTGTCCCTCACCTGCACTGTCTCTGGTGGCTCCCTCAGTACTTACTACTGGACCTGGATCCGGCAGCCCCCAGGGAAGGGACTGGAGTGGATTGGGTATATCTACTACAGTGGGGGCGCCTACTACAACACCTCCCTCAAGAGTCGAGTCACCATATCAGTGGACACGCCCAAGAACCAGGTGTCCCTGAAGCTGAGCTCTGTGGCCTCTGCGGACACGGCCGTCTATTACTGTGCGAGAGCCCCTCGGGGCTATAGTGGCCGGTCTTACTACTACTACGGTATCGACGTCTGGGGCCAAGGGACCACGGTCACCGTCTCCTCA</t>
  </si>
  <si>
    <t>TCCTATGAGCTGACTCAGCCACCCTCAGTGTCCGTGTCCCCAGGACAGACAGCCAGCATCACCTGCTCTGGAGATAAATTGGGGGATAAATATGTTTGCTGGTATCAACAGAAGCCAGGCCAGTCCCCTGTCCTGGTCATCTCTCAAGATAACGATCGGCCCTCAGGGATTCCTGGGCGATTCTTTGGCTCCAACTCTGGGAACACAGCCACTCTGACCATCAGCGGGACCCAGCCTATGGATGAGGCTGACTATTACTGTCAGGTGTGGGACAACTACTCTGTGGTCTTCGGCGGAGGGACCAAGCTGACCGTCCTA</t>
  </si>
  <si>
    <t>GAGGTGCAGCTGGTGGAGTCTGGGGGAGGCCTGGTCAAGCCTGGGGGGTCCCTGAGACTCACCTGTGCAGCCTCTGGATTCACCTTCAGTAGCTATAGGATGAACTGGGTCCGCCAGGCTCCAGGGAAGGGGCTGGAGTGGGTCTCATCCATTAGTAGTAGTAGTAGTTACATATACTACGCAGACTCAGTGAAGGGCCGATTCACCATCTCCAGAGACAACGCCAAGAACTCACTGTATCTGCAAATGAACAGCCTGAGAGCCGAGGACACGGCTGTGTATTACTGTGCGAGGGTACTGGAACTGGGCTCCTACTACTACGGTATGGACGTCTGGGGCCAAGGGACCACGGTCACCGTCTCCTCA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</si>
  <si>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ACACTTTTGGCCAGGGGACCAAGCTGGAGATCAAA</t>
  </si>
  <si>
    <t>CAGGTGCAGTTGGTGCAGTCTGGGGCTGAGGTGAAAAAGCCTGGGGCCTCAGTGAAGGTCTCCTGCAAGGCTTCTGGATACAGGTTCATCGGCTACTATATACACTGGGTGCGACAGGCCCCTGGACAAGGGCTTGAGTGGATGGGATGGATGAACCCTAACAGTGGTGGCACAAACTATGCACAGAAATTTCAGGGCAGGGTCACCATGACCAGGGACCCCTACATCAGCACAGCCTACATGGAACTGGGCAGGCTGAGATCTGACGACACGGCCGTATATTACTGTGCGCGAGTAAATAAGTTTGATAGTAGTGGTTATTTCGGCTGGTTCGACCCCTGGGGCCAGGGAACCCTGGTCATCGTCTCCTCA</t>
  </si>
  <si>
    <t>GACATCGTGATGACCCAGTCTCCAGACTCCCTGGCTGTGTCTCTGGGCGAGAGGGCCACCATCAACTGCAAGTCCAGCCAGAGTGTTTTATACAACTCCAACAATAAGAACTACTTAGTTTGGTATCAGCAGAAACCAGGACAGCCTCCAAAGGTGCTCATTTACTGGGCATCTACCCGGGAATCCGGGGTCCCTGACCGATTCAGTGGCAGCGGGTCTGGGACAGATTTCACTCTCACCATCAGCAGCCTGCAGGCTGAAGATGTGGCAGTTTATTACTGTCAGCAATATTATACTACTCCGTACACTTTTGGCCAGGGGACCAAGCTGGAGATCAAA</t>
  </si>
  <si>
    <t>GAGGTGCAGCTGGTGGAGTCTGGAGGAGGCTTGATCCAGCCTGGGGGGTCCCTGAGACTCTCCTGTGCAGCCTCTGGGTTCACCGTCAATTTCAACTACATGAGCTGGGTCCGCCAGGCTCCAGGGAAGGGGCTGGAGTGGGTCTCAGTTATTTATAGTGCTGGGAGTACACACTATGCAGACTCCGTGAAGGGCCGATTCATCATCTCCAGAGACAATTCCAGGAACACGCTGTATCTTCAAATGAACAGCCTGAGAGCCGAGGACACGGCCGTGTATTACTGTGCCTCTTTTACTCAGGCCTACTTCTACGGTATGGACGTCTGGGGCCAAGGGACCACGGTCACCGTCTCCTCA</t>
  </si>
  <si>
    <t>GACATCCAGATGACCCAGTCTCCATCCTCCCTGTCTGCATCTGTAGGAGACAGAGTCACCATCACTTGCCGGGCGAGTCAGGACATTAACAATTATTTAGCCTGGTTTCAGCAGAGACCAGGGAAAGTTCCTAAGATCCTGATCTATGCTGCATCCACTTTGCAATCAGGGGTGCCATCGCGGTTCAGTGGCAGTGGATCTGGGACAGATTTCACTCTCACCATCAGCAGCCTGCAGCCTGAGGATGTTGCAACTTATTACTGTCAAAAGTATAACAGTGCCCCTCTCACTTTCGGCGGAGGGACCAAGGTGGAGCTCATCAAA</t>
  </si>
  <si>
    <t>GAGGTGCAGCTGGTGCAGTCTGGGGGAGGCTTGGTACAGCCTGGGGGGTCCCTGAGACTCTCCTGTGCAGCCTCTGGATTCACCTTCAAGTGGTACGACCTGCATTGGGTCCGCCAAACTGAAGGAAAGAGTCTGGAGTGGGTCTCGGCTATTGGTGCTGCTGGTGACACATACTACGCAGAGTCCGTGAAGGGCCGATTCACCATCTCCAGAGAAAATGCCAAGAACTCCTTGTATCTTCAATTGAGCAGCCTGAGAGCCGAGGACACGGCCATATACTTCTGTGCAAGAGCGATTCTCGGAATGATCGCTTTTGATGTCTGGGGCCAAGGGACAATGGTCACCGTCTCTTCAG</t>
  </si>
  <si>
    <t>GAAATTGTATTGGCGCAGTCTCCAGGCACCCTGTCTCTGCCTTCAGGGGAAAGAGCCACCCTCTCCTGCAGGGCCAGTCAGAGTCTTAGCAGCACCTCCTTAGCCTGGTACCAGCAGAAACCTGGCCAGGCTCCCAGGCTCCTCATCTATGATGCATCCAACAGGGCCATTGGCATCCCAGACAGGTTCAGTGGCAGTGGGTCTGGGACAGACTTCACTCTCACCATCAGCAGACTGGAGCCTGACGACTTTGCAGTCTATTTCTGTCAGCAGTATGCTACCTCACCGCTCACTTTCGGCGGGGGGACCAAGGTGGAGATCAAA</t>
  </si>
  <si>
    <t>GAGGTGCAGCTGGTGGAGTCTGGGGGAGGCCTGGTCAAGCCTGGGGGGTCCCTGAGACTCTCCTGTGCAGCCTCTGGATTCACCTTCAGTACCTATAGCATGAACTGGGTCCGCCAGGCTCCAGGGAAGGGGCTGGAGTGGGTCTCATCCATTAGTAGTAGTAGTACTTACATATACTACGCAGACTCAGTGAAGGGCCGATTCACCATCTCCAGAGACAACGCCAAGAACTCACTGTCTCTGCAAATGAACAGCCTGCGAGCCGAGGACACGGCTGTTTATTACTGTGCGCGGGTACTGGAACTGGGCCACTACTACTACGGTATGGACGTCTGGGGCCAAGGGACCACGGTCACCGTCTCCTCA</t>
  </si>
  <si>
    <t>GAGGTGCAGCTGGTGGAGTCTGGGGGAGGCTTGGTACAGCCGGGGGGGTCCCTGAGACTCTCCTGTGAAGCCTCTGGATTCACCTTAAGTTACTACGAAATGCACTGGGTCCGCCAAGGTGCGGGAGAAGGTCTGGAGTGGGTCTCAGCTATTGGAACTGCTGGCGACACATACTATCCAGGCTCCGTGAAGGGCCGATTCACCATCTCCAGAGAAAATGCCAAGAACTCCTTGTATCTTCAAATGAACAGCCTGAGAGCCGGGGACACGGCTATTTACTACTGTGTAAGAGGGCGCCAGTTGGCCTTTGACTATTGGGGCCAGGGAGCGCTGGTCACCGTCTCCTCA</t>
  </si>
  <si>
    <t>GAAAATGTGTTGACACAGTCTCCAGGCACCCTGTCTTTGTCTCCAGGCCAAAGAGCCACCCTCTCCTGCAGGGCCAGTCGGAGTGTTACCAGCAACTTCTTAGCCTGGTACCAGCAGAAACCTGGCCAGGCTCCCAGGCTCCTCATCTATGGTGCATCCAGCAGGGCCCCTGGCATTTCAGACAGGTTCAGTGGCAGTGGGTCTGGGACAGACTTCACTCTCACCATCAGCAGACTGGAGCCCGAAGATTTTGCAGTGTATTACTGTCAGCAGTATCGTAGCTCACTCTGGACGTTCGGCCAAGGGACCAAGGTGGAAATCAAA</t>
  </si>
  <si>
    <t>GAGGTGCAGCTGGTGGAGTCTGGGGGAGGCTTGGTAAAGCCTGGGGGGTCCCTTAGACTCTCATGTGCAGCCTCTGGATTCACTTTCAGTAAGGCCTGGATGAGCTGGGTCCGCCAGGCTCCAGGGAAGGGGCTGGAGTGGGTTGGCCGTATTAAAAGCAATCCTGATGGTGGGGCAGCAGACTACGCTGCACCCGTGAAAGGCAGATTCACCATCTCAAGAGATGATTCAAAAAACACGCTGTATCTGCAAATGAACAGCCTGAAAGCCGAGGACACAGCCGTGTATTACTGTACCACACTCTACTACTACTACATGGACGTCTGGGGCAAAGGGACCACGGTCACCGTCTCCTCA</t>
  </si>
  <si>
    <t>CAGTCTGTGCTGACGCAGCCGCCCTCAGTGTCTGGGGCCCCAGGGCAGAGGGTCACCATCTCCTGCACTGGGAGCAGCTCCAACATCGGGGCAGGTTATGATGTGCACTGGTACCAGCTGCTTCCAGGAACAGCCCCCAAACTCCTCATCTATGATGACAGCGATCGGCCCTCAGGGGTCCCTGACCGATTCTCTGGCTCCAAGTCTGGCACCTCAGCCTCCCTGGCCATCACTGGGCTCCAGGCTGAGGATGAGGCTGATTATTACTGCCAGTCCTATGACAGCGGCCTGAGTGGTGTGCTATTCGGCGGAGGGACCAAGCTGACCGTCCTA</t>
  </si>
  <si>
    <t>CAGGTTCAGCTGGTGCAGTCTGGAGCTGAGGTGAAGAAGCCTGGGGCCTCAGTGAGGGTCTCCTGCAAGACTTCCGGTTACATCTTTACCAGATATATTATTACGTGGGTGCGACAGGCCCCTGGACAAGGGCTTGAGTGGATGGGGTGGATCAGCGCTTATAATGGTGGCACAAAATATGCACAGAAGTTCCAGGGCAGAGTCACCATGACCACAGACACATCCACGAACACAGCCTACATGGACCTGAGGAGCCTGAGATCTGACGACACGGCCGTCTATTACTGTGCGAGAGACCTGGGTATGGTGTCTCCCTACTACTTTGACTATTGGGGCCAGGGAAGCCTGGTCACCGTCTCCTCA</t>
  </si>
  <si>
    <t>GAAATTGTGTTGACGCAGTCTCCAGGCACCCTGTCTTTGTCTCCAGGAGAAAGCGCCACCCTCTCCTGCAGGGCCAGTCAGAGTGTTATCAACACCTACTTAGCCTGGCACCAGCAGAGACCTGGCCAGGCTCCCAGGCTCCTCATCTATGGTGCATCCAACAGGGCCACTGGCGTCCCAGACAGGTTTAGTGGCAGTGGGTCTGGGACAGACTACACTCTCACCATCACCAGACTGGAGCCTGAAGATTTTGCAGTGTATTACTGTCACCAGTATGGTAGCTCTCCCAACACTTTTGGCCAGGGGACCAAGCTGGAGATCAAA</t>
  </si>
  <si>
    <t>CAGGTGCAGCTGGTGCAGTCTGGGGCTGAAGTCATAAAGCCTGGGGCCTCAGTGAAGGTCTCCTGCAGGGCTTCTGGATACCGATTCATCGGCCACTATGTCCACTGGGTGCGACAGGCCCCTGGCCAAGGGCTGGAGTGGATGGGATGGATCAACCCTAATAGTGGCGTCACAAATTATGCACAGAAGTTTCAGGGCAGGGTCACCATGACCAGGGACACGTCCACTAGCACAGCCTACATGGAGCTCAGTAGGCTGAGATCTGACGACACGGCCGTGTATTACTGTGCGAGAGCAAATAACTACGATTATAGTGGTTATTTCGGCTGGTTCGACCCCTGGGGCCAGGGAACCCTGGTCACCGTCACCGCA</t>
  </si>
  <si>
    <t>GACATCGTGATGACCCAGTCTCCAGACTCCCTGCCTGTGTCTCTGGGCGAGAGGGCCACCATCAACTGCAAGTCCAGCCGGAGTCTTTTATACAGCTCCAACAATAAGAACTACCTAGCTTGGTACCAGCAGAAACCAGGACAGTCTCCTAGACTGCTCCTTTACTGGGCATCTACCCGGGAATCCTGGGTCCCTGACCGATTCAGTGGCAGCGGGTCTGGGACAGATTTCACTCTCACCATCAGCAGCCTGCAGGCTGAAGATGTGGCAATTTATTATTGTCAACAATATTACACTACTCCGTACACTTTTGGCCAGGGGACCAGGCTGGAGATCAAA</t>
  </si>
  <si>
    <t>CAGGTGCAGCTGGTGCAGTCTGGGGCTGAGGTGAAAAAGCCTGGGGCCTCAGTGAAACTCTCCTGCAAGGCTTCTGGATACAGATTCATCGGATACTATCTACACTGGGTGCGACAGGCCCCTGGACAAGGGCTTGAGTGGATGGGATGGATCAATCCTAACAGTGGTGGCACAAACTATGCACAGAAGTTTCAGGGCAGGGTCAGCATGACCAGGGACACGTCCATCAGCACAGCCTACATGGAGCTGAGCAGCCTGAGATCTGACGACACGGCCGTATATTACTGTGCGAGAGTAAATAAGTATGATAGTAGTGGTTATTTCGGCTGGTTCGACCCCTGGGGCCAGGGAACCCTGGTCACCGTCTCCTCA</t>
  </si>
  <si>
    <t>GACATCATGATGACCCAGTCTCCAGACTCCCTGGCTGTGTCTCTGGGCGAGAGGGCCACCATCAACTGCAAGTCCAGCCAGAGTGTTTTATACAACTCCAACAATCAGAACTACTTAGCTTGGTACCAGCAGAAACCAGGACAGCCTCCAAAGGTACTCTTTTACTGGGCATCTACCCGGGAATCCGGGGTCCCTGACCGATTCAGTGGCAGCGGGTCTGGGACAGATTTCACTCTCACCATCAGCAGCCTGCAGGCTGAAGACGTGGCAGTTTATTACTGTCAACAATATTATACTACTCCGTACACTTTTGGCCAGGGGACCAAGCTGGAGATCAAA</t>
  </si>
  <si>
    <t>CAGGTTCAGCTGGTGCAGTCTGGAGCTGAGGTGAAGAAGCCTGGGGCCTCAGTGAAGGTCTCCTGCAAGGCTTCTGGTTACACCTTTACCCACTATGGTTTCAGTTGGATACGACAGGCCCCTGGGCGAGGGCTTGAGTGGATGGGATGGATCACCCCCTACAATGGTGACACAAAGTATGCACAGAAACTCCAGGGCAGACTCACCATGACTACAGACACGTCCACGACCACAGCCTACATGGAGCTGAGGAGCCTGAGACCTGACGACACGGCCGTGTATTACTGTGCGAGAGGCATTACTATGGTTCGGGGAGAGGACTGGTTCGACCCCTGGGGCCAGGGAACCCTGGTCACCGTCTCCTCA</t>
  </si>
  <si>
    <t>GAAATAGTGATGACGCAGTCTCCAGCCACCCTGTCTGTGTCTCCAGGGGAAAGAGCCACCCTCTCCTGCAGGGCCAGTCAGACTGTTCGTAGCAACTTAGCCTGGTATCAACAGAGACCTGGCCAGGCTCCCAGGCTCCTCATCTCTGGTGCATCCACCAGGGCCACTGGTATCCCAGCCAGGTTCAGTGGCAGTGGGTCTGGGACAGAGTTCACTCTCACCATCAGCAGCCTGCAGTCTGAAGATTCTGCAGTTTATTACTGTCAGCAGTATAGTAACTGGCCTCTCACTTTCGGCGGAGGGACCAAGGTGGAGATCAAA</t>
  </si>
  <si>
    <t>CAGGTGCAGCTGCAGGAGTCGGGCCCAGGACTGGTGAGGCCTTCGGAGACCCTGTCCCTCACCTGCTCTGTCTCTGGTGGCTCCATGAGTACTTACTACTGGACCTGGATCCGGCAGCCCCCCGGGAAGGGACTGGAGTGGATTGGGTATATCTATTACAGTGGGAGCGCCAACTACAACCCCTCCCTCAGGGGTCGAGTCACCATATCAGTAGACACGTCCAAGAATCAGATCTCCCTGAAGCTGAGCTCTGTGACCGCTGCGGACACGGCCGTCTATTACTGTGTGAGAGCCCCTCGGGGGTATAATGGCCGCTCTTACTACTACTACGCTATGGACGTCTGGGGCCAAGGGACCACGGTCACCGTCTCTTCA</t>
  </si>
  <si>
    <t>TCCTATGAGCTGACTCAGCCACCCTCAGTGTCCGTGTCCCCAGGACAGACAGCCAGCATCACCTGCTCTGGAGATAAGTTGGGGGATGAATATGTTTGCTGGTATCAGCAGAAACCAGGCCAGTCCCCTGTCCTGGTCATTTCTCAAGATAACAGGCGGCCCTCAGGGATCCCTGGGCGATTCTCTGGCTCCAACTCTGGGAACACAGCCACTCTGACCATCAGCGGGACCCAGGCTATGGATGAGGCTGACTATTACTGTCAGGCGTGGGTTAGCAGCGCTGTGATATTCGGCGGAGGGACCAAGCTGACCGTCCTA</t>
  </si>
  <si>
    <t>GAGGTGCAGCTGGTGGAGTCTGGGGGAGGCTTGGTACAGCCTGGGGGGTCCCTGAGACTCTCCTGTGCAGCCTCTGGATTCACCTTCAGGAGCTATGATATGCATTGGGTCCGTCAAGCTGCAGGAAAAGGTCTGGAGTGGGTCTCAGCTATTGGTACTGCTGGTGACACATATTATCGAGGCTCCGTGAAGGGCCGATTCACCATCTCCAGAGAAAATGCCAAGAACTCCTTGTATCTTCAAATGAACAGCCTGAGAGACGGGGACACGGCTGTGTATTACTGTGTAAGAGCATGGTTCGGTGCCATTTACTTTGACTACTGGGGCCAGGGAGCGCTGGTCACCGTCTCCTCA</t>
  </si>
  <si>
    <t>GAAATTGTGTTGACGCAGTCTCCAGGCACCCTGTCTTTGTCTCCAGGGGAAAGAGCCACCCTCTCCTGCAGGGCCAGTCAGAGTGTTAGCAGCAACTACTTAGCCTGGTACCAGCAGAAACCTGGCCAGGCTCCCAGGCTCCTCATCTATGATGCATCCAGAAGGGCCGCTGGCATCCCAGACAGGTTCAGTGGCAGTGGGTCTGGGACAGACTTCACTCTCAGCATCAGCAGACTGGAGCCTGAAGATTTTGCGGTGTATCACTGTCAGCAGTATGGCAGCTCACCACTCACTTTCGGCGGAGGGACCAAGGTGGAGATCAAA</t>
  </si>
  <si>
    <t>CAGCTGCTGCTGCAGGAGTCGGGCCCAGGACTGGTGAAGCCTTCGGAGACCCTGTCCCTCACCTGCACTGTGTCTGGTGGCTCCATCAGCGAGAATAGTTACTACTGGGCCTGGATCCGCCAGCCCCCAGGGAAGGGCCTGGAGTGGATTGGGAGTTTCTATTACATTGGGAGCACCTACTACAATCCGTCCCTCAAGAATCGAGTCACCATATCAGTGGACACGTCCAAGAACCACTTCTCCCTGAAGCTGAGTTCTGTGACCGCCGCGGACACGGCCGTTTATTACTGTGCGAGAGACCGTGGGTTCGGGGGCTTATTATACAACTGGTTCGACCCCTGGGGCCAGGGAATCCTGGTCTCCGTCTCCTCA</t>
  </si>
  <si>
    <t>GACATCCAGATGACCCAGTCTCCATCCTCCCTGTCTGCATCTGTAGGAGACAGAGTCACCATCACTTGCCGGGCAAGTCAGAGCATTGACACCTATTTAAATTGGTATCAGCAGAAGCCAGGGAAAGCCCCTAAGGTCCTGATCTATGCTGCATCCAGTTTGCAAAGTGGGGTCCCATCAAGGTTCAGTGGCAGTGGATCTGGGACAGATTTCACTCTCACCATCAGCAGTCTGCAACCTGAAGATTTTGCAACTTACTACTGTCAACAGGGTTACACTACCCCGTTCACTTTTGGCCAGGGGACCAAGCTAGACATCAAA</t>
  </si>
  <si>
    <t>CAGGTGCAGTTGGTGCAGTCTGGGGCTGAGGTGAGAAAGCCTGGGGCCTCACTAAAGGTCTCCTGCAAGGCTTCTGGATACAAATTCATCGGCTACTACATGCATTGGGTGCGGCAGGCCCCTGGACAAGGGCTTGAATGGATGGGAAGGATCAACCCTAACAGTGGTGCCACAGACTATGCACAGAAGTTTCAGGGCAGGGTCACCATGACCAGGGACCCGTACATCAGCACAGCCTACATGGAGCTGAGTAGGCTGCGAACTGACGACACGGCCCTTTATTATTGTGCGAGAGTAATTAACTATGATTATAGTGGTTATTTCGGCTGGTTCGACTCCTGGGGCCAGGGAACCCTGGTCATCGTCTCCTCA</t>
  </si>
  <si>
    <t>GACATCGTGATGACCCAGTCTCCAGACTCCCTGGCTGTGTCTCTGGGCGAGAGGGCCACCATCAAGTGCAAGTCCAGCCAGAGTGTTTTATACAGCTCCAACAATAAGAACTACTTAGCTTGGTACCAGCAGAAACCAGGACAGCCTCCTAACCTCCTCATTTACTGGGCATCTACCCGGGAATCCGGGGTCCCTGACCGATTCAGTGGCAGCGGGTCTGGAACAGATTTCACTCTGACCATCAGCAGCCTGCAGGCTGCAGATGTGGCAGTTTATTACTGTCAGCAATATTATACTACTCCGTACACTTTTGGCCAGGGGACCAAGCTGGAGATCAAA</t>
  </si>
  <si>
    <t>CAGGTGCACCTGCAGGAGTCGGGCCCAGGACTGGTGAAGCCTTCGGAGACCCTGTCCCTCACCTGCACTGTCTCTGGTGGCTCCCTCAGTACTTACTACTGGACCTGGATCCGCCAGCCCCCAGGGAAGGGACTGGAGTGGATTGGGTATATCTATTACAGTGGGGGCACCTATTACAACCCCTCCCTCAAGAATCGACTCAGCATATCAGTAGACACGCCCAAGAACCAGTTGTCCCTGAAGCTGAGCTCTGTGACCGCTGCGGACACGGCCGTGTATTACTGTGCGAGAGCCCCACGGGGGTATAATGGCCGCTCTTACTACTACTACGCAATGGACGTCTGGGGCCAAGGGACCACGGTCACCGTCTCCTCA</t>
  </si>
  <si>
    <t>TCCTATGAGTTGACTCAGCCACCCTCAGTGTCCGTGTCCCCAGGACAGACAGCCAGCATCACCTGCTCCGGAGATAAATTGGGGGATACATATGCTTGCTGGTATCAGCAGAAGCCAGGCCAGTCCCCTGTACTGGTCATCTCTCAAGATTACAAACGGCCCTCAGGGATCCCTGCGCGATTCTCTGGCTCCAACTCTGGGAACACAGCCACTCTGACCATCAGCGGGACCCAGTCTATGGATGAGGCTGACTATTACTGTCAGGCGTGGGACAGCAACACTGTGCTATTCGGCGGAGGGACCAAGCTGACCGTCCTA</t>
  </si>
  <si>
    <t>GAGGTGCAGTTGGTGGAGTCTGGGGGAGGCCTGGTCAAGCCTGGGGGGTCCCTGAGACTCTCCTGTGTAGCCTCTGGATTCACCTTCAGTAGCTATAGCCTGAACTGGGTCCGCCAGGCTCCAGGGAAGGGGCTGGAGTGGGTCTCATCCATTACTAGTAGGAGTAGTTACACATACTACGTAGACTCAGTGAAGGGCCGATTCACCATCTCCAGAGACAACACCAAGAACTCACTGTATCTGCAAATGAACAGCCTGAGAGCCGAGGACACGGCTGTGTATTACTGTGCGAGAGACTACTATCATAGTAGTGGTTATCTCTACGTAAATGCTTTTGATATCTGGGGCCAGGGGACAATGGTCACCGTCTCTTCA</t>
  </si>
  <si>
    <t>GAAATAGTGATGACGCAGTCTCCAGCCACCCTGTCTGTGTCTCCAGGGGAAAGAGCCACCCTCTCCTGCAGGGCCAGTCAGAGTGTTAGCAGCAACTTAGCCTGGTACCAGCAGAAACCTGGCCAGGCTCCCAGGCTCCTCATCTATGGTGCATCCACCAGGGCCACTGATATCCCAGCCAGGTTCAGTGGCAGTGGGTCTGGGACAGAGTTCACTCTCACCATCAGCAGCCTGCAGTCTGAAGATTTTGCAGTTTATTACTGTCAACACTATAACAACCGGCCTCCGTGGACGTTCGGCCAAGGGACCAAGGTGGAAATCAAA</t>
  </si>
  <si>
    <t>GCGGTGCAGTTGGTGGAGTCTGGGGGAGGCTTGGTACAGCCTGGGGGGTCCCTGAGACTCTCCTGTGCAGCCTCTGGATTCACCCTCAGTAGGTACGAAATGCACTGGGTCCGCCAAGCTCCAGGAAAAGGTCTGGAGTGGGTCTCAGCTATTGGTACTGCTGGTGACACATACTATCCAGGCTCCGTGAAGGGCCGATTCACCACCTCCAGAGAAAATGCCAAGAACTCCTTGTATCTTCAAATGAACAGCCTGAGAGCCGGGGACACGGCTGTGTATTTCTGTGCAAGAGGTCACCAGCTCGCCTTTGACTACTGGGGCCAGGGAACGCTGGTCACCGTCTCCTCA</t>
  </si>
  <si>
    <t>GAAATTGTGTTGACGCAGTCTCCAGGCAGCCTGTCTTTGTCTCCAGGGGAAAGAGCCACCCTCTCCTGCAGGGCCAGTCAGCGTGTTACCAGCAGCTTCTTAGCCTGGTATCAGCAGAAACCTGGCCAGCCTCCCAGGCTCCTCATCTATGGTGCATCCAGCAGGGCCGCTGGCATCCCAGACAGGTTCAGTGGCAGTGGGTCTGGGACAGACTTCACTCTCACCATCAGCAGACTGGAGCCTGAAGATTTTGCAGTGTATTACTGTCAGCAGTATCGTAGCTCACTCTGGACGTTCGGCCAAGGGACCAAGGTGGAAATCAAA</t>
  </si>
  <si>
    <t>CAGGTCCAGCTGATGCAGTCTGGGGCTGAGGTGAAGAGGCCTGGGTCCTCGGTGAAGGTCTCTTGCAAGACTTCTGGAGGCACCTTCGGCAGATTTTCCATCAACTGGGTGCGACAGGTCCCTGGACAAGGGCTTGAGTGGATGGGAAGGATCATCCCAACCCTTAAAATGCTAAACCACGCACAGAAATTTCAGGGCAGACTCACGATCACCGCGGACGAATCCACGAGGACAGCCTTCATGGAGTTGAGCAGCCTGAGATCTGAGGACACGGCCATCTATTTCTGTGCGCTAGAGATGGGCACAATTGACGACAACTGGGGCCAGGGAACGCTGGTCACCGTCTCCTCA</t>
  </si>
  <si>
    <t>GACATCCAGATGACCCAGTCTCCATCCTCACTGTCTGCATCTGTAGGAGAGAGAGTCACCATCACTTGTCGGGCGAGTCAGGACATTAGCAATTATTTGGCCTGGTTTCAGCAGAAACCAGGGAAAGCCCCTAAGTCCCTGATCTATGCTGCATCCCGTTTGAAAAGTGGGGTCCCATCAAAGTTCAGCGGCAGTGGATCTGGGACAGATTTCACTCTCACCATCAGCAGCCTGCAGCCTGAAGATGTTGCAACTTATTACTGCCAACAGTATAGTAGTTACCCTCTCACTTTCGGCGGAGGGACCAAGGTGGAGATCAA</t>
  </si>
  <si>
    <t>CAGGTGCAGCTGGTGCAGTCTGGGGCTGAGGTGAAAAAGCCTGGGGCCTCAGTGAAGGTCTCCTGCAAGGCTTCTGGATATAGGTTCATCGGCTACTATATGCACTGGGTGCGACAGGCCCCTGGACAAGGGCTTGAGTGGATGGGATGGATCAACCCTAATAGTGGTGGCACAAACTATGCACAGAAGTTTCAGGGCAGGGTCACCATGACCAGGGACACGTCCATCAGCACAGCCTACATGGAGCTGAGCAGGCTGAGATCTGACGACACGGCCATATATTATTGTGCGAGAGTAAATAAGTATGATAGTAGTGGTTATTTCGGCTGGTTCGACCCCTGGGGCCAGGGAACCCTGGTCACCGTCTCCTCA</t>
  </si>
  <si>
    <t>GACATCGTGATGACCCAGTCTCCAGACTCCCTGGCTGTGTCTCTGGGCGAGAGGGCCACCATCAACTGCAAGTCCAGCCAGAGTGTTTTATACAACTCCAACAATAAGAACTACTTAGTTTGGTACCAGCAGAAACCAGGACAGCCTCCAAAGGTGCTCATTTACTGGGCATCTACCCGGGAATCCGGGGTCCCTGACCGATTCAGTGGCAGCGGGTCTGGGACAGATTTCACTCTCACCATCAGCAGCCTGCAGGCTGAAGATGTGGCAGTTTATTACTGTCAGCAATATTATACTACTCCGTACACTTTTGGCCAGGGGACCAAACTGGAGATCAAA</t>
  </si>
  <si>
    <t>GAGGGTCAACTGGTGGAGTCTGGGGGAGGCCTGGTCAAGCCGGGGGGGTCCCTGAGACTCACCTGTACAGCCTCTGGATTCACCTTCAGTAACTTTAGGATACACTGGGTCCGCCAGGCTCCAGGGAAGGGGCTGGAGTGGGTCTCTTCCATTAGTCCTAGTAGTCGTTACATATATTATGGAGACTCGATGAAGGGCCGATTCACCATCTCCAGAGACAACGCCAAGAATTCAGTGTATCTACAAATGAACAGCCTGAGAGTCGAGGACACGGCTGTCTACTACTGTGCGCGGGTACTGGAAATGGGCTCCTACTACTACGGTTTGGACGTCTGGGGCCAAGGGACCACGGTCACCGTCTCC</t>
  </si>
  <si>
    <t>ACTATTGTGATGACTCAGTCTCCACTCTCCCTGTTTGTCACCCCTGGAGAGCCGGCCTCCATCTCCTGCAGGTCTAGTCAGAGCCTCCTGCATAGTAAAGGATACAACTATTTAGATTGGTACCTGCAGAAGCCAGGGCAGTCTCCACTACTCCTGATCTATTTGGGTTCTAATCGGGCCTCCGGGGTCCCTGACCGGTTCAGTGGCAGTGGATCAGGCACAGATTTTACACTGAAAATCAGCAGAGTGGAGGCTGAGGATGTTGGGGTTTATTACTGCATGCAAGCTCTACAAACTCCGAACACTTTTGGCCAGGGGACCAAACTGGAGATCAAA</t>
  </si>
  <si>
    <t>GAGGTGCAGCTGTTGGAGTCTGGGGGAGGCTTGGTGCAGCCGGGGGGGTCCCTGAGACTCTCCTGTGCAGCCTCTGGATTCCCCTTTAGTAGTTATGCCATGACTTGGGTCCGCCAGGCTCCAGGAAAGGGGCTGGAGTGCGTCTCAGTTATTGTTGGCAGTGGTGGTATCAGGCACTACGCAGACTCCGTGAAGGGCCGGTTCACCATCTCCAGAGACAATTCCAAGAACACGCTGTCTCTGCAAATGAACAGCCTGAGAGCCGACGACACGGCCGTATATTACTGTGCGGCCCCGGGCGAATATTACGATTTTTGGAGTGGGTGGGCTCCCCTGGGCCACTGGGGCCGGGGAACGCTGGTCACCGTCTCCTCA</t>
  </si>
  <si>
    <t>GAAATTGTGTTGACGCAGTCTCCAGGCACCCTGTCTTTGTCTCCAGGGGAAAGAGCCACCCTCTCCTGCAGGGCCAGTCAGACTGTTAGCACCAACTACTTAGGCTGGTACCAGCAGAAACCTGGCCAGGCTCCCAGGCTCCTCATCTATGGTACATTCAACAGGGCCACTGGCATCCCAGACAGGTTCAGTGGCAGTGGGTCTGGGACAGACTTCACTCTCACCATCAGCAGACTGGAGCCTGAGGATTTTGCAGTGTATTACTGTCAGCAGTATGGTAGCTCACCGTGGACGTTCGGCCAAGGGACCAAGGTGGAAATCAAA</t>
  </si>
  <si>
    <t>CAGGTTCAGCTGGTGCAGTCTGGACCTGAGGTGAGGAAGCCTGGGGCCTCAGTGAAGGTCTCCTGCAAGGCTTCTGGTTACACGTTTACCCACTATGGTGTCACCTGGGTGCGACAGGCCCCTGGACAAGGGCCTGAGTGGATGGGATGGATCAGCACTTACAACCGTGACACAAAGTCTGCACAGAAGTTCCAGGGCAGAGTCACCTTGACCACAGACGCATCCACGAGTACAGCCTATATGGAGCTGAGGAGCCTGAGATCTGACGACACGGCCGTTTATTACTGTGCGAGAGATCGAGGTATGGTCTACTCCTACTACATGGACGTCTGGGGCAAAGGGACCACGGTCACCGTCTCCTCA</t>
  </si>
  <si>
    <t>GAAATTGTGTTGACGCAGTCTCCAGGCACCCTGTCTTTGTCTCCAGGGGAAAGAGCCACCCTCTCCTGCAGGGCCAGTCAGAGTATTAGCAGCAACTACTTAGCCTGGTACCAGCAGAAACCTGGCCAGACTCCCAGGCTCCTCATCTATGGTGCATCCAGCAGGGCCACTGGCATCCCAGACAGGTTCAGTGGCAGTGGGTCTGGGACAGACTTCACTCTCACCATCAGCAGACTGGAGCCTGAAGATTTTGCAGTGTATTACTGTCAGCAGTATGGTAGTTCACCGGGGACGTTCGGCCAAGGGACCAAGGTGGAAATCAAA</t>
  </si>
  <si>
    <t>CAGGTGCAACTGCAGGAGTCGGGCCCAGGACTGGTGAAGCCTTCACAGACCCTGTCCCTCATCTGCTCTGTCTCTGGTGCCTCCATCAGCAGTGGTGATTACTACTGGACCTGGATCCGCCAGCCCCCAGGGAAGGGCCTGGAGTGGATTGGGTACATCTCTCACAATGGGAACACCTACTCCAACCCGTCCCTCAAGAGTCGAATTACGATGTCTCTGGACACGTCCAAGAACCAGTTCTCCCTGAACCTGAGGTCTGTGACTGCCGCAGACACGGCCGCTTATTACTGTGCCAGAGTCGACCATTGTAGTAGTGACACCTGCTTTCTCTACTACTACGTTATAGACGTCTGGGGCCAAGGGACCACGGTCGTCGTCTCCTCA</t>
  </si>
  <si>
    <t>CAGACTGTGGTTACTCAGGAGCCCTCACTGACTGTGTCCCCAGGAGGGACAGTCACTCTCACCTGTGCTTCCAGCACTGGAGCAGTCACCACTGATTACTATCCAAACTGGTTCCAGCAGAGACCTGGCCAACCACCCAGGGCACTGATTTATGGTACAACCAACAAACACTCCTGGACCCCTGCCCGGTTCTCAGGCTCCCTCCTTGGGGGCAAAGCTGCCCTGACACTGTCCGGTGTGCAGCCTGAGGACGAGGCTGACTATTACTGCCTGCTCTACTATGGTGGTGCTCAGCTGGTTTTCGGCGGAGGGACCAAGCTGACCGTCCTA</t>
  </si>
  <si>
    <t>GAAATAGTGATGACGCAGTCTCCAGCCACCCTGTCTGTGTCTCCAGGGGAGAGAGCCACCCTCTCCTGCAGGGCCAGTCAGAGTGTTGGCTACAACTTAGCCTGGTACCAGCAGAAACCTGGCCAGGCTCCCAGGCTCCTCCTCTATGGTGCATCCACCAGGGCCACTGATATCCCAGCCAGGTTCAGTGGCAGTGGGTCTGGGACAGAGTTCACTCTCACCATCAGCAGCCTGCAGTCTGAAGATTTTGCCGTTTATTACTGTCAACAGTATAATAACTGGCCTCCGCTCACTTTCGGCGGAGGGACCAAGGTGGAGATCA</t>
  </si>
  <si>
    <t>GAGGTGCAGCTGGTGGAGTCGGGGGGAAGATTGGTCCAGCCTGGGGGGTCCCTGAGACTCTCCTGTGCAGCCTCTGGATTCACCTTTAGTACCTATTGGATGACCTGGGTCCGCCAGGCTCCAGGGAAGGGGCCGGAGTGGGTGGCCAGTGTAAAGGAAGATGGGAGTGAGAAATACTATGTGGACTCTGTGAGGGGCCGATTCACCATCTCCAGAGACAACGCCAAGAAATCACTGTATCTGGAAATGAACAGCCTGAGAGCCGAGGACACGGCTGTCTATTACTGTGCGAGAGATGTTCCTATGGATGTTGTGGTGGTGGTAGGTGTTCCCGACTACTGGGGCCAGGGAACCCTGGTCACCGTCTCCTCAG</t>
  </si>
  <si>
    <t>GAGGTGCAGCTGGTGGAGTCTGGGGGAGGCTTGGTGCAGCCTGGAGGGTCCCTGAGACTCTCCTGTAAAGGCTCTGGATTCACCTTCAGTAGTTATGAAATGAACTGGGTCCGCCAGGCTCCAGGGAAGGGGCTGGAGTGGGTTTCATACATTACTGGTACTAGTAGTACCATGTACTACGCAGACTCTGTGAAGGGCCGATTCACCATCTCCAGAGACAACGCCAAGAACTCACTGTATCTGCAAATGAACAGCCTGAGAGCCGAGGACACGGCTGTTTATTACTGTGTCAGAGCGATGCTATGGTTCGGGGAGACCCCTCACTACTACTTTGACAACTGGGGCCAGGGAACACTGGTCACCGTCTCCTCAG</t>
  </si>
  <si>
    <t>CAGTCTGTGCTGACGCAGCCGCCCTCAGTGTCTGGGGCCCCAGGGCAGAGGGTCACCATCTCCTGCACTGGGAGCAGCTCCAACATCGGGGCAGGTTATGATGTACACTGGTACCAGCAGCTTCCAGGAACAGCCCCCAAACTCCTCATCTATGGTAACACCAATCGGCCCTCAGGGGTCCCTGACCGATTCTCTGGCTCCAAGTCTGACACCTCAGCCTCCCTGGCCATCACTGGGCTCCAGGCTGCGGATGAGGCTGATTATTACTGCCAGTCTTATGACAGCAGTATGAGTGGTTCGGTGTTCGGCGGAGGGACCAAGCTGACCGTCCTA</t>
  </si>
  <si>
    <t>CAGGTGCAGCTACAGCAGTGGGGCGCAGGACTGTTGAAGCCTTCGGAGACCCTGTCCCTCACCTGCGCTGTCTATGGTGGGTCCTTCAATGATTACTACTGGACCTGGATCCGCCAGCCCCCAGGGAAGGGGCTGGAGTGGATTGGCGAAATCAATCATAGTGGCAGCACCAACTACAAGCCGTCCCTCAAGAGTCGACTCACCATATCACTGGACACGTCCAAGAACCAGTTCTCCCTGAACCTGACCTCTGTGACCGCCGCGGACACGGCTGTGTATTACTGTGCGAGAGGAAGACTTGGTCTTGCAGCTTTTGGAGCGGTTACTAACAACTGGTTCGACCCCTGGGGCCAGGGAACCCTGGTCACCGTCTCCTCAG</t>
  </si>
  <si>
    <t>GAGGTGCAGCTGGTGGAGTCTGGGGGAGGCTTGGCACAGCCTGGGGGGTCCCTGAGACTCTCCTGTGCAGCCGCTGGATTCACCTTCAGGAGTTACGACATGCACTGGGTCCGCCAAACTACAGGAAAAGGTCTGGAGTGGGTCTCAGTTATTGGTGCCGCTGGTGACACATACTATGCAGACTCCGTGAAGGGCCGATTCACCATCTCCAGAGACAATGCCAGGAACTCCTTGTATCTTCAAATGAACAGCCTGAGAGCCGGGGACACGGCTGTGTATTTCTGTGCAAGAGCCCGGTTCGGGGACATATTTTATGACTACTGGGGCCAGGGAACGCTGGTCACCGTCTCCTCAG</t>
  </si>
  <si>
    <t>GACGTACAGCTGGTGGAGTCTGGGGGAGGCTTGGTCCAGCCTGGGGGGTCCCTGAGACTCTCCTGTACAGCCTCTGGATTCACCTTTAGTAGCTATTGGATGACCTGGGTCCGCCAGGCTCCAGGGAAGGGGCTGGAGTGGGTGGCCAATATAAAGGAAGATGGAAGTGAGAAATATTATGTGGACTCTGTGAAGGGCCGATTCACCATCTCCAGAGACAACGCCAAGAACTCACTGTATCTGCAAATGAACAGCCTGAGAGCCGAGGAGACGGCTGTGTATTATTGTGCGAGAGGCCCCCTTATGTGCAGTGACTGCCTCCTCTACTACTACTACATGGACGTCTGGGGCAAAGGGACCACGGTCAGCGTCTCCTCA</t>
  </si>
  <si>
    <t>AAAATAGTAATGACGCAGTCTCCAGCCAGCCTGTCTGTGTCTCCAGGGGAAAGAGCCACCCTCTCCTGCAGGGCCAGTCAGAGTATTAGCAGCAATTTAGCCTGGTACCAGCAGAAACCTGGCCAGGCTCCCAGGCTCCTCATCTATAGTGTATCTACCAGGGCCACTGGTATCCCAGCCAGATTCAGTGGCAGTGGTTCTGGGGCAGAGTTCACTCTCACCATCAGCAGCCTGCAGTCTGAAGATATTGCAGTTTATTACTGTCAGCAGTATGATCAGTGGACTCCGCTCACTTTCGGCGGAGGGACCAAGGTGGAGATCAAA</t>
  </si>
  <si>
    <t>GAGGTGCAGCTGGTGGAGTCTGGGGGAGGCTTGGTCCAGCCTGGGGGGTCCCTGAGACTCTCCTGTGCAGCCTCTGGATTCACCTTTAATGACTATTGGATGACCTGGGTCCGCCAGGCTCCAGGGAAGGGGCTGGAGTGGCTGGCCAACATAAACCAAGATGGAAGTGAGAAATACTATGTGGACTCTGTGAAGGGCCGATTCACCATCTCCAGAGACAACGCCAAGAACTCAGTGTATCTACAAATGAACAGCCTGAGAGCCGAGGACGCGGCTGTGTATTTTTGTGCGAGAGCTCCGGGGGACTCGAGATCCTCCTTTTTTTACGACTACTATATGGACGTCTGGGGCAAAGGGATCATGGTCACCGTCTCCTCA</t>
  </si>
  <si>
    <t>GAAATAGTGATGACGCAGTCTCCAGCCACCCTGTCTGTGTCTCCAGGGGAAAGAGCCACCCTCTCCTGCAGGGCCAGTCAGGGTGTTAACAACAACTTGGCCTGGTACCAGCAGAAACCTGGCCAGGCTCCCAGGCTCCTCATCTATGGTGCATCCACCAGGGCCACTGGTATCCCAGCCAGGTTCAGTGGCAGTGGGTCTGGGACAGAGTTCACTCTCACCATCAGCAGCCTACAGTCTGAAGATTTTGCAGTTTATTACTGTCAGCAGTATAATACCTGGCCTCCGCTCACTTTCGGCGGAGGGACCAAGGTGGAGATCAAA</t>
  </si>
  <si>
    <t>CAGGTGCAGCTACAGCAGTGGGGCGCAGGACTGTTGAAGCCTTCGGAGACCCTGTCCCTCACCTGCGCTGTCTATGGTGGGTCCTTCAGTGGTTACTACTGGAGCTGGATCCGCCAGCCCCCAGGGAAGGGGCTGGAGTGGATTGGGGAAATCAATCATAGTGGAAGCACCAACTACAACCCGTCCCTCAAGAGTCGAGTCACCATATCAGTAGACACGTCCAAGAACCAGTTCTCCCTGAGGCTGAGCTCTGTGACCGCCGCGGACACGGCTGTGTATTACTGTGCGAGAGAACTCCGACGTGGATACAACTATGGGAACTTTGACTACTGGGGCCAGGGAACCCTGGTCACCGTCTCCTCAG</t>
  </si>
  <si>
    <t>CAGGTGCAGCTGCAGGAGTCGGGCCCAGGACTGGTGAAGCCTTCGGAGACCCTGTCCCTCAGCTGCACTGTCTCTGGTGGCTCCGTCAGTAGTCACTTCTGGACCTGGATCCGGCAGCCCCCCGGGAAGGGACTGGAGTGGATTGGAAATATCTTTTATACTGGGAACACCAACTACAACCCTTCCCTCCAGAGTCGAGTCACCATATCAGTTGACACGTCCAAGAATCAGTTCTCCCTGAAGCTGAGCTCTGTGACCGCTGCGGACACGGCCGTCTATTACTGTGCGAGAGAGGTAGGATATTGTAGTAGTACCGACTGCCTATACTACTACAACTACTACATGGACGTCTGGGGCAAAGGGACCACGGTCACCATATCCTCA</t>
  </si>
  <si>
    <t>TCTTCTGAGCTGACTCAGGACCCTTTTGTGTCTGTGGCCTTGGGACAGACAGTCAGGATCACATGCCAAGGAGACAGCCTCAGAACCTATTATGCAAGCTGGTACCAGCAGAAGCCAGGACAGGCCCCTCTACTTGTCATCTACGCTAAAAACAACCGGCCCTCAGGGATCCCAGACCGATTCTCTGGCTCCGGCTCAGGAAACACAGCTTCCTTGACCATCACTGGGGCTCAGGCGGAAGATGAGGCTGACTATTACTGTAACTCCCGTGACACCACTGGTAACCATGTGCTATTCGGCGGAGGGACCAAGCTGACCGTCCTA</t>
  </si>
  <si>
    <t>GACATCCAGATGACCCAGTCTCCATCCTCCCTGTCTGCATCTGTAGGAGACAGAGTCACCATCACTTGCCGGGCGAGTCAGGGCATTAGCCATTATTTAGCCTGGTATCAGCAGAGACCTGGGAAAGTTCCTAACCTCCTGATCTATGCTGCATCCACTTTGCAATCAGGGGTCCCATCTCGGTTCAGTGGCAGTGGATCTGGGACAGATTTCACTCTCACCATCAACAGCCTGCAGCCTGAAGATGTTGCAACTTATTACTGTCAAAACTATAACAGTGCCCCGATCACCTTCGGCCAAGGGACACGACTGGAAATTAAA</t>
  </si>
  <si>
    <t>GAAATTGTGTTGACACAGTCTCCAGGCATCCTGTCTTTGTCTCCAGGGGACGGAGCCACCCTCTCCTGCAGGGCCAGTCAGAGTGTTGGCAGCAACTACTTAGCCTGGTACCAGAAAAAACCTGGCCAGGCTCCCAGGCTCCTCATCTATGGTACATTGAACAGGGCCACTGGCACCCCAGACAGGTTCGGTGGCAGTGGGTCTGGGACAGACTTCACTCTCACCATCAGCAGACTGGAGCCTGAAGATTTTGCAGTGTATTACTGTCAGCAATATGAAACTTCTTCGTCGTTCGGCCAAGGGACCAAGGTGGAAATCAAAC</t>
  </si>
  <si>
    <t>GACATCCAGATGACCCAATCTCCATCCTCACTGTCTGCATCTGTAGGAGACAGAGTCACCATCACTTGTCGGGCGAGTCAGGACATTAGCAATTATTTGGCCTGGTTTCAGCAGAAACCAGGGAAAGCCCCTAAGTCCCTGATCTATGCTGCATCCCGTTTGAAAAGTGGGGTCCCATCAAAGTTCAGCGGCAGTGGATCTGGGACAGATTTCACTCTCACCATCAGCAGCCTGCAGCCTGAAGATGTTGCAACTTATTACTGCCAACAGTATAGTAGTTACCCTCTCACTTTCGGCGGAGGGACCAAGGTGGAGATCA</t>
  </si>
  <si>
    <t>GAAGTGCAGCTGGTGGAGTCTGGGGGAGTCGTGGTACAGCCTGGCGGGTCCCTGAGACTCTCCTGTGCAGCCTCTGGATTCACCTTTGATGATTATACCATGTATTGGGTCCGTCAAGCTCCGGGGAAGGGTCTGGAGTGGGTCTCTCTAATTAATTGGGATGGTGGTAGCGCATACTATGCAGGCTCTGTGAAGGGCCGATTCACCATCTCCAGAGACAACAGCAAAAACTCCCTGTATCTTCAAATGAACAGTCTGAGAATTGAGGACACCGCCTTATATTACTGTGCAAAAGATATCCAGGGGGGCAGTTTTTGGCGTGGTTATATATCCTTGTGGGGCCAGGGAACGCTGGTCACCGTCTCCTCA</t>
  </si>
  <si>
    <t>GAAATAGTGATGACGCAGTCTCCAGCCACCCTGTATGTGTCTCCAGGGGAAAGCGCCACTCTCTCCTGCAGGGCCAGTCAGAGTGTTAGTAGTAGCTTAGCCTGGTACCAGCAGAAACCTGGCCAGGCTCCCAGGCTCCTCATCCATGGTGTATCCACCAGGGCCACTGGTATCCCAGCCAGGTTCCGTGGCAGTGGGTCTGGGACAGAGTTCACTCTCACCATCAGCAGCCTGCAGTCTGAAGATTTTGCAGTTTATTACTGTCACCAGTATAATGACTGGCCTCGGTACACTTTTGGCCAGGGGACCAAGCTGGAGATCAAAC</t>
  </si>
  <si>
    <t>GACATCCAGATGACCCAGTCTCCATCCTCCCTGTCTGCATCTGTAGGAGACAGAGTCACCATCACTTGCCGGGCAAGTCAGAGCATTAGCAAAGATTTAAGTTGGTATCAGCAGAAACCAGGGAAAGCCCCTAAGCTCCTGATCTCTGCTGCATCCAGTTTGCAAAGTGGGGTCCCATCAAGGTTCAGTGGCAGCGGATCCGGGACAGATTACACTCTCACCATCAGCAGTCTGCAACCTGAAGATTTTGCAACTTACTATTGTCAACAGAGTTACAGTATCCCGTACACTTTTGGCCAGGGGACCAAGCTGGAGATCAAA</t>
  </si>
  <si>
    <t>TCCTATGAACTGACTCAGCCACCCTCAGTGTCCGTGCCCCCAGGACAGACAGCCAGCATCACCTGCTCTGGAGAAAAATTGGGGGATGAATATGTTTGGTGGTATCAGAAGAAGCCAGGCCAGTCCCCTGTGGTGGTCATCCTTCAAGATAACAAGCGGCCCTCAGGGATCCCTGAGCGATTCTCTGGCTCCAACTCTGGGAACACAGCCACTCTGACCATCAGCGGGACCCAGGCTATGGATGAGGCTGACTATTATTGTCAGATGTGGGACAGCAGAAATGTGGTATTCGGCGGAGGGACCAAGCTGACCGTCCTAG</t>
  </si>
  <si>
    <t>GAAATAGTGCTGACGCAGTCTCCAGCCACCCTGTCTGTGTCTCCAGGGGAAAGAGCCACCCTCTCCTGCAGGGCCAGTCAGACTGTTAGCAGCAACTTAGCCTGGTACCAGCAGAAACCTGGCCAGGCTCCCAGGCTCCTCATCTATGGTGCATCCACCAGGGCCACTGGTATCCCAGCCAGGTTCAGTGGCAGTGGGTCTGGGACAGAGTTCACTCTCACCATCAACAGCCTGCAGTCTGAAGATTTTGCAGTTTATTACTGTCAGCAGTATAATAAGTCGCCTCCAGTCACTTTTGGCCAGGGGACCAAGCTGGAGATCAAAC</t>
  </si>
  <si>
    <t>CAACTGCGGCTGCAGGAGTCGGGCCCAGGACTGGTGAAGCCTTCGGAGACCCTGTCCCTCACCTGCACTGTCTCTGGTGGCTCCATCAGTAGTCACTACTGGAGCTGGATCCGGCAGCCCCCAGGGAAGGGACTGGAATGGATTGGGTTTATCTATTACAGTGGCAGCACCTCCTACAACCCCTCCCTCAGTAGTCGAGTCACCATATCACTAGACACGTCCAAGAACCAGTTCTCCCTGAACCTGAGCTCTGTGACCGCTGCGGACACGGCCGTCTATTTCTGTGCGAGAACAATGGTCCCCCTTACCGAGTTTTACTTCTACTACTACGCCATGGACGTCTGGGGCCAAGGGACCACGGTCACCGTCTCCTCA</t>
  </si>
  <si>
    <t>TCTTCTGAGCTGACTCAGGACCCTGCTGTGTCTGTGGCCTTGGGACAGACAGTCAGGATCACATGCCAAGGAGACAGCCTCAGAACCCATTATGCAAGTTGGTACCAGCAGAAGCCAAGACAGGCCCCTGTATTAGTCATCTACGATAAAAATGAGCGGCCCTCAGGGATCCCAGACCGATTCTCTGGCTCCAGGTCAGGAAACACAGCTTCCTTGACCATCACTGGGGCTCAGGCGGAAGATGAGGCTGACTATTATTGTAACTCCCGGGACAGCAGTGGTGACCATCTGGTATTCGGCGGCGGGACCAAGGTGACCGTCCTA</t>
  </si>
  <si>
    <t>GAGGTGCACCTGGTGGAGTCTGGGGGAGGCTTGGTACAGCCGGGGGGGTCCCTGAGACTCTCCTGTGCAGCCTCTGGATTCGCCTTTAACAACTATGCCATGAGCTGGGTCCGCCAGGCTCCAGGGAAGGGGCTGGAGTGGGTCTCAGGTATTACTGGTAGTGGTGGTACCCCATACTACGCAGACTCCGTGAAGGGCCGGTTCACCATCTCCAGAGACAATTCCAAGAACACGCTGTATCTGCAAATGAACAGCCTGAGAGCCGAGGACACGGCCGTTTATTACTGTGCGAAAGATTCCGATTTTTGGGGTAGTCCAAAATTTGACTACTGGGGCCAGGGAACGCTGGTCACCGTCTCCTCAG</t>
  </si>
  <si>
    <t>GAGGTGCAGCTGTTGGAGTCTGGGGGAGGCTTGGTACAGCCTGGGGGGTCCCTGAGACTCTCCTGTGCAGCCTCTGGATTCACCTTTAGCATCTATGTCATGAGCTGGGTCCGCCAGGCTCCAGGGAAGGGGCTGGAGTGGGTCTCAGCTTTTAATAGTAGTAGTGGTAGCACATACTACGCAGACTCCGTGAAGGGCCGGTTCACCATCTCCAGAGACAATTCCAAGAACACGCTGTATCTGCAAATGAACAGCCTGAGAGTCGAGGACACGGCCGTATATTACTGTGCGAAAGACCCAAGGGTAGCAGCAGCTGGTACGATCTACTTTGACTACTGGGGCCAGGGAACCCTGGTCACCGTCTCCTCAG</t>
  </si>
  <si>
    <t>CAGGTTCACCTGGTACAGTCTGGAGCTGAGGTGAAGAAGCCTGGGGCCTCACTGAAGGTCTCCTGCAAGGCTTCTGGTTACACCTTTACCCATTATGGTATCGCCTGGGTTCGACAGGCCCCTGGACAAGGGCTTGAGTGGATGGGATGGATCAGCGCTTACAATGGTGACACAGACTATGCACAGAAGTTCCAGGGCAGAGTCTCCATGACCGCAGACACATCCACGAACACAGCCTACATGGAGCTGAGGAGCCTCAGATCTGACGACACGGCCGTATATTTCTGTGCGAGAGTAATCAGTATGATTCGGGGAGGCTGGTTCGACTCCTGGGGCCAGGGAATCCTGGTCACCGTCTCCTCAG</t>
  </si>
  <si>
    <t>GAGATGCAGATGGTGGAGTCTGGGGGAGGCTTGGTCCAGCCTGGGGGGTCCCTGAGACTCTCCTGTGCAGCCTCTGGATTCACGTTTAGTGACTATTGGATGACGTGGGTCCGCCAGGCTCCAGGGAGGGGGCTGGAGTGGGTGGCCAACATAAAGGAAGATGGAAGTGAGAAATACTATGTGGACTCTGTGAAGGGCCGATTCACCATCTCCAGAGACAATGCCAAGAAATCACTGTATCTGCAAATGAACAGCCTGAAAGCCGAGGACACGGCTGTGTATTACTGTGCGAACGGCGATCGTGGGGGCCATGACTCCTTATTCTACAACTACTACATGGACGTCTGGGGCAAAGGGATCATGGTCACCGTCTCCTCA</t>
  </si>
  <si>
    <t>GAAATAGTGCTGACGCAGTCTCCAGCCACCCTGTCTGTGTCTCCAGGGGAACGAGCCACCCTCTCCTGCAGGGCCAGTCAGAGTCTTAACGGCAACTTAGCCTGGTACCAGCAGAAACCTGGCCAGGCTCCCAGGCTCCTCATGTTTGCTACATCCACCAGGGCTACTGGTATCCCAGCCAGATTCAGTGGCAGTGGGTCTGGGACAGAGTTCACTCTCACCATCAGCAGCCTGCAGTCTGAAGATTTTGGAGTTTATTACTGTCAGCAGTATAATACCTGGCCTCCGCTCACTTTCGGCGGAGGGACCAAGGTGGAGATCAAA</t>
  </si>
  <si>
    <t>GAAGTGCTTCTGGTGGAGTCTGGGGGAGTCGTGGTACAGCCTGGGGGGTCCCTGAGACTCTCCTGTGCAGCCTCTGGATTTATCTTTGATGATTATACCATGCACTGGGTCCGTCAAGCTCCGGGGAAGGGTCTGGAGTGGGTCTCTCTTATTACCTGGGATGGTGAGAACACATATTATGGAGACTCTGTGAAGGGCCGATTCACCACCTCCAGAGACAACAGCAAAAACTCCCTGTATCTTCAAATGAACAGTCTGACAACTGAGGACACCGCCGTGTATTACTGTGCAAAAGATAACTTAGGCGGCGCTTTTTGGAGTGCTTATCTTGACTCCTGGGGCCAGGGAACCCTGGTCACCGTCTCCTCA</t>
  </si>
  <si>
    <t>GACATCCAGATGACCCAGTCTCCATCGTCCCTGTCTGCATCTGTAGGAGACAGAGTCACCATCACTTGCCGGGCAAGTCAGAGTATTAGCGCCCGTTTAAGTTGGTATCAGCAGAAACCAGGGAAAGCCCCTAAGCTCCTGATCTCTGCTTCATCCACTTTGCAAAGTGCGGTCCCATCAAGGGTCAGTGGCAGTGGATCTGGGACAGAGTTCACTCTCACCATCAGCAGTCTGCAACCTGAAGATTTTGCAACTTACTACTGTCAACAGACTTACAGTGTCCCGTATACTTTTGGCCAGGGGACCAACCTGGAGATCAAA</t>
  </si>
  <si>
    <t>GAGGTGCAACTGTTGGAGTCTGGGGGAGGCTTGGTACAGCCTGGGGGGTCCCTGAGACTCTCCTGTGCAGCCTCTGGATTCACCTTTAGCAGCTATGCCATGAGCTGGGTCCGCCAGGCTCCAGGGAAGGGGCTGGAGTGGGTCTCAGCTATTACTGGTAGTGGTGGTACTCCATACTACGCAGACTCCGTGAAGGGCCGGTTCACCATCTCCAGAGACAATTCCAAGAACACGCTGTATCTGCACATGAATAGCCTGAGAGCCGAGGACACGGCCGTATATTACTGTGCGAAAGATTACGATTTTTGGAGTGGTTATAGGTATTTTGACAACTGGGGCCAGGGAACGCTGGTCACCGTCTCCTCAG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</si>
  <si>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TTCAGCCTGAGTGCTGGGGTGTTCGGCGGAGGGACCAAGCTGACCGTCCTA</t>
  </si>
  <si>
    <t>CAGGTGCAGTTGGTGCAATCTGGGGCTGAGGTGAAAAAGCCTGGGGCCTCAGTGAGGGTCTCCTGTAAGGCCTCTGGATTCAAGTTCATCGCCTACTATATACATTGGGTGCGAGAGGCCCCGGGACAGGGGCTTGAGTGGATGGGATTAATGAACCCCAACAGCGGTGACACAGAGTATGCTCGGAAGTTTCAGGGCAGGGTCAGCATGACCAGGGACACGTCCACCAGCACAGCGTACATGGAAATGAGCAGCCTGAGATCTGACGACACGGCCATATATTACTGTGCGAGAGTGAATAGGGACTATAGTAGTGGTTATTACGGTTGGTTCGACATCTGGGGCCAGGGAACCCTGGTCACCGTCTCCTCAG</t>
  </si>
  <si>
    <t>GAGGTGCAACTGTTGGAGTCTGGGGGAGGCTTAGTACAGCCTGGGGGGTCCCTGAGACTCTCATGTGCAGCCTCTGGATTCACCTTTACCAACTATGCCATGACCTGGGTCCGCCAGGCTCCAGGGAAGGGGCTGGAGTGGGTCTCAAGTATTACTGGTAGTGGTGGTACCACATACTACGCAGACTCCCTGAAGGGCCGGTTCACCATCTCCAGAGACAATTCCAAGGACACGCTGTATCTGCAAATGAGCAGCCTGAGAGCCGCGGACACGGCCGTATATTACTGTGCGAAAGATTCCGATTTTTGGAGTGGTTCTAGGCATTTTGACTACTGGGGCCAGGGAACGCTGGTCACCGTCTCCTCA</t>
  </si>
  <si>
    <t>CAGTCTGTGTTGACGCAGCCGCCCTCAGTGTCTGCGGCCCCAGGACAGAGGGTCACCATCTCCTGCTCTGGAAGCACCTCCAACATTGGGAATAATTATGTGTCCTGGTACCAGCAGCTCCCAGGAACAGCCCCCAAACTCCTCATTTATGACAATAATAAGCGACCCTCAGGGATTCCTGACCGATTCTCTGGCTCCAAGTCTGGCACGTCAGCCACCCTGGGCATCACCGGACTCCAGACTGGGGACGAGGCCGATTATTACTGCGGAACATGGGATTTCAGGCTGAGTGGTGGGGTGTTCGGCGGAGGGACCAAGCTGACCGTCCTA</t>
  </si>
  <si>
    <t>GGCGCACAACTGGTGGAGTCTGGAGGAGGCTTGATCCAGCCTGGGGGGTCCCTGAGACTCTCCTGTGCAGCCTCTGGATTCTCCGTCAGTAGCAACTACATGACCTGGGTCCGCCAGGCTCCAGGGAAGGGGCTGGAGTGGGTCTCACTTATTTATGCCGCTGGTGCCACATTCTACGAAGATTCCGTGAAGGACCGATTCACCATCTCCAGAGACAATTCCAAGAACACACTGTATCTTCAAATGAACAGCCTAAGAGTCGACGACACGGCCATTTATTACTGTGTGAGAGTAGGTAGTAGAGCAGGGACCTACTACTACGGTTTGGACGTCTGGGGCCAAGGGACCACGGTCACCGTCTCCTCA</t>
  </si>
  <si>
    <t>AATATTGTGCTGACTCAGTCTCCACTCTCCCTGCCCGTCACCCCTGGAGAGCCGGCCGCCATCTCCTGCAGGTCTAGTCAGAGCCTCCTACAAAGTTATAGATACAATTATTTGGATTGGTACCTGCAGAAGCCAGGGCAGTCTCCACAGCTCCTGATCTATTTGGGTTCTAATCGGGCCTCCGGGGTCCCTGACAGGTTCAGTGGCAGTGGATCAGGCACAAATTTTACACTGAAAATCAGTAGAGTGGAGGCTGAGGATGTTGGAATTTATTACTGCATGCAAAGTCTACACATGCCGTGGACGTTCGGCCAAGGGACCAAGGTGGAAATGAAA</t>
  </si>
  <si>
    <t>GACGTGCAGCTGGTGGAGTCTGGGGGAGGCTTGGTACAGCCTGGGGGGTCCCTGAGACTCTCCTGTGCAGCCTCTGGATTCACCTTCAGTAGCTACGACATGCACTGGGTCCGCCAAACTACAGGAAAAGGTCTGGAGTGGGTCTCAGCTATTGGTAAAGCCGCTGACACATACTATCGAGGCTCCGTGAAGGGCCGATTCACCATCTCCAGAGAAAATGCCAAGAACTCCTTGTATCTTCAAATGAACAGCCTGGGAGCCGGGGACACGGCTGTTTATTACTGTGTAAGAGCCCGGTGGGGAGCTGTCGACTTTGACTACTGGGGCCAGGGAGCGCTGGTCACCGTCTCCTCA</t>
  </si>
  <si>
    <t>GAAATTGTGTTGACGCAGTCTCCAGACACCCTGTCTTTGTCTCCAGGGGAAAGAGCCACCCTCTCTTGCAGGGCCAGTCAGAGTGTCAGCAGCAGTTACTTAGCCTGGTATCAGCAGAGGCCTGGCCAGGCTCCCCGGCTCCTCATCTATGGTACATCCAGCAGGGCCACTGGCATCCCTGACAGGTTCAGTGGCAGTGGGTCTGGGACAGACTTCACTCTCATCATCAGCAGACTGGAGCCTGAAGATTCTGCAGTGTATTACTGTCAGCAGTATGGTAGCTCACCGACGACGTTCGGCCAGGGGACCAAGGTGGAAATCAAA</t>
  </si>
  <si>
    <t>GAGGTGCAGCTGGTGGAGTCTGGGGGAGGCCTGGTCAAGCCTGGGGGGTCCCTGAGACTCTCCTGTGCAGCCTCTGGATTCACCTTCAGTACCTATAGCATGAACTGGGTCCGCCAGGCTCCAGGGAAGGGGCTGGAGTGGGTCTCATCCATTAGTACTGGTGGTAATTACATATACTACGCAGACTCAGTGAAGGGCCGATTCACCATCTCCAGAGACAACGCCAGGAACTCACTGTATCTGCAAATGAACAGCCTGAGAGCCGAGGACACGGCTGTATATTACTGTGCGAGAGATTTCTATGATAGTACTGGTTATTTGTACTTTAATGCTTTTGATATCTGGGGCCAAGGGACAATGGTCACCGTCTCTTCA</t>
  </si>
  <si>
    <t>GAAATAGTGATGACGCAGTCTCCAGCCACCCTGTCTGTGTCTCCAGGGGAAAGAGCCACCCTCTCCTGCAGGGCCAGTCAGAGTGTTAGCAGCAACTTAGCCTGGTATCAGCAGAAACCTGGCCAGGCTCCCAGGCTCCTCATCTATGGTGCATCCACCAGGGCCACTGGTATCCCAGCCAGGTTCAGTGCCAGTGGGTCTGGGACAGAGTTCACTCTCACCATCAGCAGCCTGCAGTCTGAAGATTTTGCAGTTTATTACTGTCAGCAGTATAATAAGTGGCCTCCGTGGACGTTCGGCCAAGGGACCAAGGTGGAAATCAAA</t>
  </si>
  <si>
    <t>GAGGTGCAGTTGGTGGAGTCTGGGGGAGGCTTGGTAAAGCCTGGGGGGTCCCTGAGACTCTCCTGTGCGGCCTCTGGATTCACCTTCAGGATCTACGACATGCACTGGGTCCGCCAAGTAGCAGGAAAACGTCTGGAGTGGGTCTCAAGTATTGGTACTGCCGGTGACACATACTATCCAGACTCCGTGAAGGGCCGGTTCACCATCTCCAGAGAAAAAGCCAGCAACTCCTTGTTTCTTCAAATGAACAGCCTGCGAGCCGGGGACACGGCTGTATATTATTGTGCAAGAGCGAGTTTTGGGGAAAACTACTTTGACTACTGGGGCCGGGGAACGCTGGTCACCGTCTCCTCAG</t>
  </si>
  <si>
    <t>GACATTGTGTTGACGCAGTCTCCAGGCACCCTGTCTTTGTCTCCAGGGGAAAGCGCCACCCTCTACTGTAGGGCCAGTCAGAGTGTCAACAGCAACTACTTGGCCTGGTACCAGCAGAAACCTGGCCAGGCTCCCAGGCTCCTCATCTATGGTGCATCCAGCAGGGCCGCTGGCATCCCAGACAGGTTCAGTGCCAGTGGGTCTGGGACTGACTTCACTCTCATCATCAGCAGGCTGGAGCCTGAAGACTCTGCAGTGTATTTCTGTCTGCAGTATGGAAGCTCACCTCGCACTTTCGGCGGTGGGACCAGGGTGGAGATCAAA</t>
  </si>
  <si>
    <t>CAGGTCCAGCTGGTGCAGTCTGGGGCTGAGGTGAAGAAGCCTGGGTCCTCGGTGAAGGTCTCCTGCAAGACTTCTGGAGTCACCTTCAGCAGCTATACTTTCAGCTGGGTGCGACAGGCCCCTGGACAAGGGCTTGAGTGGATGGGAAGGATCATCCCTATTATTGGTACGACAAAGTACGCACAGAAGTTCCAGGGCAGAGTCACGATTACCGCGGACGAATCAACGACCACAGCCTACATGGAGCTGAGAAGCCTGAGATCTGAGGACACGGCCATGTATTACTGTGCGACAGGGGATACGATTTCTGGAGTACTTATCGGGGACTGGCTCGACCCCTGGGGCCAGGGAACCCTGGTCACCGTCTCCTCA</t>
  </si>
  <si>
    <t>CAGTCTGTGCTGACTCAGCCACCCTCAGCGTCTGGGACCCCCGGGCAGAGGGTCACCATCTCTTGTTCTGGAAGCAGGTCCAACATCGGAAGTAATACTGTAAACTGGTACCAGCAGCTCCCAGGAACGGCCCCCAAACTCCTCATCCATAGTAATAATCAGCGGCCCTCAGGGGTCCCTGACCGATTCTCTGGCTCCAAGTCTGGCACCTCAGCCTCCCTGGCCATCAGTGGGCTCCAGTCTGAGGATGAGGCTGATTATTACTGTGCAGCATGGGATGACAGCCTGAATGGTTATGTCTTCGGAACTGGGACCAAGGTCACCGTCGATATCAAA</t>
  </si>
  <si>
    <t>GAGGTGCACCTGGTGGAGTCTGGGGGAGGCTTGGTACAGCCTGGGGGGTCCCTGAGACTCTCCTGTGTAGCCTCTGGATTCGCCCTCAGTGATTATGCCATGAGTTGGGTCCGCCAGGCTCCAGGGAAGGGGCTGGAGTGGGTCTCAGGTATAACTGGTAGTGGTTGGACGAGATATGACGCAGCCTCCTTGAAGGGTCGCATCAGCATCTCCAGAGACAATTCCAAGAACACACTATATCTGGAAATGACGAGCCTGAGAGCCGAGGACACGGCCCTATATTACTGTGCGAAAGAGAGGAGTCCGGACTACTTCAACGGTATGGACGTCTGGGGCCGAGGGACCACGGTCACCGTCTCGTCA</t>
  </si>
  <si>
    <t>CAGTCTGTGCTGACTCAGCCACCCTCAGCGTCTGGGACCCCCGGGCAGAGGGTCACCATTTTTTGTTCTGGAAGTCAGTCCAACATCGGAGGTCATCATGTAAACTGGTACCATCAGTTCCCAGGGACGGCCCCCAGACTCCTCATTTATGAGGATAATCAGCGGCCCTCAGGGGTCCCTGACCGATTCTCTGCCTCCAAGTCTGGCACCTCAGCCTCCCTGGCCATCAGTGGCCTCCAGTCTGAAGATGAGGGTGACTATTACTGCACATCATGGGATGTCAGCCTCACTGGTCGTGTGTTCGGCGGAGGGACCACGCTGACCGTCTTA</t>
  </si>
  <si>
    <t>CAGGTGCAGCTGGTGCAGTCTGGGGCTGAGGTGAAGAAGCCTGGGGCCTCAGTGAAGGTTTCCTGCAAGGCATCTGGATACACCTTCACTAAGTACTATATTCACTGGGTGCGACAGGCCCCTGGACAAGGGCTTGAGTGGATGGGAATAATCAACCCTAGTGATGGTACCACAACCTACGCACAGAGTTTCCAGGGCAGAGTCACCATGACCAGGGACACGTCCACGAGCACAGTCTACATGGCGCTGAGCAGCCTGAGATCTGAGGACACGGCCGTTTATTACTGTGCGATTTTTATCCTCTCAATTACTACTTACGCTGGCTATTGGGGCCAGGGAACCCCGGTCACCGTCTCCTCA</t>
  </si>
  <si>
    <t>GATATTGTGATGACCCAGACTCCACTCTCCCTGCCCGTCACCCCTGGAGAGCCGGCCTCCATCTCCTGCAGGTCTAGTCAGAGCCTCTTGGATAGTGATGATGGAAACACCTATTTGGACTGGTTCCTGCAGAAGCCAGGGCAGTCTCCACAGCTCCTGATCTATGCGCTTTCCTATCGGGCCTCTGGAGTCCCAGACAGGTTCAGTGGCAGTGGGTCAGGCACTGATTTCACACTGAAAATCAGCAGGGTGGAGGCTGAGGATGTTGGAGTTTATTACTGCATGCAACGTATAGATTTTCCGTGGACGTTCGGCCAAGGGACCAAGGTGGAAATCAAA</t>
  </si>
  <si>
    <t>CAGGTGCAGTTGGTGGAATCTGGGGGAGGCGTGGTCCAGCCTGGGGGGTCCCTGAGACTCTCCTGTGCAGCGTCTGGATTCATCTTCAGTACCTATGCCATGCACTGGGTCCGCCAGGCTCCAGGCAAGGGGCTGGAGTGGGTGGCATTTGTACGGTTTGATGGAAGTGAGACATACTATGCAGACTCCGTGAAGGGCCGAGTGACCATCTCCAGAGACAATTCCAAGAACACGGTGTTTCTGCAAATGAACAGCCTGAGAGCTGAGGACACGGCTATATACTACTGTGCGAAGGATGCGGCCGAATCAGATGCTCTATACTACTACGGCATAGACGTCTGGGGCCAAGGGACCACGGTCACCGTCTCCTCA</t>
  </si>
  <si>
    <t>GACATCCAGATGACCCAGTCTCCATCTTCCGTGTCTGCATCTGTAGGAGACAGAGTCACCATCACTTGTCGGGCAAGTCAGGGTGTTAGCAGCTGGTTAGCCTGGTATCAGCAGAAACCAGGGAAAGCCCCTAAGCTCCTGATCTATGCTGTCTCCAGTTTGCAAAGTGGAGTCCCATCGAGGTTCAGCGGCAGTGGATCTGGGACAGAGTTCACTCTCACCATCAGCAATCTGCAGCCTGAAGACTTTGCAACTTACTATTGTCTACAGGCTCACAGTTTCCCTCTCACTTTCGGCCCTGGGACCAAACTGGATATCAAA</t>
  </si>
  <si>
    <t>GAGGTTCAGCTGGTGGAGTCTGGGGGAGGCCTGGTCAAGCCTGGGGGGTCCCTGAGACTCACCTGTGCAGCCTCTGGATTCACCTTCAGTAACTATAGGATGAAGTGGGTCCGCCAGGCTCCAGGGAAGGGGCTGGAGTGGGTCTCATCCATTAGTAGTAGTAGTAGTTACATATACTACGCAGACTCAGTGAAGGGCCGATTCACCATCTCCAGAGACAACGCCAAGAACTCACTGTATCTGCAAATGAACAGCCTGAGAGCCGAGGACACGGCTGTGTATTACTGTGCGAGGGTACTGGAACTGGGCTCCTACTACTACGGTATGGACGTCTGGGGCCAAGGGACCACGGTCACCGTCTCCTC</t>
  </si>
  <si>
    <t>GAGGTGCAGCTGGTGGAGTCTGGGGGAGGCCTGGTCAAGCCTGGGGGGTCCCTGAGACTCTCCTGTGCAGCCTCTGGATTCACCTTCAGTAGTTATAGGATGAACTGGGTCCGCCAGGCTCCAGGGAAGGGGCTGGAGTGGGTCTCATCCATTAGTAGTAGTAGTACTTACATATACTACGCAGACTCAGTGAAGGGCCGATTCACCATCTCCAGAGACAACGCCAAGAACTCACTGTATCTGCAAATGCACAGCCTGAGAGCCGAGGACACGGCTGTGTATTACTGTGCGCGAGAACTAGTCTTTGGTTCAAACTACTACGGTATGGACGTCTGGGGCCAAGGGACCACGGTCACCGTCTCCTCA</t>
  </si>
  <si>
    <t>GATATTGTGATGACTCAGTCTCCACTCTCCCTGCCCGTCACCCCTGGAGAGCCGGCCTCCATCTCCTGCAGGTCTAGTCAGAGCCTCCTGGATAGTAATGGATACAACTATTTGGAGTGGTACCTGCAGAAGCCAGGGCAGTCTCCACAGCTCCTGATCTATTTGGGTTCTAATCGGGCCTCCGGGGTCCCTGACAGGTTCAGTGGCAGTGGATCAGGCACAGATTTTACACTGAAAATCAGCAGAGTGGAGGCTGAGGATGTTGGGGTTTATTACTGCATGCAAGCTCTACAAACCCCGTACACTTTTGGCCAGGGGACCAAGCTGGAGATCAAA</t>
  </si>
  <si>
    <t>GAGGTGCAGCTGGTGGAGTCTGGGGGAGGCTTGGTCCAGCCTGGGGGATCCCTGAGACTCTCCTGTGAAGTCTCTGGATTCACCTTTAGTAATTATTGGATGAGCTGGGTCCGCCAGGCTCCAGGGAAGGGGCTGGAGTGGGTGGCCAACATAAAGGAAGATGGAAGTGAGAAATACTTTGTGGACTCTGTGAAGGGCCGATTCACCATCTCCAGAGACAACGCCAAGGACTCACTGTATCTGCAGATGAACAGCCTGAGAGCCGAGGACACGGCTGTGTATTACTGCACGAGAGGGTCGCCTAGCACTTCGTCCTTCTTGTACTACTACTACATGGACGTCTGGGGCAATGGGACCACGGTCACCGTCTCCTCA</t>
  </si>
  <si>
    <t>GAAATAGTGATGACGCAGTCTCCAGCCACCCTGTCTGTCTCTCCAGGGGACAGAGCCACCGTCTCCTGTAGGGCCAGTCAGTATATTATGAACAACTTAGCCTGGTACCAACAGAAACCTGGCCAGGCTCCCAGGCTCCTCATCTATGGTGCGTCCACCAGGGCCACTGGCATCCCAGCCAGGTTCAGTGGCAGTGGGTCTGGGACAGAGTTCACTCTCACCATTAGCAGCCTGCAGTCTGAAGACTCTGCAGTTTATTACTGTCAACAGTATAATGACTGGACTCCGCTCACTTTCGGCGGAGGGACCAAGGTGGAGATC</t>
  </si>
  <si>
    <t>CAGGTGCAGCTGGTGCAGTCTGGGGCTGAGGTGAAAAAGCCTGGGGCCTCAGTGAAGGTCTCTTGTAAGGCTTCTGGATTCAGGTTCATCGGCTACTATTTGCACTGGGTGCGCCAGGCCCCTGGACAAGGGCTTGAGTGGATGGGATGGATCAACCCTAATAGTGGTGCCACAAACTATGCACGGAAGTTTCAGGGCAGGGTCACCATGACCAGGGACACGTCCACCAGCACAGCCTACATGGACCTGAGCAGGCTGAGATCTGACGACACGGCCGTTTATTACTGTGCGAGAGCAAATAACTATGAATATAGTGGTTATTTCGGCTGGTTCGACCCCTGGGGCCAGGGAACCCTGGTCACCGTCTCCTCA</t>
  </si>
  <si>
    <t>GACATCGTGATGACCCAGTCTCCAGACTCCCTGGCTGTGTCTCTGGGCGAGAGGGCCACCATCAACTGCAAGTCCAGCCAGACTATTTTATACAGCTCCAACAATAAGAACTACTTAGCTTGGTACCAACAGAAACCAGGGCAGCCTCCTAAATTGCTCATTTATTGGGCATCTGCCCGGGAATCCGGGGTCCCTGACCGATTCAGTGGCAGCGGGTCTGGGACAGATTTCACTCTCACCATCAGCAGCCTGCAGGCTGAAGATCTGGCAGTTTATTACTGTCAGCAATATTATACTACTCCGTACACTTTTGGCCAGGGGACCAAGCTGGAGATGAAA</t>
  </si>
  <si>
    <t>CAGGTGCAGCTGGTGGAGTCTGGGGGAGGCGTGGTCCAGCCTGGGAGGTCCCTGAGACTCTCCTGTGCAGCCTCTGGATTCACTTTCAGTGATTATTCCTTCCACTGGGTCCGCCAGGCTCCAGGCAAGGGGCTGGAGTGGGTGGCAGTTATTTCATATGATGGCAGTAATAAATACTACGTAGACTCCGTGAAGGGCCGATTCACCATCTCCAGAGACAATTCCAAGAGGACGCTACATCTACAAATGAACAGCCTGAGAGCTGAGGACACGGCTGTGTATTACTGTGCGAGAGTTGGGATTTTTGGAATGATTGCGTACTACTTTGACTACTGGGGCCAGGGAACGCTGGTCACCGTCTCCTCA</t>
  </si>
  <si>
    <t>GAAATAGTGATGACGCAGTCTCCAGCCACCCTGTCTGTGTCTCCAGGGGAAAGAGCCACCCTCTCCTGCAGGGCCAGTCAGAGTGTTAGCAGCAACTTAGCCTGGTACCAGCAGAAACCTGGCCAGGCTCCCAGGCTCCTCATCTATGGTGCCTTTACCAGGGCCACTGGTATCCCAGCCAGGTTCAGTGGCAGTGGGTCTGGGACAGAGTTCACTCTCACCATCAGCAGCCTGCAGTCTGAAGATTTTGCAGTTTATTACTGTCAGCAGTATAATAACTGGCCTCCGTACACTTTTGGCCAGGGGACCAAGTTGGAGATCAAA</t>
  </si>
  <si>
    <t>CAGGTGCAGCTGGTGCAGTCTGGGGCTGAGGTGAAAAAGCCTGGGGCCTCAGTGAAGGTCTCCTGCAAGGCTTCTGGATACGCCTTCACCGGCTACTATATGCACTGGGTGCGACAGGCCCCTGGACAAGGGCTTGAGTGGATGGGATGGATCAACCCTAATAGTGGTGACACAAATTATGGCCAGAGTTTTCAGGGCAGGGTCACCATGACGAGGGACACGTCCCTCAGCACAGCCTACATGGAACTGCGCAGACTGAGATCTGACGACACGGCCGTATATTTTTGTGCGAGAGCAAATCACTATGAATACAGTGGTTATTTCGGCTGGTTCGACCCCTGGGGCCAGGGAACCCTGGTCATCGTCTCCCCA</t>
  </si>
  <si>
    <t>GACATCGTGATGACCCAGTCTCCAGACTCCCTGGCTGTGTCTCTGGGCGAGAGGGCCACCATCAACTGCAAGTCCAGCCGGACTGTTTTATACAGCTCCAACAAAAAGAGCTACTTAGCTTGGTACCAGCAGAAACCAGGTCAGCCTCCTAAACTGCTCATTTACTGGGCATCTACCCGGGAATCCGGGGTCCCTGACCGATTCAGAGGCAGCGGGTCTGGGACAGATTTCACTCTCACCATCAGCAGCCTGCAGGCTGAAGATGTGGCAGTTTATTACTGTCAGCAGTATTATACTACTCCGTACACTTTTGGCCAGGGGACCACGCTGGAGATCAAA</t>
  </si>
  <si>
    <t>CAGGTCCAGCTGGTGCAGTCTGGGGCTGAGGTGAAGAAGCCTGGGTCCTCGGTGAAGGTCTCCTGCAAGGCTTCTGGAGGCACCTTCAGCACCTCTGATATCAGCTGGGTGCGACAGGTCCCTGGACAAGGGCTTGAGTGGATGGGAAGGATCATCCCTATCTTTGGAACACCTAACTACGCACAGAAGTTCCAGGGCAGAGTCACGATTACCGCGGACAAATCCACGAGCACAGTCTACATGGAGCTGAGCAGCCTGAGATCTGAGGACACGGCCGTTTATTACTGTGCGAGAGAATTAGGAAGGGTGGGAATTACGGGGGACTACTGGGGCCAGGGAACCCTGGTCACCGTCTCCTCA</t>
  </si>
  <si>
    <t>GACATCCAGATGACCCAGTCTCCATCCTCACTGTCTGCATCTGTAGGAGACAGAGTCACCATCACTTGTCGGGCGAGTCAGGACATTAGCAATTATTTAGCCTGGTTTCAGCAGAAACCAGGGAGAGCCCCTAAGTCCCTGATCTATGCTGCATCCAGTTTGCAGAGTGGGGTCCCATCAAAGTTCAGCGGCAGTGGATCTGGGACAGATTTCACTCTCACCATCAGCAGCCTGCAGCCTGAAGATTTTGCAACTTATTACTGCCTACATTATAATAGTTACCCCCTCACTTTCGGCGGAGGGACCAAGGTGGAGATCA</t>
  </si>
  <si>
    <t>GAGGTGCAGCTGGTGGAGTCTGGGGGAGGCTTGGTACAGCCGGGGGGGTCCCTGAGACTCTCCTGTGCAGCCTCTGGATTCACCTTCAGTAGTTATAGCATAAACTGGGTCCGCCAGGCTCCAGGGAAGGGGCTGGAATGGGTTTCATATATCAGTAGTAGGAGTAGTGCCACAGGTTACGCAGACTCTGTGAAGGGCCGATTCACCGTCTCCAGAGACAATGCCAACAACTCACTGTATCTACAAATGAACAGCCTGAGAGCCGAGGACACGGCTGTCTATTACTGTGCGAGAGGCGAAGGAGATAGCACCTCGTTATACTACTACTATTACATGGACGTCTGGGGCAAAGGGACCACGGTCACCGTCTCCTCA</t>
  </si>
  <si>
    <t>GACATCCAGATGGCCCAGTCTCCAACCTCCCTGTCTGCATCTGTAGGAGACAGAGTCACCATCACATGCCGGGCAAGTCAAACCATTAGCAGCTTTTTAAATTGGTATCAGCAGAAACCAGGGAAAGCCCCTAACCTCCTAATCTATGCTGCATCCAGTTTGCAAAGTGGGGTCCCATCAAGGTTCAGTGGCAGTGGATCTGGGACAGATTTCACTCTCACCATCAGCAGTCTGCAACCTGAAGATTTTGCAACTTACTACTGTCAACAGAGTTACAATACCCCTGGGACGTTCGGCCAAGGGACCAAGGTGGAAATCAAA</t>
  </si>
  <si>
    <t>GAGGTGCAGCTGTTGGAGTCTGGGGGAGGCTTGGTGCAGCCTGGGGGGTCCCTGAGACTCTCCTGTGCAGCCTCTGGATTCCCCTTTAGTAGTTATGCCATGACTTGGGTCCGCCAGGCTCCAGGAAAGGGGCTGGAGTGGGTCTCAGTTATTGTTGGCAGTGGTGGTATCAAACACTACGCAGACTCCGTGAAGGGCCGGTTCACCATCTCCAGAGACAATTCCAAGAACACGATGTCTCTGCAAATGAACAGCCTGAGAGCCGACGACACGGCCGTATATTACTGTGCGGCCCCGGGCGAGTATTACGATTTTTGGAGTGGGTGGGCTCCCCTGGGCCACTGGGGCCAGGGAACGCTGGTCACCGTCTCCTCA</t>
  </si>
  <si>
    <t>GAAATTGTGTTGACGCAGTCTCCAGGCACCCTGTCTTTGTCTCCAGGGGAAAGAGCCGCCCTCTTCTGCAGGGCCAGTCAGACTGTTAGCACCAACTACTTAGCCTGGTACCAGCAGAAACCTGGCCAGGCTCCCAGGCTCCTCATCTATGGTGCATTCAACAGGGCCGCTGGCATCCCAGACAGGTTCAGTGGCAGTGGGTCTGGGACAGACTTCACTCTCACCATCAGCAGACTGGAGCCTGAGGATTTTGCAGTGTATTACTGTCAGCAGTATGGTAGCTCACCGTGGACGTTCGGCCAAGGGACCAAGGTGGAAATCAAA</t>
  </si>
  <si>
    <t>GAGGTGCAGCTGGTGGAGTCTGGGGGAGGCTTGGTCCAGCCTGGGGGGTCCCTGAGACTCTCCTGTGCAGCCTCTGGATTCAGCTTTAATGACTATTGGATGACCTGGGTCCGCCAGGGTCCAGGGAAGGGGCCGGAGTGGCTGGCCAACATAAACCAAGATGGAAGTGAGAAATACTATGTAGACTCTGTGAAGGGCCGATTCACCATCTCCAGAGACAACGCCAAGAATTCAGTGTATCTACAAATGGACAGCCTGAGAGCCGAGGACGCGGCTGTGTATTTTTGTGCGAGAGCTCCGGGGGACTCGACATCCTCCTTTTTTTACGACTACTATATGGACGTCTGGGGCAAAGGGATCATGGTCACCGTCTCCTCA</t>
  </si>
  <si>
    <t>GAAATAGTGATGACGCAGTCTCCAGCCACCCTGTCTGTGTCTCCAGGGGAAAGAGTCACCCTCTCCTGCAGGGCCAGTCAGGGTGTTAACAACAACTTGGCCTGGTACCAGCAGAAACCTGGCCAGGCTCCCAGACTCCTCATCTATGGTGCATCCACCAGGGCCACTGGTGTCCCAGCCAGGTTCAGTGGCACTGGGTCTGGGACAGAGTACACTCTCACCATCAGCAGCCTACAGTCTGAAGATTTTGCAGTTTATTTCTGTCAGCAGTATAATACCTGGCCTCCGCTCACTTTCGGCGGAGGGACCAAGGTGGAGATCAAA</t>
  </si>
  <si>
    <t>GAGGTGCAGCTGGTGGAGTCTGGGGGAGGCCTGGTCAAGCCTGGGGGGTCCCTGAGACTCTCCTGTGCAGCCTCTGGATTCACCTTCAGTAGTTATAGTTTGAACTGGGTCCGCCAGGCTCCAGGGAAGGGGCTGGAGTGGGTCTCATCCATTAGTACTCGTAGTAATTACATAAACTATGCAGACTCAGTGAAGGGCCGATTCACCATCTCCAGAGACAACGCCAAGAACTCACTGTATCTGCAAATGAATAGCCTGAGAGCCGAGGACACGGCTGTATATTACTGTGCGAGAGATCTCTATCATAGTAGTGGTTATTTGTTTATAAATGTTTTTGATGTCTGGGGCCAAGGGACAATGGTCAGCGTCTCTTCA</t>
  </si>
  <si>
    <t>GAAATAGTGATGACGCAGTCTCCAGCCACCCTGTCTGTGTCTCCAGGGGAAAGAGCCACCCTCTCCTGCAGGGCCAGTCAGAGTGTTAGCAGCAACTTAGCCTGGTACCAGCAGAAGCCTGGCCGGGCTCCCAGGCTCCTCATCTATGGTGCATCCACCAGGGCCACTGGTATCCCAGCCAGGTTCAGTGGCAGTGGGTCTGGGACAGAGTTCACTCTCACCATCAGCAGCCTGCAGTCTGAAGATTTTGCAGTTTATTACTGTCAGGAGTATAATAAGTGGCCTCCAGTCACTTTTGGCCAGGGGACCAAGCTGGAGATCAAA</t>
  </si>
  <si>
    <t>GCGGTGCAGCTGGTGGAGTCTGGGGGAGGCCTGGTCAAGCCTGGGGGGTCCCTGAGACTCTCCTGTGCAGCCTCTGGATTCACCTTCAGTACTTATAGCATGAACTGGGTCCGCCAGGCTCCAGGGAAGGGGCTGGAGTGGGTCTCGTCCATTAGTAGTAGTGGTCGTTACATATATTACGCAGACTCACTGAAGGGCCGATTCACCATCTCCAGAGACAACGCCAAGAACTCACTGTATCTGCAAATGAACAGCCTGAGAGCCGAGGACACGGCTGTGTATTACTGTGCGAGAGACTACTATCATAGTAGTGGTTATCTCTACTTTAATGCTTTTGATATCTGGGGCCAAGGGACAATGGTCACCGTCTCTTCA</t>
  </si>
  <si>
    <t>GAAATAGTGATGACGCAATCTCCAGCCACCCTGTCTGTGTCTCCAGGGGAAAGAGCCACCCTCTCCTGCAGGGCCAGTCAGAGTGTTAGCATCAACTTGGCCTGGTACCAGCAGAAACCTGGCCAGGCTCCCAGGCTCCTCATCTATGGTGCATCCACCAGGGCCACTGGTATCCCAGTCAGGTTCAGTGGCAGTGGGTCTGGGACAGAGTTCACTCTCACCATCAGCAGCCTGCAGTCTGAAGATTTTGCAATTTATTACTGTCAGCAGTATAATAACAGGCCTCCGTGGACGTTCGGCCAAGGGACCAAGGTGGAAATCAAA</t>
  </si>
  <si>
    <t>CAGGTGCAGCTGCAGGAGTCGGGCCCAGGACTGGTGAAGCCTTCGGAGACCCTATCCCTCACCTGCACTGTCTCTGGTGTCTTCGTCAAAAGTTACTACTGGACCTGGATCCGGCAGCCCCCAGGGAAGGGCCTGGAGTGCATTGGCTATATGTATTACAGTGCGATCCCCCACTACAACCCCTCCCTCCAGAATCGCGTCACCATATCAGTAGACACGTCCAAGAATCAGTTCTCCCTGAAGTTGACCTCTGTGACCGCTGCGGACACGGCCGTGTATTATTGTGCGAGAGTAGACTATGATTTTTGGAGTGGTTATTCCTCAAGTAACTGGTTCGACCCCTGGGGCCAGGGAATCCTGGTCACCGTCTCCTCA</t>
  </si>
  <si>
    <t>GACATCCAGATGACCCAGTCTCCATCCTCCCTGCCTGCATCTGTAGGAGACAGAGTCACCATCTCTTGTCGGGCAAGTCAGACCATTAGTAATTTTTTAAGTTGGTATCAGCAGAAACCAGGGAAAGCCCCTAAACTCCTGATCTATACTGCATCCAGTTTGGGAAGTGGGGTCCCATCAAGGTTCAGTGGCAGTGGATCTGGAACAGATTTCACTCTCACCATCAGTAGTCTGCAACCTGAAGATTTTGCAACTTACTACTGTCAACAGAGTTACAGTTCCCTCTACACTTTTGGCCAGGGGACCAAGGTGGTCATCAAA</t>
  </si>
  <si>
    <t>CAGCTGCAGCTGCAGGAGTCGGGCCCAGGACTGGTGAAGCCTTCGGAGACCCTGTCCCTCACCTGCACTCTCTCTGGTGGCTCCTTCAGCAGTCACTACTGGACCTGGATCCGGCAGCCCCCAGGGAAGGGGCTGGAGTGGATTGGCTATATCTCTTTCAGTGGGAGAACCAACTACAACCCCTCCCTCAAGAGTCGACTCACCCTCTCACTAAATACGCCCAAGAACCAGTTCTCCCTGAATCTGAACTCTGTGACCGCTGCGGACACGGCCGTCTATTTCTGTGCGAAAGAAAACGTGGGATCATCTACCCTTTTGGGCCCCTGGGACTACTACTTTGACTCCTGGGGCCAGGGAATCCCGGTCACCGTCTCCTCA</t>
  </si>
  <si>
    <t>GACATCCAGATGACCCAGTCTCCATCCTCCCTGTCTGCATCCGTAGGAGACAGAGTCACCCTCACTTGCCGGGCAAGTCGCAGCATTTCTAACTATCTAAATTGGTATCAGCAGAAACCAGGGAAAGCCCCTAAGCTCCTGATCTATGCTGCATCCAGTTTGCAAAGTGGGGTCCCACCAAGGTTCAGTGGCAGTGGGTCTGAGACAGAATTCATTCTCACCATCAGCAGTCTGCAACCTGAAGATTTTGCAACTTACTACTGTCAGCAGAGTTACAGAACGCCGTACACTTTTGGCCAGGGGACCAAGCTGGAGATCAAA</t>
  </si>
  <si>
    <t>CAGGTTCAGTTGGTGCAGTCTGGAGCTGAGGTGAAGAAGCCTGGGGCCTCAGTGAAGATCTCCTGTAAGGCTTCTGGTTACACCTTCAGCAGATATGGTATCAACTGGGTGCGACAGGCCCCTGGTCAGGGGCTTGTGTGGATGGGATGGATCAGCACTTACAATGGTAACACAAAATATGCACAGAAGTTCCAGGGCAGAGTCACCGTGACCACAGACACATCGACGACCACAGCCTATATGGAACTGAGGAACCTGAGATCTGACGACACGGCCGTTTACTACTGTGCGAGAGGCATTACTATGGTTCGGGGAGAGGACTGGTTCGACTCCTGGGGCCAGGGAACCCTGGTCACCGTCTCCTCA</t>
  </si>
  <si>
    <t>GAAATAGTGATGACGCAGTCTCCAGCCACCCTGTCTGTGTCTCCAGGGGAAAGAGCCACGCTCTCCTGCAGGGCCAGTCAGAGTATTAGCAGCAACTTAGCCTGGTACCAGCAGAAACCTGGCCAGCCTCCCAGGCTCCTCATCGATGGTGCATCCACCAGGGCCACTGGTATCCCAGCCAGGTTCAGTGGCAGTGGGTCTGGGACAGAGTTCAGTCTCACCATCAGCAGCCTGCAGTCTGAAGATTTTGCAGTTTATTACTGTCAGCAGTATAGTGGCTGGCCTCTCACTTTCGGCGGAGGGACCAAGGTGGAGATCAAA</t>
  </si>
  <si>
    <t>CAGGTGCAGCTGGTGCAGTCTGGGGCTGAGGTGAGGAAGCCTGGGGCCTCAGTGAAGGTCTCCTGTAAGGCTTCTGGATACACCTTCACCAGTTATCACATCAACTGGGTGCGACAGGCCACTGGACAAGGGCTTGAGTGGATGGGATGGATGGATCCTAACAGTGGTAACACAGGCTATGCACAGAAGTTCCAGGGCAGAGTTATTATGACCAGGAACACCTCCATAAGTACAGCCTACATGGAGCTGAGGAGCCTGAGATCTGAGGACACGGCCGTCTATTACTGTGCGAGAGGATTCGGGGACTTCTACTTCTACGGTATGGACGTCTGGGGCCAAGGGACCACGGTCACCGTCTCCTCA</t>
  </si>
  <si>
    <t>GACATCCAGATGACCCAGTCTCCATCTTCCGTGTCTGCATCTGTAGGAGACAGAGTCACCATCACTTGTCGGGCGAGTCAGGGTATTAGCAGCTGGTTAGCCTGGTATCAGCAGAAACCAGGGAAAGCCCCTAAGCTCCTGATCTATGCTGCATCCAGTTTGCAAAGTGGGGTCCCATCACGGTTCAGCGGCAGTGGATCTGGGACAGATTTCACTCTCACCATCAGCAGCCTGCAGCCTGAAGATTTTGCAACTTACTATTGTCAACAGGCTCACAGTTTCCCCTGGACGTTCGGCCAAGGGACCAAGGTGGAAATCAAA</t>
  </si>
  <si>
    <t>GAAGTGCAGCTGGTGGAGTCAGGGGGAGCCGTGGTACAGCCTGGGGGGTCCCTGAGACTCTCCTGTGCAGCCTCTGGATTCACCTTTGATGATTATACCATGTACTGGGTCCGTCAAGGTCCTGGGAAGGGTCTGGAGTGGGTCTCTCTTATTAATTGGGATGGTGGTAGCAAATACTATGCAGACTCTGTGAAGGGCCGATTCACCGTCTCCAGAGACAACAGCAGAAACTCCCTGTATCTTCAAATGAACAGTCTGAGAATTGAGGACACCGCCTTTTATTATTGTGCAAGAGATATTCAGGGGGGCGCTTTTTGGCGTGGTTCTCCATCCTTGTGGGGCCAGGGAACACTGGTCACCGTCTCCTCA</t>
  </si>
  <si>
    <t>GACATCCAGATGACCCAGTCTCCATCCTCCCTGTCTGCATCTGTAGGAGACAGAGTCACCATCACTTGCCGGGCAAGTCAGAGCATTAGGATAGATTTAAATTGGTATCAGCAGAAACCAGGGAAAGCCCCTAAGCTCCTGATCTACGCTGCATCCAGTTTGCAAAGTGGAGTCCCATCAAGGTTCAGTGGCAGCGGATCTGGGACCGATTTCACTCTCACCATCCTCAGTCTGCAACCTGAAGATTTTGCAACTTACTATTGTCAACAGAGTTACAGTATCCCGTACACTTTTGGCCAGGGGACCAAGCTGGAGATCAAA</t>
  </si>
  <si>
    <t>CAGGTTCAGTTGGTGCAGTCTGGAGCTGAGGTGAAGAAGCCTGGGGCCTCAGTGAAGGTCTCCTGCAAGACTTCTGGTTACACCTTTACCAGATATGGTATCGCCTGGGTGCGACAGGCCCCTGGACAAGGGCTTGAGTGGATGGGATGGATCACCCCTTACAATGGTAATACACACTATATACAGAAACTCCAGGGCAGAGTCACCATGACCACAGACACATCCACGACCACAGCCTACATGGAGCTGAGGAGCCTGAGATCTGACGACACGGCCTTTTATTACTGTGCGAGAGGCATTACTATGGTTCGGGGAGAGGACTGGTTCGACCCCTGGGGCCAGGGAACCCTGGTCACCGTCTCCTCA</t>
  </si>
  <si>
    <t>GAGATAGTGATGACGCAGTCTCCAGCCACCCTGTCTGTGTCTCCAGGGGAAAGAGCCACCCTCTCCTGCAGGGCCAGTCAGAGTGTTAGCAGCAACTTAGCCTGGTACCAACAGAAACCTGGCCAGGCTCCCAGGCTCCTCTTCTCTGGTGCATCCACCAGGGCCACTGGTATCCCAGCCAGGTTCAGTGGCAGTGGGTCTGGGACAGAGTTCACTCTCACCATCAGCAGCCTGCAGTCTGAAGATTTTGCAGTTTATTACTGTCAGCAGTATAATAACTGGCCTCTCACTTTCGGCGGAGGGACCAAGGTGGAGATCAAA</t>
  </si>
  <si>
    <t>GAGGTGCAGCTGGTGGAGTCTGGGGGAGACTTGGTCCAGCCTGGGGGGTCCCTGAGACTCTCCTGTGAAGCCTCTGGATTCACCTTTAGTACCTATTGGATGACCTGGGTCCGCCAGGCTCCAGGGAAGGGGCTGGAGTGGGTGGCCAATATAAAGGAAGATGGAAGTGAGAAATACTATTTGGACTCTGTGAAGGGCCGATTCACCATCTCCAGAGACAACGCCAAGAACTCACTGTATCTGCAAATGAACGGCCTGAGAGTCGAGGACACGGCTGTCTATTACTGTGCGAGAGGGGACGAGTATGACAGTTCGTCCCTCTTCTACCACTACTACATGGACGTCTGGGGCAAAGGGACCACGGTCACCGTCTCCTCA</t>
  </si>
  <si>
    <t>GAAATAGTGATGACGCAGTCTCCAGCCACCCTGTCTGTGTCTCCAGGGGAAAGAGCCACCCTCTCCTGCAGGGCCAGTCAGAGTGTTAGCACCAACTTAGCCTGGTATCAGCAGAAACCTGGCCAGGCTCCCAGGCTCCTCATCTATGGTGCATCCACCAGGGCCACTGGTATCCCAGCCAGGTTCAGTGGCAGTGGGTCTGGGACAGAGTTCACTCTCACCATCAGCAGCCTGCAGTCTGAAGATTCTGCAGTTTATCACTGTCAGCAGTATGAAAACTGGCGGCCGCTCTCTTTCGGCGGAGGGACCAAGGTGGAGATCAAA</t>
  </si>
  <si>
    <t>GAAGAGCAGCTGGTGGAGTCTGGGGGAGTCGTGGTACAGCCTGGGGGGTCCCTGAGACTCTCCTGTGCAGCCTCTGGATTCACGTTTGATGATTATAGCATGTACTGGGTCCGTCAACCTCCGGGAAAGGGTCTGGAGTGGGTCTCTCTCATTAATTGGGATGGTGGTAGCGCATACTATGCAGACTCTGTGAAGGGCCGATTCACCATCTCCAGAGACAACAGCGAAAACTCCCTGTATCTTCAAATGAACAGTCTGAGAATTGAGGACACCGCCTTATATTTCTGTGCAAAAGATATCCAGGGGGGCGCTTTTTGGCGTGGTTCTCCATCCTTGTGGGGCCAGGGAACGCTGGTCACCGTCTCCTCA</t>
  </si>
  <si>
    <t>GACATCCAGATGACCCAGTCTCCATCCTCCCTGTCTGCGTCTGTAGGAGACAGAGTCACCATCACTTGCCGGGCAAGTCAGCGCATTACCATAGATTTAAATTGGTATCAGCAGAAACCAGGGAAAGCCCCTAAGCTCCTGATCTATTCTGCATCCAGTTTGCAAAGTGGGGTCCCATCAAGGTTCAGTGGCAGCGGATCTGGGACAGATTTCACTCTCACCATCAGCAGTCTGCAACCTGAAGATTTTGCAACTTACTATTGTCAACAGAGTTACAGTATCCCGTACACTTTTGGCCAGGGGACCAAGCTGGAGATCAAA</t>
  </si>
  <si>
    <t>CAGGTGCATCTGGTGCAGTCTGGGGCTGAGGTGAAAAAGCCTGGGGCCTCAGTGAAGGTCTCCTGCAAGGCTTCTGGATACAGGTTCATCGGCTACTATATGCACTGGGTGCGACAGGCCCCTGGACAAGGGCCTGAGTGGATGGGATGGCTCAACCCTAATAGTGGTGACACAAACTATGCCCAGAACTTTCAGGGCAGGGTCACCATGACCAGGGACACGTCCATCAGTACAGCCTACATGGAGCTGCGCGGGCTTAGATCTGACGACACGGCCGTGTATTACTGTGCGAGAGTCAATAACTATGATTATAGTGGTTATTTCGGCTGGTTCGACCCCTGGGGCCAGGGAACCCTGGTCACCGTCTCCTCA</t>
  </si>
  <si>
    <t>GACATCGTGATGACCCAGTCTCCAGACTCCCTGGCTGTGTCTCTGGGCGAGAGGGCCACCATCAACTGCAAGTCCAGCCAGAGTGTTTTATACAGCTCCAACAATAAGAACTACTTAGCTTGGTACCAGCAAAAACCAGGACAGCCTCCTAAGGTGCTCATTTACTGGGCATCTACCCGGGAATCCGGGGTCCCTGACCGATTCAGTGGCAGCGGGTCTGGGACAGATTTCACTCTCACCATCAGCAGCCTGCAGGCTGAAGATGTGGCAGTTTATTACTGTCAGCAATATTATACTACTCCGTACACTTTTGGCCAGGGGACCAAGCTGGAGATCAAA</t>
  </si>
  <si>
    <t>CAGGTGCAGCTGGTGCAGTCTGGGGCTGAGGTGAAAAAGCCTGGGGCCTCAGTGAAGGTCTCCTGTAAGGCTTCTGGATATAGGTTCATCGGCTACTATATGCACTGGGTGCGACAGGCCCCTGGACAAGGGCTTGAGTGGATGGGATGGATCAACCCTAACAGTGGTGGCACAAACTATGCACAGAAGTTTCAGGGCAGGGTCACCATGACCAGGGACACGTCCATCAGCACAGCCTACATGGAGCTGAGCAGGCTGAGATCTGACGACACGGCCGTATATTACTGTGCGAGAGTAAATAAGGATGATTATAGTGGTTATTTCGGCTGGTTCGACCCCTGGGGCCAGGGAACCCTGGTCACCGTCTCCTCA</t>
  </si>
  <si>
    <t>GACATCGTGATGACCCAGTCGCCAGACTCCCTGGCTGTGTCTCTGGGCGAGAGGGCCACCATCAACTGCAAGTCCAGCCAGAGTGTTTTATACAGCTCCAACAATAAGAACTACTTAGCTTGGTACCAGCAGAAACCAGGACAGCCTCCTAAGCTGCTCATTTACTGGGCATCTACCCGGGAATCCGGGGTCCCTGACCGATTCAGTGGCAGCGGGTCTGGGACAGATTTCACTCTCACCATCAGCAGCCTGCAGGCTGAAGATGTGGCAGTTTATTACTGTCAGCAATATTATACTACTCCGTACACTTTTGGCCAGGGGACCAAGCTGGAGATCAAA</t>
  </si>
  <si>
    <t>CAGGTTCAGGTGGTGCAGTCTGGAGCTGAGGTGAAGAAGCCTGGGGCCTCAGTGAGGGTCTCCTGCAAGGCTTCTGGTTACAGCTTTACTAGATATGGTATCAGTTGGGTGCGACAGGCCCCTGGACAGGGGCTTGAGTGGATGGGATGGATCAGCGGTCACAATGGCGACACAAAGTATGCACAGAAGTTCCAGGGCAGAGTGACCATGACCACAGACACATCCACGGCCACAGTCCACATGGAGCTGAGAAGCCTCAGCTCTGACGACACGGCCGTGTATTATTGTGCGAGAAACTTTGGTATGGTGAAACCGGCCTACCTAGACTACTGGGGCCAGGGAACGCTGGTCACCGTCTCCTCA</t>
  </si>
  <si>
    <t>CAAATTGTGTTGACGCAGTCTCCAGGCACCCTGTCTTTGTCTCCAGGGGAAAGAGCCGCCCTCTCCTGCAGGGCCAGTCAGAGTGTTAGCAGCGCCTTCCTAGCCTGGTACCAGCAGAGACCTGGCCAGGCTCCCAGGCTCCTCATCTATGGTTCATCCATCAGGGCCACTGGCATCCCAGACAGGTTCAGTGGCAGTGGGTCTGGGACAGACTTCACTCTCATTATCAACAGACTGGAGCCTGAAGATGTCGGAGTGTATTACTGTCAGCAGTATGGGACGTCACCGGAGTGGGCCTTCGGCCAAGGGACCAAGGTGGAAATCAAA</t>
  </si>
  <si>
    <t>CAGCTGCAACTGCAGGAGTCGGGCCCAGGACTGGTGAAGCCTTCGGAGACCCTGTCCCTCACCTGCAGTGTCTCTGGTGACTCCATCACCAGTGGTAGTAACTACTGGGCCTGGATCCGCCAGCCCCCCGGGAAGGGGCTGGAGTGGATTGGGGGTATATATGATAGTGGGAACACCTACTACAATCCGTCCCTCAAGAGTCGAGTCACCGTATCTGTTGACACGTCCAAGAACCAATTCTCCCTGAAGCTGACGTCTGTGACCGCCGCGGACACGGCCGTGTATTACTGTGGAAGAGTCCCACATACTAATGATATGTTCTTCGAAAACTGGTTCGACCCCTGGGGCCAGGGAACCCTGGTCACCGTCTCCTCA</t>
  </si>
  <si>
    <t>GACATCCAGATGACCCAGTCTCCATCTTCCGTGTCTGCATCTGTTGGAGACAGAGTCACCATCACTTGTCGGGCGAGTCAGGATGTTAGCATCTGGTTAGCCTGGTATCAGCAGAAACCAGGGAAAGCCCCTGAGCTCCTGATCTCTGCCGCGTCCACTTTGCAAACTGGAGTCCCATCAAGGTTCAGCGGCAGTGGATCTGGGACTGAATTCAGTCTCGCCATCAGCAGCCTGCAGCCTGAAGATTTTGCAACTTACTATTGTCAACAGGGTCACAGTTTCCCTCCCACCTTCGGCCAAGGGACACGACTGGAGATTAAA</t>
  </si>
  <si>
    <t>GAAGTGCAGCTGGTGGAGTCTGGGGGAGTCGTGGTACAGCCTGGGGGGTCCCTGAGACTCTCCTGTGCAGCCTCTGGATTTATCTTTGATGATTATACCATGCACTGGGTCCGTCAAGCTCCGGGGAAGGGTCTGGAGTGGGTCTCTCTTATTAGTTGGGATGGTGAGAACACATATTATGGAGACTCTGTGAAGGGCCGATTCACCATCTCCAGAGACAACAGCAAAAACTCCCTGTATCTGCAAATGAACAGTCTGACAACTGAGGACACCGCCATGTATTACTGTGCAAAAGATAACCTAGGCGGCGCTTTTTGGAGTGCTTATCTTGACTCCTGGGGCCAGGGAACCCTGGTCACCGTCTCCTCAG</t>
  </si>
  <si>
    <t>GACATCCAGATGACCCAGTCTCCATCGTCCCTGTCTGCATCTGTAGGAGACAGAGTCACCATCACTTGCCGGGCAAGTCAGAGCATTAGCGCCCGTTTAAGTTGGTATCAGCAGAAACCAGGGAAAGCCCCTAAGCTCCTGATCTCTGCTTCATCCAGTTTACAAAGTGCGGTCCCATCAAGGGTCAGTGGCAGTGGATCTGGGACAGAGTTCACTCTCACCATCAGCAGTCTGCAACCTGAAGATTTTGCAACTTACTACTGTCAACAGACTTACAGTGTCCCGTATACTTTTGGCCAGGGGACCAAGCTGGAGATCAAA</t>
  </si>
  <si>
    <t>CAGACTCAGCTGGTGCAGTCTGGAGCTGAGGTGAAGAAGCCTGGGGCCTCAGTGAAGGTCTCCTGCAAGGCTTCTGGTTACAGTTTCACCAAGTATGGTATCGCCTGGGTGCGACAGGCCCCTGGACAAGGGCTTGAGTGGATGGGATGGATCAGCGGTTACAATGGTGACACCAAGTATTCACAGAAGGTCCAGGGCAGAGTCACCATGACCACAGACACATCCACGAACACAGCCTACATGGAGCTGAGGAGCCTGAGATCTGACGACACGGCCGTGTATTACTGTGCGAGAGGGATTACTATGGTTCGGGGACTTGACTGGTTCGACTCCTGGGGCCAGGGAACCCTGGTCACCGTCTCCTCA</t>
  </si>
  <si>
    <t>GAAATAGTGATGACGCAGTCTCCTGCCACCCTGTCTGTGTCTCCAGGGGAAAGAGCCACCCTCTCCTGCAGGGCCAGTCAGAGTATTAGCAGCAACTTAGCCTGGTACCAGCAGAGACCTGGCCAGGCTCCCAGGCTCCTCATCTCTGGTGCATCCATCAGGGCCACTGGTATCCCAGCCAGGTTCAGTGGCAGTGGGTCTGGGACAGAGTTCACTCTCACCATCAGCAGCCTGCAGTCTGAAGATTTTGCAGTTTATTACTGTCAGCAGTATAATAACTGGCCGCTCACTTTCGGCGGAGGGACCAAGGTGGAGATCAAA</t>
  </si>
  <si>
    <t>CAGGTTCAGCTGGTGCAGTCTGGAGCTGAGGTGAAGAAGCCTGCGGCCTCAGTGAAGGTCTCCTGCAAGGCTTCTGGTTACACCTTTACCAACTTTGGTATCAACTGGGTGCGACAGGCCCCTGGACAAGGGCTTGAGTGGATGGGAAGGATCAGCGCTTACAATGGTGACACAAACTATGCACAGAAACTCCAGGGCAGAGTCACCATGACCACAGACACATCCACGAGCACAGCCTACATGGAGCTGAGGAGCCTGAGATCTGACGACACGGCCGTGTATTACTGTGCGAGAGATCGGGGGATGGTATATGCCTACTACCTTGACTACTGGGGCCGGGGAACCCTGGTCACCGTCTCCTCA</t>
  </si>
  <si>
    <t>GAAATTGTGTTGACGCAGTCTCCAGGCACCCTGTCTTTGTCTCCAGGGGAAAGAGCCACCCTCTCCTGCAGGGCCAGTCAGAGTGTTAGGAGCAACTACTTGGCCTGGTACCAGCAGAAACCTGGCCAGGCTCCCAGGCTCCTCATCTATGGTGCATCCAGCAGGGCCACTGGCATCCCAGACAGGTTCAGTGGCAGTGGGTCTGGGACAGACTTCGCTCTCTCCATCAGCAGACTGGACCCTGAAGATTTTGCAGTGTATTACTGTCAGCAGTATGGTAGCTCACCTCCATTCACTTTCGGCCCTGGGACCAAAGTGGATCTCAAA</t>
  </si>
  <si>
    <t>GAAGTCCAGCTGGTGGAGTCTGGGGGAGGCGTGGTACAGCCTGGGGGGTCCCTGAGACTCTCCTGTGCAGCCTCTGGATTCAGCTTTGATGATTACACCATGCACTGGGTCCGTCAAGTTCCGGGGAAGGGTCTGGAGTGGGTCTCTCTTATTAGTTGGGATGGTGGTAGTCCACACTATGCAGACTCTGTGAAGGGCCGATTCACCGTCTCCAGAGACAACAGCAAGAACTCCCTATATCTGCAAATGAACAGTCTGAGAACTGAGGACACCGCCTTGTATTTCTGTGCAAAAGAAATAGTGAGCAGCTCGGCACTCTTCTACAACGGTATGGACGTCTGGGGCCAAGGGACCACGGTCACCGTCTCCTCA</t>
  </si>
  <si>
    <t>GACATCCAGATGACCCAGTCTCCATCTTCCGTGTCTGCATCTGTTGGAGACAGAGTCACCATCACTTGTCGGGCGAGTCAGGGTATTAGCAGCTGGTTAGCCTGGTATCAGCAGAAACCAGGGAAAGCCCCTAGGCTTCTGATCTATGCTACATCCACTTTGCAAAGTGGGGTCCCATCAAGGTTCCGCGGCAGTGGTTCTGGGACAGATTTCACTCTCACCATCAACAGCCTGCAGCCTGAAGATTTCGCAATTTACTATTGTCAACAGGCTCACAGTTTCCCCTGGACGTTCGGTCAGGGGACCAAGGTGGACATCAAA</t>
  </si>
  <si>
    <t>GAGGTGCAGCTGGTGGAGTCTGGGGGAGACTTGGTCCAGCCTGGGGGGTCCCTGAGACTCTCCTGTGCAGCCTCTGGATTCACCTTCAGTAGCTATAGCATGAACTGGGTCCGCCAGGCGCCAGGGAAGGGGCCGGAGTGGGTTTCTTACATTACTAGCGGGAGTAGAGCCATATATTATGCAGACTCTGTGAAGGGCCGATTCACCATCTCCAGAGACAATGCCAAGAACTCATTGTATCTGCAAATGGACAGCCTGAGAGCCGAGGACACGGCTGTATATTACTGCGCGAGAGGTTTTGGGGATCAGGACGTCGTCTACTCCTACTACTACATGGACGTCTGGGGCAAAGGGACCACGGTCACCGTCTCCTCA</t>
  </si>
  <si>
    <t>GACATCCAGATGACCCAGTCTCCATCCTCCCTGTCTGCATCTGTAGGAGACACAGTCACCATCACTTGCCGGGCAAGTCGGAGCGTTAGCAGGTTTTTAAATTGGTATCAGCAGAAACCAGGGAAAGCCCCTAAGGTCCTGATCTACGCTGCATCCACTTTGCAAAGTGGGCTGCCATCAAGGTTCAGTGGCGGTGGATCTGAGACAGATTTCACTCTCACCATCAATAGTCTGCAAGCTGAAGATTCTGCAACTTACTACTGTCAACAGACTTACACTTCCCCGTGGACGTTCGGCCGAGGGACCAAGGTGGAAGTCAAA</t>
  </si>
  <si>
    <t>CAGGTCCAGCTGGTGCAGTCTGGGGCTGAGGTGAAGAAGCCTGGGTCCTCGGTGAAGGTCTCCTGCAAGGCTTCTGGAGGCACCTTCAGCACCTTTGATATCAACTGGGTGCGACAGGCCCCTGGACAAGGGCTTGAGTGGATGGGAAGGATCATCCCTCTCATTGGAACACCAAACTACGCACGGAAGTTCCAGGACAGACTCACGATTACCGCGGACAAATCCTCGACCACAGCCTACATGGAGCTGAGCAGCCTGAGATCTGAGGACACGGCCCTTTATTATTGTGCGAGAGAATTAGGAAGGGTGGCAACTGCGGGGGACTTGTGGGGCCAGGGAACCCTGGTCACCGTCTCCTCAG</t>
  </si>
  <si>
    <t>GACATCCAGATGACCCAGTCTCCTTCCTCACTGTCTGCATCTGTTGGAGACAGAGTCACCATCACTTGTCGGGCGAGTCAGGGCATTAGTAATTATTTAGCCTGGTTTCAGCAGCAACCAGGGAAAGCCCCTAAGTCCCTGATCTATGCTGCATCCAGTTTGCAGAGTGGGGTCCCATCAAAGTTCAGCGGCAGTGGCTCTGGGACAGATTTTACTCTCACCATCAGCAGCCTGCAGCCTGAAGATTTTGCAACTTATTACTGCCTCCAGTACAATAGTTACCCCCTCACTTTCGGCGGAGGGACCAAGGTGGAGATCAAA</t>
  </si>
  <si>
    <t>CAGGTGCAGCTGGTGCAGTCTGGGGCTGAGGTGAAGAAGCCTGGGGCCTCAGTGAAGGTCTCCTGCAAGGCCTCTGGATACAGGTTTACCGGCTACTATCTGTACTGGGTGCGACAGGCCCCTGGACAAGGGCCTGAGTGGATGGGATGGATTAACCCTAACAGTGGTGGCACAAAGTATGCACAGACATTTCACGGCAGGGTCACCATGACCAGGGACACGTCTATCAGCACAGCCTACCTGGAACTGAGTGGGCTGAGATCTGACGACACGGCCGTGTATTATTGTGCGAGAGATTACCAACGGGGAATTGTGACCCTCGGCGATGCTTTTGATATCTGGGGCCGAGGGACAATGGTCACCGTCTCTTCAG</t>
  </si>
  <si>
    <t>CAGTCTGCCCTGACTCAGCCTCCCTCCGCGTCCGGGTCTCCTGGACAGTCAGTCACCATCTCCTGCACTGGAACCAGCGGTGACGTTGGTGCTTATAACTATGTCTCCTGGTACCAACACCACCCAGGCAAAGCCCCCAAACTCATGATTTATGAAGTCAATAAGCGGCCCTCAGGAGTCCCTGATCGCTTCTCTGGCTCCAAGTCTGACAACACGGCCTCCCTGACCGTCTCTGGGCTCCAGCCTGAGGATGAGGCTCATTATTACTGCAGCTCATATGCAGGCGTCAGCGATTTGGTCTTCGGCGGAGGGACCAAGTTGACCGTCCTAG</t>
  </si>
  <si>
    <t>CAGGTCCAGCTGATGCAGTCTGGGGCTGAGGTGAAGAGGCCTGGGTCCTCGGTGAAGGTCTCTTGCAAGACTTCTGGAGGCACCTTCAGCAGATTTTCCATCAACTGGGTGCGACAGGCCCCTGGACAAGGGCTTGAGTGGATGGGAAGGATCATCCCAACCCTTAAAATGCTAAACCACGCACAGAAATTTCAGGGCAGACTCACGATCACCGCGGACGAATCCACGAGGACAGCCTTCATGGAGTTGAGCAGCCTGAGATCTGAGGACACGGCCATCTATTTCTGTGCGCTAGAGATGGGCACAATTGACGACAACTGGGGCCAGGGAACGCTGGTCACCGTCTCCTCA</t>
  </si>
  <si>
    <t>GACATCCAGATGACCCAGTCTCCATCCTCACTGTCTGCATCTGTAAGAGACAGAGTCACCATCACTTGTCGGGCGAGTCAGGACATTAGCAATTATTTGGCCTGGTTTCAGCAGAAACCAGGGAAAGCCCCTAAGTCCCTGATCTATGCTGCATCCCGTTTGAAAAGTGGGGTCCCATCAAAGTTCAGCGGCAGTGGATCTGGGACAGATTTCACTCTCACCATCAGCAACCTGCAGCCTGAAGATGTTGCAACTTATTACTGCCAACAGTATAATAGTTACCCTCTCACTTTCGGCGGAGGGACCAAGGTGGAGATCAAA</t>
  </si>
  <si>
    <t>GCGGTGCAGCTGGTGGAGTCGGGGGGAGGCCTGGTCAAGCCTGGGGGGTCCCTGAGACTCTCCTGTGCAGCCTCTGGATTCACCTTCAGTACCTATAGCATGAACTGGGTCCGCCAGGCTCCAGGGAAGGGGCTGGAGTGGGTCTCGTCAATTAGTAGTAGTGGTCGTTACATATATTACGCAGACTCACTGAAGGGCCGATTCACCATCTCCAGAGACAACGCCAAGAACTCACTGTATCTGCAAATGAACAGCCTGAGAGCCGAGGACACGGCTGTGTATTACTGTGCGAGAGACTACTATCATAGTAGTGGTTATCTCTACTTTAATGCTTTTGATATCTGGGGCCAAGGGACAATGGTCACCGTCTCTTCA</t>
  </si>
  <si>
    <t>GAAATAGTGATGACGCAGTCTCCAGCCACCCTGTCTGTGTCTCCAGGGGAAAGAGCCACCCTCTCCTGCAGGGCCAGTCAGAGTGTTAGCATCAACTTGGCCTGGTATCAGCAGAAACCTGGCCAGGCTCCCAGGCTCCTCATGTATGGTGCATCCACCAGGGCCACTGGTATCCCAGTCAGGTTCAGTGGCAGTGGGTCTGGGACAGAGTTCACTCTCACCATCAGCAGCCTGCAGTCTGAAGATTTTGCAATTTATTACTGTCAGCAATATAATAACAGGCCTCCGTGGACGTTCGGCCAAGGGACCAAGGTGGAAATCAAA</t>
  </si>
  <si>
    <t>CAGGTGCACCTGCAGGAGTCGGGCCCAGGACTGGTGAAGCCTTCGGAGACCCTGTCCCTCACCTGCACTGTCTCTGGTGGCTCCCTCAGCACTTACTACTGGGCCTGGGTCCGGCAGCCCCCAGGGAAGGGACTGGAATGGATTGGCTATATCTATTATAGTGGGGGCAGCGGCTACAATCCCTCCCTCAAGAGTCGAGTCACCATGTCAGTGGACACATCGAAGAACCTGTTGTCCCTGAAGTTGACCTCTGTGACCGCTGCAGACACGGCCGTCTATTACTGTGCGAGAGACCCCCGGGGATATGATGGCCGCTCTTACTACCACTATGGGATGGACGTCTGGGGCCAAGGGACCACGGTCACCGTCTCCTCA</t>
  </si>
  <si>
    <t>TCCTATGATCTGACTCAGCCACCCTCAGTGTCCGTCTCCCCAGGACAGACAGCCATCATTACCTGCTCTGGACATAAATTGGGGGATGAATATGTTTCCTGGTATCAGCAGAGGTCAGGCCAGTCCCCTGTTTTGGTCATCTCTCGAGATAACAAACGGCCCTCAGGGATCCCTGGGCGATTTTCTGGCTCCAACTCCGGGAACACAGCCACTCTGACCATCAGCGGGACCCAGACTGTGGATGAGGCTGACTATTACTGTCAGGCGTGGGTCGATAACGGTGCGGTTTTCGGCGGAGGGACCAAGCTGACCGTCCTA</t>
  </si>
  <si>
    <t>GCGGTGCAGTTGGTGGAGTCTGGGGGAGGCTTGGTACAGCCTGGGGGGTCCCTGAGACTCTCCTGTGCAGCCTCTGGATTCACCCTCAGTAGGTACGAAATGCACTGGGTCCGCCAAGCTACAGGAAAAGGTCTGGAGTGGGTCTCAGCTATTGGTACTGCTGGTGACACATACTATCCAGGCTCCGTGAAGGGCCGATTCACCACCTCCAGAGAAAATGCCAAGAACTCCTTGTATCTTCAAATGAACAGCCTGAGAGCCGGGGACACGGCTGTGTATTTCTGTGCAAGAGGTCACCAGCTCGCCTTTGACTACTGGGGCCAGGGAACGCTGGTCACCGTCTCCTCA</t>
  </si>
  <si>
    <t>GAAATTGTGTTGACGCAGTCTCCAGGCACCCTGTCTTTGTCTCCAGGGGAAAGAGCCACCCTCTCCTGCAGGGCCAGTCAGCGTGTTACCAGCAGCTTCTTAGCCTGGTATCAGCAGAAACCTGGCCAGCCTCCCAGGCTCCTCATCTATGGTGCATCCAGCAGGGCCGCTGGCATCCCAGACAGGTTCAGTGGCAGTGGGTCTGGGACAGACTTCACTCTCACCATCAGCAGACTGGAGCCTGAAGATTTTGCAGTGTATTACTGTCAGCAGTATCGTAGCTCACTCTGGACGTTCGGCCAAGGGACCAAGGTGGAAATCAAA</t>
  </si>
  <si>
    <t>GAGGTGCAGCTGGTGGAGTCTGGGGGAGGCTTGGTACAGCCTGGGGGGTCCCTGAGACTCTCCTGTGTAGCCTCTGGATTCACCTTCAAGTGGTACGACATGCACTGGGTCCGCCAAACTGAAGGAAAAGGTCTGGAGTGGGTCTCGGCTATTGGTGCTGCTGGTGACACATACTATGCAGAGTCCGTGAAGGGCCGATTCACCATCTCCAGAGAAAATGCCAAGAACTCCTTGTATCTTCAAGTGAACAGCCTGAGAGGCGGGGACACGGCTGTGTACTACTGTGCAAGAGCGATTCTAGGAGCGATCGCTTTTGATGTCTGGGGCCAAGGGACAATGGTCACCGTCTCTTCA</t>
  </si>
  <si>
    <t>GAAATTGTGTTGGCGCAGTCTCCAGGCACCCTGTCTTTGTCTCCAGGGGAAAGAGCCACCCTCTCCTGCAGGGCCAGTCAGAGTGTTAGCAGCACCTCCTTAGCCTGGTACCAGCAGAAACCTGGCCAGGCTCCCAGGCTCCTCATCTATGATGCATCCAACAGGGCCACTGGCATCCCAGACAGGTTCAGTGGCAGTGGGTCTGGGACAGACTTCACTCTCACCATCAGCAGACTGGAGCCTGACGATTTTGCAGTGTATTTCTGTCAGCAGTATGGTACCTCACCGCTCACTTTCGGCGGGGGGACCAAGGTGGAGATCAAA</t>
  </si>
  <si>
    <t>GAGATACAACTGGTGGAGTCTGGGGGAGGCTTGGTCCAGCCTGGGGGGTCCCTGAGACTCTCCTGTACAGCCTCTGGATTCACCTTTAGTAACTATTGGATGACCTGGGTCCGCCAGGCTCCAGGGAAGGGGCTGGAGTGGGTGGCCAACATAAAGGAAGATGGAAGTGAGAAATACTATGTGGACTCTGTGAAGGGCCGATTCACCATCTCCAGAGACAACGCCAAGAACTCACTCTTTCTGCAAATGAACAGCCTGAGAGCCGAGGAGACGGCTGTGTATTACTGTGCGAGAGGCCCCCTTATGTGCAGTGACTGCCTCCTCTACTTCTACTACATGGACGTCTGGGGCAAAGGGACCACGGTCAGCGTCTCCTCA</t>
  </si>
  <si>
    <t>GAAATAGTAATGACGCAGTCTCCAGCCAGCCTGTCTGTGTCTCCAGGGGAAAGAGCCACCCTCTCCTGCAGGGCCAGTCAGAGTATTAGCACCAACTTAGCCTGGTACCAGCTGAAACCTGGCCAGGCTCCCAGGCTCCTCATCTATGGTGTATCTACCAGGGCCACTGGTATCCCAGCCAGGTTCAGTGGCAGTGGTTCTGGGGCAGAGTTCACTCTCACCATCAGCAGCCTGCAGTCTGAAGATATTGCAGTTTATTACTGTCAGCAGTATGATCAGTGGACTCCGCTCACTTTCGGCGGAGGGACCAAGGTGGAGATCAAA</t>
  </si>
  <si>
    <t>CAGGTTCAGCTGGTGCAGTCTGGACCTGAGGTGAAGAAGCCTGGGGCCTCAGTGAAGGTCTCCTGCAAGACTTCTGGTTTCACCTTTACGAGGTATGGTATCAGCTGGGTGCGACAGGCCCCTGGACAAGGACTTGAGTGGATGGGATGGATCTCCGGTTACAACGGTAAGACAGACTATGCACAGAAGTTCCAGGGCAGAGTCACCTTGAGCACAGAGACATCCTCGAGCACAGCCCACATGGAGCTGAGGGGCCTGAGATCTGACGACACGGCCGTCTATTGGTGTGCGAGAGTTATCAGTATGGTATTTGTGGGTCCGTCTGACTACTGGGGCCAGGGAACGCTGGTCACCGTCTCCTCA</t>
  </si>
  <si>
    <t>GAGATTCTGTTGACGCAGTCTCCAGGCACCCTGTCTTTGTCTCCAGGGGAGAGAGCCACCCTCTCCTGCAGGACCAGTCAGACTATTCCCAACAACTTCTTAGCCTGGTACCAGCAGAAACCTGGCCAGGCTCCCAGGCTCCTCATCCATCCTGCATCCATCAGGGCCACTGGCACCCCAGACAGGTTCAGTGGCACTGGGTCTGGGACAGACTTCACTCTCACCATCAGCAGACTGGAGCCTGAGGATTTTGCAGTCTATTACTGTCAGCAGTATGGTAGTTCACCTCCCACTTTCGGCGGCGGGACCAAGGTGGAGATCAAA</t>
  </si>
  <si>
    <t>GAGGTGCAGCTGGTGGAGTCTGGGGGAGGCTTGGTACAGCCAGGGCGGTCCCTGAGACTCTCCTGTACAGCTTCTGGATTCACCTTTGGTGATTATGCTATGACCTGGGTCCGCCAGGCTCCAGGGAAGGGGCTGGAGTGGATAGGTTTCATTAGAAGTAAAGCTTATGGTGGGACAACAGAATATGCCGCGTCTGTGAAAGGCAGATTCACCATCTCAAGAGATGATTCCAAAAGCATCGCCTATCTGCAAATGAACAGCCTGAAAACCGAGGACACAGCCCTGTATTTCTGTATTAGAGATCGCGACTTTTATTGTAGTAGTAACATCTGCTATACGGACCAGAACCACTACGGTGTGGACGTCTGGGGCCAAGGGACCACGGTCACCGTGTCCTCA</t>
  </si>
  <si>
    <t>CAGTCTGCCCTGACTCAGCCTGCCTCCGTGTCTGGGTCTCCTGGACAGTCGATCACCATCTCCTGCACTGGAACCAGCAGTGACGTTGGTGGTTATAACTATGTCTCCTGGTACCAACATCACCCAGGCAAAGCCCCCAAACTCATGATTTATGATGTCAGTAATCGGCCCTCAGGGGTTTCTAATCGCTTCTCTGGCTCCAAGTCTGACAACACGGCCTCCCTGACCATCTCTGGGCTCCAGGCTGAGGACGAGGCTGATTATTACTGCAGCTCATATACAAGCATCAACACTCGGATCTTCGGAACTGGGACCAAGGTCACCGTCCTA</t>
  </si>
  <si>
    <t>CAGGTCCACCTGGTGCAGTCTGGGGCTGAGGTGAAGAAGCCTGGGTCCTCGGTGAAGGTCTCCTGTAAGGCTTCTGGAGGCACCTTCAGCACCTATGATATCAACTGGGTCCGACAGGCCCCTGGACAAGGGCTTGAGTGGATGGGAAGGATCATCCCTATCTTTGGAACAGCAGACTACGCACAGAAGTTCCAGGGCAGAGTCACGATTACCGCGGACAGATCCACGAGCACAGCCTTCATGGAGCTGAGCAGCCTGAGATCTGACGACACGGCCGTTTATTACTGTGCGAGAGAATTAGGAAGGGTGAGAACTACGGAGGACTACTGGGGCCAGGGAACCCTGGTCACCGTCTCCTCA</t>
  </si>
  <si>
    <t>GACATCCAGATGACCCAGTCTCCATCCTCACTGTCTGCATCTGTAGGAGACAGAGTCACCATCACTTGTCGGGCGAGTCAGGGCATTAGCAATTATTTAGCCTGGTTTCAGCAGAAACCAGGGAAAGCCCCTAAGTCCCTGATCTATGCTGCATCCAGTTTGCAAAGTGGGGTCCCATCAAAGTTCAGCGGCAGTGGATCTGGGACAGATTTCACTCTCACCATCAGCAGCCTGCAGCCTGAAGATTCTGCAACTTATTACTGCCTACATTATAATAGTTACCCCCTCACTTTCGGCGGAGGGACCAAGGTGGAGATCAAAC</t>
  </si>
  <si>
    <t>GAGGTGCAACTGGTGGAGTCTGGGGGAGGCTTGGTCCAGCCTGGGGGGTCCCTGAGACTCTCCTGTGCAGCCTCTGGATTCACCTTTAGTCGTTATTGGATGACGTGGGTCCGCCAGGCTCCAGGGAAGGGGCTGGAGTGGGTGGCCAACATAAAGGAAGATGGAAGTGAGACATACTTGGTAGACTCTGTGAAGGGCCGATTCACCATCTCCAGAGACAGCGCCAGGAGCTCACTGTTTCTACACATGAACAGCCTGAGAGCCGAGGACACGGCTGTCTATTACTGTGCGAGAGGAACGATGGCTCCAGTGACTACCTTTTTCTACAACTTCTATTTGGACGTCTGGGGCAAAGGGACCACGGTCGCCGTCTCCTCA</t>
  </si>
  <si>
    <t>GAAATAGTGATGACGCAGTCTCCAGCCACCCTGTCTGTGTCTCCAGGGGAAAGAGCCACCCTCTCCTGCAGGGCCAGTCAGAGTATTAGCGACAACTTAGCCTGGTACCAGCAAAAACCTGGCCAGGCTCCCAGGCTCCTCATCTATGGTGCATCCACCAGGGCCACTGGTACCCCAGCCAGGTTCAGTGGCAGTGGGTCTGGGACAGAGTTCACTCTCATCATCAGCAGCCTGCAGTCTGAGGATTTTGCAGTTTATTACTGTCAGCAGTATAATACGTGGCCTCCGCTCACTTTCGGCGGAGGGACCAAGGTGGAGATCAAA</t>
  </si>
  <si>
    <t>TCCTATGAGCTGACTCAGCCACCCTCAGTGTCCGTGTCCCCAGGACAGACAGCCAGCATCACCTGCTCCGGAGATAAATTGGGGGATACATATGCTTGCTGGTATCAGCAGAAGCCAGGCCAGTCCCCTGTACTGGTCATCTCTCAAGATTACAAACGGCCCTCAGGAATCCCTGCGCGATTCTCTGGCTCCAACTCTGGGAACACAGCCACTCTGACCATCAGCGGGACCCAGTCTATGGATGAGGCTGACTATTACTGTCAGGCGTGGGACAGCAACACTGTGCTATTCGGCGGAGGGACCAAGCTGACCGTCCTA</t>
  </si>
  <si>
    <t>GAGGTGCAGTTGGTGGAGTCTGGGGGAGGCTTGGTCCAGCCGGGGGGGTCCCTGAGACTCTCCTGTGCAGCCTCTGGATTCAGCTTTAGCAGCTATTGGATGAGCTGGGTCCGCCAGGCTCCAGGGAAGGGGCTGGAGTGGGTGGCCAACATAAAGGAAGATGGAAGTGAAAAATACTTTGTGGACTCTGTGAAGGGCCGATTCACCATCTCCAGAGACAACGCCAAGAACTCACTGTTTCTGCAAATGAACAGCCTGAGAGCCGAGGACACGGCTGTCTATTACTGTGTGAGAGATGTCTATTACGATGCCTTGATTGCGGATGCTTTTGAAATCTGGGGCCAAGGGACGATGGTCACCGTCTCTTCA</t>
  </si>
  <si>
    <t>GAAATAGTGATGACGCAGTCTCCAGCCACCCTGTCTGTGTCTCCAGGGGAAAGAGCCACCCTCTCCTGCAGGGCCAGTCAGAGTGTTAGCAGCAGCTTAGCCTGGTATCAGCAGAAACCTGGCCAGGCTCCCAGGCTCCTCATCTACGGTGCATCCACCAGGGCCACTGGTGTCCCAGCCAGGTTCAGTGGCAGTGGGTCTGGGACAGAGTTCACTCTCACCATCAGCAGCCTGCAGTCTGAAGATTTTGCAGTTTATTTCTGTCAGCAGTATCATACCTGGCCTCCGTACACTTTTGGCCAGGGGACCAAGCTGGAGATCAAA</t>
  </si>
  <si>
    <t>GAGGTGCAACTGGTGGAATCTGGGGGAGGCTTGGTCCAGCCTGGGGGGTCCCTGAGACTCTCCTGTGAAGCCTCTGGATTCACCTTTAGTGACTATTGGATGACCTGGGTCCGCCAGGCTCCGGGGAAGGGGCTGGAGTGGGTGGCCAACATAAAGCAAGATGGAAGTGAGAAATACTATGTGGACTCTGTGAAGGGCCGATTCTCCATCTCCAGAGACAACGCCAAGAATTCACTGTATCTGCAGCTGAACAGCCTGAGAGCCGAGGACACGGCTGTGTATTACTGTGCGAGAGGTGAAAAAAGTGGGGATTCCGTCTTCTACTACTACTACTACATGGACGTCTGGGGCAAAGGGACCACGGTCACCGTCTCCTCA</t>
  </si>
  <si>
    <t>GAAATAGTGATGACGCAGTCTCCAGCCACCCTGTCTGTGTCTCCAGGGGAAAGAGCCACCCTCTCCTGCAGGGCCAGTCAGTATATTACCAGCAACTTAGCCTGGTACCAACACAAACCTGGCCAGGCTCCCAGGCTCCTCATCTATGGTGCATCCACCAGGGCCACTGGTATCCCAGCCAGGTTCAGTGGCAGTGGGTCTGGGACGGAGTTCACTCTCACCATCAGCAGCCTGCAGTCTGAAGATTTTGCACTTTATTACTGTCAACAGTATGATAGCTGGACTCCGCTCACTTTCGGCGGAGGGACCAAGGTGGAGATCAAA</t>
  </si>
  <si>
    <t>CAGGTGCAGCTGGTGCAGTCTGGGGCTGAGGTGAAAAAGCCTGGGGCCTCAGTGAAGGTCTCCTGCAAGGCTTCTGGATACAGGTTCATCGGCTACTATATGCACTGGGTGCGACAGGCACCTGGACAAGGGCTTGAGTGGATGGGATGGATCAACCCTAACAGTGGTGACACAAACTATGCACAAAAGTTTCAGGGCAGGGTCGCCATGACCAGGGACGCGTACATTAGCACAGCCTACATGGAGCTGAGCAGGCTGAGATCTGACGACACGGCCGTATATTACTGCGCGAGAGTAAATAAGTATGATAGTAGTGGTTATTTCGGCTGGTTCGACCCCTGGGGCCAGGGAACCCTGGTCACCGTCTCCTCA</t>
  </si>
  <si>
    <t>GACATCGTGATGACCCAGTCTCCAGACTCCCTGGCTGTGTCTCTGGGCGAGAGGGCCACCATCAACTGCAAGTCCAGCCAGAGTGTTTTATACAACTCCAACAATAAGAACTACTTGGTTTGGTACCAGCAGAAACCAGGACAGCCTCCAAAGGTGCTCGTTTACTGGGCATCTACCCGGGAATCCGGGGTCCCTGACCGATTCAGTGGCAGCGGGTCTGGGACAGATTTCACTCTCACCATCAGCAGCCTGCAGGCTGAAGATGTGGCAGTTTATTACTGTCAGCAATATTATACTACTCCGTACACTTTTGGCCAGGGGACCAAGCTGGAGATCAAA</t>
  </si>
  <si>
    <t>GAGGTGCAGCTGGTGGAGTCTGGAGGAGGCTTGATCCAGCCTGGGGGGTCCCTGAGACTCTCCTGTGCAGCCTCTGGGTTCACCGTCAGTAGCAGCTACATGAGCTGGGTCCGCCAGGCTCCAGGGAAGGGGCTGGAGTGGGTCTCAGTTATTTATAGCGCTGGTAGCACATACTACGCAGACTCCGTGAAGGGCCGATTCACCATCTCCAGAGACAATTCCAAGAACACGCTGTATCTTCAAATGAACAGCCTGAGAGCCGAGGACACGGCCGTCTATTACTGTGCGACATTCCCAAACCCGTACTACTACGGTATGGACGTCTGGGGCCAAGGGACCACGGTCACCGTCTCCTCA</t>
  </si>
  <si>
    <t>GACATCCAGCTGACCCAGTCTCCATCCTCCCTGTCTGCATCTGTAGGAGACAGAGTCACCATCACTTGCCGGGCGGCTCAGGGCATTAGCAATTTTTTAGCCTGGTATCAGCAGAAACCAGGGAAAGTTCCTAAGCTCCTGATCTATACTGCATCCACTTTGCGATCAGGGGTCCCATCTCGGTTCGGTGGCAGTGGATCTGGGACAGATTTCACTCTCACCATCAGCAGCCTGCAGCCTGAAGATGTTGCAACTTATTACTGTCAAAAGTATAACAGTGCCCCTCTCACTTTCGGCGGAGGGACCAAGGTGGAGATCAAA</t>
  </si>
  <si>
    <t>GGGAGCTCTGGGAGTGGAGCCCCAGCCTTGGGATTCCCAAGTGTTTGTATTCAGTGATCAGGACTGAACACACAGGACTCACCATGGAGTTGGGGCTGAATTGGGTTTTCCTTCTTGCTATATTAGAAGGTGTCTACTGTGAGGTACAATTGGTGGAGTCTGGGGGAGGCTTGGTACAGCCTGGGGGGTCCCTGAGACTCTCCTGTGTAGCCTCTGGATTCAGCTTCAGAAGCTACGACATGCACTGGGTCCGCCAAACTACAGGAAATGGTCTGGAGTGGGTCTCAGCTATTGGAACCGCTGGTGACACATACTATTCGGGCTCCGTGAAGGGCCGATTCACCATCTCCAGAGAAAATGCCAAGAACTCCTTGGATCTTCAAATGAGTAGCCTGGGAGGCGGGGACACGGCTGTCTATTACTGTGCAAGAGCAGTTTTTGGGAGTATTGCTTTTGATATCTGGGGCCGAGGGACAATGGTCACCGTCTCTTCAGCCTCCACCAAGGGCCCATCGGTCTTCCCCCTGGCACCCTCCTCCAAGAGCACCTCTGGGGGCACAGCGGCCCTGGGCTGCCTGGTCAAGGACTACTTCCCCGAACCGGTGACGGTGTCGTGGAACTCAGGCGCCCTGACCAGCGGCGTGCACACCTTCCCGGCTGTCCTACAGTCCTCAGGACTCTACTCCCTCAGCAGCGTGGTGACCGTGCCC</t>
  </si>
  <si>
    <t>GGGAGTCCAGAGCCCATATCAATGCCTGGGTCAGAGCTCTGGAGAAGAGCTGCTCAGTTAGGACCCAGAGGGAACCATGGAAACCCCAGCGCAGCTTCTCTTCCTCCTGCTACTCTGGCTCCCAGATACCACCGGAGAAATTGTGTTGACGCAGTCTCCAGGCACCCTGTCTTTGTCTCCAGGGGAAAGAGCCACCCTCTCCTGCAGGGCCAGTCAGAGTGTTAGCAGCTACTTAGCCTGGTACCAGCAGAGACCTGGCCAGGCTCCCAGGCTCCTCATTCATGATGCATCCAGGAGGGCCGCTGGCATCCCAGACAGGTTCAGTGGCAGTGGGTCTGGGACAGACTTCACTCTCACCATCAGCAGACTGGAGCCTGAAGATTTGGCAGTGTTTTACTGTCAACAGTATGGTAGTTCACCGCC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</si>
  <si>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AGCTCTCAGAGAGGTGCCTTAGCCCTGGATTCCAAGGCATTTCCACTTGGTGATCAGCACTGAACACAGAGGACTCACCATGGAGTTGGGGCTGTGCTGGGTTTTCCTTGTTGCTATTTTAGAAGGTGTCCAGTGTGAGGTGCAGCTGGTGGAGTCTGGGGGAGGCATGGTACAGCCTGGGGGGTCCCTGAGACTCTCCTGTGCAGACTCTGGATTCACCTTCAGTAGCTATAGCATGAGCTGGGTCCGCCAGGCTCCAGGGAAGGGGCTGGAGTGGGTTTCATACATTAGTAGTAGTAGTAGTACCATATACTACGCAGACTCTGTGAAGGGCCGATTCACCATCTCCAGAGACAATGCCAAGAACTCACTGTATCTGCAAATGAACAGCCTGAGAGCCGAGGACACGGCTGTGTATTACTGTGCGAGAGTCCCCTGGGGCCAATTCCACTTTGACTATTGGGGCCAGGGAACCCTGGTCACCGTCTCCTCAGCCTCCACCAAGGGCCCATCGGTCTTCCCCCTGGCACCCTCCTCCAAGAGCACCTCTGGGGGCACAGCGGCCCTGGGCTGCCTGGTCAAGGACTACTTCCCCGAACCGGTGACGGTGTCGTGGAACTCAGGCGCCCTGACCAGCGGCGTGCACACCTTCCCGGCTGTCCTACAGTCCTCAGGA</t>
  </si>
  <si>
    <t>TCTGGGG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TCAGCAGCACTTGGGTGTTCGGCGGAGGGACCAAGCTGACCGTCCTAGGTCAGCCCAAGGCTGCCCCCTCGGTCACTCTGTTCCCACCCTCCTCTGAGGAGCTTCAAGCCAACAAGGCCACACTGGTGTGTCTCATAAGTGACTTCTACCCGGGAGCCGTGACAGTGGCCTGGAAGGCAGATAGCAGCCCCGTCAAGGCGGGAGTGGAGACCACCACACCCTCCAAACAAAGCAACAACAAGTACGCGGCCAGCAGCTACCTGAGCCTGACGCCTGAGCAGTGGAAGTCCCAC</t>
  </si>
  <si>
    <t>GGGGGAGAGGAGCCCAGCACTGGGATTCCGAGGTGTTTCCATTCGGTGATCAGCACTGAACACAGAGGACTCACCATGGAGTTTTGGCTGAGCTGGGTTTTCCTTGTTACTATTTTAAAAGGTGTCCAATGTGGCGCACAACTGGTGGAGTCTGGAGGAGGTTTGATCCAGCCTGGGGGGTCCCTGAGACTCTCCTGTGCAGCCTCTGGGATCTCCGTCAGTAGCAACTACATGACCTGGGTCCGCCAGGCTCCAGGGAAGGGGCTGGAATGGGTCTCACTTATTTATGCCGCTGGTGCCACATTCTACGAAGATTCCGTGAAGGACCGATTCACCATCTCCAGAGACAATTCCAAGAACACACTGTATCTTCAAATGAACAGCCTAAGAGTCGAGGACACGGCCATTTATTACTGTGTGAGAGTAGGTAGTAGAGCAGGGACCTACTACTACGGTTTGGACGTCTGGGGCCAAGGGACCACGGTCACCGTCTCCTCAGCCTCCACCAAGGGCCCATCGGTCTTCCCCCTGGCGCCCTGCTCCAGGAGCACCTCCGAGAGCACAGCGGCCCTGGGCTGCCTGGTCAAGGACTACTTCCCCGAACCGGTGACGGTGTCGTGGAACTCAGGCGCCCTGACCAGCGGCGTGCACACCTTCCCGGCTGTCCTACAGTCCTCAGGACTCTACTCCCTCAGCAGCGTGGTGACCGTGCCCTCCAGCAACTTCGGCACCCAGACCTACACCTGCAACGTAGATCACAAGCCCAGCAACACCAAGGTGGAC</t>
  </si>
  <si>
    <t>TATCTGGGGACTGATCAGGACTCCTCAGTTCACCTTCTCACAATGAGGCTCCCTGCTCAGCTCCTGGGGCTGCTAATGCTCTGGGTCTCTGGATCCAGTGGGAATATTGTGTTGACTCAGTCTCCACTCTCCCTGCCCGTCACCCCTGGAGAGCCGGCCGCCATCTCCTGCAGGTCTAGTCAGAGCCTCCTACAAAGTTATAGATACAATTATTTGGATTGGTACCTGCAGAAGCCAGGGCAGTCTCCACAGCTCCTGATCTATTTGGCTTCTAATCGGGCCTCCGGGGTCCCTGACAGGTTCAGTGGCAGTGGATCAGGCACAAATTTTACACTGAAAATCAGTAGAGTGGAGGCTGAGGATGTTGGAATTTATTACTGCATGCAAGGTCTACACATGCCGTGGACGTTCGGCCAAGGGACCAAGGTGGAAATGAAACGAACTGTGGCTGCACCATCTGTCTTCATCTTCCCGCCATCTGATGAGCAGTTGAAATCTGGAACTGCCTCTGTTGTGTGCCTGCTGAATAACTTCTATCCCAGAGAGGCCAAAGTACAGTGGAAGGTGGATAACGCCCTCCAATCGGGTAACTCCCAGGAGAGTGTCACAGAGCAGGACAGCAAGGACAGCACCTACAGCCTCAGCAGCACCCTGACGCTGAGCAAAGCAGACTACGAGAA</t>
  </si>
  <si>
    <t>GGGAGAGAGGAGCCTTAGCCCTGGATTCCAAGGCCTATCCACTTGGTGATCAACACTGAGCACCGAGGATTCACCATGGAACTGGGGCTCCGCTGGGTTTTCCTTGTTGCTATTTTAGAAGGTGTCCAGTGTGAGGTGCAGCTGGTGGAGTCTGGGGGAGGCCTGGTCAAGCCTGGGGGGTCCCTGAGACTCTCCTGTGCAGCCTCTGGATTCACCTTCAGTAGCTATAGCCTGAACTGGGTCCGCCAGGCTCCAGGGAAGGGGCTGGAGTGGGTCTCCTCAATTAGTAGTCGTAGTAGTTACATATTCTACGCAGACTCAGTGAAGGGCCGATTCACCATCTCCAGAGACAACGCCAATAACTCACTGTATCTGCAAATGAACAGCCTGAGAGCCGAGGACACGGCTTTGTATTACTGTGCGAGAGACTACTATGATACTAGTGGTTATCTCTACGTAAATGCTTTTGATATCTGGGGCCAAGGGACAATGGTCACCGTCTCTTCAGCCTCCACCAAGGGCCCATCGGTCTTCCCCCTGGCGCCCTGCTCCAGGAGCACCTCCGAGAGCACAGCGGCCCTGGGCTGCCTGGTCAAGGACTACTTCCCCGAACCGGTGACGGTGTCGTGGAACTCAGGCGCCCTGACCAGCGGCGTGCACACCTTCCCGGCTGTCCTACAGTCCTCAGGA</t>
  </si>
  <si>
    <t>TGGGGAATGCCTGGGTCAGAGCTCTGGGGAGGAACTGCTCAGTTAGGACCCAGACGGAACCATGGAAGCCCCAGCGCAGCTTCTCTTCCTCCTGCTAGTCTGGCTCCCAGATACCACTGGAGAAATAGTGATGACGCAGTCCCCAGCCACCCTGTCTGTGTCTCCAGGGGACAGAGCCACCCTCTCCTGCAGGGCCAGTCAGAGTGTTAGCAGCAACTTAGCCTGGTACCAGCAGAAACCTGGCCAGGCTCCCAGGCTCCTCATCTATGGTGCATCCACCAGGGCCACTGGTATCCCAGCCAGGTTCAGTGGCAGTGGGTCTGGGACAGAGTTCACTCTCACCATCAGCAGCCTGCAGTCTGAAGATTCTGCAGTTTATTACTGTCAGCAGTATAATAAGTGGCCTCCGTG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</si>
  <si>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GGAGCATCACATAACAACCAGATGCCTCCTCTAAAGAAGCCCCTGGGAGCACAGCTCATCACCATGGACTGGACCTGGAGGTTCCTCTTTGTGGTGGCAGCAGCTACAGGTGTCCAGTCCCAGGTCCAGTTGGTGCAGTCTGGGACTGAGGTGAAGAAGCCTGGGTCCTCGGTGAAGGTCTCCTGCAAGGCTTCTGGAGGTACCTTCAACAACTTTGCTATCAACTGGGTGCGACAGGCCCCTGGACAAGGGCTTGAGTGGATGGGAAGGATCATCCCTATTTTTGGTTCAAGAAAGTACGCACAGAAGTTCCAGGACAGAGTCATTATTACCGCGGACGAATCAACGACCACATCCTACATGGAGCTGACCAGTCTGAGATCTGAGGACACGGCCGTCTATTACTGTGCGACAGAAGAAACAGTTTCTGGAATACTTCTTAGTAATTATTTCGACCCCTGGGGCCAGGGAACCGTGGTCACCGTCTCCTCAGCTTCCACCAAGGGCCCATCGGTCTTCCCCCTGGCGCCCTGCTCCAGGAGCACCTCCGAGAGCACAGCCGCCCTGGGCTGCCTGGTCAAGGACTACTTCCCCGAACCGGTGACGGTGTCGTGGAACTCAGGCGCCCTGACCAGCGGCGTGCACACCTTCCCGGCTGTCCTACAGTCCTCAGGA</t>
  </si>
  <si>
    <t>TTGGGGAGCTTCAGCTGTGGGTAGAGAAGACAGGACTCAGGACAATCTCCAGCATGGCCAGCTTCCCTCTCCTCCTCACCCTCCTCACTCACTGTGCAGGGTCCTGGGCCCAGTCTGTACTGACTCAGCCACCCTCAACTTCTGGGACCCCCGGGCAGAGGGTCACCATCTCTTGTTCTGGAAGCAGCTCCAACATCGGAAGTAATCCTTTAAGCTGGTACCAGCAACTCCCAGGAACGGCCCCCAAACTCCTCATCTATAGTAATAGTCAGCGGCCCTCAGCGGTCCCTGACCGATTCTCTGGCTCCAAGTCTGGCGCCTCAGCCTCCCTGGCCATCAGTGGGCTCCAGTCTGAGGATGAGGCTGATTATTACTGTGCAACATGGGATGACACCCTGAATGGTTATGTCTTCGGAACTGGGACCAAGGTCACCGTCCTGGGTCAGCCCAAGGCCAACCCCACTGTCACTCTGTTCCCGCCCTCCTCTGAGGAGCTTCAAGCCAACAAGGCCACACTGGTGTGTCTCATAAGTGACTTCTACCCGGGAGCCGTGACAGTGGCCTGGAAGGCAGATAGCAGCCCCGTCAAGGCGGGAGTGGAGACCACCAAACCCTCCAAACAGAGCAACAACAAGTACGCGGCCAGCAGCTACCTGAGCCTGACGCCCGAGCAGTGGAAGTCCCAC</t>
  </si>
  <si>
    <t>TGGGGAGGTCTCAGAGAGGAGCCTTAGCCCTGGACTCCAAGGCCTTTCCACTTGGTGATCAGCAGTGAGCACAGAGGACTCACCATGGAATTGGGGCTGAGCTGGGTTTTCCTTGTCGCTATTTTAGAAGGTGTCCAGTGTGAGGTGCAGGTGGTGGAGTCTGGGGGAGGCTTGGTCCAGCCTGGGGGGTCCCTGAGACTCTCCTGTGCAGCCTCCGGATTCACCTTTAGTAACTATTGGATGAGTTGGGTCCGCCAGGCTCCAGGGAAGGGGCTGGAGTGGGTGGCCAACATAAAGGAAGATGGAAGTGAGCAATACTATCTGGACTCTGTGAAGGGCCGATTCACCATCTCCAGAGACAACGCCAAGAATTCAGTATATCTGCAAATGAACAGCCTGAGAGCCGAGGACACGGCTGTCTATTTCTGTGCGAGAGACCTCCCTATGTATAACGAGTTTTGGAGTGGTTATTTGGGCTATTGGGGCCAGGGAACGCTGGTCACCGTCTCCTCAGCCTCCACCAAGGGCCCATCGGTCTTCCCCCTGGCGCCCTGCTCCAGGAGCACCTCTGGGGGCACAGCGGCCCTGGGCTGCCTGGTCAAGGACTACTTCCCCGAACCGGTGACGGTGTCGTGGAACTCAGGCGCCCTGACCAGCGGCGTGCACACCTTCCCGGCTGTCCTACAGTCCTCAGGACTCTACTCCCTCAGCAGCGTGGTGACCGTGCCCTCCAGCAGCTTGGGCACCCAGACCTACACCTGCAACGTGAATCACAAGCCCAGCAACAC</t>
  </si>
  <si>
    <t>TGGGGAGAGCTCTGGGGAGGAACTGCTCAGTTAGGACCCAGACGGAACCATGGAAGCCCCAGCGCAGCTTCTCTTCCTCCTGCTAGTCTGGCTCCCAGATACCACTGGAGAAATAGTGATGACGCAGTCTCCAGCCACCCTGTCTGTGTCTCCAGGGGAGAGAGCCACCCTCTCCTGCAGGGCCAGTCAGAGTGTTGGCTACAACTTAGCCTGGTACCAGCAGAAACCTGGCCAGGCTCCCAGGCTCCTCCTCTATGGTGCATCCACCAGGGCCACTGATATCCCAGCCAGGTTCAGTGGCAGTGGGTCTGGGACAGAGTTCACTCTCACCATCAGCAGCCTGCAGTCTGAAGATTTTGCCGTTTATTACTGTCAACAGTATAATAACTGGCCTCCGCTCACTTTCGGCGGAGGGACCAAGGTGGAGATCAGACGAACTGTGGCTGCACCATCTGTCTTCATCTTCCCGCCATCTGATGAGCAGTTGAAATCTGGAACTGCCTCTGTTGTGTGCCTGCTGAATAACTTCTATCCCAGAGAGGCCAAAGTACAGTGGAAGGTGGATAACGCCCTCCAATCGGGTAACTCCCAGGAGAGTGTCACAGAGCAGGACAGCAAGGACAGCACCTACAGCCTCAGCAGCACCCTGACGCTGAGCAAAGCAGACTACGAGAA</t>
  </si>
  <si>
    <t>GAGCTCTCAGAGAGGTGCCTTAGCCCTGGATTCCAAGGCATTTCCACTTGGTGATCAGCACTGAACACAGAGGACTCACCATGGACTTGGGGCTGTGCTGGGTTTTCCTTGTTGCTATTTCACAAGGTGTCCAGTGTGAGGTGCAGCTGGTGGAGTCTGGGGGAGCCTTGGTAAAGCCTGGGGGGTCCCTGAGACTCTCCTGTGCGGCCTCTGGATTCACCTTCAGCAGCTATAGCATGAACTGGGTCCGCCAGGCTCCAGGGAAGGGACTGGAGTGGGTTGCATATATTAGTGGTGGTAGTAAAGCCATAAAGTATGCAGACTCTGTGAAGGGCCGACTCACCTTGTCCCGAGACAACGCCAAGAACTCACTGTCTCTGCAAATGAACAGCCTGAGAGCCGAGGACACGGCTGTCTATTACTGTGCCCGAGGCGAAGGAGATAGAAGTACATTATACTACTACTACTATATGGACGTCTGGGGCAAAGGGACCACGGTCACCGTCTCCTCAGCTTCCACCAAGGGCCCATCGGTCTTCCCCCTGGCGCCCTGCTCCAGGAGCACTTCCGAGAGCACAGCGGCCCTGGGCTGCCTGGTCAAGGACTACTTCCCCGAACCGGTGACGGTGTCGTGGAACTCAGGCGCCCTGACCAGCGGCGTGCACACCTTCCCGGCTGTCCTACAGTCCTCAGGACTCTACTCCCTCAGCAGCGTGGTGACCGTGCCCTCCAGCAGCTTGGGCACCCAGACCTACACCTGCAACGTGAATCACAAGCCCAGCAACACCAAGGT</t>
  </si>
  <si>
    <t>CGTTGCCCTTTCTTATATGGGGAGTCAGTCTCAGTCAGGACACAGCATGGACATGAGGGTCCCCGCTCAGCTCCTGGGGCTCCTGCTACTCTGGCTCCGCGGTGCCAGATGTGACATCCAGATGACCCAGTCTCCATCCTCCCTGTCTGCATCTGTAGGAGACAGAGTCACCATCACTTGCCGGGCAAGTCAGACCATTAGCAGCTTTTTAAATTGGTATCAGCAGAAACCAGGGAAAGCCCCTAAGGTCCTGATCTATGCTGCATCCAGTTTGCAAAGTGGGGTCCCATCAAGGTTCAGTGGCAGTGGATCTGGGACAGATTTCACTCTCACCATCACCAGTCTGCAACCTGAAGATTCTGCAACTTACTACTGTCAACAGAGTTACAAAACCCCTGG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</si>
  <si>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GACATGGGAAATACTTTCTGAGAGTCCTGGACCTCCTGTGCAAGAACATGAAGCATCTGTGGTTCTTCCTTCTCCTGGTGGCAGCTCCCAGATGGGTCTTGTCCCAGGTGCAACTGCAGGAGTCGGGCCCAGGACTGGTGAAGCCTTCGGAGACCCTGTCTCTCACCTGCACTGTCTCTGGTGGCTCCATCAGTTATTCCTACTGGACCTGGATCCGTCAGCCCCCAGGGAAGGGACTGGAATTCACTGGATATATCTATTACAGTGGGGGCAGTCACTACAACCCCTCCCTCAAGGGTCGAGCCACCATGTCAGTTGACACGTCCAAGAACCAGATCTCCCTGGAGCTGAGGTCTGTGACCACTGCGGACACAGCCGTGTATTACTGTGCGAGAGGCATACGAGGTTACAGTGGCTACAATTTTCAATTTTACGGTATGGACGTCTGGGGCCAAGGGACCACGGTCACCGTCTCCTCAGCCTCCACCAAGGGCCCATCGGTCTTCCCCCTGGCACCCTCCTCCAAGAGCACCTCTGGGGGCACAGCGGCCCTGGGCTGCCTGGTCAAGGACTACTTCCCCGAACCGGTGACGGTGTCGTGGAACTCAGGCGCCCTGACCAGCGGCGTGCACACCTTCCCGGCTGTCCTACAGTCCTCAGGACTCTACTCCCTCAGCAGCGTGGTGACCGTGCCCTCCAGCAAC</t>
  </si>
  <si>
    <t>TGGGGGAAGAACCTGCCCAGCCTGGGCCTCAGGAAGCAGCATCGGAGGTGCCTCAGCCATGGCATGGATCCCTCTCTTCCTCGGCGTCCTTGCTTACTGCACAGGATCCATGGCCTCCTATGGGCTGACTCAGCCACCCTCAGTGTCCGTGTCCCCAGGACAGACAGCCACCATCACCTGCTCTGGCGATAATTTGGGGGATAAATATGTTTCTTGGTATCAGCAGAAGCCAGGCCAGTCCCCTGTCCTGGTCATCTATGAAGATAACAAGCGACCCTCAGGGATCCCTGGCCGATTCTCTGGCTCCAACTCTGGGAACACAGCCACTCTGACCGTCACCGGGACCCAGCCTATGGATGACGCTGACTATTACTGTCAGGCGTGGGACAGCAATGTTGTGGTATTCGGCGGAGGGACCAAATTGACCGTCCTAGGTCAGCCCAAGGCTGCCCCCTCGGTCACTCTGTTCCCGCCCTCCTCTGAGGAGCTTCAAGCCAACAAGGCCACACTGGTGTGTCTCATAAGTGACTTCTACCCGGGAGCCGTGACAGTGGCCTGGAAGGCAGATAGCAGCCCCGTCAAGGCGGGAGTGGAGACCACCACACCCTCCAAACAAAGCAACAACAAGTACGCGGCCAGCAGCTATCTGAGCCTGACGCCTGAGCAGTGGAAGTCCCACA</t>
  </si>
  <si>
    <t>GAGCATCACATAACAACCAGACTCCTCCTCTAAAGAAGCCCCTGGGAGCACAGCTCATCACCATGGACTGGACCTGGAGGTTCCTCTTTGTGGTGGCAGCAGCTACAGGTGTCCAGTCCCAGGTCCAGCTGGTGCAATCTGGGGCTGAGGTGAAGAAGCCTGGGTCCTCGGTGAAGGTCTCCTGCAAGGCTTTTGGAGGCACCTTCAGCACCTATACCATCAGCTGGGTGCGACAGGCCCCTGGACAAGGGCTTGAGTGGATGGGAGGGCTCATCCCTATGCTTGGTACACCAAAGTACGCACAGAAGTTCCAGGGCAGAGTCACGATTATCGCGGACAGATCTACCAATACAGTCTACATGGACCTGAGTGGCCTGAGATCTGAGGACACGGCCGTGTATTACTGTGCGAGAGATATCGGGACCCCGTCTGACAACTGGGGCCAGGGAACCCTGGTCACCGTCTCCTCAGCCTCCACCAAGGGCCCATCGGTCTTCCCCCTGGCGCCCTGCTCCAGGAGCACCTCCGAGAGCACAGCGGCCCTGGGCTGCCTGGTCAAGGACTACTTCCCCGAACCGGTGACGGTGTCGTGGAACTCAGGCGCTCTGACCAGCGGCGTGCACACCTTCCCGGCTGTCCTACAGTCCTCAGGA</t>
  </si>
  <si>
    <t>GAGACTTTGTGCAGGAATCAGACCCAGTCAGGACACAGCATGGACATGAGAGTCCTCGCTCAGCTCCTGGGGCTCCTGCTGCTCTGTTTCCCAGGTGCCAGATGTGACATCCAGATGACCCAGTCTCCATCCTCACTGTCTGCATCTGTAGGAGACAGAGTCACCATCACTTGTCGGGCGAGTCAGGACATTAGCAATTATTTAGCCTGGTTTCAGCAGAAACCAGGGAAAGCCCCTAAGTCCCTGATCTATGCTGCATCCAGTTTGCAAAGTGGGGTCCCATCAAAGTTCAGCGGCAGTGGATCTGGGACAGATTTCACTCTCACCATCAGCAGCCTGCAGCCTGAAGATTTTGCAACCTATTACTGCCAACAGTATAAGAGTTACCCT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</si>
  <si>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ACCTGCAGGTCTCAGAGAGGAGCCTAAGCCCTGGACTCCAAGGCCTTTCCACTTGGTGATCAGCACTGAGCACAGAGGACTCACCATGGAGTTGGGGCTGAGCTGGGTTTTCCTTGTTGCTATTTTAGAAGGTGTCCAGTGTGAGGCGCAGCTGGTGGAGTCTGGGGGAGGCTTGGTCCAGCCGGGGGGGTCCCTGAGACTCTCCTGTGCAGCCTCTGGATTCACCTTTAGTAGCTATTGGATGTCTTGGGTCCGCCAGGCTCCAGGGAAGGGGCTGGAGTGGGTGGCCAACATAAAGGAAGATGGAAGTGAGAAATACTTTGTGGACTCTGTGAAGGGCCGATTCACCATCTCCAGAGACAACGCCAAGAACTCACTGTTTCTGCAAATGAACAGCCTGAGAGCCGAGGACACGGCTGTCTATTACTGTGTGAGAGATGTCTATTACGATGCCTTGATTGCGGATGCTTTTGAAATCTGGGGCCAAGGGACGATGGTCACCGTCTCTTCAGCTTCCACCAAGGGCCCATCGGTCTTCCCCCTGGCGCCCTGCTCCAGGAGCACCTCCGAGAGCACAGCCGCCCTGGGCTGCCTGGTCAAGGACTACTTCCCCGAACCGGTGACGGTGTCGTGGAACTCAGGCGCCCTGACCAGCGGCGTGCACACCTTCCCGGCTGTCCTACAGTCCTCAGGA</t>
  </si>
  <si>
    <t>GGTCAGAGCTCTGGGGAGGAACTGCTCAGTTAGGACCCAGACGGAACCATGGAGGCCCCAGCGCAGCTTCTCTTCCTCCTGCTAGTCTGGCTCCCAGATACCACTGGAGAAATAGTGATGACGCAGTCTCCAGCCACCCTGTCTGTGTCTCCAGGGGAAAGAGCCACCCTCTCCTGCAGGGCCAGTCAGAGTATTAGCAGCAGCTTAGCCTGGTATCAGCAAAAACCTGGCCAGGCTCCCAGGCTCCTCATCTCCGGTGCATCCGCCAGGGCCACTGGTGTCCCGGCCAGGTTCAGTGGCAGTGGGTCTGGGACAGAGTTCACTCTCACCATCAGCAGCCTGCAGTCTGAGGATTTTGCAGTTTATTTCTGTCAGCAGTACCATACCTGGCCTCCGTACACTTTTGGCCAGGGGACCAAGC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</si>
  <si>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CGCACTTTTTCTTATGGGGAGCTCTGAGAGAGGAGCCCAGCCCTGGGATTTTCAGGTGTTTTCAGTTGGTGATCAGGACTGAACAGAGAGAACTCACCATGGAGTTTGGGCTGAGCTGGCTTTTTCTTGTGGCTATTTTAAAAGGTGTCCAGTGTGAAGAGCAGCTGTTGGAGTCTGGGGGAAACTTGGTGCAGCCGGGGGGGTCCCTGAGACTCTCCTGTGTAGCCTCTGGATTCACCTTTGGAGACCATGCCATGACCTGGGTCCGCCAGGCTCCAGGGAAGGGGCTGGAGTGGGTCTCAGTTATTGGTGAAAGTGGCGGTCACACGTATTACGCAGACTCCGTGAAGGGCCGGTTCACCATCTCCAGAGACAATTCCAAGAACACACTATATCTGCAAATGAACAGCCTGAGAACCGAGGACACAGCCGTTTACTACTGTGCGAAAGTGGATACATCTATTGTTTGGCGCTGGTTCGACCCCTGGGGCCAGGGAACCCGGGTCATCGTCTCCTCAGCCTCCACCAAGGGCCCATCGGTCTTCCCCCTGGCACCCTCCTCCAAGAGCACCTCTGGGGGCACAGCGGCCCTGGGCTGCCTGGTCAAGGACTACTTCCCCGAACCGGTGACGGTGTCGTGGAACTCAGGCGCCCTGACCAGCGGCGTGCACACCTTCCCGGCTGTCCTACAGTCCTCAGGA</t>
  </si>
  <si>
    <t>GGGGAGAGCTCTGGGGAGGAACTGCTCAGTTAGGACCCAGACGGAACCATGGAAGCCCCAGCGCAGCTTCTCTTCCTCCTGCTAGTCTGGCTCCCAGATACCACTGGAGAAATAGTGATGACGCAGTCTCCAGCCACCCTGTCTGTGTCTCCAGGGGAAAGAGCCACCCTCTCCTGCAGGGCCAGTCAGACTGTGAGCAGCAACTTAGCCTGGTACCAGCAGAAACCTGGCCAGGCTCCCAGGCTCCTCATTTATGATGCATCCACCAGGGCCACTGGTATCCCAGCCAGGTTCAGTGGCAGTGGGTCTGGGACAGAGTTCACTCTCACCATCAGCAGCCTGCAGTCTGAGGATTTTGCAGTTTATTACTGTCAGCAGTATGAAAACTGGCCTCCGTGGACGTTCGGCCAAGGGACCAC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</si>
  <si>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CCCAAAAACCACACCCCTCCTTGGGAGAATCCCCTAGATCACAGCTCCTCACCATGGACTGGACCTGGAGCATCCTTTTCTTGGTGGCAGCAGCAACAGGGGCCCACTCCCAGGCTCAGCTGGTGCAGTCTGGAGCTGAGGTGAAGAAGCCTGGGGCCTCAGTGAAGGTCTCCTGCAAGGCTTCTGGTTACACCTTTACCCACTATGGTATCGGCTGGGTGCGACAGGCCCCTGGACAAGGGCTTGAGTGGATGGGATGGATCAGCGCTTACAATGGTGACACAGACTATGCACAGAAGCTCCAGGGCAGAGTCACTATGACCACAGACACATCCACGACGACAGCCTACATGGACCTGAGGAGCCTGAGATCTGACGACACGGCCGTGTATTACTGTGCGAGAGTTATCAGCATGATTCGGGGAGGCTGGTTCGACCTCTGGGGCCTGGGAACCCTCGTCACCGTCTCCTCAGCCTCCACCAAGGGCCCATCGGTCTTCCCCCTGGCACCCTCCTCCAAGAGCACCTCTGGGGGCACAGCGGCCCTGGGCTGCCTGGTCAAGGACTACTTCCCCGAACCGGTGACGGTGTCGTGGAACTCAGGCGCCCTGACCAGCGGCGTGCACACCTTCCCGGCTGTCCTACAGTCCTCAGGACTCTACTCCCTCAGCAGCGTGGTGACCGTGCCCTCCAGCAACTTCGGCACCCAGACCTACACCTGCAACGTAGATCACAAGCCCAGCAACACCAAGGTGGACAA</t>
  </si>
  <si>
    <t>GGAGAGCCCATATCAATGCCTGGGTCAGAGCTCTGGAGAAGAGCTGCTCAGTTAGGACCCAGAGGGAACCATGGAAACCCCAGCGCAGCTTCTCTTCCTCCTGCTACTCTGGCTCCCAGATACCACCGGAGAAATTGTGTTGACGCAGTCTCCAGGCACCCTGTCTTTGTCTCCAGGGGAAAGAGCCACCCTCTCCTGCAGGGCCAGTCAGAGTGTTGGAAGCGGCTACTTAGCCTGGTACCAGCAGAAACCTGGCCAGGCTCCCAGGCTCCTCATTTATGGTGCATCCAGCAGGGCCACTGGCATCCCAGACAGGTTCAGTGGCAGTGGGTCTGGGACAGACTTCACTCTCACCATCAGCAGACTGGAGCCTGAAGATTTTGCAGTGTATTACTGTCAGCAGTATGGTAGTTCACCATTCACTTTCGGCCCTGGGACCAAAGTGGAT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</si>
  <si>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CCCAAAAACCACACCCCTCCTTGGGAGAATCCCCTAGATCACAGCTCCTCACCATGGACTGGACCTGGAGCATCCTTTTCTTGGTGGCAGCAGCAACAGGTGCCCACTCCCAGGTTCAGCTGGTGCAGTCTGGAGCTGAGGTGAAGAAGCCTGGGGCCTCAGTGAGGGTCTCCTGCAAGGCTTCTGGTTACATATTTACCAGATATATTATTACCTGGATACGACAGGCCCCTGGACAAGGGCTTGAGTGGATGGGGTGGATCAGCGCTTATAATGGTGGCACAAAATATGCACAGAAGTTCCAGGGCAGAGTCACCATGACCACAGACACATCCACGAGCACAGCCTACATGGACCTGAGGAGCCTGAGATCTGACGACACGGCCGTCTATTACTGTGCGAGAGACCTGGGTATGGTGTCTCCCTACTACTTTGACTATTGGGGCCAGGGAAGCCTGGTCACCGTCTCCTCAGCATCCCCGACCAGCCCCGAGGTCTTCCCGCTGAGCCTCTGCAGCACCCAGCCAGATGGGAACGTGGTCATTGCCTGCCTGGTCCAGGGCTTCTTCCCCCAGGAGCCACTCAGTGTGACCTGGAGCGAAAGCGGACAGGGCGTGACCGCCAGAAACTTCCC</t>
  </si>
  <si>
    <t>GGAGAGCTCTGGAGAAGAGCTGCTCAGTTAGGACCCAGAGGGAACCATGGAAACCCCAGCGCAGCTTCTCTTCCTCCTGCTACTCTGGCTCCCAGATACCACCGGAGAAATTGTGTTGACGCAGTCTCCAGGCACCCTGTCTTTGTCTCCAGGAGAAAGCGCCACCCTCTCCTGCAGGGCCAGTCAGAATGTTATCAACACCTACTTAGCCTGGCACCAGCAGAGACCTGGCCAGGCTCCCAGGCTCCTCATCTATGGTGCATCCAACAGGGCCACTGGCGTCCCAGACAGGTTTAGTGGCAGTGGGTCTGGGACAGACTACACTCTCACCATCACCAGACTGGAGCCTGAAGATTTTGCAGTGTATTACTGTCACCAGTATGGTAGCTCTCCCAA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</si>
  <si>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GAGCATCACATAACAACCAGATGCCTCCTCTAAAGAAGCCCCTGGGAGCACAGCTCATCACCATGGACTGGACCTGGAGGTTCCTCTTTGTGGTGGCAGCAGCTACAGGTGTCCAATCCCAGGTCCAGTTGGTGCAGTCTGGGGCTGAGGTGAAGAAGCCTGGGTCCTCGGTGAAGGTCTCCTGTAAGGCTTCTGGAGGCAGCTTCAGCACCCATGATGTCAACTGGGTGCGACAGGCCCCTGGACACGGGCTTGAGTGGATGGGAAGGATCATCCCTATGATTGGAACACCAAACTACGCACAGAAGTTCCAGGGCAGAGTCACAATTACCGCGGACAAATCCACGAGCACAGTCCACATGGAGCTGAGAAACTTGAGATCTGCGGACACGGCCGTATATTTCTGTGCGAGAGAGTTGGGAAGGGTGATCATAGGGGGTGACTCCTGGGGCCAGGGAACCCTA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</t>
  </si>
  <si>
    <t>ATGGGGAGGAATCAGACCCAGTCAGGACACAGCATGGACACGAGAGTCCTCGCTCAGCTCCTGGGGCTCCTGCTGCTCTGTTTCCCAGGTGCCAGATGTGACATCCAGATGACCCAGTCTCCATCCTCACTGTCTGCATCTGTAGGCGACAGAGTCACCATCACTTGTCGGGCGAGTCAGGACATTAGCGACTATTTAGCCTGGTTTCAGCAGAAACCAGGGAAAGCCCCTAAGCCCCTCATCTATGGCGCATCCCGTTTGCAAAGTGGGGTCCCATCAAAGTTCAGCGGCAGTGGATCTGGGACAGATTTCACTCTCACCATCACCAACCTGCAGCCTGGAGATTTTGCAACTTATTACTGCCAACAGTATAAGAGTTATCCGCTCACTTTCGGCGGAGGGACCGC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</si>
  <si>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GGTCTCAGAGAGGAGCCTTAGCCCTGGACTCCAAGGCCTTTCCACTTGGTGATCAGCACTGAGCACAGAGGACTCACCATGGAGTTGGGGCTGAGCTGGGTTTTCCTTGTTGCTATTTTAGAAGGTGTCCAGTGTGAGGTGCAGCTGGTGGAGTCGGGGGGAAGATTGGTCCAGCCTGGGGGGTCCCTGAGACTCTCCTGTGCAGCCTCTGGATTCACCTTTAGTACCTATTGGATGACCTGGGTCCGCCAGGCTCCAGGGAAGGGGCCGGAGTGGGTGGCCAGTGTAAAGGAAGATGGGAGTGAGAAATACTATGTGGACTCTGTGAGGGGCCGATTCACCATCTCCAGAGACAACGCCAAGAAATCACTGTATCTGGAAATGAACAGCCTGAGAGCCGAGGACACGGCTGTCTATTACTGTGCGAGAGATGTTCCTATGGATGTTGTGGTGGTGGTAGGTGTTCCCGACTACTGGGGCCAGGGAACCCTGGTCACCGTCTCCTCAGCCTCCACCAAGGGCCCATCGGTCTTCCCCCTGGCACCCTCCTCCAAGAGCACCTCTGGGGGCACAGCGGCCCTGGGCTGCCTGGTCAAGGACTACTTCCCCGAACCGGTGACGGTGTCGTGGAACTCAGGCGCCCTGACCAGCGGCGTGCACACCTTCCCGGCTGTCCTACAGTCCTCAGGACTC</t>
  </si>
  <si>
    <t>TGGGGGCATGTCCCTCCCAGCTGCCCTACCTTCCAGAGCCCATATCAATGCCTGGGTCAGAGCTCTGGGGAGGAACTGCTCAGTTAGGACCCAGACGGAACCATGGAAGCCCCAGCGCAGCTTCTCTTCCTCCTGCTAGTCTGGCTCCCAGATACCACTGGAGAAATAGTGATGACGCAGTCTCCAGCCACCCTGTCTGTGTCTCCAGGGGACAGAGCCACCCTCTCCTGCAGGGCCAGTCAGAGTGTTAACAGCAACTTAGCCTGGTACCAGCAGAAACCTGGCCAGGCTCCCAGGCTCCTCATCTATGGTCCATCCACCAGGGCCACTGGTGTCCCAGCCAGGTTCAGTGGCAGTGGGTCTGGGACAGAGTTCACTCTCACCATCAGCAGCCTGCAGTCTGAAGATTTTGCAGTTTATTACTGTCAGCAGTATAATAACTGGCCTCGGTACACTTTTGGCCAGGGGACCAAA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</si>
  <si>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GACATGGGAAGTGCTTTCTGAGAGTCATGGACCTCCTGCACAAGAACATGAAACACCTGTGGTTCTTCCTCCTCCTGGTGGCAGCTCCCAGATGGGTCCTGTCCCAGGTGCAGCTACAGCAGTGGGGCGCAGGACTGTTGAAGCCTTCGGAGACCCTGTCCCTCACCTGCGCTGTCTATGGTGGGTCCTTCAATGATTACTACTGGACCTGGATCCGCCAGCCCCCAGGGAAGGGGCTGGAGTGGATTGGCGAAATCAATCATAGTGGCAGCACCAACTACAAGCCGTCCCTCAAGAGTCGACTCACCATATCACTGGACACGTCCAAGAACCAGTTCTCCCTGAACCTGACCTCTGTGACCGCCGCGGACACGGCTGTGTATTACTGTGCGAGAGGAAGACTTGGTCTTGCAGCTTTTGGAGCGGTTACTAACAACTGGTTCGACCCCTGGGGCCAGGGAACCCTG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</t>
  </si>
  <si>
    <t>TGGGGGCAGGAGTCAGTCTCAGTCAGGACACAGCATGGACATGAGGGTCCCCGCTCAGCTCCTGGGGCTCCTGCTACTCTGGCTCCGAGGTGCCAGATGTGACATCCAGATGACCCAGTCTCCATCCTCCCTGTCTGCTTCTGTTGGAGACAGAGTCACCATCACTTGCCGGGCAAGTCAGAGCATTAGCAGGTATTTAAATTGGTATCAGCAAAAACCAGGGAAAGCCCCTAACCTCCTCATCTATACTGCATCCAGTTTGCAAAGTGGGGTCCCATCAAGGTTCAGTGGCAGTGGATCTGGGACAGATTTCACTCTCACCATCAGCAGTCTCCAACCTCAAGATTTTGCAACTTACTACTGTCAACAGAGTTACAGTACCCCG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</si>
  <si>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GGCTCCTGATGAAAACCAGCCCAGCCCTGACCCTGCAGCTCTGGGAGTGGAGCCCCAGCCTTGGGATTCCCAAGTGTTTGTATTCAGTGATCAGGACTGAACACACAGGACTCACCATGGAGTTGGGGCTGAGCTGGGTTTTCCTTGTTGCTATATTAGAAGGTGTCCAGTGTGAGGTGCAGCTGGTGGAGTCTGGGGGAGGCTTGGCACAGCCTGGGGGGTCCCTGAGACTCTCCTGTGCAGCCGCTGGATTCACCTTCAGGAGTTACGACATGCACTGGGTCCGCCAAACTACAGGAAAAGGTCTGGAGTGGGTCTCAGTTATTGGTGCCGCTGGTGACACATACTATGCAGACTCCGTGAAGGGCCGATTCACCATCTCCAGAGACAATGCCAGGAACTCCTTGTATCTTCAAATGAACAGCCTGAGAGCCGGGGACACGGCTGTGTATTTCTGTGCAAGAGCCCGGTTCGGGGACATATTTTATGACTACTGGGGCCAGGGAACGCTGGTCACCGTCTCCTCAGCCTCCACCAAGGGCCCATCGGTCTTCCCCCTGGCGCCCTGCTCCAGGAGCACCTCCGAGAGCACAGCGGCCCTGGGCTGCCTGGTCAAGGACTACTTCCCCGAACCGGTGACGGTGTCGTGGAACTCAGGCGCTCTGACCAGCGGCGTGCACACCTTCCCGGCTGTCCTACAGTCCTCAGGACTCTACTCCCTCAGCAGCGTGGTGACCGTGCCCTCCAGCAACTTCGGCACCCAGACCTACACCTGCAACGTAGATCACAAGCCCAGCAACACCAAGGTGGACA</t>
  </si>
  <si>
    <t>GGGAGAGCTCTGGGGAGGAACTGCTCAGTTAGGACCCAGACGGAACCATGGAAGCCCCAGCGCAGCTTCTCTTCCTCCTGCTAGTCTGGCTCCCAGATGCCACTGTCGAAATAGTGATGACGCAGTCTCCAGCCACCCTGTCTGTGTCTCCAGGGGAAAGAGCCACCCTCTCCTGCAGGGCCAGTCAGAGTGTTAGTAACAAACTGGCCTGGTACCAGCACAAACCTGGCCAGGCTCCCAGGCTCCTCATCTTTGGTGCATCCACCAGGCCCACTGGTATCCCAGCCAGGTTCAGTGGCAGTGGGTCTGGGACTGACTTCAGTCTCACCATCAGCAGCCTGCAGTCTGAAGATTTTGCAGTTTATTACTGTCAGCAGTATAATGAAAGGCCGACGTTCGGT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</si>
  <si>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GGGACCCAAAAACCACACCCCTCCTTGGGAGAATCCCCTAGATCACAGCTCCTCACCATGGACTGGACCTGGAGCATCCTTTTCTTGGTGGCAGCAGCAACAGGTGCCCACTCCCAGGTTCAGTTGGTGCAGTCTGGAGCTGAGATGAAGAAGCCGGGGGCCTCAGTGAAGGTCTCCTGTAAGGCTTCCGGTTATATCTTTAGTAGGTATGGTATCAACTGGGTGCGACAGGCCCCTGGACAAGGGCTTGAGTGGATGGGATGGATCACCCCTTACAACGGTGACAGACACTATGGACAGAAGGTCCAGGGCAGAGTCACCATGACCACAGACACATCCACCAGTACAGCCTACATGGAGTTGAGGAGCCTGAGATCTGACGACACGGCCGTCTATTACTGTGCGAGAGGCATCACTATGGTTCGGGGAGAGGACTGGTTCGACACCTGGGGCCAGGGAACCCTGGTCACCGTCTCCTCAGCCTCCACCAAGGGCCCATCGGTCTTCCCCCTGGCGCCCTGCTCCAGGAGCACCTCTGGGGGCACAGCGGCCCTGGGCTGCCTGGTCAAGGACTACTTCCCCGAACCGGTGACGGTGTCGTGGAACTCAGGCGCCCTGACCAGCGGCGTGCACACCTTCCCGGCTGTCCTACAGTCCTCAGGACTCTACTCCCTCAGCAGCGTGGTGACCGTGCCCTCCAGCAGCTTGGGCACCCAGACCTACACCTGCAACGTGAATCACAAGCCCAGCAACACCAAGGTGGACA</t>
  </si>
  <si>
    <t>GGATATCAATGCCTGGGTCAGAGCTCTGGGGAGGAACTGCTCAGTTAGGACCCAGACGGAACCATGGAAGCCCCAGCGCAGCTTCTCTTCCTCCTGCTAGTCTGGCTCCCAGATATCACTGGAGAAATAGTGATGACGCAGTCTCCAGCCACCCTGTCTGTGTCTCCAGGGGAAAGAGCCACCCTCTCCTGCAGGGCCAGTCAGAGTATCAGTAGCAACTTAGCCTGGTACCAGCAGAAACCTGGCCAGGCTCCCAGGCTCCTCATCTCTGGTGCATCCACCAGGGCCACTGGTGTCACCGCCAGGTTCAGTGGCAGTGGGTCTGGGACAGAGTTCACTCTCACCATCAGCAGCCTGCAGTCTGAAGATGTTGCAGTTTATTACTGTCAGCAGTATAATAATAGGCCT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</si>
  <si>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GTGCTTTCTGAGAGTCATGGACCTCCTGCACAAGAACAGGAAACACCTGTGGTTCTTCCTCCTCCTGGTGGCAGCTCCCAGATGGGTCCTGTCCCAGGTGCAGCTACAGCAGTGGGGCGCAGGGCTGTTGAAGCCTTCGGAGACCCTGTCCCTCACCTGCGCTGTCTATGGTGGGCCCTTCAGTGGTTACTACTGGAGTTGGATCCGCCAGTCCCCAGGGAAGGGGCTGGAGTGGATTGGGGAAATTTATCAGAGTGGAAGCACCAGGTACAATCCGTCCCTCAAGAGCCGAGTCACCATATCAGTAGACACGTCCAAGAACCAGTTCTCCCTGAAGCTGACCTCTGTGACCGCCGCGGACACGGCTGTCTATTACTGCGCGAGAGAACTCCGACGTGGATACAACTATGGTAACTTTGACTTCTGGGGCCAGGGAACCCTGGTCACCGTCTCCTCAGCCTCCACCAAGGGCCCATCGGTCTTCCCCCTGGCACCCTCCTCCAAGAGCACCTCTGGGGGCACAGCGGCCCTGGGCTGCCTGGTCAAGGACTACTTCCCCGAACCGGTGACGGTGTCGTGGAACTCAGGCGCCCTGACCAGCGGCGTGCACACCTTCCCGGCTGTCCTACAGTCCTCAGGACTCTACTCCCTCAGCAGCGTGGTGACCGTGCCCTCCAGCA</t>
  </si>
  <si>
    <t>GATCTACAATTTCTTATATGGGGACTGATCAGGACTCCTCAGTTCACCTTCTCACAATGAGGCTCCCTGCTCAGCTCCTGGGGCTGCTAATGCTCTGGGTCTCTGGATCCAGTGGGGACATTGTGATGACTCAGTCTCCACTCTCCCTGCCCGTCACTCCTGGAGAGCCAGCCTCCATGTCCTGCAGGGCTAGTCAGAGCCTCCTTCATAGTAACGGATACAACTATTTGGATTGGTACCTGCAGAAGCCAGGGCAGCCTCCACAACTCCTGATCTATTTGGGTTCTCATCGGGCCTCCGGGGTCCCTGACAGGTTCAGTGGCAGTGGATCAGGCACAGATTTTACACTGAAAATCAGCAGAGTGGAGGCCGAGGATGTTGGGGTTTATTACTGCATGCAAGGTCTACAAACTCCTCCGGTCACC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</si>
  <si>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GGCTGAGCTCTGTGACCGCCGCGGACACGGCTGTGTATTACTGTGCGAGAGAACTCCGACGTGGATACAACTATGGGAACTTTGACTACTGGGGCCAGGGAACCCTGGTCACCGTCTCCTCAGCCTCCACCAAGGGCCCATCGGTCTTCCCCCTGGCGCCCTGCTCCAGGAGCACTTCCGAGAGCACAGCGGCCCTGGGCTGCCTGGTCAAGGACTACTTCCCCGAACCGGTGACGGTGTCGTGGAACTCAGGCGCCCTGACCAGCGGCGTGCACACCTTCCCGGCTGTCCTACAGTCCTCAGGACTCTACTCCCTCAGCAGCGTGGTGACCGTGCCCTCCAGCAGCTTGGGCACCCAGACCTACATCTGCAACGTGAATCACAAGCCCAGCAACACCAAGGTGGAC</t>
  </si>
  <si>
    <t>GGGCAGCTGTAACTGTGCCTT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GTCTACAAACTCCTCCGG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</si>
  <si>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GCTCTGGGAGAGGAGCCCCAGCCCTGAGATTCCCAGGTGTTTCCATTCGGTGATCAGCACTGAACACAGAGAACGCACCATGGAGTTTGGACTGAGCTGGGTTTTCCTTCTTGCTATTTTAAAAGGTGTCCAGTGTGAGGTGCAGCTGGTGGAGTCTGGGGGAGTCGTGGGACAGCCTGGGGGGTCCCTGAGACTCTCCTGTGCAGCCTCTGGGTTCACCTTTGATGATTATAACATGCACTGGGTCCGTCAAGCTCCGGGGAAGGGTCTGGAGTGGGTCTCTCTCATTTATGGGGATGGAGGTAGCACATACTATGCAGACTCTGTGAAGGGCCGATTCACCATCTCCAGAGACAACAGGAAAAACTCCCTGTATCTGCAAATGAACAGTCTGAGAATTGAGGACACCGCCTTGTATTTCTGTGCAAAAGATGTATTCCTCAAGGACGATTTTTGGAGTGGACCCTTTGACTACTGGGGCCAGGGCACGCTGGTCACCGTCTCCTCAGCCTCCACCAAGGGCCCATCGGTCTTCCCCCTGGCACCCTCCTCCAAGAGCACCTCTGGGGGCACAGCGGCCCTGGGCTGCCTGGTCAAGGACTACTTCCCCGAACCGGTGACGGTGTCGTGGAACTCAGGCGCCCTGACCAGCGGCGTGCACACCTTCCCGGCTGTCCTACAGTCCTCAGGACTCTACTCCCTCAGCAGCGTGGTGACCGTGCCCTCCAGCAGCTTGGGCACCCAGACCTACATCTGCA</t>
  </si>
  <si>
    <t>TGGGAGAGCTCTGGGGAGGAACTGCTCAGTTAGGACCCAGACGGAACCATGGAAGCCCCAGCGCAGCTTCTCTTCCTCCTGCTAGTCTGGCTCCCAGATACCACTGGAGAAATAGTGATGACGCAGTCTCCAGCCACCCTGTCTGTGTCTCCAGGAGAAAGAGCCACCCTCTCCTGCAGGGCCAGTCAGAGTGTTGGCAGCAACGTAGCCTGGTACCAGCAGAAACCTGGCCAGGCTCCCAGGCTCCTCATCTATGGTTCATCCACCAGGGCCACTGGTATCCCAGCCAGGTTCAGTGGCAGTGGGTCTGGGACAGAGTTCACTCTCACCATCAGCAGCCTGCAGTCTGAAGATTTTGTAGTTTATTACTGTCAGCAGTATAATAACTGGCCTCCG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</si>
  <si>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GAGAGAGGAGCCTTAGCCCTGGATTCCAAGGCCTATCCACTTGGTGATCAGCACTGAGCACCGAGGATTCACCATGGAACTGGGGCTCCGCTGGGTTTTCCTTGTTGCTATTTTAGAAGGTGTCCAGTGTGAGGTGCAGCTGGTGGAGTCTGGGGGAGGCCTGGTCAAGCCTGGGGGGTCCCTGAGACTCTCCTGTGCAGCCTCTGGATTCACCTTCAATACCTATACCATGAACTGGGTCCGCCAGGCTCCAGGGAAGGGGCTGGAGTGGGTCTCATCCATCAGTATTAGTTCTAGAAAGAAATACTACACAGACTCAGTGAAGGGCCGATTCACCATCTCCAGAGACAACGCCAAGAACTCACTGTATCTGCAAATGAACAGCCTGAGAGCCGAGGACAGGGCTGTGTATTTCTGTACGGGGCAACTGGAAGTTGGGCACTACTACTACGGTATGGACGTCTGGGGCCAAGGGACGACGGTCACCGTCTCCTCAGCCTCCACCAAGGGCCCATCGGTCTTCCCCCTGGCGCCCTGCTCCAGGAGCACCTCTGGGGGCACAGCGGCCCTGGGCTGCCTGGTCAAGGACTACTTCCCCGAACCGGTGACGGTGTCGTGGAACTCAGGCGCCCTGACCAGCGGCGTGCACACCTTCCCGGCTGTCCTACAGTCCTCAGGACT</t>
  </si>
  <si>
    <t>GATGGGGATCAGGACTCCTCAGTTCACCTTCTCACAATGAGGCTCCCTGCTCAGCTCCTGGGGCTGCTAATGCTCTGGGTCTCTGGTAAGAAGAGAGGGAGATGAGGAAGGAGAATAGGGTGGGAGGGTGAGCTCTAGGGCTCCACAGCTTCCCATGATCCCATGTTTAGTCTAACCCTGTGTTAGAGGAGTATAATCTGTGCTGTAGAAAAGGGAACTTGATATTTTGCTCTGTGAATAATTAGAAGCCTCATAAGAAATATGACGTCTGGTGCTCCGATTAAGATCTTCAAAATATAAAGGATCCAGTGGGGATATTGTGATGACTCAGTCTCCACTCTCCCTGCCCGTCACCCCTGGAGAGCCGGCCTCCATCTCCTGCAGGTCTAGTCAGAGCCTCCTGCATAGTATTGGATTCCACTATTTGGATTGGTACCTGCAGAAGCCAGGGCAGTCTCCAAAGCTCCTGATCTATTTGGGTTCTAATCGGGCCTCCGGGGTCCCTGACAGGTTCAGTGGCAGTGGTTCAGGCACAGATTTTACATTGAAAATCAGCAGAGTGGAGGCTGAGGATGTTGGGGTTTATTACTGCATGCAAGCTCTACAAACGCCGTACG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</si>
  <si>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GAGAGCATCACCCAGCAACCACATCTGTCCTCTAGAGAATCCCCTGAGAGCTCCGTTCCTCACCATGGACTGGACCTGGAGGATCCTCTTCTTGGTGGCAGCAGCCACAGGAGCCCACACGCAGGTTCAACTGGTGCAGTCTGGGGCTGAGGTGAAAAAGCCTGGGGCCTCAGTGAAGGTCTCCTGCAAGGCTTCTGGATATAGATTCATCGGCTACTATATACACTGGGTTCGACAGGCCCCTGGACAAGGACTTGAGTGGATGGGATGGATGAACCCTAATAGTGGTGGCACAGACTATGCACAGAATTTTCAGGGCAGGGTCTCCATGACCAGGGACACGTCCATCAGCACAGCCTACATGGAGCTGAGCAGGCTGAGATCTGACGACACGGCCGTCTATTACTGTGCGAGAGTCAATCACTATGAATATAGTGGTTATTTCGGCTGGTTCGACCCCTGGGGCCAGGGAACCCTGGTCACCGTCTCCTCAGCCTCCACCAAGGGCCCATCGGTCTTCCCCCTGGCACCCTCCTCCAAGAGCACCTCTGGGGGCACAGCGGCCCTGGGCTGCCTGGTCAAGGACTACTTCCCCGAACCGGTGACGGTGTCGTGGAACTCAGGCGCCCTGACCAGCGGCGTGCACACCTTCCCGGCTGTCCTACAGTCCTCAGGA</t>
  </si>
  <si>
    <t>GACTGGTTGTTTTTGCATAGGCCCCTCCAGGCCACGACCAGCTGTTTGGATTTTATAAACGGGCCGTTTGCATTGTGAACTGAGCTACAACAGGCAGGCAGGGGCAGCAAGATGGTGTTGCAGACCCAGGTCTTCATTTCTCTGTTGCTCTGGATCTCTGGTGCCTACGGGGACATCGTGATGACCCAGTCTCCAGACTCCCTGCCTGTGTCTCTGGGCGAGAGGGCCACCATCAACTGCAAGTCCAGCCAGAGTGTTTTATATGGCTCCAACAATAAGAACTACTTAGCCTGGTACCAGCAGAAACCAGGACAGCCTCCTAAGTTGCTCATTTACTGGGCATCTACCCGGGAATCCGGGGTCCCTGACCGATTCAGTGGCAGCGGGTCTGGGACAGATTTCACTCTCACCATCAGCAGCCTGCAGGCTGAAGATGTGGCAGTTTATTACTGTCAGCAATATTATACTACTCCGTA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</si>
  <si>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CTCTGAGAGAGGAGCCCAGCCCTGGGATTTTCAGGTGTTTTCATTTGGTGATCAGGACTGAACAGAGAGAACTCACCATGGAGTTTGGGCTGAGCTGGCTTTTTCTTGTGGCTATTTTAAAAGGTGTCCAGTGTGAGGTGCAGCTGTTGGAGTCTGGGGGAGGCTTGGTGCAGCCTGGGGGGTCCCTGAGACTCTCCTGTGCAGCCTCTGGATTCCCCTTTAGTAGTTATGCCATGAGCTGGGTCCGCCAGGCTCCAGGAAAGGGGCTGGAGTGGGTCTCAATTATTGTTGGCAGTGGTGGTATCACATACTACGCAGACTCCGTGAAGGGCCGGTTCACCATCTCCAGAGACAATTCCAAGAACACGCTGTCTCTGCAAATGAACAGCCTGAGAGCCGACGACACGGCCGTATATTACTGTGCGGCCCCGGGCGAGTATTACGATTTTTGGAGTGGTTGGGCTCCCCTGGGCCACTGGGGCCAGGGAACGCTGGTCACCGTCTCCTCAGCCTCCACCAAGGGCCCATCGGTCTTCCCCCTGGCGCCCTGCTCCAGGAGCACCTCCGAGAGCACAGCGGCCCTGGGCTGCCTGGTCAAGGACTACTTCCCCGAACCGGTGACGGTGTCGTGGAACTCAGGCGCCCTGACCAGCGGCGTGCACACCTTCCCGGCTGTCCTACAGTCCTCAGGA</t>
  </si>
  <si>
    <t>TGGGAGAGCTCTGGAGAAGAGCTGCTCAGTTAGGACCCAGAGGGAACCATGGAAACCCCAGCGCAGCTTCTCTTCCTCCTGCTACTCTGGCTCCCAGAAACCACCGGAGAAATTGTGTTGACGCAGTCTCCAGGCACCCTGTCTTTGTCTCCAGGGGAAAGAGCCACCCTCTCCTGCAGGGCCAGTCAGAGTGTTAGCAGCAACTACTTAGCCTGGTACCAGCAGCAACCTGGCCAGGCTCCCAGGCTCCTCATCTATGGTGCATCCAACAGGGTCACTGGCATCCCAGACAGGTTCAGTGGCAGTGGGTCTGGGACAGACTTCACTCTCACCATCAGCAGACTGGAGCCTGAAGATTTTGCAGTGTATTACTGTCAGCACTATGGTAGCTCACCGTGGACGTTCGGCCAAGGGGCCAAGGTGGAAATCAAACGAACTGTGGCTGCACCATCTGTCTTCATCTTCCCGCCATCTGATGAGCAGTTGAAATCTGGAACTGCCTCTGTTGTGTGCCTGCTGAATAACTTCTATCCCAGAGAGGCCAAAGTACAGTGGAAGGTGGATAACGCCCTCCAATCGGGTAACTCCCAGGAGAGTGTCACAGAGCAGGACAGCAAGGACAGCACCTACAGCCTCAGCAGCACCCTGACGCTGAGCAAAGCAGACTACGAGA</t>
  </si>
  <si>
    <t>GGGGACCCAAAAACCACACCCCTCCTTGGGAGAATCCCCTAGATCACAGCTCCTCACCATGGACTGGACCTGGAGCATCCTTTTCTTGGTGGCAGCAGCAACAGGTGCCCACTCCCAGGTTCAACTGGTGCAGTCTGGAGGTGAGGTGAAGAAGCCTGGGGCCTCAGTGAAGGTCTCCTGCAAGGCTTCTGGTTACACCTTTACCAGATATGGTATCAGCTGGGTGCGACAGGCCCCTGGACAAGGGCTTGAGTGGATGGGATGGATCAGCGCTTACAATGGTGACACAGACTATGCACAGAGGTTCCAGGGCAGAGTCACCATGACCACAGAAACATCCACGAGCACAGCCTACATGGAGCTGAGGAGCCTGAGATCTGACGACACGGCCGTGTATTACTGTGCGAGAGTAATCAGTATGATTCGGGGAGGCTGGCTCGACACCTGGGGCCAGGGAACCCTGGTCACCGTCTCCTCAGCCTCCACCAAGGGCCCATCGGTCTTCCCCCTGGCACCCTCCTCCAAGAGCACCTCTGGGGGCACAGCGGCCCTGGGCTGCCTGGTCAAGGACTACTTCCCCGAACCGGTGACGGTGTCGTGGAACTCAGGCGCTCTGACCAGCGGCGTGCACACCTTCCCGGCTGTCCTACAGTCCTCAGGA</t>
  </si>
  <si>
    <t>TGGGAGAGCTCTGGAGAAGAGCTGCTCAGTTAGGACCCAGAGGGAACCATGGAAACCCCAGCGCAGCTTCTCTTCCTCCTGCTACTCTGGCTCCCAGATACCACCGGAGAAATTGTGTTGACGCAGTCTCCAGGCACACTGTCTTTGTCTCCAGGGGAAAGAGCCACCCTCTCCTGCAGGGCCAGTCAGAGTGTTAGCAGCAGCTACTTAGCCTGGTACCAGCAGAAACCTGGCCGGGCTCCCAGGCTCCTCATCTATGATGCATCCAACAGGGCCACTGGCATCCCAGACAGGTTCAGTGGCAGTGGGTCTGGGACAGACTTCACTCTCACCATCACCAGACTGGAGCCTGAAGATTTTGCAGTGTATTACTGTCAGCAGTATGGTAGCTCACCATTCACTTTCGGCCCTGGGACCAAAGTGGATATCAAACGAACTGTGGCTGCACCATCTGTCTTCATCTTCCCGCCATCTGATGAGCAGTTGAAATCTGGAACTGCCTCTGTTGTGTGCCTGCTGAATAACTTCTATCCCAGAGAGGCCAAAGTACAGTGGAAGGTGGATAACGCCCTCCAATCGGGTAACTCCCAGGAGAGTGTCACAGAGCAGGACAGCAAGGACAGCACCTACAGCCTCAGCAGCACCCTGACGCTGAGCAAAGCAGACTACGAGAA</t>
  </si>
  <si>
    <t>GGAGAGCATCACCCAGCAACCACATCTGTCCTCTAGAGAATCCCCTGAGAGCTCCGTTCCTCACCATGGACTGGACCTGGAGGATCCTCTTCTTGGTGACAGCAGCCACAGGAGCCCACTCCCAGGTGCAACTGGTGCAGTCTGGGGCTGAGGTGAAAAAGCCTGGGGCCTCAGTGAAGGTCTCCTGCAAGGCTTCTGGATACAGATTCATCGGCTACTATATGCACTGGGTGCGCCAGGCCCCTGGGCAAGGGCTTGAGTGGATGGGATGGATCAACCCTAACAGTGGTGGCACAGACTATGCACAGAAATTTCAGGGCAGGGTCACCTTGACCAGGGACACGTCCATCAGTACAGCCTACATGGAGCTGACCAGGCTGAGATATGACGACACGGCCGTCTACTACTGTGCGAGAGTAAATTTCTATGAATACAGTGGTTATTACGGCTGGTTCGACCCCTGGGGCCAGGGAACCCTGGTCACCGTCTCCTCAGCCTCCACCAAGGGCCCATCGGTCTTCCCCCTGGCACCCTCCTCCAAGAGCACCTCTGGGGGCACAGCGGCCCTGGGCTGCCTGGTCAAGGACTACTTCCCCGAACCGGTGACGGTGTCGTGGAACTCAGGCGCCCTGACCAGCGGCGTGCACACCTTCCCGGCTGTCCTACAGTCCTCAGGA</t>
  </si>
  <si>
    <t>TGGGAGGCCCCTCCAGGCCACGACCAGCTGTTTGGATTTTATAAACGGGCCGTTTGCATTGTGAACTGAGCTACAACAGGCAGGCAGGGGCAGCAAGATGGTGTTGCAGACCCAGGTCTTCATTTCTCTGTTGCTCTGGATCTCTGGTGCCTACGGGGACATCGTGATGACCCAGTCTCCAGACTCCCTGGCTGTGTCTCTGGGCGAGAGGGCCACCATCAACTGCAAGTCCAGTCAGAGTGTTTTATACAGCTCCAACAATAAGAACTACTTAGCTTGGTACCAGCAGAAACCACGACAGCCTCCTACACTGCTCATTTACTGGGCATCTACCCGGGAATCCGGGGTCCCTGACCGATTCAGTGGCAGCGGGTCTGGGACAGATTTCACTCTCACCATCAGCAGCCTGCAGGCTGATGATGTGGCGGTTTATTACTGTCAGCAATATTATACTACTCCGTA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</si>
  <si>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CTCTGGGAGTGGAGTCCCAGCCTTGGGATTCCCAAGTGTTTGTATTCAGTGATCAGGACCGAACACACAGGACTCACCATGGAGTTGGGGCTGAGCTGGGTTTTCCTTGTTGCTATATTAGAAGGTGTCCAGTGTGAGGTACAACTGGTGGAGTCTGGGGGAGGCTTGGTACAGCCGGGGGGGTCCCTGAGACTCTCCTGCGCAGCCTCTGGATTCACCTTCAGGATCTACGACATGCACTGGGTCCGTCAAGTTGCAGGAAAACGTCTGGAGTGGGTCTCAGCTATCGGTTCTGCTGGTGACACTTACTATCGAGACTCCGTGAAGGGCCGATTCACCATCTCCAGAGAAAGTGCCAAGAACTCCTTGTATCTTCAAATGAACAGCCTGGGGGCCGGGGACACGGCTCTATACTACTGTGCAAGAGCAAGATTCGGTGCCAGCGACTTTGACTACTGGGGCCCGGGAACGCTGGTCACCGTCTCCTCAGCCTCCACCAAGGGCCCATCGGTCTTCCCCCTGGCACCCTCCTCCAAGAGCACCTCTGGGGGCACAGCGGCCCTGGGCTGCCTGGTCAAGGACTACTTCCCCGAACCGGTGACGGTGTCGTGGAACTCAGGCGCCCTGACCAGCGGCGTGCACACCTTCCCGGCTGTCCTACAGTCCTCAGGA</t>
  </si>
  <si>
    <t>GGCAGATTGTCTCTGCAGCTGCAAGCCCAGCACCCGCCCCAGCTGCTTTGCATGTCCCTCCCAGCCGCCCTGCAGTCCAGAGCCCATATCAATGCCTGGGTCAGAGCTCTGGAGAAGAGCTGCTCAGTTAGGACCCAGAGGGAACCATGGAAACCCCAGCGCAGCTTCTCTTCCTCCTGCTACTCTGGCTCCCAGATATCACCGGAGAAATTGTGTTGACGCAGTCTCCAGGCACCCTGTCTTTGTCTCCGGGGGAAAGAGCCACCCTCTCCTGCAGGGCCAGTCAGAGTGTTGACAGCAGGTACTTAACCTGGTACCAGCAGAAACCTGGCCAGGCTCCCAGACTCCTCATGTATGGTACTTCCACCAGGGCCACTGGCATCCCAGACAGGTTCAGTGGCAGTGGGTCTGGGACAGACTTCACTCTCACCATCAGCAGACTGGACCCTGAAGATTTTGCAGTGTATTACTGTCAGCAGTTTGGTAGTTCACCA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</si>
  <si>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ACACATTTCCTTAAATTCAGGTTCCAGCTCACATGGGAAATACTTTCTGAGAGTCCTGGACCTCCTGTGCAAGAACATGAAACAGCTGTGGTTCTTCCTTCTCCTGGTGGCAGCTCCCAGATGTGTCCTGTCCCAGGTACACCTGCAGGAGTCGGGCCCAGGACTGGTGAAGCCTTCGGAGACCCTGTCCCTCACCTGCACTGTCTCTGGTGGCTCCCTAAGTACTTACTACTGGAACTGGATCCGGCAGCCCCCAGGGAAGGGACTGGAGTGGATTGCCTATCTCTATTACAGTGGGAGTACCCACTACAATGCCTCCCTCAAGAGTCGAGCCACCATGTCAGTGGACACGTCCAAGAACCAATTGTCCCTGAAGCTGACCTCTGTGACCGCGGCGGACACGGCCGTGTATTACTGTGCGAGAGCCCCTCGGGGGTATAATGGCCGCTCTTATTACTACTACGCTGTGGACGTCTGGGGCCAGGGGACCTCGGTCACCGTCTCCTCAGCCTCCACCAAGGGCCCATCGGTCTTCCCCCTGGCGCCCTGCTCCAGGAGCACCTCCGAGAGCACAGCGGCCCTGGGCTGCCTGGTCAAGGACTACTTCCCCGAACCGGTGACGGTGTCGTGGAACTCAGGCGCCCTGACCAGCGGCGTGCACACCTTCCCGGCTGTCCTACAGTCCTCAGGACTCTACTCCCTCAGCAGCGTGGTGACCGTGCCCTCCAGCAACTTCGGCACCCAGACCTACACCTGCAACGTAGATCACAAGCCCAGCAACACCAAGGTGGAC</t>
  </si>
  <si>
    <t>GATTTGCATCACGGGCCGCTCTTTCCAGCAAGGGGATAAGAGAGGCCTGGAAGAACCTGCCCAGCCTGGGCCTCAGGAAGCAGCGTCGGGGGTGCCTCAGCCATGGCATGGATCCCTCTCTTCCTCGGCGTCCTTGCTTACTGCACAGGATCCGTGGCCTCCTTTGCACTGACTCAGCCACCGTCTGTGTCCGTGTCACCAGGACAGACAGCCACCATCTCCTGCTCTGGAGATAAATTGGGGGATAAGTATGTTGCCTGGTATCAGCAGAGGCCAGGCCAGTCCCCTATATTAGTCATCTCTCTAGATAATAGGCGGTCCTCAGGGATCCCTGGGCGATTCTTTGGCTCCAACTCTGGGAACACAGCCACTCTGACCATCAGCGGGACCCAGGCTATGGATGAGGCTGACTATTACTGTCAGGCGTGGGACAGCAACACTGT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</si>
  <si>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GGGGAGCTCTGAGAGAGGAGCCCAGCCCTGGGATTTTCAGGTGTTTTCATTTGGTGATCAGGACTGAACAGAGAGAACTCACCATGGAGTTTGGGCTGAGCTGGCTTTTTCTTGTGGCTATTTTAAAAGGTGTCCAGTGTGAGGTGCAGCTGTTGGAGTCTGGGGGAGGGTTGGTACAGCCTGGGGGGTCCCTGAGACTCTCCTGTACAGCCTCTGGATTCACCTTTAGCACCTATGGCATGAGCTGGGTCCGCCAGGCTCCAGGGAAGGGGCTGGAGTGGGTCTCAGGTATTGCCGGTAGTGGCGGTATCACATACTACGCAGACTCCGTGAAGGGCCGGTTCACCATCTCCAGAGACAATTCCAAGAACACGGTGTATCTGCAAATGAGTAGCCTGAGAGCCGAGGACACGGCCGTATATTACTGTGCGAAAGCCGGCGAGTATTACGATTTTTGGAGTGGTTATTCTCCCATTGACTACTGGGGCCAGGGAACGCTGGTCACCGTCTCCTCAGCCTCCACCAAGGGCCCATCGGTCTTCCCCCTGGCACCCTCCTCCAAGAGCACCTCTGGGGGCACAGCGGCCCTGGGCTGCCTGGTCAAGGACTACTTCCCCGAACCGGTGACGGTGTCGTGGAACTCAGGCGCCCTGACCAGCGGCGTGCACACCTTCCCGGCTGTCCTACAGTCCTCAGGACTCTACTCCCTCAGCAGCGTGGTGACCGTGCCCTCCAGCAACTTCGGCACCCAGACCTACACCTGCAACGTAGATCACAAGCCCAGCAACACCAAGGTGGAC</t>
  </si>
  <si>
    <t>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TTGCAGGGCCAGTCAGAGTCTTAGCAGCAGCTACTTAGCCTGGTACCAGCAGAAACCTGGCCAGGCTCCCAGGCTCCTCATCTATGGTGCATTCAGCAGGGCCACTGGCATCCCAGACAGGTTCAGTGGTAGTGGGTCTGGGACAGACTTCACTCTCACCATCAGCAGACTGGAGCCTGAAGATTTTGCAGTGTATTACTGTCAGCAGTATGGTAGGTCACC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</si>
  <si>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GAGGGTCCAGCTCACATGGGAAGTGCTTTCTGAGAGTCATGGACCTCCTGCACAAGAACATGAAACACCTGTGGTTCTTCCTCCTCCTGGTGGCAGCTCCCAGATGGGTCCTGTCCCAGGTGCAGCTCCAGCAATGGGGCGCAGGACTGTTGAAGCCTTCGGAGACCCTGTCCCTCACCTGCGCTGTCTATGGTGGGTCCTTCAGGGGTTACTACTGGAGCTGGATCCGTCAGCCCCCAGGGGAGGGGCTGGAGTGGATTGGGGAAATCAACGATAGTGGAAGCACCAAATATAACTCGTCCCTCAAGAGTCGAGTCAGGATATCACTAGACACGTCCAAGAACCAGATGTCCCTGAAACTGAGCTCTGTGACCGACGCGGACACGGCTGTGTTTTACTGTTCGAGACACGGTCATAACGGTATGGACGTCTGGGGCCAAGGGACCACGGTCACCGTCTCCTCAGCCTCCACCAAGGGCCCATCGGTCTTCCCCCTGGCGCCCTGCTCCAGGAGCACTTCCGAGAGCACAGCGGCCCTGGGCTGCCTGGTCAAGGACTACTTCCCCGAACCGGTGACGGTGTCGTGGAACTCAGGCGCTCTGACCAGCGGCGTGCACACCTTCCCGGCTGTCCTACAGTCCTCAGGACTCTACTCCCTCAGCAGCGTGGTGACCGTGCCCTCCAGCAGCTTGGGCACGAAGACCTACACCTGCAACGTAGATCACAAGCCCAGCAACACCAAGGTGGACAA</t>
  </si>
  <si>
    <t>TGGGGACTGATCAGGACTCCTCAGTTCACCTTCTCACAATGAGGCTCCCTGCTCAGCTCCTGGGGCTGCTAATGCTCTGGGTCTCTGGATCCAGTGGGGATATTGTAATGACTCAGTCTCCACTCTCCCTGCCCGTCACCCCTGGAGAGCCGGCCTCCATCTCCTGCAGGTCTAGTCAGAGCCTCCTGCATAGTAATGGAAACAACTATTTGGATTGGTACCTGCAGAAGCCAGGGCAGTCTCCACAACTCCTGATCTATTTGGGTTCTAACCGGGCCTCCGGGGTCCCTGACAGGTTCAGTGGCAGTGGATCAGGCACAGATTTTACACTGAAGATCAGCAGAGTGGAGCCTGAGGATGTTGGGGTTTATTACTGCATGCAAGCTCTACAAACTCCCCTCACTTTCGGCGGAGGGACCAAGGTGGAGATCAAACGAACTGTGGCTGCACCATCTGTCTTCATCTTCCCGCCATCTGATGAGCAGTTGAAATCTGGAACTGCCTCTGTTGTGTGCCTGCTGAATAACTTCTATCCCAGAGAGGCCAAAGTACAGTGGAAGGTGGATAACGCCCTCCAATCGGGTAACTCCCAGGAGAGTGTCACAGAGCAGGACAGCAAGGACAGCACCTACAGCCTCAGCAGCACCCTGACGCTGAGCAAAGCAGACTACGAGA</t>
  </si>
  <si>
    <t>GGGGGGTGATCAGCACTGAACACAGAGGACTCACCATGGAGTTTGGGCTGAGCTGGGTTTTCCTCGTTGCTCTTTTAAGAGGTGTCCAGTGTCAGGTGCAACTGGTGGAGTCTGGGGGAGGCGTGGTCCAGCCTGGGGGGTCCCTGAGACTCTCCTGTGTAGCTTCTGGATTCACCTTTAGTGACTATGGCTTGCACTGGGTCCGCCAGGCTCCAGGCAAGGGGCTGGAGTGGGTGGCACTTATAAGGTATGATGGAAGTGATAAATACTACGCAGACTCCGTGAAGGGCCGATTCACCATCTCCAGAGACAATTCCAAGAACACGCTGTATCTGCAAATGAACAGCCTGAGAGCTGAGGACACGGCTGTGTATTACTGTACGAAATCCCGGGTAGTGGTGGTAGCTGCTACCTACTTTGACTACTGGGGCCAGGGAACCCTGGTCACCGTCTCCTCAGCCTCCACCAAGGGCCCATCGGTCTTCCCCCTGGCACCCTCCTCCAAGAGCACCTCTGGGGGCACAGCGGCCCTGGGCTGCCTGGTCAAGGACTACTTCCCCGAACCGGTGACGGTGTCGTGGAACTCAGGCGCCCTGACCAGCGGCGTGCACACCTTCCCGGCTGTCCTACAGTCCTCAGGA</t>
  </si>
  <si>
    <t>TGGGGGCAGAAGTCTCTCTCAGTCCAGACACAGCATGGACATGAGGGCCCCCGCTCAGCTCCTGGGACTCCTGCTGCTCTGGCTCCCAGATACCAGATGTGACATCCAGATGACCCAGTCTCCATCCTCCCTGTCTGCATCTGTAGGAGACAGAGTCACCATCACTTGCCGGGCGAGTCAGGGCATTAGCCATTATTTAGCCTGGTATCAGCAGAGACCTGGGAAAGTTCCTAACCTCCTGATCTATGCTGCATCCACTTTGCAATCAGGGGTCCCATCTCGGTTCAGTGGCAGTGGATCTGGGACAGATTTCACTCTCACCATCAACAGCCTGCAGCCTGAAGATGTTGCAACTTATTACTGTCAAAACTATAACAGTGCCCCGATCACCTTCGGCCAAGGGACACGACTGGAAATTAAAGGAACTGTGGCTGCACCATCTGTCTTCATCTTCCCGCCATCTGATGAGCAGTTGAAATCTGGAACTGCCTCTGTTGTGTGCCTGCTGAATAACTTCTATCCCAGAGAGGCCAAAGTACAGTGGAAGGTGGATAACGCCCTCCAATCGGGTAACTCCCAGGAGAGTGTCACAGAGCAGGACAGCAAGGACAGCACCTACAGCCTCAGCAGCACCCTGACGCTGAGCAAAGCAGACTACGAGAA</t>
  </si>
  <si>
    <t>GGGAGTGCTTTCTGAGAGTCATGGACCTCCTGCACAAGAACATGAAACACCTGTGGTTCTTCCTCCTCCTGGTGGCAGCTCCCAGATGGGTCCTGTCCCAGGTGCAGCTACAACAGTGGGGCGCAGGACTGTTGAAGCCTTCGGAGACCCTGTCCCTCACCTGCGCTGTCTATGGTGGGTCCTTCAATGATTACTACTGGACCTGGATCCGCCAGCCCCCCGGGAAGGGGCTGGAGTGGATTGGGGAAATCAATCATAGTGGAAGCACCAGCTACAACCCGTCCCTCAAGAGTCGAGTCACCATATCAGTAGACACGTCCAAGAATCAGTTCTCCCTGAAGCTGACCTCTGTGACCGCCGCGGACACGGCTGTCTATTACTGTGCGAGAGGAAGACTTGGTATTCCAGCTTTTGGGGTGGTTACTAACAACTGGTTCGACCCCTGGGGCCAGGGAACCCTGGTCACCGTCTCCTCAGCCTCCACCAAGGGCCCATCGGTCTTCCCCCTGGCACCCTCCTCCAAGAGCACCTCTGGGGGCACAGCGGCCCTGGGCTGCCTGGTCAAGGACTACTTCCCCGAACCGGTGACGGTGTCGTGGAACTCAGGCGCTCTGACCAGCGGCGTGCACACCTTCCCGGCTGTCCTACAGTCCTCAGGACTCTACTCCCTCAGCAGCGTGGTGACCGTGCCCTCCAGCAACTTCGGCACCCAGACCTACACCTGCAACGTAGATCACAAGCCCAGCAACACCAAGGTGG</t>
  </si>
  <si>
    <t>GGGGGCTGGTCGCACCCTGTGCAGGAGTCAGTCTCAGTCAGGACACAGCATGGACATGAGGGTCCCCGCTCAGCTCCTGGGGCTCCTGCTACTCTGGCTCCGAGGTGCCAGATGTGACATCCAGATGACCCAGTCTCCATCCTCCCTGTCTGCATCTGTAGGAGACAGAGTCACCATCACTTGCCGGGCAAGTCAGAGCATCAACACCTATTTAAATTGGTATCAGCAGAAACCAGGGAAAGCCCCTAACCTCCTGATCTATACTGCATCCAGATTACACACCGGGGTCTCATCAAGGTTCAGTGGCAGTGGATCTGGGACAGAGTTCACTCTCACCATCAGCAGTCTGCGACCTGAGGATTTTGCAACTTACTACTGTCAACAGAGTCACAGTACCCCGCTCACTTTCGGCGGAGGGACCAAGGTGGAGGTCAAACGAACTGTGGCTGCACCATCTGTCTTCATCTTCCCGCCATCTGATGAGCAGTTGAAATCTGGAACTGCCTCTGTTGTGTGCCTGCTGAATAACTTCTATCCCAGAGAGGCCAAAGTACAGTGGAAGGTGGATAACGCCCTCCAATCGGGTAACTCCCAGGAGAGTGTCACAGAGCAGGACAGCAAGGACAGCACCTACAGCCTCAGCAGCACCCTGACGCTGAGCAAAGCAGACTACGAGAA</t>
  </si>
  <si>
    <t>TGGGACCCAAAAACCACACCCCTCCTTGGGAGAATCCCCTAGATCACAGCTCCTCACCATGGACTGGACCTGGAACATCCTTTTCTTGGTGGCAGCAGCAACAGGTGCCCACTCCCAGGTTCAACTGGTGCAGTCTGGAGGTGCGGTGAAGAAGCCTGGGGCCTCAGTGAGGGTCTCCTGCAAGGCTTCTGGTTACACCTTCAGCAGATATGGTATCGGCTGGGTGCGACAGGCCCCTGGACAAGGGCTTGAGTGGATGGGATGGATCAGCCCTTACAATGGTGACACAGACTATGCTCAGAAGTTCCAGGACAGAGTCACCATGACTACAGACACATCCATGACCACAGCCTACATGGAACTGAGGAGCCTGAGATCTGACGACACGGCCATATATTATTGTGCGAGAGTTATCAGTATGATTCGGGGAGGCTGGTTCGACTTCTGGGGCCAGGGAATCCTGGTCACCGTCTCCTCAGCCTCCACCAAGGGCCCATCGGTCTTCCCCCTGGCACCCTCCTCCAAGAGCACCTCTGGGGGCACAGCGGCCCTGGGCTGCCTGGTCAAGGACTACTTCCCCGAACCGGTGACGGTGTCGTGGAACTCAGGCGCTCTGACCAGCGGCGTGCACACCTTCCCGGCTGTCCTACAGTCCTCAGGACTCTACTCCCTCAGCAGCGTGGTGACCGTGCCCTCCAGCAACTTCGGCACCCAGACCTACACCTGCAACGTAGATCACAAGCCCAGCAACACCAAGGTGGACA</t>
  </si>
  <si>
    <t>TGGGGCTTTTCTGGCCTGATCACCTGGGCATGGGCTGCTGAGAGCAGAAAGGGGAGGCAGATTGTCTCTGCAGCTGCAAGCCCAGCACCCGCCCCAGCTGCTTTGCATGTCCCTCCCAGCCGCCCTGCAGTCCAGAGCCCATATCAATGCCTGGGTCAGAGCTCTGGAGAAGAGCTGCTCAGTTAGGACCCAGAGGGAACCATGGAAACCCCAGCGCAGCTTCTCTTCCTCCTGCTACTCTGGCTCCCAGATTCCACCGGAGAGATTGTGTTGACGCAGTCTCCAGGCACCCTGTCTTTGTCTCCAGGGGAAACTGCCGCCCTCTCCTGCAGGGCCAGTCAGAGTATTACTAGCAACTACATAGCCTGGTACCAGCACCGACCTGGCCAGGCTCCCAGGCTCCTCATCTATGGTGCATCCAGCAGGGCCACTGGCATCCCAGACAGGTTCAGTGGCAGTGGGTCTGGGACAGACTTCAGTCTCACCATCAACAGACTGGCGCCTGAAGATTTTGCAGTTTATTACTGTCAGCAGTATGCTAACTCACCGTTCACTTTCGGCCCTGGGACCAAAGTGGATCTCAAACGAACTGTGGCTGCACCATCTGTCTTCATCTTCCCGCCATCTGATGAGCAGTTGAAATCTGGAACTGCCTCTGTTGTGTGCCTGCTGAATAACTTCTATCCCAGAGAGGCCAAAGTACAGTGGAAGGTGGATAACGCCCTCCAATCGGGTAACTCCCAGGAGAGTGTCACAGAGCAGGACAGCAAGGACAGCACCTACAGCCTCAGCAGCACCCTGACGCTGAGCAAAGCAGACTACGAGAA</t>
  </si>
  <si>
    <t>TACCAGTATCAGGTTCTTTTCTTATATGGGGACCCAAAAACCACACCCCTCCTTGGGAGAATCCCCTAGATCACAGCTCCTCACCATGGACTGGACCTGGAGCATCCTTTTCTTGGTGGCAGCAGCAACAGGTGCCCACTCCCAGGTTCAGCTGGTGCAGTCTGGAGGTGAGGTGAAGAAGCCTGGGGCCTCAGTGAAGGTCTCCTGCAAGGCTTCTGGTTACACCTTTACCAGATATGGTATCGGCTGGGTGCGACAGGCCCCTGGACAAGGGCTTGAGTGGATGGGATGGATCAGCCCTTACAATGGTGACACAAACTATGCACAGAAGCTCCAGGGCAGAGTCACCATGACTACAGACACATCCACGAGCACAGCCTACATGGAGCTGAGGAGCCTGAGATCTGACGACACGGCCGTGTATTATTGTGCGAGAGTTATCAGTATGATTCGGGGAGGCTGGTTCGACTTCTGGGGCCAGGGAATCCTGGTCACCGTCTCCTCAGCCTCCACCAAGGGCCCATCGGTCTTCCCCCTGGCACCCTCCTCCAAGAGCACCTCTGGGGGCACAGCGGCCCTGGGCTGCCTGGTCAAGGACTACTTCCCCGAACCGGTGACGGTGTCGTGGAACTCAGGCGCCCTGACCAGCGGCGTGCACACCTTCCCGGCTGTCCTACAGTCCTCAGGA</t>
  </si>
  <si>
    <t>GAGAGCTCTGGAGAAGAGCTGCTCAGTTAGGACCCAGAGGGAACCATGGAAACCCCAGCGCAGCTTCTCTTCCTCCTGCTACTCTGGCTCCCAGATACCACCGGAGAAATTGTGTTGACGCAGTCTCCAGGCACCCTGTCTTTGTCTCCAGGGGAAAGTGCCGCCCTCTCCTGCAGGGCCAGTCAGAGTGTTAGTAGCAGCTACATAGCCTGGTACCAGCAGAGACCTGGCCAGGCTCCCAGGCTCCTCATCTATGGTGCATCCAGCAGGGCCACTGGCATCCCAGACAGGTTCAGTGGCAGTGGGTCTGGGACAGACTTCAGTCTCACCATCAGCAGACTGGAGCCTGAAGATTTTGCAGTGTATTACTGTCAGCAGTATGGTAGCTCACCATTCACTTTCGGCCCTGGGACCAAAGTGGATATCAAACGAACTGTGGCTGCACCATCTGTCTTCATCTTCCCGCCATCTGATGAGCAGTTGAAATCTGGAACTGCCTCTGTTGTGTGCCTGCTGAATAACTTCTATCCCAGAGAGGCCAAAGTACAGTGGAAGGTGGATAACGCCCTCCAATCGGGTAACTCCCAGGAGAGTGTCACAGAGCAGGACAGCAAGGACAGCACCTACAGCCTCAGCAGCACCCTGACGCTGAGCAAAGCAGACTACGAG</t>
  </si>
  <si>
    <t>GAGCTCTGTGAGTGGAGCCCCAGCCTTGGGATTCCCAAGTGTTTGTATTCAGTGATCAGGACTGAACACACAGGACTCACCATGGAGTTGGGGCTGAGCTGGGTTTTCCTTGTTGCTATATTAGAAGGTGTCCAGTGTGAGGTGCAGCTGGTGGAGTCTGGGGGAGGCTTGGTACAGCCGGGGGGGTCCCTGAGACTCTCCTGTGCAGCCTCTGGATTCACCTTCAGAAGCTACGACATGCACTGGGTCCGCCAAGTTACAGGAGAAGGTCTGGAGTGGGTCTCAGCAATTGGTGCTGCTGGTGACACATACTATGCAGCCTCCGTGAGGGGCCGATTCACCCTCTCCAGAGATAATGCCAAGAACTCCCTGTCTCTTCAAATGAGCAGCATGAGCGCCGGGGACACGGCTATGTACTACTGTGTAAGAGCGCGATTCGGGTTCGTTGATTTTGACTCCTGGGGCCGGGGAACGCTGGTCACCGTCTCCTCAGCCTCCACCAAGGGCCCATCGGTCTTCCCCCTGGCACCCTCCTCCAAGAGCACCTCTGGGGGCACAGCGGCCCTGGGCTGCCTGGTCAAGGACTACTTCCCCGAACCGGTGACGGTGTCGTGGAACTCAGGCGCCCTGACCAGCGGCGTGCACACCTTCCCGGCTGTCCTACAGTCCTCAGG</t>
  </si>
  <si>
    <t>GAATGCCTGGGTCAGAGCTCTGGAGAAGAGCTGCTCAGTTAGGACCCAGAGGGAACCATGGAAACCCCAGCGCAGCTTCTCTTCCTCCTGCTACTCTGGCTCCCAGAAACCACCGGAGAAAATGTGTTGACGCAGTCTCCAGGCACCCTGTCTTTGTCTCCAGGGCAAAGAGCCACCCTCTCCTGCAGGGCCAGTCAGAGTGTTGCCAGCAACTACTTAGCCTGGTACCAACAGAAACCTGGCCAGGCTCCCAGGCTCCTCATCTATGCTACATCCAGCAGGGCCACTGGCATCCCAGACAGGTTCAGTGGCAGTGGCTCTGGGACAGACTTCACTCTCACCATCAGCAGACTGGAGCCTGAAGACTTTGCAGTGTATTACTGTCAGCAGTCTGGTAGCTCACCGCTCACTTTCGGCGGG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</si>
  <si>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CTCTGGGAGTGGAGCCCCAGCCTTGGGATTCCCAAGTGTTTGTATTCAGTGATCAGGACTGAACACACAGGACTCACCATGGAGTTGGGGCTGAGCTGGGTTTTCCTTGTTGTTATATTAGAAGGTGTCCAGTGTGAGGTGCAGCTGGTGGAGTCTGGGGGAGGCTTGGTAAAGCCTGGGGGGTCCCTGAGACTCTCCTGTGCAGCCTCTGGATTCACCCTCAGTAGATACGAAATGCACTGGGTCCGCCAAGCTCCAGGAAAAGGTCTGGAGTGGGTCTCAGCTATTGGTACTGCTGGTGACACATACTATCCAGGCTCCGTGAAGGGCCGATTCACCATCTCCAGAGAAAATGCCAAGAACTCCTTGTATCTTCAAATGAACAGCCTGAGAGCCGGGGACACGGCTGTGTATTACTGTGCAAGAGGGCGGCAGCTGGCCTTTGACTACTGGGGCCAGGGGACGCTG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</t>
  </si>
  <si>
    <t>GGGAATGCCTGGGTCAGAGCTCTGGAGAAGAGCTGCTCAGTTAGGACCCAGAGGGAACCATGGAAACCCCAGCGCAGCTTCTCTTCCTCCTGCTACTCTGGCTCCCAGATACCACCGGAGCAAATGTGTTGACGCAGTCTCCAGGCGCCCTGTCTTTGTCTCCAGGGGATAGAGCCACCCTCTCCTGCAGGGCCAGTCAGAGTGTTACCAGCAACTTCTTAGCCTGGTACCAGCAGAAACCTGGCCAGGCTCCCAGGCTCCTCATCTATGGTGCATCCAGCAGGGCCCCTGGCATCCCAGACAAGTTCACTGGCACTGGGTCTGGGACAGACTTCACTCTCACCATCAGCAGACTGGAGCCTGAAGATGTTGCAGTGTATTACTGTCAGCGATATGGTAGCTCACTCTG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</si>
  <si>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ACCTCCCTCTACTGATGAAAACCAACCGAACCCTGACCCTGCAGCTCTGAGAGAGGAGCCTTAGCCCTGGATTCCAAGGCCTATCCACTTGGTGATCAGCACTGAGCACCGAGGATTCACCATGGAACTGGGGCTCCGCTGGGTTTTCCTTGTTGCTATTTTAGAAGGTGTCCAGTGTGAGGTGCAGCTGGTGGAGTCTGGGGGAGGCCTGGTCAAGCCTGGGGGGTCCCTGAGACTCTCCTGTGTAGCCTCTGGATTCGACTTCAGTAGATCTATCATGAACTGGGTCCGCCAGGCTCCAGGGCAGGGGCTGGAATGGGTCTCAAATATCAGTAGTAGTAGTAGTTTCATATACTACGCAGACTCAGTGAAGGGCCGATTCACCATCTCTAGAGACAACGCCAAGAAATCATTGTATCTGCAAATGGACAGCCTGAGAGCCGAGGACACGGCTGTGTATTATTGTGCGAGAGACCTCCAGTACCAGATGCTATATATTGATGCTTTTGATCTCTGGGGCCAAGGGACAATGGTCACCGTCTCTTCAGCCTCCACCAAGGGCCCATCGGTCTTCCCCCTGGCACCCTCCTCCAAGAGCACCTCTGGGGGCACAGCGGCCCTGGGCTGCCTGGTCAAGGACTACTTCCCCGAACCGGTGACGGTGTCGTGGAACTCAGGCGCCCTGACCAGCGGCGTGCACACCTTCCCGGCTGTCCTACAGTCCTCAGGA</t>
  </si>
  <si>
    <t>TGGGAGAGCTCTGGGGAGGAACTGCTCAGTTAGGACCCAGACGGAACCATGGAAGCCCCAGCGCAGCTTCTCTTCCTCCTGCTAGTCTGGCTCCCAGATACCACTGGAGAAATAGTGATGACGCAGTCTCCAGCCACCCTGTCTGTGTCTCCAGGGGAAAAAGCCACCCTCTCCTGCAGGGCCAGTCAGAGTGTTAGGAGCAACTTAGCCTGGTACCAGCAGAAACCTGGCCAGGCTCCCAGGCTCCTCATCTATGGTGCATCCACCAGGGCCACTGGTATCCCAGCCAGGTTCAGTGGCAGTGGGTCTGGGACAGAGTTCACGCTCACCATCAGCAGCCTGCAGTCTGAAGATTTTGCAGTTTATCACTGTCAGCAGTATAATAAGTGGCCTCAGACGTTCGGCCAAGGGACCAAGGTGGAAGTCAAACGAACTGTGGCTGCACCATCTGTCTTCATCTTCCCGCCATCTGATGAGCAGTTGAAATCTGGAACTGCCTCTGTTGTGTGCCTGCTGAATAACTTCTATCCCAGAGAGGCCAAAGTACAGTGGAAGGTGGATAACGCCCTCCAATCGGGTAACTCCCAGGAGAGTGTCACAGAGCAGGACAGCAAGGACAGCACCTACAGCCTCAGCAGCACCCTGACGCTGAGCAAAGCAGACTACGAGAA</t>
  </si>
  <si>
    <t>TGGGAGTGCTTTCTGAGAGTCATGGACCTCCTGCACAAGAACATGAAACACCTGTGGTTCTTCCTCCTCCTGGTGGCAGCTCCCAGATGGGTCCTGTCCCAGGTGCACCTACAGCAGTGGGGCGCAGGACTGGTGAAGCCTTCGGAGACCCTGTCCATTACCTGCGGTGTCTTTGGTGGGTCCTTCAGAGATCACTACTGGAGCTGGATTCGCCAGATCTCAGGGAAGGGGCTGGAGTGGATTGGGGAAATCAATCATAGTGGAAGCACCAACTACAACCCGTCCCTCAAGAGTCGAGTCACCATGTCAATAGACACGTCCAAGAACCAGTTCTCCCTGAAGCTGAGCTCTGTGACCGCCGCGGACACGGCTGTGTATTACTGCGCGAGAGGACCACAATTTTTGGAGTCATTATTAATATCGTTGGAACCCTTCGACCCCTGGGGCCAGGGAACCCTGGTCACCGTCTCCTCAGCTTCCACCAAGGGCCCATCGGTCTTCCCCCTGGCGCCCTGCTCCAGGAGCACTTCCGAGAGCACAGCGGCCCTGGGCTGCCTGGTCAAGGACTACTTCCCCGAACCGGTGACGGTGTCGTGGAACTCAGGCGCCCTGACCAGCGGCGTGCACACCTTCCCGGCTGTCCTACAGTCCTCAGGAC</t>
  </si>
  <si>
    <t>TTGGGGGGCAGATTGTCTCTGCAGCTGCAAGCCCAGCACCCGCCCCAGCTGCTTTGCATGTCCCTCCCAGCCGCCCTGCAGTCCAGAGCCCATATCAATGCCTGGGTCAGAGCTCTGGAGAAGAGCTGCTCAGTTAGGACCCAGAGGGAACCATGGAAACCCCAGCGCAGCTTCTCTTCCTCCTGCTACTCTGGCTCCCAGATACCACCGGAGATGTTGTGTTGACGCAGTCTCCAGGCACCCTGTCTTTGTCTCCAGGGGAAAGAGCCACCCTCTCCTGCAGGGCCAGTCAGAGTATTGGCAGCTTCTACTTAGCCTGGTACCAGCAGAAACCTGGCCAGCCTCCCAGGCTCCTCATCTCTGGTGCATCCACCAGGGCCACTGCCATCCCAGACAGGTTCAGTGGCAGTGGGTCTGGGACAGACTTCACTCTCACCATCAGCAGACTGGAGCCTGAAGATTTTGCAGTGTATTACTGTCAGCAGTATCATAGGTCACCCGT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</si>
  <si>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CCCAAAAACCACACCCCTCCTTGGGAGAATCCCCTAGATCACAGCTCCTCACCATGGACTGGACCTGGAACATCCTTTTCTTGGTGGCAGCAGCAACAGGTGCCCACTCCCAGGTTCAGCTGGTGCAGTCTGGAGGTGAGGTGAAGAAGCCTGGGGCCTCAGTGAAGGTCTCCTGCAAGGCTTCTGGTTACACCTTTAGCAGATATGGTATCGGCTGGGTGCGACAGGCCCCTGGACAAGGGCTTGAGTGGATGGGATGGATCAGCCCTTACAATGGTGACACAGACTATGCTCAGAAGTTCCAGGGCAGAGTCACTATGACTACAGACACATCCACGACCACAGCCTACATGGAGCTGAGGAGCCTGAGATCTGACGACACGGCCGTGTATTATTGTGCGAGAGTTATCAGTATGATTCGGGGAGGCTGGTTCGACTTCTGGGGCCAGGGAATCCTGGTCACCGTCTCCTCAGCCTCCACCAAGGGCCCATCGGTCTTCCCCCTGGCACCCTCCTCCAAGAGCACCTCTGGGGGCACAGCGGCCCTGGGCTGCCTGGTCAAGGACTACTTCCCCGAACCGGTGACGGTGTCGTGGAACTCAGGCGCTCTGACCAGCGGCGTGCACACCTTCCCGGCTGTCCTACAGTCCTCAGGACTCTACTCCCTCAGCAGCGTGGTGACCGTGCCCTCCAGCAGCTTGGGCACCCAGACCTACATCTGCAACGTGAATCACAAGCCCAGCAACACCAAGGTGG</t>
  </si>
  <si>
    <t>TGGGGGAGAGCTCTGGAGAAGAGCTGCTCAGTTAGGACCCAGAGGGAACCATGGAAACCCCAGCGCAGCTTCTCTTCCTCCTGCTACTCTGGCTCCCAGATTCCACCGGAGAAATTGTGTTGACGCAGTCTCCAGGCACCCTGTCTTTGTCTCCAGGGGAAACTGCCGCCCTCTCCTGCAGGGCCAGTCAGAGTGTTACGAGCAACTACATAGCCTGGTACCAGCAGAGACCTGGCCAGGCTCCCAGGCTCCTCATCTATGGTGCATCCAGCAGGGCCACTGGCATCCCAGACAGGTTCAGTGGCAGTGGGTCTGGGACAGACTTCAGTCTCACCATCAGCAGACTGGAGCCTGAAGATTTTGCAGTTTATTACTGTCAGCAGTATGGTAACTCACCATTCACTTTCGGCCCTGGGACCAAAGTGGATATCAAACGAACTGTGGCTGCACCATCTGTCTTCATCTTCCCGCCATCTGATGAGCAGTTGAAATCTGGAACTGCCTCTGTTGTGTGCCTGCTGAATAACTTCTATCCCAGAGAGGCCAAAGTACAGTGGAAGGTGGATAACGCCCTCCAATCGGGTAACTCCCAGGAGAGTGTCACAGAGCAGGACAGCAAGGACAGCACCTACAGCCTCAGCAGCACCCTGACGCTGAGCAAAGCAGACTACGAGAA</t>
  </si>
  <si>
    <t>GGAGCATCACCCAGCAACCACATCTGTCCTCTAGAGAATCCCCTGAGAGCTCCGTTCCTCACCATGGACTGGACCTGGAGGATCCTCTTCTTGGTGGCAGCAGGCACAGGAGCCCACTCCCAGGTGCAGTTGGTGCAGTCTGGGGCTGAGGTGAAAAAGCCTGGGGCCTCAGTAAAGGTCTCCTGCAAGGCTTCTGGATACAAATTCATCGGCTACTATATGCATTGGGTGCGGCAGGCCCCTGGACAAGGGCTTGAATGGATGGGAAGGATCAACCCTAACAGTGGTGCCGCAGACTATGCAGGGAAGTTTCAGGGCAGGGTCACCATGACCAGGGACCCGTACATCAGCACAGCCCACATGGAGCTGAGTAGGCTGCGAACTGACGACACGGCCCTTTATTATTGTGCGCGAGCAATTAATCATGATTACAGTGGTTACTTCGGCTGGTTCGACTCCTGGGGCCAGGGAACCCTGCTTCTCGTCTCTTCAGCCTCCACCAAGGGCCCATCGGTCTTCCCCCTGGCGCCCTGCTCCAGGAGCACCTCTGGGGGCACAGCGGCCCTGGGCTGCCTGGTCAAGGACTACTTCCCCGAACCGGTGACGGTGTCGTGGAACTCAGGCGCCCTGACCAGCGGCGTGCACACCTTCCCGGCTGTCCTACAGTCCTCAGGA</t>
  </si>
  <si>
    <t>GGCCTCCAGGCCACGACCAGCTGTTTGGATTTTATAAACGGGCCGTTTGCATTGTGAACTGAGCTACAACAGGCAGGCAGGGGCAGCAAGATGGTGTTGCAGACCCAGGTCTTCATTTCTCTGTTGCTCTGGATCTCTGGTGCCTACGGGGACATCGTGATGACCCAGTCTCCAGACTCCCTGGCTGTGTCTCTGGGCGAGAGGGCCACCATCAAGTGCAAGTCCAGCCAGAGTATTTTATACAACTCCAACAATAAGAACTACTTAGCTTGGTACCAGCATAAACCAGGACAGCCTCCTAAGCTCCTCATTTACTGGGCATCTACCCGGGAATCCGGGGTCCCTGACCGATTCAGTGGCAGCGGGTCTGGAACAGATTTCACTCTGACCATCACCAGCCTGCAGGCTGCAGATGTGGCAGTTTATTACTGTCAGCAATATTATACTGCTCCGTA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</si>
  <si>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AGCTCTGAGAGAGGAGCCCAGCCCTGGGATTTTCAGGTGTTTTCATTTGGTGATCAGGACTGAACAGAGAGAACTCACCATGGAATTTGGGCTGAGCTGGCTTTTTCTTGTGGCTATTTTAAAAGGTGTCCAGTGTGAGGTGCAACTGTTGGAGTCTGGGGGAGGCCTGGCACAGCCTGGGGGGTCCCTGAGACTCTCCTGTGCAGCCTCTGGATTCCCCTTTAGCAGCTTTGCCATGAGCTGGGTCCGCCAGTCTCCAGGGAAGGGGCTGGAGTGGGTCGCAACCATTACTGGTAGTCCTGCTATGACATTCCACTCAGGTTCCGTGAGGGGCCGATTCACCATCTCCAGAGACAGTTCCAAGAACAGACTATATCTGCAAATGAGCAGCCTGAGAGCCGAGGACACGGCCGTATATTTCTGTGCGGCTTGCGGGCCTTATTACGATTTCTGGAGTGGCAAATCTCCCTGGGACTCCTGGGGCCAGGGAACCCTGGTCACCGTCTCCTCAGCCTCCACCAAGGGCCCATCGGTCTTCCCCCTGGCGCCCTGCTCCAGGAGCACCTCTGGGGGCACAGCGGCCCTGGGCTGCCTGGTCAAGGACTACTTCCCCGAACCGGTGACGGTGTCGTGGAACTCAGGCGCCCTGACCAGCGGCGTGCACACCTTCCCGGCTGTCCTACAGTCCTCAGGACTCTACTCCCTCAGCAGCGTGGTGACCGTGCCCTCCAGCAGCTTGGGCACCCAGACCTACA</t>
  </si>
  <si>
    <t>ATCTGGGGAGAGCTCTGGAGAAGAGCTGCTCAGTTAGGACCCAGAGGGAACCATGGAAACCCCAGCGCAGCTTCTCTTCCTCCTGCTACTCTGGCTCCCAGATACCACCGGAGAAATTGTGTTGACACAGTCTCCAGGCATCCTGTCTTTGTCTCCAGGGGACGGAGCCACCCTCTCCTGCAGGGCCAGTCAGAGTGTTGGCAGCAACTACTTAGCCTGGTACCAGAAAAAACCTGGCCAGGCTCCCAGGCTCCTCATCTATGGTACATTGAACAGGGCCACTGGCACCCCAGACAGGTTCGGTGGCAGTGGGTCTGGGACAGACTTCACTCTCACCATCAGCAGACTGGAGCCTGAAGATTTTGCAGTGTATTACTGTCAGCAATATGAAACTTCTTCGT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</si>
  <si>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CATCACATAACAACCAGATTCCTCCTCTAAAGAAGCCCCTGGGAGCACAGCTCATCACCATGGACTGGACCTGGAGGTTCCTCTTTGTGGTGGCAGCTGCTACAGGTGTGCAGTCCCAGGTCCAGCTGATGCAGTCTGGGGCTGAGGTGAAGAGGCCTGGGTCCTCGGTGAAGGTCTCTTGCAAGACTTCTGGAGGCACCTTCAGCAGATTTTCCATCAACTGGGTGCGACAGGCCCCTGGACAAGGGCTTGAGTGGATGGGAAGGATCATCCCAACCCTTAAAATGCTAAACCACGCACAGAGATTTCAGGGCAGACTCACGATCACCGCGGACGAATCCACGAGGACAGCCTTCATGGAGTTGAGCGGCCTGACATCTGAGGACACGGCCATCTATTTCTGTGCGCTAGAGATGGGCACAATTGACGACAACTGGGGCCAGGGAACGCTGGTCACCGTCTCCTCAGCCTCCACCAAGGGCCCATCGGTCTTCCCCCTGGCACCCTCCTCCAAGAGCACCTCTGGGGGCACAGCGGCCCTGGGCTGCCTGGTCAAGGACTACTTCCCCGAACCGGTGACGGTGTCGTGGAACTCAGGCGCTCTGACCAGCGGCGTGCACACCTTCCCGGCTGTCCTACAGTCCTCAGGACTCTACTCCCTCAGCAGCGTGGTGACCGTGCCCTCCAGCAGCTTGGGCACCCAGACCTACATCTGCAACGTGAATCACAAGCCCAGCAACACCAAGGTGGAC</t>
  </si>
  <si>
    <t>TGTTCATTTCTTATATGGGGAATCAGACCCAGTCAGGACACAGCATGGACATGAGAGTCCTCGCTCAGCTCCTGGGGCTCCTGCTGCTCTGTTTCCCAGGTGCCAGATGTGACATCCAGATGACCCAATCTCCATCCTCACTGTCTGCATCTGTAGGAGACAGAGTCACCATCACTTGTCGGGCGAGTCAGGACATTAGCAATTATTTGGCCTGGTTTCAGCAGAAACCAGGGAAAGCCCCTAAGTCCCTGATCTATGCTGCATCCCGTTTGAAAAGTGGGGTCCCATCAAAGTTCAGCGGCAGTGGATCTGGGACAGATTTCACTCTCACCATCAGCAGCCTGCAGCCTGAAGATGTTGCAACTTATTACTGCCAACAGTATAGTAGTTACCCTCTCACTTTCGGCGGAGGGACCAAGGTGGAGATCAGACGAACTGTGGCTGCACCATCTGTCTTCATCTTCCCGCCATCTGATGAGCAGTTGAAATCTGGAACTGCCTCTGTTGTGTGCCTGCTGAATAACTTCTATCCCAGAGAGGCCAAAGTACAGTGGAAGGTGGATAACGCCCTCCAATCGGGTAACTCCCAGGAGAGTGTCACAGAGCAGGACAGCAAGGACAGCACCTACAGCCTCAGCAGCACCCTGACGCTGAGCAAAGCAGACTACGAGAA</t>
  </si>
  <si>
    <t>TGGGGAGGTCTCAGAGAGGAGCCTTAGCCCTGGACTCCAAGGCCTTTCCACTTGGTGATCAGCACTGAGCACAGAGGACTCACCATGGAGTTGGGGCTGAGCTGGGTTTTCCTTGTTGCAATTTTAGAAGGTGTCCAGTGTGAGGTGCAGCTGGTGGAGTCTGGGGGAGGCTTGGTCCAGCCTGGGGAGTACCTGAGACTCTCCTGTGTCGCCTCTGGATTCACCTTTAGTAACTATTGGATGACCTGGGTCCGCCAGGGACCAGGGAAGGGGCTGGAGTGGGTGGCCAGCATAAAGGAAGATGGAACTGAGAAATACTATGTGGACTCTGTGAAGGGCCGATTCACCATCTCCAGAGACAACGCCAAGAACTCACTGTATCTGCAAATGAACAGCCTGAGAGCCGAGGACACGGCTGTCTATTATTGTGCGAGAGATGTAGAGGGGGACATTGTCGTGGTGACTGCTACCCTTGACTACTGGGGCCAGGGAGCCCTGGTCTCCGTCTCCGCAGCTTCCACCAAGGGCCCATCGGTCTTCCCCCTGGCGCCCTGCTCCAGGAGCACCTCCGAGAGCACAGCCGCCCTGGGCTGCCTGGTCAAGGACTACTTCCCCGAACCGGTGACGGTGTCGTGGAACTCAGGCGCCCTGACCAGCGGCGTGCACACCTTCCCGGCTGTCCTACAGTCCTCAGGACTCTACTCCCTCAGCAGCGTGGTGACCGTGCCCTCCAGCAGCTTGGGCACCCAGACCTACACCTGCAACGTGAATCACAAGCCCAGCAACACCAAGGTGGAC</t>
  </si>
  <si>
    <t>GAATGCCTGGGTCAGAGCTCTGGGGAGGAACTGCTCAGTTAGGACCCAGACGGAACCATGGAAGCCCCAGCGCAGCTTCTCTTCCTCCTGCTAGTCTGGCTCCCAGATACCACTGGAGAAATATTGATGACGCAGTCTCCAGCCACCCTGTCTGTGTCTCCAGGGGAAAGAGCCACCCTCTCCTGCAGGGCCAGTCAGAGTGTTAGCAGCAACTTAGCCTGGTACCAGCAGAAACCTGGCCAGGCTCCCAGGCTCCTCATCTATGGTGCATCCACCAGGGCCACTGGTATCCCAGCCAGGTTCAGTGGCAGTGGGTCTGGGACAGAGTTCACTCTCACCATCAGCAGCCTGCAGTCCGAAGATTTTGCACTTTATTACTGTCAGCAGTATAATAACTGGCCTCGGTACACTTTTGGCCAGGGGACCAG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</si>
  <si>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GGTCTCAGAGAGGAGCCTTAGCCCTGGACTCCAAGGCCTTTCCACTTGGTGATCAGCACTGAGCACAGAGGACTCACCATGGAGTTGGGGCTGAGCTGGGTTTTCCTTGTTGCTATTTTAGAAGGTGTCCACTGTGAGGTGCAGTTGGTGGAGTCTGGGGGAGGCTTGGTCCAGCCTGGGGGGTCCCTGAGACTCTCCTGTGTAGCCTCTGGATTCACTTTTAGTACCTATTGGATGAGCTGGGTCCGCCAGGCTCCAGGGAAGGGGCTGGAGTGGGTGGCCAACATAAAGGAAGATGGAAGTGAGAAATATTATGTGGACTCTGTGAAGGGCCGATTCACCATCTCCAGAGACAATGCCAAGAATTCACTGTATCTGCAAATGAACAGCCTGACAGCCGAGGACACGGCTGTGTATTACTGTGCCAGAGATCAGGAAGATACAGTAGTACTACCAGATGCCATGGACGTCTGGGGCAAAGGGACCACGGTCACCGTCTCCTCAGCTTCCACCAAGGGCCCATCGGTCTTCCCCCTGGCGCCCTGCTCCAGGAGCACTTCCGAGAGCACAGCGGCCCTGGGCTGCCTGGTCAAGGACTACTTCCCCGAACCGGTGACGGTGTCGTGGAACTCAGGCGCCCTGACCAGCGGCGTGCACACCTTCCCGGCTGTCCTACAGTCCTCAGGACTCTACTCCCTCAGCAGCGTGGTGACCGTGCCCTCCAGCA</t>
  </si>
  <si>
    <t>TTGGGGAGAGCTCTGGGGAGGAACTGCTCAGTTAGGACCCAGACGGAACCATGGAAGCCCCAGCGCAGCTTCTCTTCCTCCTGCTAGTCTGGCTCCCAGATACCACTGGAGAAATAGTGATGACGCAGTCTCCAGCCACCCTGTATGTGTCTCCAGGGGAAAGCGCCACTCTCTCCTGCAGGGCCAGTCAGAGTGTTAGTAGTAGCTTAGCCTGGTACCAGCAGAAACCTGGCCAGGCTCCCAGGCTCCTCATCCATGGTGTATCCACCAGGGCCACTGGTATCCCAGCCAGGTTCCGTGGCAGTGGGTCTGGGACAGAGTTCACTCTCACCATCAGCAGCCTGCAGTCTGAAGATTTTGCAGTTTATTACTGTCACCAGTATAATGACTGGCCTCGGTA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</si>
  <si>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AGGTTCCAGCTCACATGGGAAATACTTTCTGAGAGTCCTGGACCTCCTGTGCAAGAACATGAAACATCTGTGGTTCTTCCTTCTCCTGGTGGCAGCTCCCAGATGGGTCCTGTCCCAGGTGCAGCTGCAGGAGTCGGGCCCTGGGCTGGTGAAGCCTTCGGAGACCCTGTCCCTCACCTGCACTATCTCTGGTGGCTCCATGAGTACTTATTACTGGAACTGGATTCGGCAGTCCCCAGGGAAGGGACTGGAGTGGATTGGGTATATCTATTACAGTGGGAGCCCCAACTACAACCCCTCCCTCAAGAGTCGAGTCACCATATCAGTAGACACGTCCAAGAACCAGTTCTCCCTGAAGATGACCTCTGTGACCGCTGCGGACACGGCCGATTATTACTGTGCGAGAGCCCCTCGGGGGTATAATGGCCAGTCTTATTATTATTATGGTATGGACGTCTGGGGCCAGGGGACCACGGTCACCGTCTCCTCAGCCTCCGCCAAGGGCCCATCGGTCTTCCCCCTGGCACCCTCCTCCAAGAGCACCTCTGGGGGCACAGCGGCCCTGGGCTGCCTGGTCAAGGACTACTTCCCCGAACCGGTGACGGTGTCGTGGAACTCAGGCGCCCTGACCAGCGGCGTGCACACCTTCCCGGCTGTCCTACAGTCCTCAGGACTCTACTCCCTCAGCAGCGTGGTGACCGTGCCCTCCAGCAGCTTGGGCACCCAGACCTACACCTGCAACGTGAATCACAAGCCCAGCAACACCAAGGTGGACA</t>
  </si>
  <si>
    <t>TGGGGCTGGGCCTCAGGAAGCAGCATCGGAGGTGCCTCAGCCATGGCATGGATCCCTCTCTTCCTCGGCGTCCTTGCTTACTGCACAGGATCCGTGGCCTCCTATGAACTGACTCAGCCACCCTCAGTGTCCGTGCCCCCAGGACAGACAGCCAGCATCACCTGCTCTGGAGAAAAATTGGGGGATGAATATGTTTGGTGGTATCAGAAGAAGCCAGGCCAGTCCCCTGTGGTGGTCATCCTTCAAGATAACAAGCGGCCCTCAGGGATCCCTGAGCGATTCTCTGGCTCCAACTCTGGGAACACAGCCACTCTGACCATCAGCGGGACCCAGGCTATGGATGAGGCTGACTATTATTGTCAGATGTGGGACAGCAGAAATGT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</si>
  <si>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GGGGAGCTCTGAGAGAGGAGCCTTAGCCCTGGATTCCAAGGCCTATCCACTTGGTGATCAGCACTGAGCACCGAGGATTCACCATGGAACTGGGGCTCCGCTGGGTTTTCCTTGTTGCTATTTTAGAAGGTGTCCAGTGTCAGGTGCACCTGGTGGAGTCTGGGGGAGGCCTGGTCAAGCCTGGGGGGTCCCTGAGACTCTCCTGTGCAGCCTCTGGATTCACCTTCAGTTCCTATAGCATGAACTGGGTCCGCCAGGCTCCAGGGAAGGGGCTGGAGTGGGTCTCATCCATTAGTAGTCGTGGTACTTACATAGACTACACAGGCTCAGTGAAGGGCCGATTCACCATCTCCAGAGACAACGCCAAGAACTCACTGTTTCTGCAAATGAACAACCTGAGAGCCGAGGACACGGCTGTCTATTATTGTGCGAGAGATTACTATCATCCTAGTGGTTATTTATTTATAGATGCTTTTGATATCTGGGGCCAAGGGACAATGGTCACCGTCTCTTCAGCCTCCACCAAGGGCCCATCGGTCTTCCCCCTGGCACCCTCCTCCAAGAGCACCTCTGGGGGCACAGCGGCCCTGGGCTGCCTGGTCAAGGACTACTTCCCCGAACCGGTGACGGTGTCGTGGAACTCAGGCGCCCTGACCAGCGGCGTGCACACCTTCCCGGCTGTCCTACAGTCCTCAGGAC</t>
  </si>
  <si>
    <t>TGGGGAGAGCTCTGGGGAGGAACTGCTCAGTTAGGACCCAGACGGAACCATGGAAGCCCCAGCGCAGCTTCTCTTCCTCCTGCTAGTCTGGCTCCCAGTTTCAGATACCGCTGGAGAAATAGTGCTGACGCAGTCTCCAGCCACCCTGTCTGTGTCTCCAGGGGAAAGAGCCACCCTCTCCTGCAGGGCCAGTCAGACTGTTAGCAGCAACTTAGCCTGGTACCAGCAGAAACCTGGCCAGGCTCCCAGGCTCCTCATCTATGGTGCATCCACCAGGGCCACTGGTATCCCAGCCAGGTTCAGTGGCAGTGGGTCTGGGACAGAGTTCACTCTCACCATCAACAGCCTGCAGTCTGAAGATTTTGCAGTTTATTACTGTCAGCAGTATAATAAGTCGCCTCCAGT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</si>
  <si>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GGAAATTCAGGTTCCAGCTCACATGGGAAATACTTTCTGAGAGTCCTGGACCTCCTGTGCAAGAACATGAAACATCTGTGGTTCTTCCTTCTCCTGGTGGCAGCTCCCAGATGGGTCCTGTCCCAGGTACACCTACAGGAGTCGGGTCCAGGACTGGTGAAGCCTTCGGAGACCCTGTCCCTCACCTGCACTGTCTCTGGTGGCTCCTTGAGTACTTACTACTGGACCTGGATCCGGCAGTCCCCAGGGAAGGGACTGGAATACATTGGATATATCTATTATAGTGCGACCCCCAAGTACAACCCCTCCCTCATGAATCGAGCCACCATATCAGTAGACACGTCCAAGAACCAGTTGTCCCTGAAACTGAACTCTGTGACCGCTGCGGACACGGCCATCTATTACTGTGCGAGAGCCCCTCGGGGGTACAGTGGCCGCTCTTACTACTACTACGCCATAGACGTCTGGGGCCGAGGGACCACGGTCACCGTCTCT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</t>
  </si>
  <si>
    <t>GCTTCTCTGGAAACCACACAGCTCCTCCTGCAGCAGCCCCTGACTGCTGATTTGCATCACGGGCCGCTCTTTCCAGCAAGGGGATAAGAGAGGCCTGGAAGAACCTGCCCAGCCTGGGCCTCAGGAGGCAGCATCGGAGGTGCCTCAGCCATGGCATGGATCCCTCTCTTCCTCGGCGTCCTTGCTTACTGCACAGGATCCGTGGCCTCCTATGAACTGACTCAGCCACCCTCAGTGTCCGTGTCCCCGGGACAGACAGCCAGCATCACCTGCTCTGGAGATGAATTGGGAGATGAATATGTTTCCTGGTATCAACAGAGGCCAGGCCAGTCCCCTGTCCTGGTCATCTCTCGAGATAACAAGCGGCACTCAGGGATCCCTGAGCGATTCTCTGGCTCCAACTCTGGGAACACAGCCACTCTGACCATCAGGGGGACCCAGGCTTTGGATGAGGCTGACTATTACTGTCAGACGTGGGACAATGACATTGTGTTCTTCGGCGGTGGGACCAAGTTGACCGTCCTAGGTCAGCCCAAGGCTGCCCCCTCGGTCACTCTGTTCCCGCCCTCCTCTGAGGAGCTTCAAGCCAACAAGGCCACACTGGTGTGTCTCATAAGTGACTTCTACCCGGGAGCCGTGACAGTGGCCTGGAAGGCAGATAGCAGCCCCGTCAAGGCGGGAGTGGAGACCACCACACCCTCCAAACAAAGCAACAACAAGTACGCGGCCAGCAGCTATCTGAGCCTGACGCCTGAGCAGTGGAAGTCCCACA</t>
  </si>
  <si>
    <t>TGGGGGAGAGAGGAGCCTTAGCCCTGGATTCCAAGGCCTATCCACTTGGTGATCAGCACTGAGCACCGAGGATTCACCATGGAACTGGGGCTCCGCTGGGTTTTCCTTGTTGCTATTTTAGAAGGTGTCCAGTGTGAAGTGCAGCTGGTGGAATCTGGGGGAGGCCTGGTCAAGCCTGGGGGGTCCCTGAGACTCTCCTGTGAAGCCTCTGGATTCACCTTCAGCACCTATAGCATGAATTGGGTCCGCCAGGCTCCAGGGAAGGGGCTGGAGTGGGTCTCATCCATTACTAGTCGCGGTAGTTACATACACTACGCAGACTCAGTGCAGGGCCGATTCACCATCTCCAGAGACAACGCCAAGAACTCACTGTATCTGCAAATGAACAGCCTGAGAGCCGAGGACACGGCTGTCTATTACTGTGCGAGAGATTTCTATCATAGTAGTGGTTATCTCTACTTTAATGCTTTTGATGTCTGGGGCCAAGGGACAACGGTCACCGTCTCTTCAGCCTCCACCAAGGGCCCATCGGTCTTCCCCCTGGCACCCTCCTCCAAGAGCACCTCTGGGGGCACAGCGGCCCTGGGCTGCCTGGTCAAGGACTACTTCCCCGAACCGGTGACGGTGTCGTGGAACTCAGGCGCTCTGACCAGCGGCGTGCACACCTTCCCGGCTGTCCTACAGTCCTCAGGA</t>
  </si>
  <si>
    <t>TGGGAGAGCTCTGGGGAGGAACTGCTCAGTTAGGACCCAGACGGAACCATGGAAGCCCCAGCGCAGCTTCTCTTCCTCCTGCTAGTCTGGCTCCCAGATACCACTGGAGAAATAGTGATGACGCAGTCTCCAGCCACCCTGTCTGTGTCTCCAGGGGAAAGAGCCACCCTCTCCTGCAGGGCCAGTCAGAGTGTTAGCATCAACGTAGCCTGGTACCAGCAGAAACCTGGCCAGGCTCCCAGGCTCCTCATCTATGGTGCATCCACCAGGGCCACTGGTTTCCCAGCCAGGTTCAGTGGCAGTGGGTCTGGGACAGAGTTCACTCTCACCATCAGCAGCCTGCAGTCTGAAGATTTTGCAGTTTATTACTGTCAGCAGTATCATAATCGGCCTCCGTG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</si>
  <si>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AGCTCTGAGAGAGGAGCCCAGCCCTGGGATTTTCAGGTGTTTTCATTTGGTGATCAGGACTGAACAGAGAGAACTCACCATGGAGTTTGGGCTGAGCTGGCTTTTTCTTGTGGCTATTTTAAAAGGTGTCCAGTGTGAGGTGCTGCTATTGGAGTCTGGGGGAGACTTGATACAGCCTGGGGGGTCCCTGAGACTCTCCTGTGCAGCCTCTGGATTCCCCTTTAGCCCCTATGCCATGAGTTGGGTCCGCCAGGCTCCAGGGAAGGGCCTGGAGTGGGTCTCAACTATTAGTGGTAGTGGTACTATCACATACTTCGCAGACTCCGTGAGGGGCCGGTTCACCATCTCCAGAGACAATTCCAAGAATACTCTGTATCTGCAAATGAGGAGCCTGAGAGCCGAGGACACGGCCGTATATTACTGTGCGGCTTGCGGGCCGTATTACGATTTTTGGAGTGGCAAATCTCCCTGGGACTACTGGGGCCAGGGAACGCTGGTCACCGTCTCCTCAGCCTCCACCAAGGGCCCATCGGTCTTCCCCCTGGCGCCCTGCTCCAGGAGCACTTCCGAGAGCACAGCGGCCCTGGGCTGCCTGGTCAAGGACTACTTCCCCGAACCGGTGACGGTGTCGTGGAACTCAGGCGCCCTGACCAGCGGCGTGCACACCTTCCCGGCTGTCCTACAGTCCTCAGGACTCTACTCCCTCAGCAGCGTGGTGACCGTGCCCTCCAGCA</t>
  </si>
  <si>
    <t>AGAGCCCATATCAATGCCTGGGTCAGAGCTCTGGAGAAGAGCTGCTCAGTTAGGACCCAGAGGGAACCATGGAAACCCCAGCGCAGCTTCTCTTCCTCCTGCTACTCTGGCTCCCAGATACCACCGGAGAAATTGTGTTGACGCAGTCTCCAGGCACCCTGTCTTTGTCTCCAGGGGAAAGAGCCACCCTCTCCTGCAGGGCCAGTCAGAGTGTTAGCAGCAGCTCCTTAGCCTGGTACCAGCACAAACCTGGCCAGGCTCCCAGGCTCCTCATCTATGGTGCATTCAACAGGGCCACTGGCATCCCAGACAGGTTCAGTGGCAGTGGGTCTGGGACAGACTTCACTCTCACCATCAGCAGACTGGAGCCTGAAGATTTTGCAGTGTATTACTGTCAGCAGTATGGTAGCTCACCGT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</si>
  <si>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CCCAAAAACCACACCCCTCCTTGGGAGAATCCCCTAGATCACAGCTCCTCACCATGGACTGGACCTGGAGCATCCTTTTCTTGGTGGCAGCAGCAACAGGTGCCCACTCCCAGGTTCAGCTGGTGCAGTCTGGAGCTGAGGTGAAGAAGCCTGGGGCCTCAGTGAAGGTCTCCTGCAAGGCTTCTGGTTACACCTTTACCCGCTATGGTATCAACTGGGTGCGACAGGCCCCTGGACAAGGGCTTGAGTGGATGGGAAGGATCAGCGCTTACAATGGTGACACAAACTATGCACAGAAGCTCCAGGGCAGAGTCACCATGACCACAGACACATCCACGAACACAGCCTACATGGAGCTGAGGAGCCTGAGATCTGACGACACGGCCGTATATTACTGTGCGAGAGATCTGGGGATGGTCTACCACTACTACATGGACGTCTGGGGCAAAGGGACCACGGTCACCGTCTCCTCAGCCTCCACCAAGGGCCCATCGGTCTTCCCCCTGGCACCCTCCTCCAAGAGCACCTCTGGGGGCACAGCGGCCCTGGGCTGCCTGGTCAAGGACTACTTCCCCGAACCGGTGACGGTGTCGTGGAACTCAGGCGCCCTGACCAGCGGCGTGCACACCTTCCCGGCTGTCCTACAGTCCTCAGGA</t>
  </si>
  <si>
    <t>TGGGGAGAGCTCTGGAGAAGAGCTGCTCAGTTAGGACCCAGAGGGAACCATGGAAACCCCAGCGCAGCTTCTCTTCCTCCTGCTACTCTGGCTCCCAGATACCACCGGAGAAATTGTGTTGACGCAGTCTCCAGGCACCCTATCTTTGTCTCCAGGGGAAAGAGCCACCCTCTCCTGCAGGGCCAGTCAGAGTGTTAGCAGCAACTACTTAGCCTGGTACCAGCAAAAACCTGGCCAGGCTCCCAGGCTCCTCATCTATGGTGCATCCAGCAGGGCCACTGGCATCCCAGACAGGTTCAGTGGCAGTGGGTCTGGGACAGACTTCACTCTCACCATCAGCAGACTGGAGCCTGAAGATTTTGCTGTGTATTACTGTCATCAATATGGTAGCTCACC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</si>
  <si>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GGTGATCAGGACTGAACAGAGAGAACTCACCATGGAGTTTGGGCTGAGCTGGCTTTTTCTTGTGGCTATTTTAAAAGGTGTCCAGTGTGAGGTGCACCTGGTGGAGTCTGGGGGAGGCTTGGTACAGCCGGGGGGGTCCCTGAGACTCTCCTGTGCAGCCTCTGGATTCGCCTTTAACAACTATGCCATGAGCTGGGTCCGCCAGGCTCCAGGGAAGGGGCTGGAGTGGGTCTCAGGTATTACTGGTAGTGGTGGTACCCCATACTACGCAGACTCCGTGAAGGGCCGGTTCACCATCTCCAGAGACAATTCCAAGAACACGCTGTATCTGCAAATGAACAGCCTGAGAGCCGAGGACACGGCCGTTTATTACTGTGCGAAAGATTCCGATTTTTGGGGTAGTCCAAAATTTGACTACTGGGGCCAGGGAACGCTGGTCACCGTCTCCTCAGCCTCCACCAAGGGCCCATCGGTCTTCCCCCTGGCGCCCTGCTCCAGGAGCACTTCCGAGAGCACAGCGGCCCTGGGCTGCCTGGTCAAGGACTACTTCCCCGAACCGGTGACGGTGTCGTGGAACTCAGGCGCCCTGACCAGCGGCGTGCACACCTTCCCGGCTGTCCTACAGTCCTCAGGACTCTACTCCCTCAGCAGCGTGGTGACCGTGCCCTCCAGCAACTTCGGCACCCAGACCTACACCTGCAACGTAGATCACAAGCCCAGCAACACCAAGGTGGACA</t>
  </si>
  <si>
    <t>TGGGGAAGCTCTGCTTCAGCTG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TCAGCCTCAGCGTTGGTGTG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</si>
  <si>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GAGAGCATCACCCAGCAACCACATCTGTCCTCTAGAGAATCCCCTGAGAGCTCCGTTCCTCAACATGGACTGGACCTGGAGGATCCTCTTCTTGGTGGCAGCAGCCACAGGAGCCCACTCCCAGGTGCAGCTAGTGCAGTCTGGGGCTGAAGTGAAAAAGCCTGGGGCCTCAGTGAGGGTCTCCTGCAAGGCTTCTGGATACAGGTTCATCGCCTACTATATGCACTGGGTGCGACAGGCCCCTGGACAAGGGCCTGAGTGGATGGGATGGATTAACCCTAACAGTGGTGCCACAGAGTATGCACAGAAGTTTCAGGGCAGGGTCACCATGACCCGGGACCCGTCCATCAGCACAGCCTACATGGAGCTGACCAATCTGAGATCTGACGACACGGCCATATATTACTGTGCGAGAGTAAATAAGGATGATTATAGTGGGTATTTCGGCTGGTTTGACCCCTGGGGCCAGGGGACCCCGGTCACCGTCTCCTCAGCCTCCACCAAGGGCCCATCGGTCTTCCCCCTGGCACCCTCCTCCAAGAGCACCTCTGGGGGCACAGCGGCCCTGGGCTGCCTGGTCAAGGACTACTTCCCCGAACCGGTGACGGTGTCGTGGAACTCAGGCGCCCTGACCAGCGGCGTGCACACCTTCCCGGCTGTCCTACAGTCCTCAGGA</t>
  </si>
  <si>
    <t>TCTGGGGGAGCTACAACAGGCAGGCAGGGGCAGCAAGATGGTGTTGCAGACCCAGGTCTTCATTTCTCTGTTGCTCTGGATCTCTGGTGCCTACGGGGACATCGTGATGACCCAGTCTCCAGACTCCCTGGCTGTGTCTCTGGGCGCGAGGGCCACCGTCAACTGCAAGTCCAGCCGAAGTCTTTTATACACTTCCAACAGTAGGAACTACTTAGCTTGGTACCAGCAGAAAGCAGGACAGCCTCCTAAAGTGCTCATTTACTGGGCATCTACCCGACAATCCGGGGTCCCTGACCGATTCAGTGGCAGCGGGTCTGGGACAGATTTCACTCTCACCATCAGCAGCCTGCAGGCTGAAGATGTGGCAGTTTATTACTGTCAGCAATATTATACTACTCCGTAT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</si>
  <si>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GGGAGAGGAGCCCAGCACTGGGATTCCGAGGTGTTTCCATTCGGTGATCAGCACTGAACACAGAGGACTCACCATGGAGTTTTGGCTGAGCTGGGTTTTCCTTGTTACTATTTTAAAAGGTGTCCAGTGTGAGGTGCAGCTGGTGGAGTCTGGAGGAGGCCTGATCCAGCCGGGGGGGTCCCTGAGACTCTCCTGTGCAGCCTCTGGATTCAGCGTCAGTTTTAATTACATGAGCTGGGTCCGCCAGGCTCCAGGGAAGGGGCTGGAGTGGGTCTCAGTTATTTATAGCGCTGGTCGCACGTTCTACGTAGACTCCGTGAGGGGCCGATTCACCATCTCCAGAGACGATTCCAAGAACACCCTGTATCTTCAAATGAACAGCCTGAGAGCCGATGACACGGCCGTGTATTACTGTGCGGCCGTGAGCGGTCCCTATTATTACGGTATGGACGTCTGGGGCCAAGGGACCACAGTCGCCGTCTCCTCAGCCTCCACCAAGGGCCCATCGGTCTTCCCCCTGGCACCCTCCTCCAAGAGCACCTCTGGGGGCACAGCGGCCCTGGGCTGCCTGGTCAAGGACTACTTCCCCGAACCGGTGACGGTGTCGTGGAACTCAGGCGCCCTGACCAGCGGCGTGCACACCTTCCCGGCTGTCCTACAGTCCTCAGGACTCTACTCCCTCAGCAGCGTGGTGACCGTGCCCTCCAGCA</t>
  </si>
  <si>
    <t>TGGGGGCAGAAGTCTCTCTCAGTCCAGACACAGCATGGACATGAGGGCCCCCGCTCAGCTCCTGGGACTCCTGCTGCTCTGGCTCCCAGATACCAGATGTGACATCCAGATGACCCAGTCTCCATCCTCCCTGTCTGCATCTGTGGGAGACAGAGTCACCATCACTTGCCGGGCGAGTCAGGACATTAGGAATTATTTAGCCTGGTTTCAGCAGAAACCAGGAAAAGTTCCTAAGCTCCTGATCTATGTTGCATCCACTTTGCAATCAGGGGTCCCATCTCGGTTCAGTGGCAGTGGATCTGGGACAGATTTCACTCTCACCATCAGCAGCCTGCAGCCTGAAGATGTTGCAACTTATTACTGTCAAAAGTATGACAGTGCCCCG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</si>
  <si>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AGCTCTGAGAGAGGAGCCTTAGCCCTGGATTCCAAGGCCTATCCACTTGGTGATCAGCACTGAGCACCGAGGATTCACCATGGAACTGGGGCTCCGCTGGGTTTTCCTTGTTGCTATTTTAGAAGGTGTCCAGTGTGAGGTGCAGCTGGTGGAGTCTGGGGGAGGCCTGGTCAAGCCTGGGAGGTCCCTGAGACTCTCCTGTACAGCCTCTGAATTCACCTTCAGTAACTTTAGGATGCACTGGGTCCGCCAGGCTCCAGGGAGGGGGCTGGAGTGGATCTCATCCATTAGTGCTGCTGGTACTTACATATACTACGCAGACTCAGTGAGGGGCCGCTTCACCATCTCCAGAGACAACGCCAAGAACTCACTGTATCTACAAATGAACAGCCTGAGAGCCGAGGACACGGCTGTTTATTACTGTGTGAGAGTTCTCTTAGTGGGAGCCTACTACTACGGTCTCGACGTCTGGGGCCAAGGGACCACGGTCACCGTCTCCTCAGCCTCCACCAAGGGCCCATCGGTCTTCCCCCTGGCGCCCTGCTCCAGGAGCACTTCCGAGAGCACAGCGGCCCTGGGCTGCCTGGTCAAGGACTACTTCCCCGAACCGGTGACGGTGTCGTGGAACTCAGGCGCTCTGACCAGCGGCGTGCACACCTTCCCGGCTGTCCTACAGTCCTCAGGA</t>
  </si>
  <si>
    <t>TGGGGACTGATCAGGACTCCTCAGTTCACCTTCTCACAATGAGGCTCCCTGCTCAGCTCCTGGGGCTGCTAATGCTCTGGGTCTCTGTATCCAGTGGGGATATTGTGATGACTCAGTCTCCACTCTCCCTGCCCGTCACCCCTGGAGAGCCGGCCTCCATCTCCTGCAGGTCTAGTCAGAGCCTCCTGGATAGTAATGGATACAACTATTTGGATTGGTACGTGCAGAAGCCAGGGCAGTCTCCACAGCTCCTGATCTATTTGGGTTCTAATCGGGCCTCCGGGGTCCCTGCCAGGTTCAGTGGCAGTGGATCAGGCACAGATTTTATACTGAACATCAGCAGAGTGGAGGCTGACGATGTTGGGGTTTATTACTGCATGCAAGCTCTACAAACTTCCATGTA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</si>
  <si>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CTCTGGGAGTGGAGTCCCAGCCTTGGGATTCCCAAGTGTTTGTATTCAGTGATCAGGACCGAACACACAGGACTCACCATGGAGTTGGGGCTGAGCTGGGTTTTCCTTGTTGCTATATTAGAAGGTGTCCAGTGTGAGGTGCAGCTGGTGGAGTCTGGGGGAGGCTTGGTACAGCCGGGGGGGTCCCTGAGACTCTCCTGTGCAGCCTCTGGATTCACCTTCAGGATCTACGACATGCACTGGGTCCGCCAAGCTACAGGAAAAAGTCTGGAGTGGGTCTCAGCTATCGGTTCTGCTGGTGACACATACTATCGAGGCTCCGTGAAGGGCCGATTCACCATCTCCAGAGAAAATGCCAAGAACTCCTTGTATCTTCAAATGAACAGCCTGGGGGCCGGGGACACGGCTCTGTATTACTGTGCAAGAGGAAGGTTCGGTGCCAGCGACTTTGACTACTGGGGCCAGGGAACGCTGGTCACCGTCTCCTCAGCCTCCACCAAGGGCCCATCGGTCTTCCCCCTGGCACCCTCCTCCAAGAGCACCTCTGGGGGCACAGCGGCCCTGGGCTGCCTGGTCAAGGACTACTTCCCCGAACCGGTGACGGTGTCGTGGAACTCAGGCGCCCTGACCAGCGGCGTGCACACCTTCCCGGCTGTCCTACAGTCCTCAGGA</t>
  </si>
  <si>
    <t>TGGGGAATGCCTGGGTCAGAGCTCTGGAGAAGAGCTGCTCAGTTAGGACCCAGAGGGAACCATGGAAACCCCAGCGCAGCTTCTCTTCCTCCTGCTACTCTGGCTCCCAGATACCACCGGAGAAATTGTGTTGACGCAGTCTCCAGGCACCCTGTCTTTGTCTCCAGGGGAAAGAGCCACCCTCTCCTGCAGGGCCAGTCAGAGTGTTGACAGCAGGTACTTAACCTGGTACCAGCAGAAACCTGGCCAGGCTCCCAGACTCCTCATGTATGGTACTTCCACCAGGGCCACTGGCATCCCAGACAGGTTCAGTGGCAGTGGGTCTGGGACAGACTTCACTCTCACCATCAGCAGACTGGACCCTGAAGATTTTGCAGTGTATTACTGTCAGCAGTATGGTAGCTCACCA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</si>
  <si>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GAGAGAGGAGCCCAGCCCTGGGATTTTCAGGTGTTTTCATTTGGTGATCAGGACTGAACAGAGAGAACTCACCATGGAATTTGGGCTGAGCTGGCTTTTTCTTGTGGCTATTTTAAAAGGTGTCCAGTGTGAGGTGCAGCTGTTGGAGTCTGGGGGAGGCTTGGTACAGCCTGGGGGGTCCCTGAGACTCTCCTGTGCAGCCTCTGGATTCACCTTTAGCATCTATGTCATGAGCTGGGTCCGCCAGGCTCCAGGGAAGGGGCTGGAGTGGGTCTCAGCTTTTAATAGTAGTAGTGGTAGCACATACTACGCAGACTCCGTGAAGGGCCGGTTCACCATCTCCAGAGACAATTCCAAGAACACGCTGTATCTGCAAATGAACAGCCTGAGAGTCGAGGACACGGCCGTATATTACTGTGCGAAAGACCCAAGGGTAGCAGCAGCTGGTACGATCTACTTTGACTACTGGGGCCAGGGAACCCTGGTCACCGTCTCCTCAGCCTCCACCAAGGGCCCATCGGTCTTCCCCCTGGCGCCCTGCTCCAGGAGCACCTCTGGGGGCACAGCGGCCCTGGGCTGCCTGGTCAAGGACTACTTCCCCGAACCGGTGACGGTGTCGTGGAACTCAGGCGCCCTGACCAGCGGCGTGCACACCTTCCCGGCTGTCCTACAGTCCTCAGGA</t>
  </si>
  <si>
    <t>TGGGGGGGGAGCCTA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GGTGGTACTTATGTGA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</si>
  <si>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GGACATGGGAAGTACTTTCTGAGAGTCCTGGACCTCCTGTGCAAGAACATGAAACATCTGTGGTTCTTCCTTCTCCTGGTGGCAGCTCCCAGATGGGTCCTGTCCCAGCTGCAGCTGCAGGAGTCGGGCCCAGGACTGGTGAAGCCTTCGGAGACCCTGTCCCTCACCTGCACTCTCTCTGGTGGCTCCTTCAGCAGTCACTACTGGACCTGGATCCGGCAGCCCCCAGGGAAGGGGCTGGAGTGGATTGGCTATATCTCTTTCAGTGGGAGAACCAACTACAACCCCTCCCTCAAGAGTCGACTCACCCTCTCACTAGATACGCCCAAGAACCAGTTCTCCCTGAATCTGAACTCTGTGACCGCTGCGGACACGGCCGTCTATTTCTGTGCGAAAGAAAACGTGGGATCATCTACCCTTTTGGGCCCCTGGGACTACTACTTTGACTCCTGGGGCCAGGGAATCCCG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</t>
  </si>
  <si>
    <t>GGGGTGCTCAGCCTGCCCCATGCCCTGCTGATTGATTTGCATGTTCCAGAGCACAGCCTCCTGCCCTGAAGACTTTTTTATGGGCTGGTCGGACCCTGTGCAGGAGTCAGTCTCAGTCAGGACACAGCATGGACATGAGGGTCCCCGCTCAGCTCCTGGGGCTCCTGCTACTCTGGCTCCGAGGTGCCAGATGTGACATCCAGATGACCCAGTCTCCATCCTCCCTGTCTGCATCCGTAGGAGACAGAGTCACCCTCACTTGCCGGGCAAGTCGCAGCATTACTAACTATCTAAATTGGTATCAGCAGAAACCAGGGAAAGCCCCTAAGCTCCTGATCTATGCTGCATCCAGTTTGCAAAGTGGGGTCCCACCAAGGTTCAGTGGCAGTGGGTCTGAGACAGATTTCATTCTCACCATCAGCAGTCTGCAACCTGAAGATTTTGCAACTTACTACTGTCAGCAGAGTTACAGAACGCCGTACACTTTTGGCCAGGGGACCAAGC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</si>
  <si>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CTCTGGGAGTGGAGCCCCAGCCTTGGGATTCCCAAGTGTTTGTATTCAGTGATCAGGACTGAACACACAGGACTCACCATGGAGTTGGGGCTGAGCTGGGTTTTCCTTGTTGCTATATTAGAAGGTGTCCAGTGTGAGGTGCAGCTGGTGGAGTCTGGGGGAGGCTTGGTACAGCCTGGGGGGTCCCTGAGACTCTCCTGTGCAGCCTCTGGATTCACCTTCAGGAGCTACGACATGCACTGGGTCCGCCAAGCTACAGGAAAAGGTCTGGAGTGGGTCTCAAGCATTGGTGCTGCTGGTGACACATACTATCCAGGCTCCGTGAAGGGCCGATTCACCATCTCCAGAGAAAATGCCAAGAATTCCTTGTATCTTCAAATGAACAGCCTGAGAGCCGGGGACACGGCTGTATATTACTGTGCAAGAGCGAGTTTTGGAGAAAACTACTTTGACTACTGGGGCCGGGGAACGCTGGTCACCGTCTCCTCAGCT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</t>
  </si>
  <si>
    <t>TGGGGAATGCCTGGGTCAGAGCTCTGGAGAAGAGCTGCTCAGTTAGGACCCAGAGGGAACCATGGAAACCCCAGCGCAGCTTCTCTTCCTCCTGCTACTCTGGCTCCCAGATACCACCGGAGAAATTGTGTTGACGCAGTCTCCAGGCACCCTGTCTTTGCCTCCAGGGGAAAGAGCCACCCTCTCCTGCAGGGCCAGTCAGAGTGTTAACAGCGGCTACTTAGCCTGGTACCAGCAGAAACCTGGCCAGGCTCCCAGGCTCCTCATGTATGGTGCATCCAGCAGGGCCGCTGGCATCCCAGACAGGTTCAGTGGCAGTGGGTCTGGGACAGACTTCACTCTCACCATCAGCAGACTGGAGCCTGAAGACTTTGCAGTGTATTACTGTCTGCAGTATGGTAGCTCACCTCG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</si>
  <si>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GGGACCCAAAAACCACACCCCTCCTTGGGAGAATCCCCTAGATCACAGCTCCTCACCATGGACTGGACCTGGAGCGTCCTTTTCTTGGTGGCAGCAGCAACAGGTGTCCACTGCCAGGTTCACCTGGTACAGTCTGGAGCTGAGGTGAAGAAGCCTGGGGCCTCACTGAAGGTCTCCTGCAAGGCTTCTGGTTACACCTTTACCCATTATGGTATCGCCTGGGTTCGACAGGCCCCTGGACAAGGGCTTGAGTGGATGGGATGGATCAGCGCTTACAATGGTGACACAGACTATGCACAGAAGTTCCAGGGCAGAGTCTCCATGACCGCAGACACATCCACGAACACAGCCTACATGGAGCTGAGGAGCCTCAGATCTGACGACACGGCCGTATATTTCTGTGCGAGAGTAATCAGTATGATTCGGGGAGGCTGGTTCGACTCCTGGGGCCAGGGAATCCTGGTCACCGTCTCCTCAGCCTCCACCAAGGGCCCATCGGTCTTCCCCCTGGCACCCTCCTCCAAGAGCACCTCTGGGGGCACAGCGGCCCTGGGCTGCCTGGTCAAGGACTACTTCCCCGAACCGGTGACGGTGTCGTGGAACTCAGGCGCTCTGACCAGCGGCGTGCACACCTTCCCGGCTGTCCTACAGTCCTCAGGACTCTACTCCCTCAGCAGCGTGGTGACCGTGCCCTCCAGCAGCTTGGGCACCCAGACCTACATCTGCAACGTGAATCACAAGCCCAGCAACACCAAGGTGGACAA</t>
  </si>
  <si>
    <t>GGGAGAGCTCTGGAGAAGAGCTGCTCAGTTAGGACCCAGAGGGAACCATGGAAACCCCAGCGCAGCTTCTCTTCCTCCTGCTACTCTGGCTCCCAGATACCACCGGAGAAATTGTGTTGACGCAGTCTCCAGGCACCCTGTCTTTGTCTCCAGGGGAAAGAGCCACCCTCTCCTGCAGGGCCAGTCAGAGTGTTAGGAGCAACTACTTAGCCTGGTACCAGCAGAAACCTGGCCGGGCTCCCAGGCTCCTCATCCATGGTGCATCCAATAGGGCCACTGGCATCCCAGACAGGTTCAGTGGCAGTGGGTCTGGGACAGACTTCACTCTCACCATCAGCAGACTGGAGCCTGAAGATTTTGCAGTTTATTACTGTCAACAGTATCTTACCTCACCATTCACTTTCGGCCCTGGGACCAAGGTGGATATCAAACGAACTGTGGCTGCACCATCTGTCTTCATCTTCCCGCCATCTGATGAGCAGTTGAAATCTGGAACTGCCTCTGTTGTGTGCCTGCTGAATAACTTCTATCCCAGAGAGGCCAAAGTACAGTGGAAGGTGGATAACGCCCTCCAATCGGGTAACTCCCAGGAGAGTGTCACAGAGCAGGACAGCAAGGACAGCACCTACAGCCTCAGCAGCACCCTGACGCTGAGCAAAGCAGACTACGAGAA</t>
  </si>
  <si>
    <t>GGCAACCGAACCCTGACCCTGCAGCTCTGAGAGAGGAGCCTTAGCCCTGGATTCCAAGGCCTATCCACTTGGTGATCAGCACTGAGCACCGAGGATTCACCATGGAACTGGGGCTCCGCTGGGTTTTCCTTGTTGCTATTTTAGAAGGTGTCCAGTGTGAGGTGCAGCTGGTGGAGTCTGGGGGAGGCCTGGTCAAGCCTGGGGGGTCCCTGAGACTCTCCTGTGCAGCCTCTGGATTCACCTTCAGTACCTATAGAATGAAGTGGGTCCGCCAGGCTCCAGGGAAGGGGCTGGAGTGGGTCTCATCCATTAGTAGTAGTAGTACTTACATATACTACGCAGACTCAGTGAAGGGCCGATTCACCATCTCCAGAGACAACGCCAAGAACTCACTGTCTCTGCAAATGAACAGCCTGCGCGCCGAGGACACGGCTATTTATTACTGTGCGCGGGTACTGGAAGTGGGCCAGTACTACTACGGTATGGACGTCTGGGGCCAAGGGACCACGGTCACCGTCTCCTCAGCCTCCACCAAGGGCCCATCGGTCTTCCCCCTGGCACCCTCCTCCAAGAGCACCTCTGGGGGCACAGCGGCCCTGGGCTGCCTGGTCAAGGACTACTTCCCCGAACCGGTGACGGTGTCGTGGAACTCAGGCGCCCTGACCAGCGGCGTGCACACCTTCCCGGCTGTCCTACAGTCCTCAGGACTCTACTCCCTCAGCAGCGTGGTGACCGTGCCCTCCAGCAACTTCGGCACCCAGACCTACACCTGCAACGTAGATCACAAGCCCAGCAACACCAAGGTGGAC</t>
  </si>
  <si>
    <t>TGG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ACACTTTTGGCCAGGGGACCAAGC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</si>
  <si>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ATGGGAAGTGCTTTCTGAGAGTCATGGACCTCCTGCACAAGAACATGAAACACCTGTGGTTCTTCCTCCTCCTGGTGGCAGCTCCCAGATGGGTCCTGTCCCAGGTGCAGCTACAGCAGTGGGGCGCAGGACTGTTGAAGCCTTCGGAGACCCTGTCCCTCACCTGCGCTGTCTATGGTGGGTCCTTCAGAGGTTACTACTGGAGCTGGATCCGCCAGCCCCCAGGGAAGGGGCTGGAGTGGATTGGGGAAATCAATGATAGTGGAAGTACCAAGTACATCCCGTCCCTCAAGAGTCGAGTCACCATATCATTAGACACGTCCAAGAACCAGTTCTCCCTGAAGCTGAGGTCGGTGACCGCCGCGGACACGGCTGTGTATTACTGTGCGCGACACAGTCATTACGGTATGGACGTCTGGGGCCAAGGGACCACGGTCACCGTCTCCTCAGCCTCCACCAAGGGCCCATCGGTCTTCCCCCTGGCACCCTCCTCCAAGAGCACCTCTGGGGGCACAGCGGCCCTGGGCTGCCTGGTCAAGGACTACTTCCCCGAACCGGTGACGGTGTCGTGGAACTCAGGCGCCCTGACCAGCGGCGTGCACACCTTCCCGGCTGTCCTACAGTCCTCAGGA</t>
  </si>
  <si>
    <t>TGGGGGACTGATCAGGACTCCTCAGTTCACCTTCTCACAATGAGGCTCCCTGCTCAGCTCCTGGGGCTGCTAATGCTCTGGGTCTCTGGATCCAGCGGGGATATTGTGATGACTCAGTCTCCACTCTCCCTGCCCGTCACCCCTGGAGAGCCGGCCTCCATCTCCTGCAGGTCTAGTCAGAGCCTCCTTCATAGTAATGGAAACAACTATTTGGATTGGTACCTGCAGAAGCCAGGGCAGTCTCCACAGCTCCTGATGTCCTTGGGTTCTAATCGGGCCTCCGGGGTCCCTGACAGGTTCAGTGGCAGTGGATCAGGCACAGATTTTACACTGAAAATCAGCAGAGTGGAGGCTGAGGATGTTGGGGTTTACTACTGCATGCAAGCTCTACAACCTCCC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</si>
  <si>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AGCATCACATAACAACCAGATGCCTCCTCTAAAGAAGCCCCTGGGAGCACAGCTCATCACCATGGACTGGACCTGGAGGTTCCTCTTTGTGGTGGCAGCAGCTACAGGTGTCCAGTCCCAGGTCCACCTGGTGCAGTCTGGGGCTGAGGTGAAGAAGCCTGGGTCCTCGGTGAAGGTCTCCTGCAAGGCTTCTGGAGGCACCTTCAACACCTACAGTATCAGTTGGGTGCGACAGGCCCCTGGACAAGGGCTTGAGTGGATGGGAAGGATCATCCCTAGCTTAGGAACACCAAACTACGCACAGAGGTTCCAGGGCAGAGTCACGATTACCGCGGACAAATCGACGCGCTCAGCCTACATGGAGTTGAGCAGCCTGAGATCTGAGGACACGGCCGTATATTATTGTGCGAGAGATGTAGGCACACCAAATGACTACTGGGGCCAGGGAACCCTGGTG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</t>
  </si>
  <si>
    <t>TGGGGAGGAATCAGACCCAGTCAGGACACAGCATGGACATGAGAGTCCTCGCTCAGCTCCTGGGGCTCCTGCTGCTCTGTTTCCCAGGTGCCAGATGTGACATCCAGATGACCCAGTCTCCATCCTCACTGTCTGCATCTGTAGGAGACAGAGTCACCATCACTTGTCGGGCGAGTCAGGGCATTAGTAATTATTTAGCCTGGTTTCAGCAGAAACCAGGGAAAGCCCCTAAGTCCCTGATCTATGCTGCATCCAGTTTGCAAAGTGGTGTCCCATCAAAGTTCATCGGCAGTGGATCTGGGACAGATTTCACTCTCACCATCACCAGCCTGCAGCCTGAGGATTTTGCAACTTATTTCTGCCAACAGTATAAAAGTTACCCTC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</si>
  <si>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TGCTTTCTGAGAGTCATGGACCTCCTGCACAAGAACATGAAACACCTGTGGTTCTTCCTCCTCCTGGTGGCAGCTCCCAGATGGGTCCTGTCCCAGGTGCAGCTACAGCAGTGGGGCGCAGGACTGTTGAAGCCTTCGGAGACCCTGTCCCTCACCTGCGCTGTCTATGGTAGGTCCTTCAGAGGTTACTACTGGAGTTGGATCCGCCAGCCCCCAGGGAAGGGGCTGGAGTGGATTGGAGAAATCAATGATAGTGGAAGCACCCAGTACAAACCGTCCCTCAAGAGTCGAGTCACCATATCACTAGACACGTCCAAGAACCAGTTCTCCCTGAACCTGACCTCTGTGACCGCCGCGGACACGGCTGTCTATTACTGTGCGAGACACTCCCACGACGGTATGGACGTCTGGGGCCAAGGGACCACGGTCACCGTCTCCTCAGCCTCCACCAAGGGCCCATCGGTCTTCCCCCTGGCACCCTCCTCCAAGAGCACCTCTGGGGGCACAGCGGCCCTGGGCTGCCTGGTCAAGGACTACTTCCCCGAACCGGTGACGGTGTCGTGGAACTCAGGCGCCCTGACCAGCGGCGTGCACACCTTCCCGGCTGTCCTACAGTCCTCAGGA</t>
  </si>
  <si>
    <t>TGGGGACTGATCAGGACTCCTCAGTTCACCTTCTCACAATGAGGCTCCCTGCTCAGCTCCTGGGGCTGCTAATGCTCTGGGTCTCTGGATCCAGTGGGGATATTGTGATGACTCAGTCTCCACTCTCCCTGCCCGTCACCCCTGGAGAGCCGGCCTCCATCTCCTGCAGGTCTAGTCAGAGCCTCCTGCATAGTAATGGAAACAACTATTTGGATTGGTACCTGCAGAGGCCAGGGCAGTCTCCACAACTGCTGATGTATTTAGTTTCTAAACGGGCTTCCGGGGTCCCTGACAGGTTCAGTGGCAGTGGATCAGGCACAGATTTTACACTGAAAATCAGCAGAGTGGAGGCTGAGGATGTTGGGGTTTATTACTGCATGCAAGCTCTACAAACTCCTCTAG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</si>
  <si>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GGGAGAGGAGCCCAGCACTGGGATTCCGAGGTGTTTCCATTCGGTGATCAGCACTGAACACAGAGGACTCACCATGGAGTTTTGGCTGAGCTGGGTTTTCCTTGTTGCTATTTTAAAAGGTGTCCACTGTGAGGCGCAGCTGGTGGAATTTGGAGGAGGCTTGATCCAGCCTGGGGGGTCCCTGAGACTCTCCTGTGTAGTCTCTGGGTTCACCGTCAGTAGCAACTACATGAGTTGGGTCCGCCAGGCTCCAGGGAAGGGGCTGGAGTGGGTCGCAGTTATTTATATCAGTGGCAGGACATACTACGCAGACTCCGTGAAGGGCCGATTCACCATCTCCAGAGACAGCTCCAAGAACACGCTGTATCTTCAAATGAACAGTCTGAGAGCCGAGGACACGGCCGTGTATTACTGTGCGAGCTTTGGAGTGGCTTACTATTACGGTATGGACGTCTGGGGCCAAGGGACCACGGTCACCGTCTCCTCAGCCTCCACCAAGGGCCCATCGGTCTTCCCCCTGGCACCCTCCTCCAAGAGCACCTCTGGGGGCACAGCGGCCCTGGGCTGCCTGGTCAAGGACTACTTCCCCGAACCGGTGACGGTGTCGTGGAACTCAGGCGCTCTGACCAGCGGCGTGCACACCTTCCCGGCTGTCCTACAGTCCTCAGGA</t>
  </si>
  <si>
    <t>ATCTGGGGAGAAGTCTCTCTCAGTCCAGACACAGCATGGACATGAGGGCCCCCGCTCAGCTCCTGGGACTCCTGCTGCTCTGGCTCCCAGATACCAGATGTGACATCCAGATGACCCAGTCTCCATCCTCCCTGTCTGCATCTGTAGGAGACAGAGTCACCATCACTTGCCGGGCGAGTCAGGGCATTAACAATTATTTAGCCTGGTATCAGCAGAAACCAGGGAAAGTTCCTAGGCTCCTGATCTATACTGCATCCACTTTGCAATCAGGGGTCCCATCTCGGTTCAGTGGCAATGGATCTGGGACAGATTTCACTCTCTCCATCAGCGGCCTGCAGCCTGAAGATGTTGCAACTTATTTCTGTCAAAAGTATGACAGTGCCCCCCTCACTTTCGGCGGAGGGACCAAGGTGGAGATCAGACGAACTGTGGCTGCACCATCTGTCTTCATCTTCCCGCCATCTGATGAGCAGTTGAAATCTGGAACTGCCTCTGTTGTGTGCCTGCTGAATAACTTCTATCCCAGAGAGGCCAAAGTACAGTGGAAGGTGGATAACGCCCTCCAATCGGGTAACTCCCAGGAGAGTGTCACAGAGCAGGACAGCAAGGACAGCACCTACAGCCTCAGCAGCACCCTGACGCTGAGCAAAGCAGACTACGAGAA</t>
  </si>
  <si>
    <t>AGAGAGGTGCCTTAGCCCTGGATTCCAAGGCATTTCCACTTGGTGATCAGCACTGAACACAGAGGACTCACCATGGAGTTGGGGCTGTGCTGGGTTTTCCTTGTTGCTATTTTAGAAGGTGTCCAGTGTGAGGTACAGCTGGTGGAGTCTGGGGGAGGCTTGGTGCAGCCTGGAGGGTCCCTAAGACTCTCCTGTGCAGCCTCTGGATTCACCTTCAGTGATTATGAGATGAACTGGGTCCGCCAGGCTCCAGGGAAGGGGCTGGAGTGGGTTTCATACATTAGTACTAGTAGTGGTCTCATACACTACGCAGACTCTGTGAAGGGCCGATTCACCATCTCCAGAGACAACGCCGACAACTCACTGTATCTCCAAATGGACAGCCTGAGAGCCGAGGACACGGCTATTTATTACTGTGCGAGAGGGCTACTGTGGTTCGCGGACTTACCCTCATACTACTTTGACTACTGGGGCCAGGGAACGCTGGTCGCCGTCTCCTCAGCT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</t>
  </si>
  <si>
    <t>TGGGGAGAGTATGAAGAGGGGCAGGGAGAGATTTGGGGAGGCTCTGCTTCAGCTGTGGGCACAAGAGGCAGCACTCAGGACAATCTCCAGCATGGCCTGGTCTCCTCTCCTCCTCACTCTCCTCGCTCACTGCACAGGGTCCTGGGCCCAGTCTGTGCTGACGCAGCCGCCCTCAGTGTCTGGGGCCCCAGGGCAGAGGGTCACCATCTCCTGCACTGGGAGCGGCTCCAACATCGGGGCAGGTTATGATGTACACTGGTACCAGCAGTTTCCAGGAAGAGCCCCCAAACTTCTCATCTATGGTAACGTCAATCGGCCCTCAGGGGTCCCTGACCGATTCTCTGCCTCCAAGTCTGGCACCTCAGCCTCCCTGGCCATCACTGGGCTCCAGGCTGACGATGAGGCTGATTATTTCTGCCAGTCCTATGACAGCAGTCTGAGAAATGTTTTCGGCGGAGGGACCAAGCTGACCGTCCTAGGTCAGCCCAAGGCTGCCCCCTCGGTCACTCTGTTCCCACCCTCCTCTGAGGAGCTTCAAGCCAACAAGGCCACACTGGTGTGTCTCATAAGTGACTTCTACCCGGGAGCCGTGACAGTGGCCTGGAAGGCAGATAGCAGCCCCGTCAAGGCGGGAGTGGAGACCACCACACCCTCCAAACAAAGCAACAACAAGTACGCGGCCAGCAGCTACCTGAGCCTGACGCCTGAGCAGTGGAAGTCCCACA</t>
  </si>
  <si>
    <t>GAAATACAGATCTGTCCTGTGCCCTGAGAGCATCACCCAGCAACCACATCTGTCCTCTAGAGAATCCCCTGAGAGCTCCGTTCCTCACCATGGACTGGACCTGGAGGATCCTCTTCTTGGTGGCAGCAGCCACAGGAGCCCACTCCCAGGTGCAACTGGTGCAGTCTGGGGCTGAGGTGAAGAAGCCTGGGGCCTCAGTGAAGGTCTCCTGCAAGGCTTCTGGATACAGGTTCACCGGCTACTATCTATACTGGGTGCGACAGGCCCCTGGACAAGGGCCTGAGTGGATGGGATGGATTAACCCTAATAGTGGTGCCACAGAGTATGCACAGACATTTCACGGCAGGGTCACCATGACCAGGGACACGTCTATAAGCACAGCCTACCTGGAACTGGATGGACTGAGGTCTGACGACACGGCCGTGTATTATTGTGCGAGAGATTTCCAGCGGGGAATTGTGACCCTCGGAGATGCTTTTGATTTCTGGGGCCAAGGGACAATGGTCACCGTCTCTTCAGCTTCCACCAAGGGCCCATCGGTCTTCCCCCTGGCGCCCTGCTCCAGGAGCACCTCTGAGAGCACAGCCGCCCTGGGCTGCCTGGTCAAGGACTACTTCCCCGAACCGGTGACGGTGTCGTGGAACTCAGGCGCCCTGACCAGCGGCGTGCACACCTTCCCGGCTGTCCTACAGTCCTCAGGA</t>
  </si>
  <si>
    <t>TTTGGGGGCTGGGGTCTCAGGAGGCAGCGCTCTCAGGACGTCACCACCATGGCCTGGGCTCTGCTCCTCCTCAGCCTCCTCACTCAGGGCACAGGGTCCTGGGCCCAGTCTGCCCTGACTCAGCCTCCGTCCGCGTCCGGGTCTCCTGGACAGTCAGTCACCATCTCCTGCACTGGAACCAGCGGTGACATTGGTGCTTATTACTATGTCTCCTGGTACCAACACCACCCAGGCAAAGCCCCCAAACTCATTCTTTATGAAGTCAATAAGCGGCCCTCAGGAGTCCCTGATCGCTTCTCTGGCTCCAAGTCTGACAGCACGGCCTCCCTGACCGTCTCTGGGCTCCAGCCTGAGGATGAGGCTCATTATTACTGCAGCTCATATGCAGGCGTCAGCGATTTGGTCTTCGGCGGAGGGACCAAGTTGACCGTCCTAGGTCAGCCCAAGGCTGCCCCCTCGGTCACTCTGTTCCCACCCTCCTCTGAGGAGCTTCAAGCCAACAAGGCCACACTGGTGTGTCTCATAAGTGACTTCTACCCGGGAGCCGTGACAGTGGCCTGGAAGGCAGATAGCAGCCCCGTCAAGGCGGGAGTGGAGACCACCACACCCTCCAAACAAAGCAACAACAAGTACGCGGCCAGCAGCTACCTGAGCCTGACGCCTGAGCAGTGGAAGTCCCAC</t>
  </si>
  <si>
    <t>TGGGCTCCCTCTGCTGATGAAAACCAGCCCAGCCCTGACCCTGCAGCTCTGGGAGAGGAGCCCAGCACTGGGATTCCGAGGTGTTTCCATTCAGTGATCTGCACTGAACACAGAGGACTCGCCATGGAGTTTGGGCTGAGCTGGGTTTTCCTTGTTGCTATTTTAAAAGGTGTCCAGTGTGAGGTGCAGCTGGTGGAGTCTGGGGGAGGCTTGGTCCAGCCTGGGGGGTCCCTAAGACTCTCCTGTGCAGCCTCTGGATTCACCGTCAGTAACAACTACATGAACTGGGTCCGCCAGGCTCCAGGGAAGGGGCTGGAGTGGATCTCAGTTATTTATAGCGCTGGTAGGACATACTACGCAGACTCCGTGAAGGGCAGATTCACCATCTCCAGGGACAATTCCAAGAACACGCTGTATCTTCAAATGAACAGCCTGAGAGCCGGAGACACGGCTGTGTATTACTGTGCGAGCATAAGGTACTTCTACAACGGGATGGACGTCTGGGGCCAAGGGACCACGGTCACCGTCTCCTCAGCATCCCCGACCAGCCCCAAGGTCTTCCCGCTGAGCCTCTGCAGCACCCAGCCAGATGGGAACGTGGTCATCGCCTGCCTGGTCCAGGGCTTCTTCCCCCAGGAGCCACTCAGTGTGACCTGGAGCGAAAGCGGACAGGGCGTGACCGCCAGAAACTTCCCC</t>
  </si>
  <si>
    <t>TGGGG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TCAGCAACTACTTAGCCTGGTTCCAGCAGAAACCTGGCCAGGCTCCCAGGCTCCTCATCTATAGTGCATCCAGCAGGGCCACTGGCATCCCAGACAGGTTCAGTGGCAGTGGGTCTGGGACAGACTTCACTCTCACCATCAGCAGACTGGAGCCTGAAGATTTTGCAGTGTATTACTGTCAGCAATATACTGGCTCACCTCCGTGGACGTTCGGCCAAGGGACCAA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</si>
  <si>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GGACATGGGAAGTGCTTTCTGAGAGTCATGGACCTCCCGCACAAGAACATGAAACACCTGTGGTTCTTCCTCCTCCTGGTGGCAGCTCCCAGATGGGTCCTGTCCCAGGTGCAGCTACAGCAGTGGGGCGCACGACTGTTGAAGCCTTCGGAGACCCTGTCCCTCACCTGCGCTGTCCACGGTGGGCCCCTCAGTGGTTACTACTGGACCTGGATCCGCCAGACCCCAGGGAAGGGGCTGGAGTGGATTGGGGAAATCAGTCACACTGGAAGCACCAACTACAACCCGTCCCTCAAGAGTCGAGTCACCATATCAGTAGACACGTCCAAGAACCAGTTCTCCCTGAACCTGAACTCTGTGACCGCCGCGGACACGGCTGTATATTACTGTGCGAGAATAAGACTATGGTTCGGAATTTACATGGACGTCTGGGGCGAAGGGACCACGGTCACCGTCTCCTCAGCCTCCACCAAGGGCCCATCGGTCTTCCCCCTGGCGCCCTGCTCCAGGAGCACCTCCGAGAGCACAGCGGCCCTGGGCTGCCTGGTCAAGGACTACTTCCCCGAACCGGTGACGGTGTCGTGGAACTCAGGCGCTCTGACCAGCGGCGTGCACACCTTCCCGGCTGTCCTACAGTCCTCAGGA</t>
  </si>
  <si>
    <t>GG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ATTAGTAGCAACTACTTAGCCTGGTACCAGCAGATACCTGGCCAGGCTCCCAGGCTCCTCATCTATGCTACATCCACCAGGGCCACTGGCATCCCAGACAGGTTCAGTGGCAGTGGGTCTGGGACAGACTTCACTCTCACCATCAGCAGACTGGAGCCTGGAGATTTTGTAGTTTATTACTGTCAACACTATGGGAGCTCACCTCTCGTCACTTTCGGCGGA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</si>
  <si>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GGAGCTCTCAGAGAGGTGCCTTAGCCCTGGATTCCAAGGCATTTCCACTTGGTGATCAGCACTGAACACAGAGGACTCACCATGGAGTTGGGGCTGTGCTGGGTTTTCCTTGTTGCTATTTTAGAAGGTGTCCAGTGTGAGGTGCAGCTGGTGGAGTCTGGGGGAGACTTGGTCCAGCCTGGGGGGTCCCTGAGACTCTCCTGTGCAGCCTCTGGATTCACCTTCAGTAGCTATAGCATGAACTGGGTCCGCCAGGCGCCAGGGAAGGGGCCGGAATGGGTTTCTTACATTACTAGCGGGAGTAGAGCCATATATTATGCAGACTCTGTGAAGGGCCGATTCACCATCTCCAGAGACAATGCCAAGAACTCATTGTATCTGCAAATGGACAGCCTGAGAGCCGAGGACACGGCTGTATATTACTGCGCGAGAGGTTTTGGGGATCAGGACGTCGTCTACTCCTACTACTACATGGACGTCTGGGGCAAAGGGACCACGGTCACCGTCTCCTCAGCTTCCACCAAGGGCCCATCGGTCTTCCCCCTGGCGCCCTGCTCCAGGAGCACTTCCGAGAGCACAGCGGCCCTGGGCTGCCTGGTCAAGGACTACTTCCCCGAACCGGTGACGGTGTCGTGGAACTCAGGCGCCCTGACCAGCGGCGTGCACACCTTCCCGGCTGTCCTACAGTCCTCAGGACTCTACTCCCTCAGCAGCGTGGTGACCGTGCCCTCCAGCAACTTCGGCACCCAGACCTACACCTGCAACGTAGATCACAAGCCCAGCAACACCAAGGTGGACAA</t>
  </si>
  <si>
    <t>TGGGGGTGCAGGAGTCAGTCTCAGTCAGGACACAGCATGGACATGAGGGTCCCCGCTCAGCTCCTGGGGCTCCTGCTACTCTGGCTCCGAGGTGCCAGATGTGACATCCAGATGACCCAGTCTCCATCCTCCCTGTCTGCATCTGTAGGAGACACAGTCACCATCTCTTGCCGGGCAAGTCGGAGCGTTAGCAGGTTTTTAAATTGGTATCAGCAGAAACCAGGAAAAGCCCCTAAGGTCCTGATCTACGCTGCATCCACTTTGCAAAGTGGGCTGCCATCAAGGTTCAGTGGCGGTGGATCTGAGACAGATTTCACTCTCACCATCAATAGTCTGCAAGCTGAAGATTCTGCAACTTACTACTGTCAACAGACTTACACTTCCCCGTGGACGTTCGGCCGAGGGACCAAGGTGGAAG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</si>
  <si>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CTCTGAGAGAGGAGCCCAGCCCTGGGATTTTCAGGTGTTTTCATTTGGTGATCAGGACTGAACAGAGAGAACTCACCATGGAGTTTGGGCTGAGCTGGCTTTTTCTTGTGGCTATTTTAAAAGGTGTCCACTGTGAGGTGCAGCTGTTGGAGTCTGGGGGACGGTTGGTACAGCCTGGGGGGTCCCTGAGACTCTCCTGTGCAGCCTCTGGATTCCCCTTTAGCAGTTATGCCTTGACCTGGGTCCGCCAGGCTCCAGGGAGGGGGCTGGAGTGGGTCTCAGTTATTAGTGGTAGTGGGGGGGGTAGTATTATCACACACTACACAGACCCCGTGAAGGGCCGGTTCACCATCTCCAGAGACACTTCCAAGAACACTCTGTATCTGCAAATGAACAGCCTGAGAGCCGAGGACACGGCCGTATATTATTGTGCGGCCCCGGGCGAGTATTATGATTTTTGGAGTGGTCGGGCTCCCCTGGCCTACTGGGGCCAGGGAACGCTGGTCACCGTCTCCTCAGCCTCCACCAAGGGCCCATCGGTCTTCCCCCTGGCACCCTCCTCCAAGAGCACCTCTGGGGGCACAGCGGCCCTGGGCTGCCTGGTCAAGGACTACTTCCCCGAACCGGTGACGGTGTCGTGGAACTCAGGCGCCCTGACCAGCGGCGTGCACACCTTCCCGGCTGTCCTACAGTCCTCAGGA</t>
  </si>
  <si>
    <t>TGGGGAGAGCTCTGGAGAAGAGCTGCTCAGTTAGGACCCAGAGGGAACCATGGAAACCCCAGCGCAGCTTCTCTTCCTCCTGCTACTCTGGCTCCCAGATATCACCGGAGAAATTGTGTTGACGCAGTCTCCAGGCACCCTGTCTTTGTCTCCAGGGGAAAGAGTCACCCTCTCCTGCAGGGCCAGTCAGAGTGTTAGAAGCGACTACTTAGCCTGGTACCAGCAGAAACCTGGCCAGTCTCCCAGACTCCTCATCTATGGTGCATCCAACAGGGCCACTGGCATCTCGGACAGGTTCAGTGGCAGTGGGTCTGGGACAGACTTCACTCTCACCATCGGCAGTCTGGAGCCTGAAGATTTTGCAGTGTATTACTGTCAGCATTATGCTGGCTCACCGTGGACGTTCGGCCAAGGGACCAAGGTGGAAATCAAGCGAACTGTGGCTGCACCATCTGTCTTCATCTTCCCGCCATCTGATGAGCAGTTGAAATCTGGAACTGCCTCTGTTGTGTGCCTGCTGAATAACTTCTATCCCAGAGAGGCCAAAGTACAGTGGAAGGTGGATAACGCCCTCCAATCGGGTAACTCCCAGGAGAGTGTCACAGAGCAGGACAGCAAGGACAGCACCTACAGCCTCAGCAGCACCCTGACGCTGAGCAAAGCAGACTACGAGAA</t>
  </si>
  <si>
    <t>GGAGCTCTGTGAGTGGAGCCCCAGCCTTGGGATTCCCAAGTGTTTGTATTCAGTGATCAGGACTGAACACACAGGACTCACCATGGAGTTGGGGCTGAGCTGGGTTTTCCTTGTTGCTATATTAGAAGGTGTCCAGTGTGAGGTGCAGCTGGTGGAGTCTGGGGGAGGCTTGGTACAGCCTGGGGGGTCCCTGAGACTCTCCTGTGCAGCCTCTGGATTCACCTTCAGACGGCACGACATGCACTGGATCCGCCAAGTTTCCGGAAAAGGTCTGGAGTGGGTCTCAGCTATTGGTGCTGCTGGAGACACATACTATGCAGCCTCCGTGAGGGGCCGATTCACCCTCTCCAGAGATAATGCCAAGAACTCCTTGTTTCTTCAAATGAGCAGCCTGAGCGCCGGGGACACGGCTGTGTATTACTGTGTAAGAGCACGATTCGGATTCATTGATTTTGACTCCTGGGGCCAGGGAACGCTGGTCACCGTCTCCTCAGCCTCCACCAAGGGCCCATCGGTCTTCCCCCTGGCACCCTCCTCCAAGAGCACCTCTGGGGGCACAGCGGCCCTGGGCTGCCTGGTCAAGGACTACTTCCCCGAACCGGTGACGGTGTCGTGGAACTCAGGCGCTCTGACCAGCGGCGTGCACACCTTCCCGGCTGTCCTACAGTCCTCAGGACTCTACTCCCTCAGCAGCGTGGTGACCGTGCCCTCCAGCAACTTCGGCACCCAGACCTACACCTGCAACGTAGATCACAAGCCCAGCAACACCAAGGTGGAC</t>
  </si>
  <si>
    <t>TGGGGAATGCCTGGGTCAGAGCTCTGGAGAAGAGCTGCTCAGTTAGGACCCAGAGGGAACCATGGAAACCCCAGCGCAGCTTCTCTTCCTCCTGCTACTCTGGCTCCCAGATACCACCGGAGAAAATGTGTTGACGCAGTCTCCAGGCACCCTGTCTTTGTCTCCAGGGCAAAGAGCCACCCTCTCCTGCAGGGCCAGTCAGAGTGTTAGTAGCAACTACTTGGCCTGGTACCAGCAGAAACCTGGCCAGGCTCCCAGACTCCTCATCTATGCTACATCCAGCAGGGCCACTGGCATCCCAGACAGGTTCAGTGGCAGTGGGTCTGGGACAGACTTCACTCTCACCATCAACAGACTGGAGCCTGAAGACTTTGCAGTGTATTACTGTCAGCAGTCTGGTAACTCACCGCTCACTTTCGGCGGGGGGACCAAGGTGG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</si>
  <si>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GAGCATCACCCAGCAACCACATCTGTCCTCTAGAGAATCCCCTGAGAGCTCCGTTCCTCACCATGGACTGGACCTGGAGGATCCTCTTCTTGGTGGCAGCAGCCACAGGAGTCCACTCCCAGGTGCAGCTGGTGCAGTCTGGGGCTGAGGTGACAAAGCCTGGGGCCTCAGTGAAGGTCTCCTGCAGGGCTTCTGGCTACTCCTTCATCGGCTACTATCTCCACTGGGTGCGACAGGCCCCTGGACAAGGACTTGAGTGGATGGGGTGGATCAACCCTAATAGTGCTGCCACAAATTATGCACAGAAATTTCAGGGCAGGGTCACCATGACCAGGGACACGTCCATCGGCACAGCCTACATGGAGTTGAGCAGGCTGACATCTGACGACACGGCCGTGTATTACTGTGCGAGAGTGAATAGGTACGAGAGTAGCGGTTATTACGGTTGGTTCGACCCCTGGGGCCAGGGAACCCTGGTCGTCGTCTCGTCAGCCTCCACCAAGGGCCCATCGGTCTTCCCCCTGGCACCCTCCTCCAAGAGCACCTCTGGGGGCACAGCGGCCCTGGGCTGCCTGGTCAAGGACTACTTCCCCGAACCGGTGACGGTGTCGTGGAACTCAGGCGCCCTGACCAGCGGCGTGCACACCTTCCCGGCTGTCCTACAGTCCTCAGGA</t>
  </si>
  <si>
    <t>TGGGGGGGCCGTTTGCATTGTGAACTGAGCTACAACAGGCAGGCAGGGGCAGCAAGATGGTGTTGCAGACCCAGGTCTTCATTTCTCTGTTGCTCTGGATCTCTGGTGCCTACGGGGACATCGTGATGACCCAGTCTCCAGACTCCCTGGCTGTGTCTCTGGGCGAGAGGGCCACCATCAACTGCAAGTCCAGCCAGAGTGTTTTATACAGCTCCAACAATAAGAACTACTTAGCTTGGTACCAGCAGAAACCAGGACAGCCTCCTAAGGTGCTCATTTACTGGGCATCTACCCGGGAATCCGGGGTCCCTGACCGATTCAGTGGCAGCGGGTCTGGGACAAATTTCACTCTCACCATCAGCAGCCTGCAGGCTGAAGATTTGGCAGTTTATTATTGTCAGCAATATTATACTACTCCTTCCACTTTTGGCCAGGGGACCAAGCTGCAGATCAAACGAACTGTGGCTGCACCATCTGTCTTCATCTTCCCGCCATCTGATGAGCAGTTGAAATCTGGAACTGCCTCTGTTGTGTGCCTGCTGAATAACTTCTATCCCAGAGAGGCCAAAGTACAGTGGAAGGTGGATAACGCCCTCCAATCGGGTAACTCCCAGGAGAGTGTCACAGAGCAGGACAGCAAGGACAGCACCTACAGCCTCAGCAGCACCCTGACGCTGAGCAAAGCAGACTACGAGAA</t>
  </si>
  <si>
    <t>TGGGACCCAAAAACCACACCCCTCCTTGGGAGAATCCCCTAGATCACAGCTCCTCACCATGGACTGGACCTGGAGCATCCTTTTCTTGGTGGCAGCAGCAACAGGTGCCCACTCCCAGGTTCAATTGGTGCAGTCTGGAGCTGAGGTGAAGAAGCCTGGGGCCTCAGTGAAGGTCTCCTGCAAGGCTTCGGGTTACGGCTTTACCAAGTTTGGTATCAACTGGGTGCGACAGGCCCCTGGACAAGGGCTTGAGTGGATGGGCCGGATCAGCGCCTACAATGGTGACACAAACTATGGACAGAACTTCCAGGGCAGAGTCACCATGACCACAGACACATCCACGAGCACAGCCTACATGGAACTGAGGAGCCTGAGATCTGACGACACGGCCGTGTATTACTGTGCGCGAGATCGAGGCATGGTATATATTTACTACCTTGACTACTGGGGCCAGGGAACCCCGGTCACCGTCTCCTCAGCCTCCACCAAGGGCCCATCGGTCTTCCCCCTGGCGCCCTGCTCCAGGAGCACCTCTGGGGGCACAGCGGCCCTGGGCTGCCTGGTCAAGGACTACTTCCCCGAACCGGTGACGGTGTCGTGGAACTCAGGCGCCCTGACCAGCGGCGTGCACACCTTCCCGGCTGTCCTACAGTCCTCAGGAAGATCGGAAGAGC</t>
  </si>
  <si>
    <t>TGGGGAATGCCTGGGTCAGAGCTCTGGAGAAGAGCTGCTCAGTTAGGACCCAGAGGGAACCATGGAAACCCCAGCGCAGCTTCTCTTCCTCCTGCTACTCTGGCTCCCAGATACCACCGGAGAAATTGTGTTGACGCAGTCTCCAGTCACCCTGTCTTTGTCTCCAGGGGAAAGAGCCACCCTCTCCTGTAGGGCCAGTCAGAGTGTCAGCAGCAGCTACCTAGCCTGGTATCAGCAGAAACCTGGCCAGGCTCCCAGGCTCCTCATCTATGGTGCATCCAGCAGGGCCACTGGCATCCCAGACAGGTTCAGTGGCAGTGAGTCTGGGACAGACTTCACTCTCACCATCAGCAGACTGGAGCCTGAAGATTTTGCAGTATATTTCTGTCAGCAGTATGGTAGCTCACCTCTGACGTTCGGCCAAGGGACCACGGTGGAAATCAAACGAACTGTGGCTGCACCATCTGTCTTCATCTTCCCGCCATCTGATGAGCAGTTGAAATCTGGAACTGCCTCTGTTGTGTGCCTGCTGAATAACTTCTATCCCAGAGAGGCCAAAGTACAGTGGAAGGTGGATAACGCCCTCCAATCGGGTAACTCCCAGGAGAGTGTCACAGAGCAGGACAGCAAGGACAGCACCTACAGCCTCAGCAGCACCCTGACGCTGAGCAAAGCAGACTACGAGAA</t>
  </si>
  <si>
    <t>GGAGCTCTGGGAGAGGAGCCCAGCACTAGAAGTCGGCGGTGTTTCCATTCGGTGATCATCACTGAACACAGAGGACTCACCATGGAGTTTGGGCTGAGCTGGGTTTTCCTCGTTGCTCTTTTAAGAGGTGTCCAGTGTCAGGTGCAGGTGGTGGAGTCTGGGGGAGGCGTGGTCCAGCCTGGGGGGTCCCTGAGACTCTCCTGTGCAGCGTCTGGCTTCACCTTCAGTAACTACGGCATGCACTGGGTCCGCCAGGCTCCAGGCAAGGGGCTGGAGTGGGTGACATTTATACACTTTGATGGAAGTACTAAGAATTATGCAGACTCCGTGAAGGGCCGATTCAGCATCTCCAGAGACAATCCCAGGAACACGGTGTATCTGCAAATGAACAGCCTGAGACCTGAGGACACGGCTGTCTATTACTGTGCGAAAGATGCAGTAGAACCAGATGCTATGTACTACACCGGTATGGACGTCTGGGGCCAAGGGACCACGGTCACCGTCTCCTCAGCCTCCACCAAGGGCCCATCGGTCTTCCCCCTGGCGCCCTGCTCCAGGAGCACCTCCGAGAGCACAGCCGCCCTGGGCTGCCTGGTCAAGGACTACTTCCCCGAACCGGTGACGGTGTCGTGGAACTCAGGCGCCCTGACCAGCGGCGTGCACACCTTCCCGGCTGTCCTACAGTCCTCAGGACTCTACTCCCTCAGCAGCGTGGTGACCGTGCCCTCCAGCAGCTTGGGCACGAAGACCTACACCTGCAACGTAGATCACAAGCCCAGCAACACCAAGGTGGAC</t>
  </si>
  <si>
    <t>TGGGGAGGCTGATCACACCCTGTGCAGGAGTCAGACCCAGTCAGGACACAGCATGGACATGAGGGTCCCCGCTCAGCTCCTGGGGCTCCTGCTGCTCTGGTTCCCAGGTTCCAGATGCGACATCCAGATGACCCAGTCTCCATCTTCCGTGTCTGCATCTGTAGGAGACAGAGTCACCATCACTTGTCGGGCGAGTCAGGGTATTAGCAGCTGGTTAGCCTGGTATCAGCAGAAACCAGGGAATGCCCCTGAGCTCCTGATCTATGCTGCATCCACTTTGCAAAGTGGGGTCCCATCAAGGTTCAGCGGCCGTGGCTCTGGGACAGAATTCACTCTCACCATCAGCAGCCTGCAGCCTGAAGATTTTGCAACTTACTATTGTCAACAGGCTCACAGTTTCCCCTTCTCTTTCGGCCCTGGGACCAAAGTGGATATCAAGCGAACTGTGGCTGCACCATCTGTCTTCATCTTCCCGCCATCTGATGAGCAGTTGAAATCTGGAACTGCCTCTGTTGTGTGCCTGCTGAATAACTTCTATCCCAGAGAGGCCAAAGTACAGTGGAAGGTGGATAACGCCCTCCAATCGGGTAACTCCCAGGAGAGTGTCACAGAGCAGGACAGCAAGGACAGCACCTACAGCCTCAGCAGCACCCTGACGCTGAGCAAAGCAGACTACGAGAA</t>
  </si>
  <si>
    <t>GGAAAAACCACACCCCTCCTTGGGAGAATCCCCTAGATCACAGCTCCTCACCATGGACTGGACCTGGAGCATCCTTTTTTTGGTGGCAGCAGCAACAGGTAACGGACTCCCCAGTCCCAGGGCTGAGAGAGAAACCAGGCCAGTCATGTGAGACTTCACCCACTCCTGTGTCCTCCCCACAGGGGCCCACTCCCAGGCTCAGCTGGTGCAGTCTGGAGCTGAGGTGAAGAAGCCTGGGGCCTCAGTGCAGGTCTCCTGCACGGCTTCCGGTTACACCTTTACCCACTATGGTGTCGGCTGGGTGCGACAGGCCCCTGGACAAGGGCTTGAGTGGATGGGATGGATCAGCGCTTACAACGGTGACACAAACTATGCACAGAAGTTCCAGGGCAGAGTCACTATGACCACAGACACATCCACGAAGACAGTCTACATGGACCTGAGGAGCCTGAGATCTGACGACACGGCCGTGTATTACTGTGCGAGAGTGATCAGTATGATTCGGGGAGGCTGGTTCGACCTCTGGGGCCAGGGAACCCTG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</t>
  </si>
  <si>
    <t>GATCAATGCCTGGGTCAGAGCTCTGGAGAAGAGCTGCTCAGTTAGGACCCAGAGGGAACCATGGAAACCCCAGCGCAGCTTCTCTTCCTCCTGCTACTCTGGCTCCCAGATACCACCGGAGAAATTGTGTTGACGCAGTCTCCAGGCACCCTGTCTTTGTCTCCAGGGGAAAGAGCCACCCTCTCCTGCAGGGCCAGTCAGAGTGTTGGAAGCGGCTATTTAGCCTGGTACCAGCAGAAACCTGGCCAGGCTCCCAGGCTCCTCATTTATGGTGCATCCAGCAGGGCCACTGGCATCCCAGACAGGTTCAGTGGCAGTGGGTCTGGGACAGACTTCACTCTCACCATCAGCAGACTGGAGCCTGAAGACTTTGCAGTGTATTACTGTCAGCAGTATGATAGTTCACCATTCGCTTTCGGCCCTGGGACCAAAGTGGATATCAAACGAACTGTGGCTGCACCATCTGTCTTCATCTTCCCGCCATCTGATGAGCAGTTGAAATCTGGAACTGCCTCTGTTGTGTGCCTGCTGAATAACTTCTATCCCAGAGAGGCCAAAGTACAGTGGAAGGTGGATAACGCCCTCCAATCGGGTAACTCCCAGGAGAGTGTCACAGAGCAGGACAGCAAGGACAGCACCTACAGCCTCAGCAGCACCCTGACGCTGAGCAAAGCAGACTACGAGAA</t>
  </si>
  <si>
    <t>GGTGTGCCCTGAGAGCATCACCCAGCAACCACATCTGTCCTCTAGAGAGTCCCCTGAGAGCTCCGTTCCTCACCATGGACTGGACCTGGAGGATCCTCTTCTTGGTGGCAGCAGCCACAGGAGCCCACTCCCAGGTGCAGTTGGTGCAATCTGGGGCTGAGGTGAAAAAGCCTGGGGCCTCAGTGAGGGTCTCCTGTAAGGCCTCTGGATTCAAGTTCATCGCCTACTATATACATTGGGTGCGAGAGGCCCCGGGACAGGGGCTTGAGTGGATGGGATTAATGAACCCCAACAGCGGTGACACAGAGTATGCTCGGAAGTTTCAGGGCAGGGTCAGCATGACCAGGGACACGTCCACCAGCACAGCGTACATGGAAATGAGCAGCCTGAGATCTGACGACACGGCCATATATTACTGTGCGAGAGTGAATAGGGACTATAGTAGTGGTTATTACGGTTGGTTCGACATCTGGGGCCAGGGAACCCTGGTCACCGTCTCCTCAGCCTCCACCAAGGGCCCATCGGTCTTCCCCCTGGCACCCTCCTCCAAGAGCACCTCTGGGGGCACAGCGGCCCTGGGCTGCCTGGTCAAGGACTACTTCCCCGAACCGGTGACGGTGTCGTGGAACTCAGGCGCCCTGACCAGCGGCGTGCACACCTTCCCGGCTGTCCTACAGTCCTCAGGACTCTACTCCCTCAGCAGCGTGGTGACCGTGCCCTCCAGCAACTTCGGCACCCAGACCTACACCTGCAACGTAGATCACAAGCCCAGCAACACCAAGGTGGACAA</t>
  </si>
  <si>
    <t>ATTGGGGGAGCTACAACAGGCAGGCAGGGGCAGCAAGATGGTGTTGCAGACCCAGGTCTTCATTTCTCTGTTGCTCTGGATCTCTGGTGCCTACGGGGACATCGTGATGACCCAGTCTCCAGACTCCCTGGCTGTGTCTCTGGGCGAGAGGGCCACCATCAACTGCAAGTCCAGTCGGAGTGTTTTATACAACAATAAGAACTACGTAACTTGGTACCAGCACAAACCAGGACAGCCTCCTAAAGTGCTCATTTACTGGGCATCTACCCGGGAATCCGGGGTCCCTGACCGATTCAGTGGCAGCGGGTCTGGGACAGATTTCACCCTCACCATCAACAACCTGCAGGCTGAAGATGTGGCAGTTTATTACTGTCAGCAATATTATAGTACTCCTTACACTTTTGGCCAGGGGACCAAGATGGACATCAAGCGAACTGTGGCTGCACCATCTGTCTTCATCTTCCCGCCATCTGATGAGCAGTTGAAATCTGGAACTGCCTCTGTTGTGTGCCTGCTGAATAACTTCTATCCCAGAGAGGCCAAAGTACAGTGGAAGGTGGATAACGCCCTCCAATCGGGTAACTCCCAGGAGAGTGTCACAGAGCAGGACAGCAAGGACAGCACCTACAGCCTCAGCAGCACCCTGACGCTGAGCAAAGCAGACTACGAGAA</t>
  </si>
  <si>
    <t>TGGGGAGCTCTGGGAGAGGAGCCCCAGCCCTGAGATTCCCAGGTGTTTCCATTCAGTGATCAGCACTGAACACAGAGGACTCACCATGGAGTTGGGACTGAGCTGGATTTTCCTTTTGGCTATTTTAAAAGGTGTCCAGTGTGAAGTGCACCTGGTGGAGTCTGGGGGAGGGTTGGTCCAGCCTGGCAGGTCCCTGAGACTCTCCTGTGCAGCCTCTGGATTCAACTTTGATGATTTTGCCATGCACTGGGTCCGGCAAGCTCCAGGGAAGGGCCTGGAGTGGGTCTCAGGTATTAATTGGAATAGTGGTAGGATGGGCTATAGGGACTCTGTGAAGGGCCGATTCACCATCTCCAGAGACAACGCCAAGAATACCCTCTATCTGCAAATGAACAGTCTCAGACCAGAGGACACGGCCTTCTATTACTGTGCAAAAGATCTGGCTTTTGAGGCGACTGGCGTTGACTACTGGGGCCAGGGAACGCTGGTCACCGTCTCCCCAGCCTCCACCAAGGGCCCATCGGTCTTCCCCCTGGCACCCTCCTCCAAGAGCACCTCTGGGGGCACAGCGGCCCTGGGCTGCCTGGTCAAGGACTACTTCCCCGAACCGGTGACGGTGTCGTGGAACTCAGGCGCTCTGACCAGCGGCGTGCACACCTTCCCGGCTGTCCTACAGTCCTCAGGACTCTACTCCCTCAGCAGCGTGGTGACCGTGCCCTCCAGCAACTTCGGCACCCAGACCTACACCTGCAACGTAGATCACAAGCCCAGCAACACCAAGGTGGACA</t>
  </si>
  <si>
    <t>TGGGAGCTGTGGGCTCAGAAGCAGAGTTCTGGGGTGTCTCCACCATGGCCTGGACCCCTCTCTGGCTCACTCTCCTCACTCTTTGCATAGCTTCTGTGCTTTCTTCTGAGCTGACTCAGGACCCCGCTGTGTCTGTGGCCTTGGGACAGACAGTCAGGATCACATGCCAAGGAGACATCCTCAGAAGCTATTTTCCAACCTGGTACCAGCAGAGGCCAGGACAGGCCCCTATACTTATCATCTATGGTAATAATGACCGGCCCTCAGGGATCCCAGACCGATTCTCTGGCTCCAGCTCAGGAAACACAGCTTCCTTGACCATCATTGGGGCTCAGGCGGAAGATGAGGCTGACTATTTCTGTAACTCCCGCAGTGGGAACCATCTGATATTCGGCGGAGGGACCAAACTGACCGTCCTGGGTCAGCCCAAGGCTGCCCCCTCGGTCACTCTGTTCCCGCCCTCCTCTGAGGAGCTTCAAGCCAACAAGGCCACACTGGTGTGTCTCATAAGTGACTTCTACCCGGGAGCCGTGACAGTGGCCTGGAAGGCAGATAGCAGCCCCGTCAAGGCGGGAGTGGAGACCACCACACCCTCCAAACAAAGCAACAACAAGTACGCGGCCAGCAGCTACCTGAGCCTGACGCCTGAGCAGTGGAAGTCCCAC</t>
  </si>
  <si>
    <t>GGGGGAGGCTTGGTACAGCCTGGGGGGTCCCTGAGACTCTCCTGTGCAGCCTCTGAATTCGCCTTTAGCTACTATGCCATGACCTGGGTCCGCCAGGCTCCAGGGAGGGGACTGGAGTGGGTCTCAAGTATCACTGGTAGTGGTGGTACTACATACTACGCAGACTCCGTGAAGGGCCGGTTCACCATCTCCAGAGACAATTCCAAGAACACGCTGTATCTGCAGATGAACAGTCTGAGAGCCGATGACACGGCCGTATATTACTGTGCGAAGGGTAACGATTTTTGGAGTGGCCTGAATTTTGAGTACTGGGGCCAGGGAACCCTGGTCACCGTCTCCTCAGCGTCGAC</t>
  </si>
  <si>
    <t>CCCTCAGTGTCTGCGGCCCCAGGACAGAAGGTCACCATCTCCTGCTCTGGAAGCACCTCCAACATTGGAAATAATTATGTATCCTGGTACCAACAACTCCCAGGAACAGCCCCCAAACTCCTCATTTATGACAATGATAAGCGACCCTCAGGGATTCCTGAGCGATTCTCTGGCTCCAAGTCTGGCACGTCAGCCACCCTGGGCATCACCGGACTCCAGACTGGGGACGAGGCCGATTATTACTGCGGAACATGGGATATCTTCCTGAATACTGGGGTGTTCGGCGGAGGGACCAAGCTGACCGTCCTAGGTCAGCCCAAGGCTGCCCCCTCGGTCACTCTGTTCCCACCCTCGAG</t>
  </si>
  <si>
    <t>GGGGCTGAGGTGAAGAAGCCTGGGGCCTCAGTGAAGGTTTCCTGCAAGGCATCTGGATACACCTTCACCAGCTACTATATGCACTGGGTGCGACAGGCCCCTGGACAAGGGCTTGAGTGGATGGGAATAATCAACCCTAGTGGTGGTAGCACAAGCTACGCACAGAAGTTCCAGGGCAGAGTCACCATGACCAGGGACACGTCCACGAGCACAGTCTACATGGAGCTGAGCAGCCTGAGATCTGAGGACACGGCCGTGTATTACTGTGCTAGGCATGATAGTAGTGGTTATGATGCTTTTGATATCTGGGGCCAAGGGACAATGGTCACCGTCTCTTCAGCGTCGAC</t>
  </si>
  <si>
    <t>CCCTCGGTGTCAGTGTCCCCAGGACAGACGGCCAGGATCACCTGCTCTGGAGATGCATTGCCAAAGCAATATGCTTATTGGTACCAGCAGAAGCCAGGCCAGGCCCCTGTGCCGGTGATATATAAAGACAGTGAGAGGCCCTCAGGGATCCCTGAGCGATTCTCTGGCTCCAGCTCAGGGACAACAGTCACGTTGACCATCAGTGGAGTCCAGGCAGAAGACGAGGCTGACTATTACTGTCAATCATCAGACAGCAGTGGTACTTATGTGGTATTCGGCGGAGGGACCAAGCTGACCGTCCTAGGTCAGCCCAAGGCTGCCCCCTCGGTCACTCTGTTCCCACCCTCGAG</t>
  </si>
  <si>
    <t>GGGGGAGGCTTGGTACAGCCTGGGGGGTCCCTGAGACTCTCCTGTACAGCCTCTGGATTCACCTTTAGCACCTATGCCATGAGCTGGGTCCGCCAGGCTCCAGGGAAGGGGCTGGAGTGGGTCTCAACTATTAGTGGTAGTGGTGGTAGTGGTAGTGGTGGTCGCACATACTACGCAGACTCCGTGAAGGGCCGGTTCACCATCTCCAGAGACAATTCCAAGAACACGCTGTATCTGCAAATGAACAGCCTGAGAGCCGAGGACACGGCCGTATATTACTGTGCGAAAGTGGGGGAGTATTACGATTTTTGGAGTGGTTATTCCCCCTTTGACTACTGGGGCCAGGGAACCCTGGTCACCGTCTCCTCAGCGTCGAC</t>
  </si>
  <si>
    <t>CCAGGCACCCTGTCTTTGTCTCCAGGGGAAAGAGCCACCCTCTCCTGCAGGGCCAGTCAGAGTGTTAGCAGCAGCTACTTAGCCTGGTACCAGCAGAAACCTGGCCAGGCTCCCAGGCTCCTCATCTATGGTGCATTTAGCAGGGCCACTGGCATCCCAGACAGGTTCAGTGGCAGTGGGTCTGGGACAGACTTCACTCTCACCATCAGCAGACTGGAGCCTGAAGATTTTGCAGTGTATTACTGTCAGCAGTATGGTAGCTCACCGTGGACGTTCGGCCAAGGGACCAAGGTGGAGATCAAACGTACG</t>
  </si>
  <si>
    <t>GGGGGAGGCGTGGTCCAGCCTGGGAGGTCCCTGAGACTCTCCTGTGCAGCCTCTGGATTCACCTTCAGTAACTATGTCATGCACTGGGTCCGCCAGGCTCCAGGCAAGGGGCTGGAGTGGGTGGCAGTTATATCATATGATGGAAGTAATAAATACTATGCAGACTCCGTGAAGGGCCGATTCACCATCTCCAGAGACAATTCCAAGAACACGCTGTATCTGCAAATGAACAGCCTGAGAGCTGAGGACACGGCTGTGTATTACTGTGCGAAAGATCTCCCCAGATATGACGATTTTTGGAGTGGTTACTGTGACTACTGGGGCCAGGGAACCCTGGTCACCGTCTCCTCAGCGTCGAC</t>
  </si>
  <si>
    <t>CCAGCCACCCTGTCTGTGTCTCCAGGGGAAAGAGCCACCCTCTCCTGCAGGGCCAGTCAGAGTGTTGGCAGCAACTTAGCCTGGTACCAGCAGAAACCTGGCCAGGCTCCCAGGCTCCTCATCTATGGTGCATCCACCAGGGCCACTGGTATCCCAGCCAGGTTCAGTGGCAGTGGGTCTGGGACAGAGTTCACTCTCACCATCAGCAGCCTGCAGTCTGAAGATTTTGCAGTTTATTACTGTCAGCAGTATAATAACTGGCCTCCATTCACTTTCGGCCCTGGGACCAAAGTGGATATCAAACGTACG</t>
  </si>
  <si>
    <t>GGGGGAGGCTTGGTACAGCCTGGGGGGTCCCTGAGACTCTCCTGTGCAGCCTCTGGATTCACCTTTAGCACCTATGGCATGAGCTGGGTCCGCCAGGCTCCAGGGAAGGGGCTGGAGTGGGTCTCAGGTATTAGTGGTAGTGGTGGTATCACATACTACGCAGACTCCGTGAGGGGCCGGTTCACCATCTCCAGAGACAATTCCAAGAACACGCTGTATCTGCGAATGAACAGCCTGAGAGCCGAGGACACGGCCGTATATTACTGTGCGAAAGTGGGGGAGTATTACGATTTTTGGAGTGGTTATTCCCCCTTTGAATACTGGGGCCAGGGAACCCTGGTCACCGTCTCCTCAGCGTCGAC</t>
  </si>
  <si>
    <t>CCAGGCACCCTGTCTTTGTCTCCAGGGGAAAGAGCCACCCTCTCCTGCAGGGCCAGTCAGAGTGTTAGCAGCAGCTACTTAGCCTGGTACCAGCAGAAACCTGGCCAGGCTCCCAGGCTCCTCATCTATGGTGCATTTAACAGGGCCACTGGCATCCCAGACAGGTTCAGTGGCAGTGGGTCTGGGACAGACTTCACTCTCACCATCAGCAGACTGGAGCCTGAAGATTTTGCAGTGTATTACTGTCAGCTGTATGGTAGCTCACCGTGGACGTTCGGCCAAGGGACCAAGGTGGAAATCAAACGTACG</t>
  </si>
  <si>
    <t>GGGGGAGGCTTGGTACAGCCTGGGGGGTCCCTGAGACTCTCCTGTGCAGCCTCTGGATTCACCTTCAATAGCAATAACATGAACTGGGTCCGCCAGGCTCCAGGGAAGGGGCTGGAATGGGTTTCATCCATTAGTAGTAGTGGTAGTACCATATACTACGCAGACTCTGTGAAGGGCCGATTCACCATCTCCAGAGACATTGCCAAGAACTCACTGTTTCTGCAAATGAACAGCCTGAGAGACGAGGACACGGCTGTGTATTACTGTGCGAGAGATCAGCTGTGGTTCGGGGAGTCCCCCCTATACTACTTTGACTACTGGGGCCAGGGAACCCTGGTCACCGTCTCCTCAGCGTCGAC</t>
  </si>
  <si>
    <t>CCCTCAGTGTCTGGGGCCCCAGGGCAGAGGGTCACCATCTCCTGCACTGGGAGCAGCTCCAACATCGGGGCAGGTTATGATGTACACTGGTACCAGCAGCTTCCAGGAACAGCCCCCAAACTCCTCATCTATGGTAACAGCAATCGGCCCTCAGGGGTCCCTGACCGATTCTCTGGCTCCAAGTCTGGCTCCTCAGCCTCCCTGGCCATCACTGGGCTCCAGGCTGAGGATGAGGCTGATTATTACTGCCAGTCCTATGACAGCAGCCTGAGTGGTCCTGTGGTCTTCGGCGGAGGGACCAAGCTGACCGTCCTAGGTCAGCCCAAGGCTGCCCCCTCGGTCACTCTGTTCCCACCCTCGAG</t>
  </si>
  <si>
    <t>GGAGCTGAGGTGAAGAGGCCTGGGGCCTCAGTGAGGGTCTCCTGCAAGGCTTCTGGTTACACCTTTACCAGATATGGCATCAACTGGGTGCGACAGGCCCCTGGACAAGGGCTTGAGTGGATGGGATGGATCAGCGCTTACAATGGTAACACAAACTATGCACAGAAGCTCCAGGGCAGAGTCACCATGACCACAGACACATCCACGAGCACAGCCTACATGGAGCTGAGGAGCCTGAGATCTGACGACACGGCCGTGTATTACTGTGCGAGAGATCTCGGAATGGTGTACAGATACTACTTTGACTACTGGGGCCAGGGAACCCTGGTCACCGTCTCCTCAGCGTCGAC</t>
  </si>
  <si>
    <t>CCAGGCACCCTGTCTTTGTCTCCAGGGGAAAGAGCCACCCTCTCCTGCAGGGCCAGTCAGAGTGTTAGCAGCAGCTACTTAGCCTGGTACCAGCAGAAACCTGGCCAGGCTCCCAGGCTCCTCATCTATGGTGCATCCAGCAGGGCCACTGGCATCCCAGACAGGTTCAGTGGCAGTGGGTCTGGGACAGACTTCACTCTCACCATCAGCAGACTGGAGCCTGAAGATTTTGCAGTGTATTACTGTCATCAGTATGTTAGCTCACCCTTGACGTTCGGCCAAGGGACCAAGGTGGAAATCAAACGTACG</t>
  </si>
  <si>
    <t>GGGGGAGGCTTGGTACAGCCTGGGGGGTCCCTGAGACTCTCCTGTGCAGCCTCTGGATTCACCTTTAGCAGCTATGCCATGAGCTGGGTCCGCCAGGCTCCAGGGAAGGGGCTGGAGTGGGTCTCAGGTATTACTGGTAGTGGTGGTACCACATACTACGCAGACTCCGTGAAGGGCCGGTTCACCATCTCCAGAGACAGTTCCAAGAACACACTGTATCTCCAAATGAACAGCTTGAGAGCCGAGGACACGGCCGTATATTACTGTGCGAAAGGCAACGATTTTTGGAGTGGTTATCCCGAAGACTGGGGCCAGGGACCCCTGGTCACCGTCTCCTCAGCGTCGAC</t>
  </si>
  <si>
    <t>CCCTCAGCGTCTGGGACCCCCGGGCAGAGGGTCACCATCTCTTGTTCTGGAAGCAGCTCCAACATCGGAAGAAATTATGTATACTGGTACCAGCAGCTCCCAGGAACGGCCCCCAAACTCCTCATCTATAGGAATAATCAGCGGCCCTCAGGGGTCCCTGACCGATTCTCTGGCTCCAAGTCTGGAACCTCAGCCTCCCTGGCCATCAGTGGGCTCCGGTCCGAGGATGAGGCTGATTATTACTGTGCAGTATGGGATGACAGCCTGAGTGGTGTGGTATTCGGCGGAGGGACCAAGCTGACCGTCCTAGGTCAGCCCAAGGCTGCCCCCTCGGTCACTCTGTTCCCACCCTCGAG</t>
  </si>
  <si>
    <t>GGCGCAGGACTGTTGAAGCCTTCGGAGACCCTGTCCCTCACCTGCGCTGTCTATGGTGGGTCCTTCAGTGGCTACTACTGGAGCTGGGTCCGCCAGCCCCCAGGGAAGGGGCTGGAGTGGATTGGGGAAATCAATGATAGTGGAAGCACCAACTACATCCCGTCCCTCAAGAGTCGAGTCACCATATCAGTAGACACGTCCAAGAACCACCTCTCCCTGAGGCTGAGCTCTGTGACCGCCGCGGACACGGCTCTGTATTATTGTGCGAGACATGGACATAACGGTATGGGCGTCTGGGGCAAAGGGACCACGGTCACCGTCTCCTCAGCGTCGAC</t>
  </si>
  <si>
    <t>CCACTCTCCCTGCCCGTCATACCTGGAGAGCCGGCCTCCATCTCCTGCAGGTCTAGTCAGAGCCTCCTACATAGTAATGGATACAAGTATTTGGATTGGTACCTGCAGAAGCCAGGGCAGTCTCCACAGCTCCTGATCTATTTGGGTTCTAATCGGGCCTCCGGGGTCCCTGACAGGTTCAGTGGCAGTGGATCAGGCACAGATTTTACACTGAAAATCAGCAGAGTGGAGGCTGAGGATGTTGGGGTTTATTACTGCATGCAAGCTCTACAAACTCCGCTCACTTTCGGCGGAGGGACCAAGGTGGAAATCAAACGTACG</t>
  </si>
  <si>
    <t>GGGGGAGGCTTGGTACAGCCTGGGGGGTCCCTGAGACTCTCCTGTGCAGCCTCTGGATTCATCTTCAGTACCTACGACATGCACTGGGTCCGCCAAGGTACAGGAAAAGGTCTGGAGTGGGTCTCAGCTATTGGTACTGCTGGTGATACATACTATCCAGGCTCCGTGAAGGGCCGATTCACCATCTCCAGAGAAAATGGCAAGAACTCCTTATATCTTCAAATGAACAGCCTGAGAGTCGAGGACACGGCCGTGTATTACTGTGCAAGAGTGAGATGGCTACAATTTGACTACTGGGGCCAGGGAACCCTGGTCACCGTCTCCTCAGCGTCGAC</t>
  </si>
  <si>
    <t>CCAGGCACCCTGTCTTTGTCTCCAGGGGAAAGAGCCACCCTCTCCTGCAGGGCCAGTCAGAGTGTTAGCAGCAACTACTTAGCCTGGTACCAGCAGAGACCTGGCCAGGCTCCCAGGCTCCTCATCTATGGTGCATCCAGCAGGGCCACTGGCATCCCAGACAGGTTCAGTGGCAGTGGGTCTGGGACAGACTTCACTCTCACCATCAGCAGACTGGAGCCTGAAGATTTTGCAGTGTATTACTGTCAGCAGTATCGTAACTCAGTCTGGACGTTCGGCCAAGGGACCAAGGTGGAAATCAAACGTACG</t>
  </si>
  <si>
    <t>GGGGGAGGCCTGGTCAAGCCTGGGGGGTCCCTGAGACTCTCCTGTGCAGCCTCTGGATTCACCTTCAGTGCCTATAGCTTTAACTGGGTCCGCCAGGCTCCAGGGAAGGGGCCGGAGTGGGTCTCATCCATTAATATTAGGAGTACTTACATATACTACGCAGACTCAGTGAAGGGCCGATTCACCGTCTCCAGAGACAACGCCAAGAACTCACTGTATCTGCACATGAACAGCCTGAGAGCCGAGGACACGGCTGTGTATTACTGTGCGAGAGATATAATACGGGCAGCGAACTACTACTACTACGGTATGGACCTCTGGGGCCAAGGGACCACGGTCACCGTCTCCTCAGCGTCGAC</t>
  </si>
  <si>
    <t>CCCTCAGTGTCTGCGGCCCCAGGACAGAAGGTCACCATCTCCTGCTCTGGAAGCAGCTCCAACATTGGGAATAATTTTGTATCCTGGTACCGGCAGCTCCCAGGAACAGCCCCCAAACTCCTCATTTATGACAATAATAAGCGACCCTCAGGGATTCCTGACCGATTCTCTGGCTCCAAGTCTGGCGCGTCAGCCACCCTGGGCATCACCGGACTCCAGACTGGGGACGAGGCCGATTATTACTGCGGAACATGGGATAGCAGCCTGAGTGCTGGGGTGTTCGGCGGAGGGACCAAGCTGACCGTCCTAGGTCAGCCCAAGGCTGCCCCCTCGGTCACTCTGTTCCCGCCCTCGAG</t>
  </si>
  <si>
    <t>GGAGCTGAGGTGAAGAAGCCTGGGGCCTCAGTGAAGGTCTCCTGCAAGGCTTCTGGTTACACCTTTAACAGATATGGTATCAGCTGGGTGCGACAGGCCCCTGGACAAGGGCTTGAGTGGATGGGATGGATCAGCGCTTATAATGGTAACACAAACTACGCACAGAAGTTCCAGGGCAGAGTCACCATGACCACAGACACATCCACGAGCACAGCCTATTTGGAGCTGAGGAGCCTGAGATCTGACGACACGGCCGTGTATTACTGTGCGAGAGTCATTAGTATGATATTGGTGGGCCCCTTTGACTACTGGGGCCAGGGAACCCTGGTCACCGTCTCCTCAGCGTCGAC</t>
  </si>
  <si>
    <t>CCAGGCACCCTGTCTTTGTCTCCAGGGGAAAGAGTCACCCTCTCCTGCAGGGCCAGTCAGAGTGTTAGCAGCAGCTACTTAGCCTGGTACCAGCAGAAGCCTGGCCAGGCTCCCAGGCTCCTCATCTATGGTGCATCCAGCAGGGCCACTGGCATCCCAGACAGGTTCAGTGGCAGTGGGTCTGGGACAGACTTCACTCTCACCATCAGCAGACTGGAGCCTGAAGATTTTGCAGTGTATTACTGTCAGCAGTATGGTAACTCACCGCTCACTTTCGGCGGAGGGACCAAGGTGGAAATCAAACGTACG</t>
  </si>
  <si>
    <t>GGGGGAGGCGTGGTCCAGCCTGGGAGGTCCCTGAGACTCTCCTGTGCAGCCTCTGGATTCACCTTCAATAGCTATGCCATGCACTGGGTCCGCCAGGCTCCAGGCAAGGGGCTGGATTGGGTGGCATTTATATCACATGATGAAAGTTATAAATACTATGCAGGCTCCGTGAAGGGCCGATTCACCATCTCCAGAGACAATTCCAAGAACACGCTGTATTTGCAAATGAACAGCCTGAGAGCTGACGACACGGCTGTTTATTACTGTGCGAAAGAGGGGGCTACGGTGACCGACCTCTACTACTACGGTATGGACGTCTGGGGCCAAGGGACCACGGTCACCGTCTCCTCAGCGTCGAC</t>
  </si>
  <si>
    <t>CCATCTTCCGTGTCTGCATCTGTAGGAGACAGAGTCACCATCACTTGTCGGGCGAGTCAGGGTATTAGCTACTGGTTAGCCTGGTATCAGCAGAAACCAGGGAGAGCCCCTAAGCTCCTGATCTATGGTGCATCCAGTTTGCAAAGTGGGGTCCCATCAAGGTTCAGCGGCAGTGGATCTGGGACAGATTTCACTCTCACCATCAGCAGCCTGCAGCCTGAAGATTTTGCAACTTACTATTGTCAACAGGCTAACAGTTTCCCATTCACTTTCGGCCCTGGGACCAAAGTGGATATCAAACGTACG</t>
  </si>
  <si>
    <t>GGGGGAGGCTTGGTACAGCCTGGAGGGTCCCTGAGACTCTCCTGTGCAGTCTCTGGACTCACCTTCAGTAATTATGAAATGAACTGGGTCCGCCAGGCTCCAGGGAAGGGGCTGGAGTGGCTTTCATATATTAGTAGTAGTGGTGGTCTCGTATCCTACGCAGACTCTGTGAAGGGCCGATTCACCACCTCCAGAGACAACGCCAAGAATTCACTGTATCTGCAAATGAACAGCCTGAGAGCCGAGGACACGGCTGTTTATTACTGTGCGAGAGCCAGCTTATGGTTCGGGGAGCACCCGGCATACTACTTTGACTACTGGGGCCAGGGAACCCTGGTCACCGTCTCCTCAGCGTCGAC</t>
  </si>
  <si>
    <t>CCCTCAGTGTCTGGGGCCCCAGGTCAGAGGGTCACCATCTCCTGCACTGGGAGCAGCTCCAACATCGGGGAAGGTTATGATGTACACTGGTACCAGCAGCTTCCAGGAACAGCCCCCAAACTGCTCATCTATGGTAACAGCCATCGGCCCTCAGGGGTCCCTGACCGATTCTCTGGCTCCAAGTCTGGCACCTCAGCCTCCCTGGCCATCACTGGGCTCCAGGCTGAGGATGAGGCTGATTATTACTGCCAGTCCTATGACAGCAGCCTAAGTGGTTCGGTGTTCGGCGGAGGGACCAAGCTGACCGTCCTTGGTCAGCCCAAGGCTGCCCCCTCGGTCACTCTGTTCCCACCCTCGAG</t>
  </si>
  <si>
    <t>GGGGGAGGCGTGGTCCAGCCTGGGAGGTCCCTGAGACTCTCCTGTGCAGCCTCTGGATTCACCTTCAGTAGCCATGGCATGCACTGGGTCCGCCAGGCTCCAGGCAAGGGGCTGGAGTGGGTGGCAGTTATATCATATGATGGAAGTAATAAATATTATGCAGATTCCGTGAAGGGCCGATTCACCATCTCCAGAGACAATTCCAAGAACACGCTGTATCTGCAAATGAACAGCCTGAGAGCTGAGGACACGGCTGTGTATTACTGTGCGAAAGTGGGCCCCCATTTTGTGGTGGCGTACTACTTTGACTACTGGGGCCAGGGAACCCTGGTCACCGTCTCCTCAGCGTCGAC</t>
  </si>
  <si>
    <t>CCAGCCACCCTGTCTGTGTCTCCAGGGGAAAGAGCCACCCTCTCCTGCAGGGCCAGTCAGAGTATTAGCAGCAACTTAGCCTGGTACCAGCAGAAACCTGGCCAGGCTCCCAGGCTCCTCATCTATGGTGCATCCACCAGGGCCACTGATATCCCAGCCAGGTTCAGTGGCAGTGGGTCTGGGACAGAGTTCACTCTCACCATCACCAGCCTGCAGTCTGAAGATTTTGCAGTTTATTACTGTCAGCAGTATAATAACTGGCCTCCGTACACTTTTGGCCAGGGGACCAAGGTGGAGATCAAACGTACG</t>
  </si>
  <si>
    <t>GGAGGAGGCGTGGTACAGCCTGGGGGGTCCCTGAGACTCTCCTGTGCAGCCTCTGGATTCAACTTTGATGATTATGCCATGCACTGGGTCCGTCAAGCTCCAGGGAAGGGTCTGGAGTGGGTCTCTTTTATTAGTGGAGATGGTGGTAGCACATACTTTGCAGACTCTGTGAAGGGCCGATTCACCATCTCCAGAGACAACAGCAAAAACTCCCTGTATCTGCAAATGAACAGTCTGAGAATTGAGGACACCGCCTTCTATTACTGTGCAAAAGAGTATACCAGTTCGGCCGGATTATACTACTACGGTGTGGACGTCTGGGGCCAAGGGACCACGGTCACCGTCTCCTCAGCGTCGAC</t>
  </si>
  <si>
    <t>CCATCTTCCGTGTCTGCATCTGTAGGAGACAGAGTCACCATCACTTGTCGGGCGAGTCAGGGTATTAGCAGCTGGTTAGCCTGGTATCAGCAGAAACCAGGGAGAGCCCCTAAGCTCCTGATCTATGCTGCATCCAGTTTGCAAAGTGGGGTCCCATCAAGGTTCAGCGGCAGTGGATCTGGGACAGATTTCACTCTCACCATCAGCAACCTGCAGCCTGAAGATTTTGCAACTTACTATTGTCAACAGGCTCACAGTTTCCCGTGGACGTTCGGCCAAGGGACCAAGGTGGAAATCAAACGTACG</t>
  </si>
  <si>
    <t>GGGGCTGAGGTGAGGAAGCCTGGGTCCTCGGTGAAGGTCTCCTGCAAGGCTTCTGGAGGCACCTTCAGCACCTATGCTATCAGCTGGGTGCGACAGGCCCCTGGACAAGGGCTTGAGTGGATGGGAAGGATCATCCCTATGCTTGGTAAACCTAACTACGCACAGAAGTTCCAGGGCAGAGTCACGATTACCGCGGACAAATCCACGACCACAGCCTACATGGAGCTGAGCAGCCTGAGATCTGAGGACACGGCCGTATATTACTGTGCGAGAGATCTGGGTACACCTTCTGACTACTGGGGCCAGGGAACCCTGGTCACCGTCTCCTCAGCGTCGAC</t>
  </si>
  <si>
    <t>CCATCCTCACTGTCTGCATCTGTAGGAGACAGAGTCACCATCACTTGTCGGGCGAGTCAGGGCATTAGCAATTATTTAGCCTGGTTTCAGCAGAAACCAGGGAAAGCCCCTAAGTCCCTGATCTATGCTGCATCCAGTTTGCAAAGTGGGGTCCCATCAAAGTTCAGCGGCAGTGGATCTGGGACAGATTTCACTCTCACCATCAGCAGCCTGCAGCCTGAGGATTTTGCAACTTATTACTGCCAACAGTATAATAGTTACCCGCTCACTTTCGGCGGAGGGACCAAGGTGGAGATCAAACGTACG</t>
  </si>
  <si>
    <t>GGGGGAGGCTTGGTACAGCCTGGGGGGTCCCTGAGACTCTCCTGTGCAGCCTCTGGATTCACCTTTAGCAGCTATGCCATGGGCTGGGTCCGCCAGGCTCCAGGGAAGGGGCTGGAGTGGGTCTCAACTATTACTGGTAGTGGTGGTACCACATATAACGCAGACTCCGTGAAGGGCCGGTTCACCATCTCCAGAGACAATTCCAAGAACACGCTGTATCTGCAAATGAACAGCCTGAGAGCCGAGGACACGGCCGTATATTACTGTGCGAAAGATTTCGATTTTTGGAGTGGTAACCACTTTGACTACTGGGGCCAGGGAACCCTGGTCACCGTCTCCTCAGCGTCGAC</t>
  </si>
  <si>
    <t>CCCTCAGTGTCTGCGGCCCCAGGACAGAAGGTCACCATCTCCTGCTCTGGAAGCAGCTCCAACATTGGGAATAATTATGTATCCTGGTACCAGCAGCTCCCAGGAACAGCCCCCAAACTCTTCATTTATGACAATAATAAGCGACCCTCAGGGATTCCTGACCGATTCTCTGGCTCCAAGTCTGGCACGTCAGCCACCCTGGGCATCACCGGACTCCAGACTGGGGACGAGGCCGATTATTACTGCGGAACATGGGATTTCAGCCTGAGTGGTTGGGTGTTCGGCGGAGGGACCAAGCTGACCGTCCTAGGTCAGCCCAAGGCTGCCCCCTCGGTCACTCTGTTCCCACCCTCGAG</t>
  </si>
  <si>
    <t>GGAGCTGAGGTGAAGAAGCCTGGGGCCTCAGTGAAGGTCTCCTGCAAGGCTTCTGGTTACACCTTTACCAGATATGGTATCAGCTGGGTGCGACAGGCCCCTGGACAAGGGCTTGAGTGGATGGGATGGATCAGCGCTTACAATGGTAACACAAACTATGCACAGAAGCTCCAGGGCAGAGTCACCATGACCACAGACACATCCACGAGCACAGCCTACATGGAGCTGAGGAGCCTGAGATCTGACGACACGGCCGTGTATTACTGTGCGAGAGATCTGGGAATGGTGGGGATCTACTACGTTGACTACTGGGGCCAGGGAACCCTGGTCACCGTCTCCTCAGCGTCGAC</t>
  </si>
  <si>
    <t>CCAGGCACCCTGTCTTTGTCTCCAGGGGAAAGAGCCACCCTCTCCTGCAGGGCCAGTCAGAGTGTTAGCAGCAGCTACTTAGCCTGGTACCAGCAGAAACCTGGCCAGGCTCCCAGGCTCCTCATCTATGGTGCATCCAGCAGGGCCACTGGCATCCCAGACAGGTTCAGTGGCAGTGGGTCTGGGACAGACTTCACTCTCACCATCAGCAGACTGGAGCCTGAAGATTTTGCAGTGTATTACTGTCAGCAGTATGGTAGCTCACCTCGCACGTTCGGCCAAGGGACCAAGGTGGAAATCAAACGTACG</t>
  </si>
  <si>
    <t>GGAGGAGGCTTGATCCAGCCTGGGGGGTCCCTGAGACTCTCCTGTGCAGCCTCTGGGTTCACCGTCAGTAGCGAATACATGAGCTGGGTCCGCCAGGCTCCAGGGAAGGGGCTGGAGTGGGTCTCAGTTATTTATAGCGGTGGTAGCACATACTACGCAGACTCCGTGAAGGGCCGATTCACCATCTCCAGAGACAATTCCAAGAACACGCTGTATCTTCAAATGAACAGCCTGAGAGCCGAGGACACGGCCGTGTATTACTGTGCGAGTTTTCGACTACCCTACTACTACGGTATGGACGTCTGGGGCCAAGGGACCACGGTCACCGTCTCCTCAGCGTCGAC</t>
  </si>
  <si>
    <t>CCATCCTCCCTGTCTGCATCTGTGGGAGACAGAGTCACCATCACTTGCCGGGCGAGTCAGGGCATTAGCAATTATTTAGCCTGGTATCAGCAGAAACCAGGGAAAGTTCCTAAGCTCCTGATCTATGTTGCATCCACTTTGCAATCAGGGGTCCCATCTCGGTTCAGTGGCAGTGGATCTGGGACAGATTTCACTCTCACCATCAGCAGCCTGCAGCCTGAAGATGTTGCAACTTATTATTGTCAAAAGTATAACAGTGCCCCGCTCACTTTCGGCGGAGGGACCAAGGTGGAGATCAAACGTACG</t>
  </si>
  <si>
    <t>GGGGGAGACGTGGTCCAGCCTGGGAGGTCCCTGAGACTCTCCTGTGCAGCGTCTGGATTCACCTTCAGTAGGAATGGCATGCACTGGGTCCGCCAGGCTCCAGGCAAGGGGCTGGAGTGGGTGGCACTTATATGGTATGATGGAAGTAATAAATACTATGCAGACTCCGTGAAGGGCCGATTCACCATCTCCAGAGACAATTCCAGGAACACGCTGTATCTGCAAATGAACAGCCTGAGAGCCGAGGACACGGCTGTGTATTACTGTGCGAGGGAGTCCGATGCCTCCGATATTTTGACTGGTTATCTTGACTACTGGGGCCAGGGAACCCTGGTCACCGTCTCCTCAGCGTCGAC</t>
  </si>
  <si>
    <t>CCAGCCACCCTGTCTGTGTCTCCAGGGGAAAGAGCCACCCTCTCCTGCAGGGCCAGTCAGAGTGTTAGCATCAACTTAGCCTGGTACCAGCAGAAACCTGGCCAGGCTCCCAGGCTCCTCATCTATGGTGCATCTACCAGGGCCACTGGTGTCCCAGCCAGGTTCAGTGGCAGTGGGTCTGGGACAGAGTTCACTCTCACCATCAGCAGCCTGCAGTCTGAAGATTTTGCAGTTTATTTCTGTCAGCAGTATCATAACTGGCCTCCGCTCACTTTCGGCGGAGGGACCAAGGTGGAAATCAAACGTACG</t>
  </si>
  <si>
    <t>GGGGGAGGCTTGGCACAGCCTGGGGGGTCCCTAAGACTCTCCTGTGCAGCCTCTGGATTCACCTTCAGGAGCTACGACATGCACTGGGTCCGCCAAGTTACAGGAAAAGGTCTGGAGTGGGTCTCGGCTATCGGTACTGCTGGTGACACTTACTATACAGGCTCCGTGAAGGGCCGATTCACCATCTCCAGAGAAAATGACAAGAGCTCCCTGTATCTTCAAATGAGCAGCCTGAGAGGCGAGGACACGGCCGTGTATTACTGTGCAAGAGCAGCTTTTGGCTCCCACTACTTTGACTACTGGGGCCAGGGAACCCTGGTCACCGTCTCCTCAGCGTCGAC</t>
  </si>
  <si>
    <t>CCAGGCACCCTGTCTCTGTCTCCAGGGGAAAGAGCCGCCCTCTCCTGCAGGGCCAGTCAGAGTGTTAGCGGCAACTACTTTGCCTGGTACCAGCAGAAATCTGGCCAGGCTCCCAGGCTCCTCATCTCTGCTGCATCCAGCAGGGCCACTGGCGTCCCAGACAGGTTCAGTGCCAGTGGGTCTGGGACAGACTTCACTCTCACCATCAGCAGACTGGAGCCTGAAGATTCTGCAGTGTATTATTGTCAGCAGTATGGTAGCTCACCTCTGACGTTCGGCCAAGGGACCAAGGTGGAGATCAAACGTACG</t>
  </si>
  <si>
    <t>GGGGGAGGCGTGGTCCAGCCTGGGAGGTCCCTGAGACTCTCCTGTGCAGCCTCTGGATTCACCTTCAGTAGCTTTGGCATGCACTGGGTCCGCCAGGCTCCAGGCAAGGGGCTGGAGTGGGTGGCAGTTATATCAGCTGATGGAAGTGATAAATACTATGCAGACTCCGTGAAGGGCCGATTCACCATCTCCAGAGACAATTCCAAGAACACGCTGTATCTGCAGATGAACAGCCTGAGAGCTGAGGACACGGCTGTGTATTACTGTGCGAAAGATCTTGCCTCGTATTACGATTTTTGGATTGGTTATTTTGACTACTGGGGCCAGGGAACCCTGGTCACCGTCTCCTCAGCGTCGAC</t>
  </si>
  <si>
    <t>CCAGCCACCCTGTCTGTGTCTCCAGGGGAAAGAGCCACCCTCTCCTGCAGGGCCAGTCAGAGTGTTGGCAGCAACTTAGCCTGGTACCAGCAGAAAGTTGGCCAGGCTCCCAGGCTCCTCATCTATGGTGCATCCACCAGGGCCACTGGTATCCCAGCCAGGTTCAGTGGCATTGGGTCTGGGACAGAGTTCACTCTCACCATCAGCAGCCTGCAGTCTGAAGATTTTGCAGTTTATTACTGTCAGCAGTATAATAACTGGCCTCCATTCACTTTCGGCCCTGGGACCAAAGTGGATATCAAACGTACG</t>
  </si>
  <si>
    <t>GGGGGAGGCGTGGTCCAGCCTGGGAGGTCCCTGAGACTCTCCTGTGCAGCCTCTGGATTCACCTTCAGTAACTATGGCATGCACTGGGTCCGCCAGGCTCCAGGCAAGGGGCTGGAGTGGGTGGCAGTGATATCATATGATGGAAGTAATAAATACTATGCAGACTCCGTGAAGGGCCGATTCACCATCTCCAGAGACAATTCCAAGAACACGCTGTATCTGCAAATGAACAGCCTGAGAGCTGAGGACACGGCTGTGTATTACTGTGCGAAAGATAGGCCCTTGTATAACGATTTTTGGAGTGGTTATTACGACGACTGGGGCCAGGGAACCCTGGTCACCGTCTCCTCAGCGTCGAC</t>
  </si>
  <si>
    <t>CCAGCCACCCTGTCTGTGTCTCCAGGGGAGAGAGCCACCCTCTCCTGCAGGGCCAGTCAGAGTGTTGGCAGCAACTTAGCCTGGTACCAGCAGACACCTGGCCAGGCTCCCAGGCTCCTCATCTATGGTGCATCCACCAGGGCCACTGATATCCCAGCCAGGTTCAGTGGCAGTGGGTCTGGGACAGAGTTCACTCTCACCATCAGCAGCCTGCAGTCTGAAGATTTTGCAGTTTATTACTGTCAGCAGTATAATAACTGGCCTCCTTTCACTTTCGGCCCTGGGACCAAAGTGGATATCAAACGTACG</t>
  </si>
  <si>
    <t>GGGGGAGGCTTGGTACAGCCTGGGGGGTCCCTGAGACTCTCCTGTGCAGCCTCTGGATTCACCTTTAGCACCTATGCCATGAGCTGGGTCCGCCAGGCTCCAGGGAAGGGGCTGGAGTGGGTCTCAGCTATTGTTGGTAGTGGTGGTAGCACATACTACGCAGACTCCGTGAAGGGCCGGTTCACCATCTCCAGAGACAATTCCAAGAACACCCTGTATCTGCAAATGAACAGCCTGAGAGCCGAGGACACGGCCGTATATTACTGTGCGAAATGCGGCGAGTATTACGATTTTTGGAGTGGTTATTCCCCCTTTGACTACTGGGGCCAGGGAACCCTGGTCACCGTCTCCTCAGC</t>
  </si>
  <si>
    <t>CCAGGCACCCTGTCTTTGTCTCCAGGGGAAAGAGCCACCCTCTCCTGCAGGGCCAGTCAGAGTGTTAGCAGCAGCTACTTAGCCTGGTACCAGCAGAAACCTGGCCAGGCTCCCAGGCTCCTCATCTATGGTGCATTTAGCAGGGCCACTGGCATCCCAGACAGGTTCAGTGGCAGTGGGTCTGGGACAGACTTCACTCTCACCATCAGCAGACTGGAGCCTGAAGATTTTGCAGTGTATTACTGTCAGCAGTATGGTAGCTCACCTAAGACGTTCGGCCAAGGGACCAAGGTGGAAATCAAACGTACG</t>
  </si>
  <si>
    <t>GGGGGAGGCTTGGTACAGCCTGGGGGGTCCCTGAGACTCTCCTGTGCAGCCTCTGGATTCACCTTTAGCATCTATGGCATGAGCTGGGTCCGCCAGGCTCCAGGGAAGGGGCTGGAGTGGGTCTCAGGTATAAGTGGTAGTGGTGGTACCACATACTACGCAGACTCCGTGAAGGGCCGGTTCACCATCTCCAGAGACAATTCCAAGAACACGCTGTATCTGCAAATGAACAGCCTGAGAGCCGAGGACACGGCCGTATATTACTGTGCGAAATGCGGCGAGTATTACGATTTTTGGAGTGGTTATTCCCCCTTTGACTACTGGGGCCAGGGAACCCTGGTCACCGTCTCCTCAGC</t>
  </si>
  <si>
    <t>CCAGGCACCCTGTCTTTGTCTCCAGGGGAAAGAGCCACCCTCTCCTGCAGGGCCAGTCAGAGTGTTAGCAGCAGCTACTTAGCCTGGTACCAGCAGAAACCTGGCCAGGCTCCCAGGCTCCTCATCTATGGTGCATCCACCAGGGCCACTGGCATCCCAGACAGGTTCAGTGGCAGTGGGTCTGGGACAGACTTCACTCTCACCATCAGCAGACTGGAGCCTGAAGATTTTGCAGTGTATTTCTGTCAGCAGTATGGTAGCTCACCTAAGACGTTCGGCCAAGGGACCAAGGTGGAGATCAAACGTACG</t>
  </si>
  <si>
    <t>GGAGGAGGCTTGATCCAGCCTGGGGGGTCCCTGAGACTCTCCTGTGCAGCCTCTGGTTTCGCCGTCAGGAGCAACTACTTGAGCTGGGTCCGCCAGGCTCCTGGGAAGGGGCTGGAGTGGGTCTCACTTATTTATAGTGGTGGTCTCACAGCCTACGCAGACTCCGTGGAGGGCCGGTTCACCATCTCCAGAGACAATTCTAAGAACACACTATATCTTCAAATGAACAGCCTGAGAGTCGAGGACACGGCCCTATATTACTGTGCGAGAGTCGCATCATCGGCTGGAACCTTCTACTACGGTATGGACGTCTGGGGCCAAGGGACCACGGTCACCGTCTCCTCAGCGTCGAC</t>
  </si>
  <si>
    <t>CCACGCTCCCTGTCCGTCACCCCTGGAGAGCCGGCCTCCATCTCCTGCAGGTCTAGTCAGAGCCTCCTGCATAGAAATGGATATAACTATTTGGATTGGTATCTGCAGAAGCCAGGGCAGTCTCCACAGCTCCTGATCTATTTGGGTTCTAATCGGGCCTCCGGGGTCCCTGACAGGTTCAGTGGCAGTGGATCAGGCACAGATTTTACACTGAAAATCAGCAGAGTGGAGGCTGAAGATGTTGGGGTTTATTACTGCATGCAAGCTCTACAAACTCCCTCGTGGACGTTCGGCCAAGGGACCAAGGTGGAAATCAAACGTACG</t>
  </si>
  <si>
    <t>GGGGGAGGCTTGGTCCAGCCTGGGGGGTCCCTGAGAGTCTCCTGTGCAGTCTCTGGATTCACCGTCAGTAGTAATTATATCAACTGGGTCCGCCAGGCTCCAGGGAAGGGGCTGGAGTGGGTCTCAGTTATTTATAGCGGTGGTAGCACATACTACGCAGACTCCGTGAAGGGCAGATTCACCATCTCTAGAGACACTTCCAAGAACATCGTGTATCTTCAAATGAACAGCCTGAGAGCCGAGGACACGGCTGTGTATTATTGTGCGAGAATATACTTCTACTATAACGGTATGGACGCCTGGGGCCAAGGGACCACGGTCACCGTCTCCTCAGCGTCGAC</t>
  </si>
  <si>
    <t>CCAGGCACCCTGTCTTTGTCTCCAGGGGAAAGAGCCACCCTCTCCTGCAGGGCCAGTCAGAGTGTTAGCAGCAACTACTTAGCCTGGTACCAGAAGAAACCTGGCCAGGCTCCCAGGCTCCTCATCTATGGTGCATCCAGCAGGGCCACTGGCATCCCAGACAGGTTCAGTGGCAGTGGGTCTGGGACAGACTTCACTCTCACCATCAGCAGACTGGAGCCTGAAGATTTTGTAGTGTATTACTGTCAGCAGTATGGTAGCTCACCTCCCTGGACGTTCGGCCAAGGGACCAAGGTGGAAATCAAACGTACG</t>
  </si>
  <si>
    <t>GAGGTGCAGCTGGTGGAGTCTGGGGGAGGCCTGGTCAAGCGGGGGGGGTCCCTGAGACTCTCCTGTGCAGCCTCTGGATTCACCTTCAGCAGCTATAGCATGAACTGGGTCCGCCAGGCTCCAGGGAAGGGGCTAGAGTGGGTCTCAACCATTGGTAGTAGAAGTCGGTACATAGAATATGGAGACTCAGTGAAGGGCCGATTCACCATCTCCAGAGACAACGCCAAGAACTTATTGTATCTGCACATGAACAGCCTGAGAGCCGAGGACACGGCTGTTTATTACTGTGCGAGAGAAGGGATTACGCTTGGGGGAGTTCTCGTTATAAATGCTCTTGATATCTGGGGCCAAGGGACCCTGGTCACCGTCTCTTCA</t>
  </si>
  <si>
    <t>GAAATTGTAATGACGCAGTCTCCAGCCATCCTGTCTGTGTCTCCAGGGGAAAGAGCCACCCTCTCCTGCAGGGCCAGTCAGACTGTTAGTAGCGACTTAGCCTGGTACCAGCAGAAACCTGGCCAGGCTCCCAGGCTCCTCATGTATGGTACATCCACCAGGGCCACTGGTATCCCAGCCAGGTTCAGTGGCAGTGGGTTTGGGACAGAGTTCACTCTCACCATCAGCAGCCTGCAGTCTGAAGATTTTGCAGTTTATTACTGTCAGCAGTATAAGAAGTGGCCTTACACTTTTGGCCAGGGGACCAAAGTGGATATCAAA</t>
  </si>
  <si>
    <t>CAGGTGCAGCTACAGCAGTGGGGCGCAGGACTGTTGAAGCCTTCGGAGACCCTGTCCCTCACCTGCGCTGTCGATGGTGGGTCCTTCAGTGGTTACTACTGGAGCTGGATCCGCCAGCCCCCAGGGAAGGGGCTGGAGTGGATTGGGCAGATCAATCATAGTGGAAGCACCAACTACAACCCGTCCCTCAAGAGTCGAGTCACCATATCAGTAGACACGTCTAAGAACCAGTTCTCCCTGAAGCTGAGCTCTGTGACCGCCGCGGACACGGCTGTATATTACTGTGCGAGAGCCCTCCCCCGGGGTGGGAACTACCGGACGTTTGACTACTGGGGCCAGGGAACCCTGGTCACTGTCTCCTCA</t>
  </si>
  <si>
    <t>GAAATTGTAATGACACAGTCTCCACTCTCCCTGCCCGTCACCCCTGGAGAGCCGGCCTCCATCTCCTGCAGGTCTAGTCAGAGCCTCCTGCATAGTAATCGATACAACTATTTGGATTGGTACCTGCAGAAGCCAGGGCAGTCTCCACAGCTCCTGATTTATTTGGGTTCTAATCGGGCCTCCGGGGTCCCTGACAGGTTCAGTGGCAGTGGATCAGGCACAGATTTTACACTGAAAATCAGCAGAGTGGAGGCTGAGGATGTTGGGGTTTATTACTGCATGCAAGGTCTACAAACTCCGCTCACTTTCGGCGGAGGGACCAAGGTGGAAATCAAA</t>
  </si>
  <si>
    <t>CAGGTGCAGCTGCAGGAGTCCGGGGGAGGCTTGGTACAGCCGGGGGGGTCCCTGAGACTCTCCTGTGCAGCCTCTGGATTCACCTTTAGCAGCTATGCCATGAGCTGGGTCCGCCAGGCTCCAGGGAAGGGTCTGGAGTGGGTCTCAGGTATTACTGGTAGTGGTGGTACCCCATACTACGCAGACTCCGTGAAGGGCCGATTCACCATCTCCAGAGACAATTCCAGGAACACGCTGTATCTGCAAATGAACAGCCTGAGAGCCGAGGACACGGCCGTATATTATTGTGCGAAAGGTTACGATTTTTGGAGTGCTTATCCGGACTACTGGGGCCAGGGAACCCTGGTCACCGTCTCCTCA</t>
  </si>
  <si>
    <t>TCCTATGAGCTGACACAGCCACCCTCAGCGTCTGGGACCCCCGGGCAGAGGGTCACCATCTCTTGTTCTGGAAGCAGCTCCAACATCGGAAGAAATTATGTATACTGGTACCAGCAGCTCCCAGGAACGGCCCCCAAACTCCTCATTTATAAGAATAATCAGCGGCCCTCAGGGGTCCCTGACCGATTCTCTGGCTCCAAGTCTGGCACCTCGGCCTCCCTGGCCATCAGTGGGCTCCGGTCCGAGGATGAGGCTGATTATTACTGTGCAGCATGGGATGACAGCCTGAGTGGTGTGGTATTCGGCGGAGGGACCAAGGTCACCGTCCTA</t>
  </si>
  <si>
    <t>CAGGTCCAGCTGGTACAGTCTGGGGCTGAGGTGAAGAAGCCTGGGGCCTCAGTGAAGGTTTCCTGCAAGGCATCTGGATACACCTTCATTAACTACTATATCCACTGGGTGCGGCAGGCCCCTGGACAAGGGCTTGAGTGGATGGGAATAGTCAACCCCAGTGGTGGTAGCACAAGCTACGCACAGAAGTTCCAGGGCAGAGTCACCATGACCAGGGACACGTCCACGAGCACAGTCTACATGGAGCTGACCAGCCTGAGATCTGAGGACACGGCCGTGTATTACTGTGCGATTTTTGTCTTGAGCATTGGTGGGTACCAGAGCTATTGGGGCCAGGGAACCCTGGTCACCGTCTCCTCA</t>
  </si>
  <si>
    <t>GAAATTGTAATGACACAGTCTCCACTCTCCCTGCCCGTCACCCCTGGAGAGCCGGCCTCCATCTCCTGTAGGTCTAGTCAGAGCCTCTTGGATAGTGATGATGGAAACACGTATTTGGACTGGTACCTGCAGAAGCCAGGGCAGTCTCCACAGCTCCTGATCTATACGCTTTCCTATCGGGCCTCTGGAGTCCCAGACAGGTTCAGTGGCAGTGGGTCAGGCACTGATTTCACACTGAAAATCAGCAGGGTGGAGGCTGAGGATGTTGGAGTTTATTACTGCATGCAACGTTTAGAGTTTCCTTGGACGTTCGGCCAAGGGACCAAGCTGGAGATCAAA</t>
  </si>
  <si>
    <t>G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AGGGCGCCAGTGGCTGGTACATCGTACTTTGACTACTGGGGCCAGGGAACCCTGGTCACCGTCTCCTCA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</si>
  <si>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CCCACCTTCGGCCAAGGGACACGACTGGAGATTAAA</t>
  </si>
  <si>
    <t>CAGGTGCAGCTGGTGGAGTCGGGCGCAGGACTGTTGAAGCCTTCGGAGACCCTGTCCCTCACCTGCGCTGTCTATGGTGGGTCCTTCAGTGGTTACTACTGGACCTGGATCCGCCAGCCCCCAGGGAAGGGGCTGGAGTGGATTGGGCAAATCAATCATAGTGGAAGCACCAACTACAACCCGTCCCTCAAGAGTCGAGTCACCATATCAATAGACACGTCCAAGAACCAGTTCTCCCTGAAGCTGCGCTCTGTGACCGCCGCGGACACGGCTGTGTATTACTGTGCGAGAGCCCTACCCCGGGGTGGGAACTACCGGACGTTTGAATACTGGGGCCAGGGAACCCTGGTCACTGTCTCCTCA</t>
  </si>
  <si>
    <t>GATATTGTGATGACCCAGACTCCACTCTCCCTGCCCGTCACCCCTGGAGAGCCGGCCTCCATCTCCTGCAGGTCTAGTCAGAGCCTCCTGCATAGTAATGGATACAACTATTTGGATTGGTACCTGCAGAAGCCAGGGCAGTCTCCACAGCTCCTGATCTATTTGGGTTCTAATCGGGCCTCCGGGGTCCCTGACAGGTTCAGTGGCAGTGGATCAGGCACAGATTTTACACTGAAAATCAGCAGAGTGGAGGCTGAGGATGTTGGGGTTTATTACTGCATGCAAGGTCTACAAACTCCGCTCACTTTCGGCGGAGGGACCAAGGTGGAAATCAAA</t>
  </si>
  <si>
    <t>CAGGTCCAGCTGGTA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AATTACTATGATAGTAGTGGTTATTACGGCTGGTTCGACCCCTGGGGCCAGGGAACCCTGGTCACCGTCTCCTCA</t>
  </si>
  <si>
    <t>GACATCCAGTTGACCCAGTCTCCAGACTCCCTGGCTGTGTCTCTGGGCGAGAGGGCCACCATCAACTGCAAGTCCAGCCAGAGTGTTTTATACAGCTCCAACAATAAGAACTACTTAGCTTGGTATAAGCAGAAACCAGGACAGCCTCCTAAGCTGCTAATTTACTGGGCATCTACCCGGGAATCCGGGGTCCCTGACCGATTCAGTGGCAGCGGGTCTGGGACAGATTTCACTCTCACCATCAGCAGCCTGCAGGCTGAAGATGTGGCAGTTTATTACTGTCAGCAGTATTATAGTACTCCGTACACTTTTGGCCAGGGGACCAAAGTGGATATCAAA</t>
  </si>
  <si>
    <t>CAGGTGCAGCTACAGCAGTGGGGCGCAGGACTGTTGAAGCCTTCGGAGACCCTGTCCCTCACCTGCGCTGTCTATGGTGGGTCCTTCAGTGATTATTACTGGAGCTGGATCCGCCAGCCCCCAGGGAAGGGACTGGAGTGGATTGGGGAAATCAATCATAGTGGAAGAACCAACTACAACCCGTCCCTCAAGAGTCGAGTCACCATATCAGTAGACACGTCCAAGAACCAGTTCTCCCTGAAGCTGATCTCTGTGACCGCCGCGGACACGGCTGTGTATTTCTGTGCGAGAGGCCCACAGTCTTTTTACGATCTTTTGACTGGCTTAAACCCCCCCGACTCCTGGGGCCAGGGAACCCTGGTCACTGTCTCCTCA</t>
  </si>
  <si>
    <t>GACATCCAGTTGACCCAGTCTCCAGGCACCCTGTCTTTGTCTCCAGGGGAAAGAGCCACCCTCTCCTGCAGGGCCAGTCAGCGTGTTAGCAGCAGCTCCTTAGCCTGGTACCAGCAGAAACCTGGCCAGGCTCCCAGGCTCCTCATCTCTGGTGCATCCAGCAGGGCCACTGGCATCCCAGACAGGTTCAGTGGCAGTGGGTCTGGGACAGACTTCACTCTCACCATCAGCAGACTGGAGCCTGAAGATTTTGCAGTGTATTACTGTCACCAGTATGGTGTCTCACCGTGGACGTTCGGCCAAGGGACCAAGGTGGAGATCAAA</t>
  </si>
  <si>
    <t>CAGGTCCAGCTTGTACAGTCTGGGGCTGAGGTGAAGATGCCTGGGTCCTCGGTGAAGGTCTCCTGCAAGGCTTCTGGAGGCACCTTCAGCAGCTATGCTATCAACTGGGTGCGACAGGCCCCTGGACAAGGGCTTGAGTGGATGGGAAGAATCATCCCTAGCTTTGGTACAGCAAAGTACGCACAGAAGTTCCAGGGCAGAGTCACGATTACCGCGGACGAATCCACGAGGACAGCCTACATGGAGCTGAGCCGCCTGACATCTGAGGACACGGCCATGTATTATTGTGCGAGAGAGGAGACTATTGGGGGAATTGTTGTCAGTCAGTTCTTCGACCCCTGGGGCCAGGGAACCCTGGTCACCGTCTCTTCA</t>
  </si>
  <si>
    <t>CAGTCTGTGTTGACGCAGCCGCCCTCAGCGTACGGGACCCCCGGGCAGAGGGTCACCATCTCTTGTTCTGGAAGCAGCTCCAACATCGGAAGTAATACTGTTAACTGGTACCAGCAGCTCCCAAGAACGGCCCCTAAACTCCTCATCTATAGTAATAATCAGCGGCCCTCAGGGGTCCCTGACCGATTCTCTGGCTCCAAGTCTGGCACCTCAGCCTCCCTGGCCATCAGTGGGCTCCAGTCTGAGGATGAGGCTGATTATTACTGTGCAGCATGGGATGACAGCCTGAATGCTTATGTCTTCGGAACTGCGACCAAGGTCACCGTCCTA</t>
  </si>
  <si>
    <t>GAGGTGCAGCTGGTGGAGTCTGGGGGAGGCTTGACACAGCCGGGGGGGTCCCTGAGACTCTCCTGTGAAGCCTCTGGATTCACCTTCAGTAGTTATAGCATGAACTGGGTCCGCCAGGCTCCAGGGAAGGGGCTGGAGTGGGTTTCATACATCAGTGGTAGGAGTAGTACCATATACTACGCAGACTCTGTGAAGGGCCGATTCACCATCTCCAGAGACAATGCCATGAACTCCCTGTATCTGCAAATGAGCAGCCTGAGAGACGAGGACACGGCTGTGTATTTCTGTGCGAGAGGCAATGTACCACCTGATATGTTATACTACTACTACGCTATGGACGTCTGGGGCCAAGGGACCACGGTCACCGTCTCCTCA</t>
  </si>
  <si>
    <t>GACATCCAGATGACCCAGTCTCCATCCTCCCTGTCTGCATCTGTAGGAGACAGAGTCACCATCACTTGCCGGGCAAGTCGGAGCCTTAGCAGGTTTTTAAATTGGTATCAACAGAGGCCCGGAAAAGCCCCTAACCTCCTGATCTATGCTGCATCCACTTTGCAAAGTGGAGTCCCATCACGGTTCGGTGGCAGTGGATCTGAGACAGATTTCACTCTCACCATCAGCAGTCTGCAACCTGAGGATTTTGCAACTTACTACTGTCAACAGACTTACAGTAGCCCCTGGACGTTCGGCCAAGGGACCAAGCTGGAGATCAAA</t>
  </si>
  <si>
    <t>CAGGTCCAGCTGGTACAGTCTGGGGGAGGCCTGGTCAAGCCTGGGGGGTCCCTGAGACTTTCCTGTGCAGCCTCTGGATTCACCTTCAGTACCTATATCATGAACTGGGTCCGCCAGGCTCCAGGGAAGGGGCTGGAGTGGGTCTCATCCATTAGTAGTAGTAGTACTTACAAATACTACGCAGACTCAGTGAAGGGCCGATTCACCATCTCCAGAGACAACGCCAAGAACTCACTGGATCTGCAAATGAATAGCCTGAGAGCCGAGGACACGGCTGTGTATTACTGTGCGAGGACTTTGGGGGACTCATTGTTATACCTTGATGCTTTTGATATCTGGGGCCAAGGGACCCTGGTCACCGTCTCCTCA</t>
  </si>
  <si>
    <t>GAAACGACACTCACGCAGTCTCCAGCCACCCTGTCTGTGTCTCCAGGGGAAAGAGCCACCCTCTCCTGCAGGGCCAGTCAGAGTGTTAGAAGCAACTTAGCCTGGTACCAGCAGAAACCTGGCCAGGCTCCCAGGCTCCTCATCTATGGTGCATCCACCAGGGCCACTGGTATCCCAGCCAGGTTCAGTGGCAGTGGGTCTGGGACAGAGTTCACTCTCACCATCAGCAGCCTGCAGTCTGAAGATTTTGCAGTTTATTACTGTCAGCAGTATAATAACCGGCCTCCGTGGACGTTCGGCCAAGGGACCAAGGTGGAAATCAAA</t>
  </si>
  <si>
    <t>CAGGTCCAGCTGGTA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AAATCACTATGATAGTAGTGGTTATTACGGCTGGTTCGACCCCTGGGGCCAGGGAACCCTGGTCACCGTCTCCTCA</t>
  </si>
  <si>
    <t>GATATTGTGATGACT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CTACTCCGTACACTTTTGGCCAGGGGACCAAGGTGGAGATCAAA</t>
  </si>
  <si>
    <t>CAGGTGCAGCTGCAGGAGTCCGGCCCAGGACTGGTGAAGCCTTCGGAGGCCCTGTCCCTCACCTGCACTGTCTCTGGTGACTCCATCAGTAGTTACTACTGGAGCTGGATCCGGCAGCCCCCAGGGAAGGGACTGGAATGGATTGGCTATATCTATTACAGTGGGAGCACCAACTACAACCCCTCCCTCAAGAGTCGAGTCACCATATCAGTAGACACGTCCAAGAACCAGTTCTCCCTGAGGCTGAGCTCTGTGACCGCTGCGGACACGGCCGTGTATTACTGTGTGAGACACTATTCCGATTTTTGGAGTGGTTATCATACCCCCATCTGGTTCGACCCCTGGGGCCAGGGAACCCTGGTCACCGTCTCCTCA</t>
  </si>
  <si>
    <t>GAAATTGTATTGACGCAGTCTCCATCCTCCTTGTCTGCATCTGTAGGAGACAGAGTCACCATCACTTGCCGGGCAAGTCAGAGCATTAGCAGCTCTTTAAATTGGTATCAGCAGAAACCAGGGAAAGCCCCTAAGCTCCTGATCTTTGGTGCATCCAGTTTGCATACTGGGGTCCCATCAAGGTTCAGTGGCAGTGGATCTGGGACAGATTTCACTCTCACCATCAGGAGTCTGCAACCTGACGATTGTGCAACTTACTACTGTCAACAGAGTTACAGTAACTTGTACACTTTTGGCCAGGGGACCAAGCTGGAGATCAAA</t>
  </si>
  <si>
    <t>CAGGTGCAGCTACAGCAGTGGGGCGCAGGACTGTTGAAGCCTTCGGAGACCCTGTCCCTCACCTGCGCTGTCTATGGTGGGTCCTTCAGTGGTTATTACTGGAGTTGGATCCGCCAGCCCCCAGGGAAGGGGCTGGAGTGGATTGGGGAAATCAGTCTTAGTGGAAGCACCAACTACAACCCGTCCCTCAAGAGTCGAGTCACCATATCAGTAGACACGTCCAAGAACCAGCTCTCCCTGAAGCTGAGCTCTGTGACCGCCGCGGACACGGCTGTGTATTACTGTGCGAGAGTATCACTATACTTCGGTTACTACATGGACGTCTGGGGCAAAGGGACCACGGTCACCGTCTCCTCA</t>
  </si>
  <si>
    <t>GAAATTGTATTGACACAGTCTCCAGGCACCCTGTCTTTGTCTCCAGGGGAAAGAGCCACCCTCTCCTGCAGGGCCAGTCAGAGTGTTAGCAGCAGCTACTTAACCTGGTACCAGCAGAAACCTGGCCAGGCTCCCAGGCTCCTCATCTATGGTGCATCCAGCAGGGCCACTGGCATCCCAGACAGGTTCAGTGGCAGTGGGTCTGGGACAGACTTCACTCTCGCCATCAGCAGACTGGAGCCTGAAGATTTTGCAGTGTATTACTGTCAGCAGTATGGTAGCTCATCCCTGGTCACTTTCGGCGGAGGGACCAAGGTGGAAATCAAA</t>
  </si>
  <si>
    <t>CAGGTGCAGCTACAGCAGTGGGGCGCAGGACTGTTGAAGCCTTCGGAGACCCTGTCCCTCACCTGCGCTGTCTATGGTGGGTCCTTCAGTGGTTACTACTGGAGCTGGATCCGCCAGCCCCCAGGGAAGGGGCTGGAGTGGATTGGGCAAATCAATCATAGTGGAAGCACCAACTACAACCCGTCCCTCAAGAGTCGAGTCACCATATCAGTCGACACGTCCAAGAACCAGTTCTCCCTGAAGCTGACCTCTGTGACCGCCGCGGACACGGCTGTGTATCACTGTGCGAGAGCCCTACCCCGGGGTGGGAACTACCGGACGTTTGACTACTGGGGCCAGGGAACCCTGGTCACCGTCTCCTCA</t>
  </si>
  <si>
    <t>GACATCCAGTTGACCCAGTCTCCACTCTCCCTGCCCGTCACCCCTGGAGAGCCGGCCTCCATCTCCTGCAGGTCTAGTCAGAGCCTCCTGCATAGTAATGGATACAACTATTTGGATTGGTACCTGCAGAAGCCAGGGCAGTCTCCACAGCTCCTGATCTATTTGGGTTCTAATCGGGCCTCCGGGGTCCCTGACAGGTTCAGTGGCAGTGGATCAGGCGCAGATTTTACACTGAAAATCAGCAGAGTGGAGGCTGAGGATGTTGGGGTTTATTACTGCATGCAAGGTCTACAAACTCCGCTCACTTTCGGCGGAGGGACCAAGGTGGAAATCAAA</t>
  </si>
  <si>
    <t>GAGGTGCAGCTGGTGGAGTCTGGGGGAGGCCTGGTCAAGCCTGGGGGGTCCCTGAGACTCTCCTGTGCAGCCTCTGGATTCACCTTCAGTAACTATAGAATGAACTGGGTCCGCCAGGCTCCAGGGAAGGGGCTGGAGTGGGTCTCATCCATTAGTAGTAGTAGTAGTTACATATACTACGCAGACTCAGTGAAGGGCCGATTCACCATCTCCAGAGACAACGCCAAGAACTCACTGTATCTGCAAATGAACAGCCTGAGAGCCGAGGACACGGCTGTGTATTATTGTGCGACACAGCTTGTAGTAGGAGGATATTACTATGGTATGGACGTCTGGGGCCAAGGGACCACGGTCACCGTCTCCTCA</t>
  </si>
  <si>
    <t>GATATTGTGATGACGCAGACTCCACTCTCCCTGCCCGTCACCCCTGGAGAGCCGGCCTCCATCTCCTGCAGGTCTAGTCAGAGCCTCCTGCATAGTTTTGGATACAACTATTTGGATTGGTACCTGCAGAAGCCAGGGCAGTCTCCACAGCTCCTGATCTATTTGGGCTCTAATCGGGCCTCCGGGGTCCCTGACAGGTTCAGTGGCAGTGGATCAGGCACAGATTTTACACTGAAAATCAGCAGAGTGGAGGCTGAGGATGTTGGGGTTTATTACTGCATGCAAGCTCTACAAACTCCGTACACTTTTGGCCAGGGGACCAAGCTGGAGATCAAA</t>
  </si>
  <si>
    <t>CAGGTGCAGCTGGTGCAGTCTGGGGGAGGCTTGGTACAGCCTGGGGGGTCCCTGAGACTCTCCTGTGCAGCCTCTGGATTCACCTTCAGAAGCTACGACATGCACTGGGTCCGCCAAGCTACAGGAAAAGGTCTGGAGTGGGTCTCAGCTATTGGTACTGCTGGTGACCCATACTATCCAGGCTCCGTGAAGGGCCGATTCACCATCTCCAGAGAAAATGCCAAGAACTCCTTGTATCTTCAAATGAACAGCCTGAGAGCCGAGGACACGGCTGTGTATTACTGTGCAAGAGCAGTGTTTGGTTCTAGTGCTTTTGATATCTGGGGCCAAGGGACAATGGTCACCGTCTCCTCA</t>
  </si>
  <si>
    <t>GAAACGACACTCACGCAGTCTCCCGGCACCCTGTCTTTGTCTCCAGGGGAAAGAGCCACCCTCTCCTGCAGGGCCAGTCAGAGTGTTAGCAGCAGCTACTTAGCCTGGTACCAGCAGAAACCTGGCCAGGCTCCCAGGCTCCTCATCAATGGTGCATCCAGCAGGGCCACTGGCATCCCAGACAGGTTCAGTGGTAGTGGGTCTGGGACAGACTTCACTCTCACCATCAGCAGACTGGAGCCTGAAGATTTTGCAGTGTATTACTGTCAGCAGTATGGTAGCTCACCCCTCACTTTCGGCGGAGGGACCAAGGTGGAAATCAAA</t>
  </si>
  <si>
    <t>CAGGTGCAGCTACAGCAGTGGGGCGCAGGACTGTTGAAGCCTTCGGAGACCCTGTCCCTCACCTGCGCTGTCGATGGTGGGTCCTTCAGTGGTTACTACTGGAGCTGGATCCGCCAGCCCCCAGGGAAGGGGCTGGAGTGGATTGGGCAGATCAATCATAGTGGAAGCACCAACTACAACCCGTCCCTCAAGAGTCGAGTCACCATATCAGTAGACACGTCTAAGAACCAGTTCTCCCTGAAGCTGAGCTCTGTGACCGCCGCGGACACGGCTGTATATTACTGTGCGAGAGCCCTCCCCCGGGGTGGGAACTACCGGACGTTTGACTACTGGGGCCAGGGAACCCTGGTCACCGTCTCCTCA</t>
  </si>
  <si>
    <t>GAAATTGTGATGACACAGTCTCCACTCTCCCTGCCCGTCACCCCTGGAGAGCCGGCCTCCATCTCCTGCAGGTCTAGTCAGAGCCTCCTGCATAGTAATCGATACAACTATTTGGATTGGTACCTGCAGAAGCCAGGGCAGTCTCCACAGCTCCTGATTTATTTGGGTTCTAATCGGGCCTCCGGGGTCCCTGACAGGTTCAGTGGCAGTGGATCAGGCACAGATTTTACACTGAAAATCAGCAGAGTGGAGGCTGAGGATGTTGGGGTTTATTACTGCATGCAAGGTCTACAAACTCCGCTCACTTTCGGCGGAGGGACCAAGCTGGAGATCAAA</t>
  </si>
  <si>
    <t>GAGGTGCAGCTGGTGGAGTCTGGGGGAGGCCTGGTCAAGCCTGGGGGGTCCCTGAGACTCTCCTGTGCAGCCTCTGGATTCACCTTCAGTACCTATAGCATGAACTGGGTCCGCCAGGCTCCAGGGAAGGGACTGGAGTGGGTCTCATCCATCAGTACTAGTAGTAATTACATATACTACGCAGACTCAGTGAAGGGCCGATTCACCATCTCCAGAGACAACGCCAAGAACTCACTGTATCTGCAAATGAACAGCCTGAGAGCCGAGGACACGGCTGTGTATTACTGTGCGAGAGATGTTACTGATAGTAGTGGTTATCTCTACCTTAATGCTTTTGATCTCTGGGGCCAAGGGACCACGGTCACCGTCTCCTCA</t>
  </si>
  <si>
    <t>GATATTGTGATGACTCAGTCTCCAGCCACCCTGTCTGTGTCTCCAGGGGAAAGAGCCACCCTCTCCTGCAGGGCCAGTCAGAGTGTTAGCAGCAACTTAGCCTGGTACCAGCAGAAACCTGGCCAGGCTCCCAGGCTCCTCATCTATGGTGCATCCACCAGGGCCACTGGTATCCCAGCCAGGTTCAGTGGCAGTGGGTCTGGGACAGAGTTCACTCTCACCATCAGCAGCCTGCAGTCTGAAGATTTTGCAGTTTATTACTGTCAGCAGTATAATAAGTGGCCTCCGTGGACGTTCGGCCAAGGGACCAAGGTGGAGATCAAA</t>
  </si>
  <si>
    <t>GAGGTGCAGCTGTTGGAGTCTGGGGGAGGCTTGGCACAGCCTGGGGGGTCCCTGAGACTCTCCTGTGCAGCCTCTGGATTCACCTTTAGTAGTTATGGCATGAGCTGGGTCCGCCAGGCTCCAGGGAAGGGGCTGGAGTGGGTCTCAGCTTTTACTGGGAGTGGTGGCACCACATACTACGCAGACTCCGTGAAGGGCCGGTTCACCATCTCCAGAGACAATTCCAAGAACACGGTGTATCTGCAAATGAACAGCCTGAGAGCCGAGGACACGGCCGTATATTACTGTGCGAAAGAGAAGGATTTTTGGAATGGTTATTATATCGACTACTGGGGCCAGGGAACCCTGGTCACCGTCTCCTCA</t>
  </si>
  <si>
    <t>CAGTCTGTCGTGACGCAGCCGCCCTCAGTGTCTGCGGCCCCAGGACAGAAGGTCACCATCTCCTGCTCTGGAAGCACCTCCAACATTGGGAATAATTATATATCCTGGTACCAACAGTTCCCAGGAACAGCCCCCAAACTCCTCATTTATGACAATAATAAGCGACCCTCAGGGATTCCTGACCGATTCTCTGGCTCCAAGTCTGGCACGTCAGCCACCCTGGGCATCACCGGACTCCAGACTGGGGACGAGGCCGACTATTACTGCGGAACATGGGATATCAGCCTGAATGCTTGGGTGTTCGGCGGAGGGACCAAGCTGACCGTCCTA</t>
  </si>
  <si>
    <t>GATATTGTGATGACTCAGTCTCCACTCTCCCTGCCCGTCACCCCTGGAGAGCCGGCCTCCATCTCCTGCAGGTCTAGTCAGAGCCTCCTGCATAGTAATCGATACAACTATTTGGATTGGTACCTGCAGAAGCCAGGGCAGTCTCCACAGCTCCTGATTTATTTGGGTTCTAATCGGGCCTCCGGGGTCCCTGACAGGTTCAGTGGCAGTGGATCAGGCACAGATTTTACACTGAAAATCAGCAGAGTGGAGGCTGAGGATGTTGGGGTTTATTACTGCATGCAAGGTCTACAAACTCCGCTCACTTTCGGCGGAGGGACCAAGGTGGAGATCAAA</t>
  </si>
  <si>
    <t>CAGGTGCAGCTGGTGCAGTGGGGCGCAGGACTGTTGAAGCCTTCGGAGACCCTGTCCCTCACCTGCGCTGTCTATGGTGGGTCCCTCAGTGGTTACTACTGGAACTGGATCCGCCAGCCCCCCGGGAAGGGGCTGGAGTGGATTGGGGAAATCTCTCCTAGTGGCAGCACCAACTACAACCCGTCCCTCAAGAGTCGAGTCACCACATCAGTCGACACGTCCAGGAACCAGTTCTCCCTGAAGCTGACCTCTGTGACCGCCGCGGACACGGCTGTGTATTACTGTGCGAGAGTTTCACTTTTTTTCGGTTACTACATGGACGTCTGGGGCAAAGGGACCCTGGTCACCGTCTCCTCA</t>
  </si>
  <si>
    <t>CAGATTGTGATGACTCAGTCTCCAGGCACCCTGTCTTTGTCTCSAGGGRAAAGAGCCACCCTCTCCTGCAGGGCCAGTCAGAGTATTGGCAGCAGCTACTTAGCCTGGTACCAGCAGAAACCTGGCCAGGCTCCCAGGCTCCTCATCTATGGTGCATCCAGCAGGGCCACTGGCATCCCAGACAGGTTCAGTGGCAGTGGGTCTGGGACAGACTTCACTCTCACCATCAGCACACTGGAGCCTGAAGATTTTGCAGTGTATTACTGTCAACACTATGGTAGGTCATCCCTGGTCACTTTCGGCGGAGGGACCAAGGTGGAGATCAAA</t>
  </si>
  <si>
    <t>CAGGTGCAGCTGGTGGAGTCTGGGGGAGGCGTGGTCCAGCCTGGGAAGTCCCTGAGACTCTCCTGTGCAGCGTCTGGATTCACCCTCAATAATTATGTCATGCACTGGGTCCGCCAGGCTCCAGGCAAGGGGCTGGAGTGGGTGGCACTTATATGGGATGATAAAAGTAATAAATACTATGCAGACTCCGTGAAGGGCCGATTCACCATCTCCAGAGACAATTCCAAGAACACACTGTATCTACAAATGAACAGCCTGAGAGCCGAGGACACGGCTGTGTATTACTGTGCGAGAGATATGCTTATATCCGATATTTTGACTGGATATTACGACTACTGGGGCCAGGGAACCCTGGTCACCGTCTCCTCA</t>
  </si>
  <si>
    <t>GAAATAGTGATGACGCAGTCTCCAGCCACCCCGTCTGTGTCTCCAGGGGAGAGAGCCTCCCTCTCCTGCAGGGCCAGTCAGAGTGTTAGCATCAACCTAGCCTGGTACCAGCAGAAACCTGGCCAGGCTCCCAGGATCCTCATCTATGGTGCATCCACCAGGGCCACAGGTATCCCAGCCAGGTTCAGTGGCAGTGGGTCTGAGACAGAGTTCACTCTCACCATCAGCAGCCTGCAGTCTGAAGATTTTGCCGTTTATTACTGTCAGCAGTATCATAACTGGCCTCCGCTCACTTTCGGCGGAGGGACCAAGGTGGAGATCAAA</t>
  </si>
  <si>
    <t>CAGGTGCAGCTGGTGCAGTCTGGGGCTGAGGTGAAGAAGCCTGGGGCCTCAGTGAAGGTTTCCTGCAAGTCATCTGGATACACCTTCACCAACTACTATATGCACTGGGTGCGACAGGCCCCTGGACAAGGGCTTGAGTGGATGGGAATAATCAACCCTAGTGGTGGTAGGACAAGCTACGCACAGAAGTTCCAGGGCAGAGTCACCATGACCAGGGACACGTCCACGAGCACAGTCTACATGGAGCTGAGCAGCCTGAGATCTGAGGACACGGCCGTGTATTACTGTGCGAGACATGATAGTAGTGGTTATGATGCTTTTGATATTTGGGGCCAAGGGACAATGGTCACCGTCTCTTCA</t>
  </si>
  <si>
    <t>CAGTCTGCCCTGACTCAGCCACCCTCGGTGTCAGTGTCCCCAGGACAGACGGCCAGGATCACCTGCTCTGGAGATGCATTGCCAAAGCTATTTGCTTATTGGTACCAGCAGAAGCCAGGCCAGGCCCCTGTGCTGGTGATATATAAAGACAGTGAGAGGCCCTCAGGGATCCCTGACCGATTCTCTGGCTCCAGCTCAGGGGCAACAGTCACGTTGACCATCAGTGGAGTCCAGGCAGAAGACGAGGCTGACTATTACTGTCAATCATCGGACAGCAGTAGTACTTATGTGGTATTCGGCGGAGGGACCAAGCTGACCGTCCTA</t>
  </si>
  <si>
    <t>GAAGTGCAGCTGGTGGAGTCCGGGGGAGGCTTAGTTCAGCCTGGGGGGTCCCTGAGACTCTCCTGTGCAGCCTCTGGATTCACCTTCAGTAACTCCTGGATACACTGGGTCCGCCAAGCTCCAGGGAAGGGGCTGGTATGGCTCTCACGTATGAATGGTGATGGGAGGACCATAAATTACGCGGACTCCGTGAAGGGCCGATTCACCATCTCCAGAGACAACGCCAAGAACACACTGTATTTGCAAATGAACAGTCTGAGAGACGAGGACACGGCTGTGTATTATTGTGCAAGAGGTGGGAACTACTATCTTGACTACTGGGGCCAGGGAGCCCTGGTCACCGTCTCCTCA</t>
  </si>
  <si>
    <t>CAGTCTGCCCTGACTCAGCCTCCCTCCGTGTCCGGGTCTCCTGGACAGTCAGTCGCCATCTCCTGCACTGGAACCAGCAGTGACGTTGGTAGTTATAACCGTGTCTCCTGGTACCAGCAGTCCCCAGGCACAGCCCCCAAAGTCATGATTTATGACGTCAGTAATCGGCCCTCAGGGGTCCCTGATCGCTTCTCTGGGTCCAAGTCTGGCGACACGGCCTCCCTGACCATTTCTGGGCTCCAGTCTGAGGACGAGGCTGATTATTACTGCAGCTCATATACAAGCAGCGCCACTTATGTCTTCGGAACTGGGACCAAGGTCACCGTCCTA</t>
  </si>
  <si>
    <t>GAGGTGCAGCTGGTGGAGTCTGGGGGAGGCTTGGTTAAGCCTGGGAGGTCCCTTAGAATCTCCTGTGCAGCCTCTGGAATCACTTTCAATAAAGCCTGGATGAACTGGGTCCGCCTGGCTCCAGGGAAGGGGCTGGAGTGGGTTGGCCGCATTAAAAGTAATGGTGATGGAGGGAAGAGAGACTACGCTGCACCCGTGACAGGCAGATTCACCATCTCAAGAGATGATTCAAAAAACACGCTGTATCTGCAAATGAACAGCCTGAAAACCGAGGACACAGCCGTGTATTTTCGTACCACCCGACACCACCGCGGTATGGACGTCTGGGGCCAAGGGACCACGGTCACCGTCTCCTCA</t>
  </si>
  <si>
    <t>CAGTCTGTGCTGACGCAGCCGCCCTCAGTGTCTGGGGCCCCAGGGCAGAGGGTCACCATCTCCTGCACTGGGAGCAGCTCCAACATCGGGGCAGGTTATGATGTACACTGGTACCAGCACCTTCCAGGAGCAGCCCCCAAACTCCTCATCTATGGTGACGGCAGTCGGCCCTCAGGTGTCCCTGACCGATTCTCTGCCTCCAAGTCTGGCACCTCAGCCTCCCTGGCCATCACTGGGCTCCAGGCTGAGGATGAGGCTGATTATTACTGCCAGTCCTATGACAGTAGCCTGAGTGATGCGGTGGTATTCGGCGGAGGGACCAAGCTGACCGTCCTA</t>
  </si>
  <si>
    <t>GAGGTGCAGCTGTTGGAGTCTGGGGGACACTTGATACAGCCGGGGGGGTCCCTGAGACTCTCCTGTACAGCCTCTAAAGTCAACTTTACTACATATGCCATGAGCTGGGTCCGCCAGGCTCCAGGGAAGGGGCTGGAGTGGGTATCAAGTATTAGTGGTAGTGGTCTGATCACTTGGTATGTAGACTCCGTGAAGGGCCGATTCGCCATCTCCAGAGACAATTCCAAGAACACGGTGTATCTGCAGATGAACAGCCTGAGAGCCGAGGACACGGCCGAATATTACTGTGCGAGAGATCCTCGTGTTGCAACGACTGGTACTGTGTACTTTGACTCCTGGGGCCAGGGAGCCCTGGTCACCGTCTCCTCA</t>
  </si>
  <si>
    <t>TCCTATGAGCTGACTCAGTCACCCTCGGTGTCAGTGTCCCCAGGACAGACGGCCAGGATCACCTGCTCTGGAGATGCATTGACAAAGCAATATGCTTCTTGGTATCAGCGGAGGTCAGGCCGGGCCCCTGTGTTGGTGATATATAGAGACAGTGAGAGGCCCCCAGGAATCCCTCAGCGATTCTCTGGCTCCAGCCCGGGGACAACAGTCACGCTGACCATCAGTGGAGTCCAGGCAGAGGACGAGGCTGACTATTACTGTCAATCAGCAGACACCAGTGGCACTCTTGTGGTATTCGGCGGGGGGACCAAGCTGACTGTCCTA</t>
  </si>
  <si>
    <t>CAGCTGCAGCTGCAAGAGTCGGGCCCAGGACTGGTGAAGCCTTCGGAGACCCTGTCCCTCACCTGCACTGTCTCTGGTGGCTCCATCAGCACTAGTAGTCACTATTGGGGCTGGATCCGCCAGCCCCCAGGGAAGGGGCTGGAGTGGGTTGGGACTCGCTCTAATATAGGCAACACCTACTACAACCCGTCCCTCAAGAGTCGAGTCACCATATTCGTGGACACCTCCAAGAACCAGTTCTCCCTGAGACTGAGCTCTGTGACCGCCGCAGACACGGCTGTCTATTACTGTGCGAGACGATTTGACTCCTGGGGCCAAGGAATCCTGGTCACCGTCTCCTCA</t>
  </si>
  <si>
    <t>GAAATAGTGATGACGCAGTCTCCAGCCACCCTGTCTGTGTCTCCAGGGGAAAGAGCCACCCTCTCCTGCAGGGCCAGTCAGAGTGTTAGCAGCAACTTAGCCTGGTTTCAGCAGAAACCTGGCCAGGCTCCCAGGCTCCTCATCTATGGTGCATCCACCGGGGTCACTGGTATCCCAGCCAAATTCAGTGGCAGTGGGTCTGGGACTGAGTTCACTCTCACCATCGGCAGCCTGCAGTCTGAAGATTTTGCAGTTTATTACTGTCAGCAGTATAATGACTGGCCCTGGACGTTCGGCCAAGGGACCAAGGTGGAAATCAAA</t>
  </si>
  <si>
    <t>CAGCTGCAGCTGCAGGAGTCGGGCCCAGGACTGGTGAAGCCTTCGGAGACCCTGTCCCTCACCTGCACTGTCTCTGGTGGCTCCATCAGCAGTAGTAGTTACTACTGGGGCTGGATCCGCCAGCCCCCAGGGAAGGGGCTGGAGTGGATTGGGACTATCTCTCATAGTGGGAGCACCTACTACAACCCGTCCCTCCAGAGTCGAGTCACCATGTCCGTGGACACGTCCAAGAACCACTTCTCCCTGAGGCTGAGTTCTGTGACCGCCGCAGACACGGCTGTGTATTACTGTGTCAGACGTTTTGACTATTGGGGCCAGGGAACCCTGGTCACCGTCTCCTCA</t>
  </si>
  <si>
    <t>GAAATAGTGATGACGCAGTCTCCAGCCACCCTGTCTGTCTCTCCAGGGGAAAGAGCTACCCTCTCCTGCAGGGCCAGTCAGAGTGTTACCAGCAACTTAGCCTGGTTCCAGCAGCAACCTGGCCAGGCTCCCAGGCTCCTCATCTATGGTGCATCCACCAGGGCCACTGGTATCCCAGCCAGGTTCAGTGGCAGTGGGTCTGGGACAGAATTCACTCTCACCATCAGCAGCCTGCAGTCTGAGGATTTAGCAGTTTATTACTGTCAGCAGTATAATAAATGGCCGTGGACGTTCGGCCAAGGGACCAAGGTGGAAATCAAA</t>
  </si>
  <si>
    <t>CAGGTTCAGCTGGTGCAGTCTGGAGCTGAGGTGAAGAAGCCTGGGGCCTCAGTGAAGGTCTCCTGCAAGGCTTCTGGTTACACCTTTACCAAATACGGTATCAGCTGGCTACGACAGGCCCCTGGACAAGGGCTTGAGTGGATGGGATGGATCAGCACTTACAATGGTGACACAAACTATGCACAGAAGGTCCAGGGCAGAGTCACCATGACCACAGACACATCGTCGACCACAGCCTACATGGAGCTGAGGAGCCTGAGATCTGACGACACGGCCGTGTATTTCTGTGCGAGAGGGATTACTATGGTTCGGGGCCTGGACTGGTTCGACCCCTGGGGCCAGGGAACCCTAGTCACCGTCTCCTCA</t>
  </si>
  <si>
    <t>GAAATAGTGATGACGCAGTCTCCAGCCACCCTGTCTGTGTCTCCAGGGGAAAGAGCCACCCTCTCCTGCAGGGCCAGTCAGAATATTAGCAGCAACTTAGCCTGGTACCAGCAGAAACCTGGCCGGGCTCCCAGGCTCCTCATCGATGGTGCATCCACCAGGGCCACTGGTATCCCAGCCAGGTTCAGTGGCAGTGGGTCTGGGACAGAGTTCACTCTCAGCATCAGCAGCCTGCAGTCTGAAGATTCTACAGTTTATTACTGTCAGCAGTATAAAAACTGGCCTCTCACTTTCGGCGGAGGGACCAAGGTGGAAATCAAA</t>
  </si>
  <si>
    <t>CAGGTGCAGCTACAGCAGTGGGGCGCAGGACTGTTGAAGCCCTCGGAGACCCTGTCCCTCACCTGCGCTGTCTATCGTGGGTCATTTATCACTTACTATTGGAGTTGGGTCCGCCAGCCCCCAGGGAGGGGGCTGGAGTGGATTGGGGAAATTTATAAGGATGGAAGCGCCAGTTACAACCCGTCCCTCAAAAATCGAGTCACCATATCACTGGACATGTCCAAGAACCACTTCTCCCTGAACCTGGATTCTGTGACCGCCGCGGACACGGCTGTCTATTACTGTGCGAGACACGGCCACACCGGCATGGACGTCTGGGGCCAAGGGACCACGGTCACCGTCTCCTCA</t>
  </si>
  <si>
    <t>GATATTGTGATGACTCAGTCGCCACTCTCCCTGCCCGTCACTCCTGGAGAGCCGGCCTCCATCTCCTGCAGGTCTAGTCAGAGTCTCCTGCACAGTAATGGAAACAACTATTTGGATTGGTACCTGCAGAAGCCAGGGCAGTCTCCACAGCTCCTGATCTATTTGGGCTCTAATCGGGCCTCCGGGGTCCCTGACAGGATCAGTGGCGGTGGATCAGGCACAGATTTTACACTAACGATCAGCAGAGTGGAGGCTGAGGATGTTGGGGTTTATTACTGCATGCAAGCTCTACAAACTCCGCTCACTTTCGGCGGAGGGACCAAGGTGGAGATCAAA</t>
  </si>
  <si>
    <t>GAGGTGCAGCTGGTCGTGTCTGGGGGAGGCTTGGTACAGCCTGGGGGGTCCCTGAGACTCTCCTGTGCAGCCTCTGGATTCACCCTCAAGAGTTACGACATCCACTGGGTCCGCCAACGTCCAGGCGAAGGTCTGGAGTGGGTCGCAGCTATTGGTGCTGCTGGTGACACATACTTTTCAGGCTCCGTGAAGGGCCGATTCACCATCTCCAGAGAAAATGCCAGGAACTCCTTATATCTTCAAATGAACAGCCTGGGAGCCGGGGACACGGCTATATACTACTGTGCAAGAGCGCGCTTCGGAGACTTAGCCCTTGACTACTGGGGCCAGGGAATCCTGGTCACCGTCTCCTCA</t>
  </si>
  <si>
    <t>GAAATTGTGTTGACGCAGTCTCCAGGCACCCTGTCTTTGTCTCCAGGGGAAAGAGCCACCCTCTCCTGCAGGTCCAGTCAGAGTGTTAGTAGCAATTCCTTAGCCTGGTACCAGCAAAAACCTGGCCAGGCTCCCAGGCTCCTCATCTATGGTGCATCCAGCAGGGCCGCTGGCATCCCAGACAGGTTCAGTGGCAGTGGGTCTGGGACAGACTTCACTCTCACCATCAGCAGACTGCAGCCTGAAGATTTTGCTGTGTTTTTCTGTCACCAGTATAGTAGCTCACCGCTCACTTTCGGCGGAGGGACCAAGGTGGAGATCAAA</t>
  </si>
  <si>
    <t>GAGGTGCAGCTGTTGGAGTCTGGGGGAGACTTGGTCCAGCCGGGGGGGTCCCTGAGACTCTCCTGTACAGCCTCTGGATTCACCTTTAAGGACTTTGCCATGAACTGGGTCCGCCAGGCTCCGGGGAAGGGGCTGGAGTGGGTCTCAGGTATCACTGGTAGTGGTGGTACCACATACTACGCGGACTCCGTGAAGGGCCGCTTCACCAGCTCCAGAGACAATTCCAAGAACACGCTGGATCTGCAAATGAACAGTCTGGGAGTCGACGACACGGCCGTATATTACTGTGCGAAAAATGACGATTTCTGGGGTGGTCCGACCTTTGACTACTGGGGCCAGGGAACCCTGGTCACCGTCTCCTCA</t>
  </si>
  <si>
    <t>CAGTCTGTGCTGACGCAGCCGCCCTCAGTGTCTGCGGCCCCAGGACAGAAGGTCACCATCTCGTGCTCTGGAATCAGCTCCAACATTGGGAATAATTATGTATCCTGGTACCAACAACTCCCAGGAACAGCCCCCAAACTCCTCATTTATGACAATAATAAGCGACCCTCAGGGATTCCTGACCGATTCTCTGCCTCCAAGTCTGGCACGTCAGCCACCCTGGGCATCACCGGACTCCAGACTGGGGACGAGGCCGATTATTACTGCGGAACATGGGATATCACCCTGAGTGAGGGGGTGTTCGGCGGAGGGACCAAGCTGACCGTCCTA</t>
  </si>
  <si>
    <t>CAGGTTCAGCTGGTGCAGTCTGGGGTTGAAGTGAAGGAGCCTGGGGCCTCAGTGAGGGTCTCCTGCAAGGCTTCTGGTTACACCTTTACGCACTACGGCATCACTTGGGTGCGACAGGCCCCTGGACAAGGGCTTGAGTGGATGGGATGGATCAGCGGTTACAATGGCAACACAGACTATGCACAGAAGTTCCAGGGCAGAATCACCATGACCACAGACACATCCACGAGCACAGCCTACATGGAGCTGGGGAGACTGACATCTGACGACACGGCCGTGTATTACTGTGCGAGAACAATTACTATGATCCTCCTCGGTTGGTTCGACCCCTGGGGCCAGGGAACCCTGGTCACCGTCTCCTCA</t>
  </si>
  <si>
    <t>GAAATTGTGTTGACGCAGTCTCCAGGCACCCTGTCTTTGTCTCCAGGGGAAAGAGCCACCCTCTCCTGCAGGGCCAGTCAGAGTGTTAGCAGCAACTACTTAGCCTGGTACCAGCAGAAACCTGGCCAGGCTCCCAGGCTCCTCATCTCTGGTGCATCCAACAGGGCCACTGGCCTCCCAGACGGGTTCAGTGGCAGTGGGTCTGGGACAGACTTCACTCTCACCATCAGCAGACTGGAGCCTGAAGATTTTGCAGTGTTTTTCTGTCAGCAGTATGGTACTTCACCCCTCACTTTCGGCCCTGGGACCAAAGTGGATATCAAA</t>
  </si>
  <si>
    <t>CAGGTGCAGCTGCAGGAGTCGGGCCCAGGACTGGTGGAGCCCTCGGAGACCCTGTCCCTCACCTGCACTGTCTCTGGTGCCTCCATCAGCAGTCTCTTCTGGAGCTGGATCCGGCAGCCCCCAGGGAAGGGACTGGAGTGGATTGGGTACATCCATTCCGATGGGAGCACCAATTACAACCCCTTCCTCAAGAGTCGAGTCACCATATCAATAGACACGTCCCAGAACCAGTTCTCCCTGAGACTGACCTCGGTGACCGCTGCGGACACGGCCGTGTATTTCTGTGCGAGAGGATTACTCGGTAGTCAAGACTCCTGGGGCCAGGGAACCCTGGTCACCGTCTCCTCA</t>
  </si>
  <si>
    <t>CAGTCTGCCCTGACTCAGCCTGCCTCCGTGTCTGGGTCTCCTGGACAGTCGATCACCATCTCCTGCACTGGAACCAGCAGTGACGTTGGTGGTTATAACTATGTCTCCTGGTATCAACAGTACCCAGGCAAAGCCCCCAAACTCGTGATTTATGAGGTCACTAATCGGCCCTCAGGGGTATCTAATCGCTTCTCTGGCTCCAAGTCTGGCAACACGGCCTCCCTGACCATCTCTGGGCTCCGGGCTGAGGACGAGGCTGATTATCACTGCAGCTCATATAGAACCAGAAACACTCACGTGATATTCGGCGGAGGGACCAAGCTGACCGTCCTA</t>
  </si>
  <si>
    <t>GAAGTGCAGCTGGTGGAGTCCGGGGGAGGCTTAGTTCAACCGGGGGGTTCCCTGAGACTCTCCTGTACAGTCTCTGGATTCACCTTCAGTACTTCTTGGATACACTGGGTCCGCCAAGCTCCAGGGAAGGGGCTGGTGTGGGTCTCACGTAGTAGCGGTAATGGGAGGACGACTAACTACGCGGACTCCGTGAAGGGCCGATTCACCATCTCCAGAGACAACGCCAAGAACACGCTGTATTTGCAAATGAGCAGTCTGAGAGTCGAGGACACGGCTGTATATTATTGTGCAAGAGGTGGAAATTATTACAATGACTACTGGGGCCAGGGAACCCTGGTCACCGTCTCCTCA</t>
  </si>
  <si>
    <t>CAGTCTGCCCTGACTCAGCCTCCCTCCGTGTCCGGGTCTCCTGGACAGTCAGTCACCATCTCCTGCACTGGAACCAGCAATGACGTTGGTTATCATAACCGTGTCTCCTGGTACCAGCAGTCCCCAGGCACAGCCCCCAAAGTCATGATTTATGACGTCAGTAATCGGCCCTCAGGGGTCCCTGATCGCTTCTCTGGGTCCAAGTCTGGCAACACGGCCTCCCTGACCATCTCTGGGCTCCAGGCTGAAGACGAGGCTGATTATTACTGCAGCTCATTTACAAGCAGCAACACTTATGTCTTCGGAACTGGGACCGAGGTCACCGTCCTA</t>
  </si>
  <si>
    <t>GAGGTGCAGCTGTTGGAGTCTGGGGGAGGGTTGGTACAGCCTGGGGGGTCCCTGAGACTCTCCTGTGCAGCCTCTGGATTCACCTTTAGCAGCTATGCCATGAACTGGGTCCGCCAGGCTCCAGGGAAGGGGCTGGAGTGGGTCTCAGCTATTAGTGGTAGTGGTGGTAGCACATACTACGCAGACTCCGTGAAGGGCCGGTTCTCCATCTCCAGAGACAATTCCAAGAACACGCTGTATCTGCAAATGAACAGCCTGAGAGCCGAGGACACGGCCGTATATTACTGTGCGAAGGATGACGATTTTTGGAGTGGCCCTTACTTTGACTACTGGGGCCAGGGAACCCTGGTCACCGTCTCCTCA</t>
  </si>
  <si>
    <t>CAGTCTGTGCTGACGCAGCCGCCCTCAGTGTCTGCGGCCCCAGGACAGAAGGTCACCATCTCCTGCTCTGGAAGCAGCTCCAACATTGGGTATAATTATGTATCCTGGTACCAGCAGCTCCCAGGAACAGCCCCCAAACTCCTCATCTATGAAAATAATAAGCGACCCTCAGGGATTCCTGACCGATTCTCTGGCTCCAAGTCTGGCACGTCAGCCACCCTGGGCATCACCGGACTCCAGACTGGGGACGAGGCCGATTATTACTGCGGATCATGGGATAGCAGCCTGAGTACTGGGGTGTTCGGCGGAGGGACCAAGCTGACCGTCCTA</t>
  </si>
  <si>
    <t>CAGGTGCAGCTGCAGGAGTCGGGCCCAGGACTGGTGAAGCCTTCGGAGACCCTGTCCCTCACCTGTAGTGTCTCTGGTGCCTCCATAAGTACTCTCTACTGGAGCTGGATCCGGCAGCCCCCAGGGAAGGGATTGGAGTGGATTGGGTATATGCATTCCAGTGGGACCACCAACTACAACCCCTCCCTCGAGAGTCGAGTCACCATGTCAATAGACACGTCCAGGAACCAGTTCTCCCTGAAGCTGACCTCTGTGACCGCTGCGGACACGGCCGTGTATTATTGTGCGAGAGGACTGTTAGGCCCCGGGGACTCCTGGGGCCAGGGAACCCTGGTCACCGTCTCCTCA</t>
  </si>
  <si>
    <t>CAGTCTGCCCTGACTCAACCTGCCTCCGTGTCTGGGTCTCCTGGACAGTCGATCACCATCTCCTGCACTGGTACCAGCAGTGACGTTGGTGGTTATAACTATGTCTCCTGGTACCAACAATACCCAGGCAAAGCCCCCAAACTCATGATTTATGAGGTCACTAGTCGGCCCTCAGGGGTTTCTAATCGCTTCTCTGGCTCCAAGTCTGGCAACACGGCCTCCCTGACCATCTCTGGGCTCCAGGCTGAGGACGAGGGTGATTATTACTGCAGTTCATATAAAACCGGCAGCACCCCTGTGGTCTTCGGCGGAGGGACCAAGCTGACCGTCCTA</t>
  </si>
  <si>
    <t>CAGCTGCAGCTGCAGGAGTCGGGCCCAGGACTGGTGAAGCCTTCGGAGACCCTGTCCCTCACCTGCACTGTCTCTGGTGGCTCCATCAGCAGTAGTAGTTACTACTGGGGCTGGATCCGCCAGCCCCCAGGGAAGGGGCTGGAGTGGATTGGGACTATCTCTTATAGTGGGAGCACCTACTACAACCCGTCCCTCAAGAGTCGAGTCACCATATCCCTAGACACGTCCAAGAACCAGTTCTCCCTGAGGCTGAGCTCTGTGACCGCCGCAGACACGGCTGTGTATTACTGTGCGAGACGATTTGACTACTGGGGCCAGGGAACCCTGGTCACCGTCTCCTCA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</si>
  <si>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GGACGTTCGGCCAAGGGACCAAGGTGGAAATCAAA</t>
  </si>
  <si>
    <t>CAGCTGCAGCTGCAGGAGTCGGGCCCAGGACTGGTGAAGCCTTCGGAGACCCTGTCCCTCGTCTGCACTGTCTCTGGTGGCTCCATCAGCAGTAGTAGTTTTTACTGGGGCTGGATCCGCCAGCCCCCAGGAAAGGGGCTGGAGTGGATTGCAACTATCTCTAATCTTGGGAGCACCTACTACAACCCGTCCCTCAAGAGTCGAGTCACCATATCCGTAGACACGTCCAGGAAGCACCTCTCCCTGAAGCTGAATTCTGTGACCGCCGCAGACACGGCCGTGTATTTCTGTGCGAGACGGTTTGACTTGTGGGGCCGGGGAACCCTGGTCACCGTCTCCTCA</t>
  </si>
  <si>
    <t>GAAATAGTGATGACGCAGTCTCCAGCCACCCTGTCTGTGTCTCCAGGACAAAGAGCCACCCTCTCCTGCAGGGCCAGTCAGAGTGTTGGCACCAACTTGGCCTGGTTCCAGCAGAAACCTGGCCAGGCTCCCAGACTCCTCATCTATGGTGAATCCACCAGGGCCACTGATATCCCAGCCAGATTCAGTGGCAGTGGGTCAGGGACCGACTTCACTCTCACCATCACCAGCCTGCAGTCTGAAGATTTTGCAGTTTATTACTGTCAGCAGTATAATATCTGGCCTTGGACGTTCGGCCAAGGGACCAAGGTGGAGATCAAA</t>
  </si>
  <si>
    <t>CAGGTGCAGCTGCAGGAGTCGGGCCCAGGACTGGTGAAGCCTTCGGAGACCCTGTCCCTCACCTGCACTGTCTCTGGTGGCTCCCTCAGTACTTACTACTGGACTTGGATCCGGCAGCCCCCAGGGAAGGGACTGGAGTGGATTGGGTATATCTATTACAGTGGGAGCGCCAAGTACAACCCCTCCCTGAAGAGTCGAGTCACCATATCAGTGGACACGTCCAAGAACCAGATCTCCCTGAAGCTGAGCTCTGTGACCGCTGCGGACACGGCCAATTATTACTGTGCGAGAGCCCCCCGAGGGTATAGCAGTGGCTGGTATTACTACTACGGTATGGACGTCTGGGGCCAAGGGACCAAGGTCACCGTCTCCTCA</t>
  </si>
  <si>
    <t>TCCTATGAGCTGACTCAGCCACCCTCAGTGTCCGTGTCCCCAGGACAGACAGCCAGCATCACCTGCTCTGGAGATAAATTGGGGGATGAATATGTTTCCTGGTATCAGCAGAAGCCAGGCCAGTCCCCTGTTCTGGTCATCTCTCGAGATACCAGGCGGTCCTCAGGGATCCCTGAGCGATTCTCTGGCTCCAACTCTGGGAACACAGCCACTCTGACCATCAGCGGGACCCAGGCTATGGATGAGGCTGACTATTACTGTCAGGCGTGGGACAGCAGCACTGCCGTGGTCTTCGGCGGAGGGACCAAGCTGACCGTCCT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</si>
  <si>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CACGTGATAGCAGCTCGTCTTTCTACTACTACTACTACATGGACGTCTGGGGCAAAGGGACCACGGTCACCGTCTCCTCA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</si>
  <si>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CTCACTTTCGGCGGAGGGACCAAGGTGGAGATCAA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</si>
  <si>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TCCCCTCGGATATTGTAGTGGTGGTAGCTGCTCCCGACTACTGGGGCCAGGGAACCCTGGTCACCGTCTCCTCA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</si>
  <si>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TGTACACTTTTGGCCAGGGGACCAAGCTGGAGATCAAA</t>
  </si>
  <si>
    <t>EBOV-Rafi-2.1.1D07</t>
  </si>
  <si>
    <t>GAGGTGCAGTTGGTGGAGTCTGGGGGAGGCTTGGTACAGCCTGGGGGGTCCCTGAGACTCTCCTGTGCAGCCTCTGGATTCACCTTTAGCACCTATGGCATGAGCTGGGTCCGCCAGGCTCCAGGGAAGGGGCTGGAGTGGGTCTCAGGTATTAGTGGTAGTGGTGGTATCACATACTACGCAGACTCCGTGAGGGGCCGGTTCACCATCTCCAGAGACAATTCCAAGAACACGCTGTATCTGCGAATGAACAGCCTGAGAGCCGAGGACACGGCCGTATATTACTGTGCGAAAGTGGGGGAGTATTACGATTTTTGGAGTGGTTATTCCCCCTTTGAATACTGGGGCCAGGGAACCCTGGTCACCGTCTCCTCA</t>
  </si>
  <si>
    <t>CCAGGCACCCTGTCTTTGTCTCCAGGGGAAAGAGCCACCCTCTCCTGCAGGGCCAGTCAGAGTGTTAGCAGCAGCTACTTAGCCTGGTACCAGCAGAAACCTGGCCAGGCTCCCAGGCTCCTCATCTATGGTGCATTTAACAGGGCCACTGGCATCCCAGACAGGTTCAGTGGCAGTGGGTCTGGGACAGACTTCACTCTCACCATCAGCAGACTGGAGCCTGAAGATTTTGCAGTGTATTACTGTCAGCTGTATGGTAGCTCACCGTGGACGTTCGGCCAAGGGACCAAGGTGGAAATCAAA</t>
  </si>
  <si>
    <t>CCAGGCACCCTGTCTTTGTCTCCAGGGGAAAGAGTCACCCTCTCCTGCAGGGCCAGTCAGAGTGTTAGCAGCAGCTACTTAGCCTGGTACCAGCAGAAGCCTGGCCAGGCTCCCAGGCTCCTCATCTATGGTGCATCCAGCAGGGCCACTGGCATCCCAGACAGGTTCAGTGGCAGTGGGTCTGGGACAGACTTCACTCTCACCATCAGCAGACTGGAGCCTGAAGATTTTGCAGTGTATTACTGTCAGCAGTATGGTAACTCACCGCTCACTTTCGGCGGAGGGACCAAGGTGGAAATCAAAC</t>
  </si>
  <si>
    <t>GGGGGAGGCGTGGTACAGCCGGGGGGGTCCCTGAGACTCTCCTGTGCAGCCTCTGGATTCACCTTTGATGATTATGCCATGCACTGGGTCCGTCAAGCTCCAGGGAAGGGTCTGGAGTGGGTCTCTCTTATTAGTGGGGATGGTGGTAATACATACTATGCAGACTCTGTGAAGGGCCGATTCACCATCTCCAGAGACAACAGCAAAAACTCCCTGTATCTGCAAATGAACAGTCTGGCAGCTGAGGACACCGCCTTTTATTACTGTGCAAAAGAAATCGGTGGTTCGTCCGAGTTGTTCTACTACGGTTTGGACGTCTGGGGCCAAGGGACCACGGTCACCGTCTCCTCA</t>
  </si>
  <si>
    <t>CCATCTTCCGTGTCTGCATCTGTAGGAGACAGAGTCACCATCACTTGTCGGGCGAGTCAGGGTATTAGCAGCTGGTTAGCCTGGTATCAGCAGAAACCAGGGAAAGCCCCTAAGCTCCTGATCTATGCTGCATCCAGTTTGCAAAGTGGGGTCCCATCAAGGTTCAGCGGCAGTGGATCTGGGACAGATTTCACTCTCACCATCAGCGGCCTGCAGCCTGAAGATTTTGCATCTTACTATTGTCAACAGGCTCACAGTTTCCCGTGGACGTTCGGCCAAGGGACCAAGGTGGAAATCAAA</t>
  </si>
  <si>
    <t>GAGGTGCAACTGGTGGAGTCGGGGGGAGGCTTGGTACAGCCTGGGGGGTCCCTGAGACTCTCCTGTACAGCGTCTGGATTCACCCTCAGAGGCTACGACATGCATTGGGTCCGCCAAGGTCCAGGAAAAGGTCTGGAGTGGGTCGCATCTATTGGTGCTGCTAGTGACACATACTATCCAGACTCCGTGAAGGGCCGATTCACCCTCTCCAGAGAAAATGCCAAGAACTCTTTGTATCTTCAAATGAACAACCTGAGAGCCGAGGACACGGCCGTCTATTACTGTGCAAGAGCATGGTTCGGGGAGTTGTACTTTGACTACTGGGGCCAGGGAGTCCGGGTCACCGTCTCCTCA</t>
  </si>
  <si>
    <t>GAAATAGTGCTGACGCAGTCTCCAGCCACCCTGTCTGTGTCTCCAGGGGAAAGAGCCACCCTCTCCTGCAGGGCCAGTCAGAGTCTTGGTAGCAACTTAGCCTGGTACCAGCACAAACCTGGCCAGGCTCCCAGGCTCCTCATCTATGGTGCATCCACCAGGGCCACCGTTGTCCCAGCCAGGTTCAGTGGCAGTGGGTCTGGGACAGAGTTCACTCTCACCATCAGCAGCCTGCAGTCTGAAGATTTTGCAGTTTATTACTGTCTTCAGTATAATAACTCGCCAAGGACGTTCGGCCAAGGGACCAAGGTGGAAATCAAA</t>
  </si>
  <si>
    <t>CAAGTTCAGCTGGTGCAGTCTGGTGCTGAGGTGAAGAAGCCTGGGGCCTCAGTGAAGGTCTCCTGCGAGGCTTCTGGTTACTCGTTTACCAAATTTGGCATCAACTGGGTGCGACAGACCCCTGGACAAGGGCTTGAGTGGATGGGATGGATCAGCGGTTACAATGGTAACACAAACTATGCACAGAAACTCCAGGGCAGAGTCACCATGACCACAGACACATCCACGAGAACAGCCTACATGGAGCTGAGGAGCCTGAGATCTGACGACACGGCCGTATATTACTGTGCGAGAAATACTGGCATGGTAACTCCTTACTACATTGACTACTGGGGCCAGGGAACTTTGGTCACCGTCTCCTCA</t>
  </si>
  <si>
    <t>GAAATTGTGTTGACGCAGTCTCCAGGCACCCTGTCTTTGTCTCCAGGGGAAAGAGCCACCCTCTCCTGCAGGGCCAGTCAGAGTGTTAGCAGCAACTACTTAGCCTGGTACCAGCAGAAACCTGGCCAGGCTCCCAGGCTCCTCATCTATGGTGCATCCAGCAGGGCCACTGGCATCCCAGACAGGTTCAGTGGCAGTGGGTCTGGGACAGACTTCACTCTCACCATCAGCAGACTGGAGCCTGAAGATTTTGCAGTATATTATTGTCAGCAGTATGGTAGTTCAGCATTCACTTTCGGCCCTGGGACCAAAGTGGATATCAAA</t>
  </si>
  <si>
    <t>GAAGTACAACTGGTGGAGTCTGGGGGAGGCGTGGTACAGCCTGGGGGGTCACTAAAACTCTCCTGTGCGGCCTCTGGATTCACCTTTGATGACCATGCCATGCACTGGGTCCGTCAAGCTCCAGGGAAGGGTCCAGAGTGGGTCTCTCTTATTAGTTGGGATGGTGCTAACTCATACTATGCAAACTCTGTGAGGGGCCGATTCACCGTCTCCAGAGACAACAGCAAAAACTCCCTGTTTCTGCAAATGAACAGTCTCAGAACTGAGGACACCGCCTTGTATTACTGTGCAAGAGATCTCCACAATTACGCTTTTTGGAGTGGTTATCCCGACTACTGGGGCCGGGGAACCCTGGTCACCGTCTCCTCAG</t>
  </si>
  <si>
    <t>GACATCCAGCTGACCCAGTTTCCATCCTCCCTGTCTGCATCTGTAGGAGACAGAGTCGTCATCACTTGCCGGGCAAGTCAGAGCATAAGCAGCTCTCTGAATTGGTATCAGCAGAAACCAGGGAATGCCCCTCAGCTCCTGATCTATACTGTATCCAGTTTATACACTGGGGTCCCATCAAGGTTCAGTGGCAGTGCATCTGGGACAGATTTCACTCTCACCATCAGCAGTCTGCGTCCTGAAGATTTTGCAACTTACTACTGTCAACAAACTCACAGTGTCCCGTACACTTTTGGCCAGGGGACCAAGCTGGAGATCAAA</t>
  </si>
  <si>
    <t>GAGGTGCGACTGGTGGAGTCTGGGGGAGGCTTGGTCCAGCCTGGGGGGTCCCTGAGACTCTCCTGTGCAGCCTCTGGATTCACCTTTGATTCCCATTGGATGATTTGGCTCCGCCAGGCTCCAGGGAAGGGACTGGAGTGGGTGGCCAATATAAAGCCAGATGGAAGTGAGAAATACTATGTGGACTCTGTGAAGGGCCGATTCACCATCTCCAGAGACAACGCCAAGAACTCACTCTATCTGCAGATGGACAGCCTGAGAGCCGACGACACGGCTGTCTATTACTGTGCGAGAGATGTTGAAGCGGAGATTGTAGTGGTGGTGTCTGGTATAGCGGACTGGGGCCAGGGAACCCGTGTCACCGTCTCCTC</t>
  </si>
  <si>
    <t>GAAATAGTGATGACGCAGTCTCCAGCCACCCTGTCTGTGTCTCCAGGGGAAAGAGCCACCCTCTCCTGCAGGGCCAGTCAGAGTGTCAGCAGCAACGTAGCCTGGTACCAGCAGAGACCTGGCCAGGCTCCCAGGCTCCTCATCTCTTATGCATCCACCAGGGCCTCTGGTATCCCAGCCAGGTTCAGTGGCAGTGGGTCTGGGACAGAGTTCACTCTCACCATCAGCAGCCTACAGTCTGAGGATTTTGCGGTTTATTACTGTCATCAGTATCATAACTGGCCTTTCTACACTTTTGGCCAGGGGACCAAGCTGGAGATCAAA</t>
  </si>
  <si>
    <t>EBOV-Rafi-5.6.c2630</t>
  </si>
  <si>
    <t>CAGCTGCAAGTGCAGGAGTCGGGCCCAGGACTGGTGAAGCCTTCGGAGACCCTGTCCCTCACCTGCACTGTCTCTGGTGGCTCCATCACTAGTACTAGTGACTACTGGGGCTGGATCCGCCAGCCCCCAGGGAAGGGCCTGGAGTGGATTGGGGGTATTTATGAAAGTGGGAACACCTACTACAACCCGTCCCTCAAGAGTCGAGTCACCATATCCGTAGACTCGTCCAAGAACCAGTTCTCCCTGAAGCTGAGCTCTGTGACCGCCGCAGACACGGCTGTGTATTACTGTGCGAGAGTCGAAGATCGTGGCGCGATTTACTATGAAATCTATTTCGACCCCTGGGGCCAGGGAACCCTGGTCATCGTCTCCTCA</t>
  </si>
  <si>
    <t>GACATCGAGGTGACCCAGTCTCCATCTTCCGTGTCTGCATCTGTGGGAGACAGAGTCACCATCACTTGTCGGGCGAGTCAGGATATTAGCTACTGGTTAGCCTGGTATCAGCAGAAGCCAGGGAAAGCCCCTAACCTCCTGATCTATGATGCATCCAGATTGCAAAGTGGGGTCCCATCAAGGTTCAGCGGCAGTGGATCTGGGACACATTTCACTCTCACCATCAGCAGCCTGCAGCCTGAAGATTTTGCAACTTACTATTGTCAACAGGCTAACAGTTTCCCGATCACCTTCGGCCAAGGGACACGACTGGAGATTAAA</t>
  </si>
  <si>
    <t>GACGTGCAGCTGGTGGACTCTGGGGGAGCCATGGTACAGCCTGGGGGGTCCCTGAGACTCTCCTGTGCAGCCTCTGGACTCACCTTCAGATCACACGACATGCACTGGGTCCGCCAAGTTACAGGAAAAGGTCTGGAGTGGGTCTCAGCGATTGGTAGTGCTGGTGACACATACCATGCAGCCTCCGTGAAGGGCCGATTCACCACCTCCAGAGATAAAGCCAAGGACTCCCTGTATCTTCAGATGAACAGTGTGAGAGCCGAGGACACGGCCGTGTATTACTGTGCAAGAGCATCTTTTGGCTCCCACTACTTTGACTACTGGGGCCAGGGGATCCTGGTCACCGTCTCCTCA</t>
  </si>
  <si>
    <t>GAAGTTGTTTTGACGCAGTCTCCAGGCACCCTGTCTTTGTCTCCAGGGGAGAGAGCCACCCTCTCCTGCAGGGCCAGTCAGAGTGTTAGCAGCAGCAACTTAGCCTGGTACCAGCAGAAACCTGGCCAGGCTCCCAGACTCCTCATCTATGGTGCATCAAGCACGGCCACTGGCATCCCAGACAGGTTCAGTGGCAGTGGGTCTGGGACAGACTTCACTCTCACCATCAGCAGACTGGAGCCTGAAGATTTAGCTGTGTATTACTGTCAGCAGTATGGAACCTCACCTCTGACGTTTGGCCAAGGGACCAAGGTGGAAATCAAA</t>
  </si>
  <si>
    <t>CAGCTGCAGCTGCAGCAGTCGGGCCCAGGACTGGTGAAGCCTTCGGAGACCCTGTCCCTCACCTGCACTGTCTCTGGTGGCTCCCTCAGTAGTAGTAGTTACTACTGGGGCTGGATCCGCCAGTCCCCAGGGACGGGGCTGGAGTGGATTGGGATTATCTATAATACTGGGCGCACCTACTACAATCCGTCCCTCAGGAGTCGACTCACCATATCCGTAGACATGTCCAAGAACCAGTTCTCCCTGAAGCTGAGCTCTGTGACCGCCGCAGACACGGCTATATATTACTGTGCGAGACGTCTCGACTACTGGGGCCAGGGAACCCTGGTCACCGTCTCCTCA</t>
  </si>
  <si>
    <t>GAAATAGTGATGACGCAGTCTCCAGCCACCCTGTCTGTGTCTCCGGGGGAAAGAGCCACCCTCTCCTGCAGGGCCAGTCAGAGTATTAGCAGCAACTTAGCCTGGTACCAACAGAAACCTGGCCAGGCTCCCAGGCTCCTCATCTATGGTGCATCCACCAGGCCCACTGATATCCCGGCCACTGATATCCCAGCCAGGTTCAGTGGCAGTGGGTCTGGGACAGAGTTCACTCTCACCATCACCAGCCTGCAGTCTGAAGATGTTGCAGTGTATTTCTGTCAGCAGTATAATATCTGGCCGTGGACGTTCGGCCAAGGGACCAAGGTGGAAATCAAA</t>
  </si>
  <si>
    <t>GAGGTGCAGCTGGTGGAGTCTGGGGGAGGCTTGGTCCAGCCTGGGGGGTCCCTGAGACTCTCCTGTGCAGCCTCTGGATTCACGTTTAGTCGTTCTTGGATGAACTGGGTCCGCCAGGCTCCAGGGAAGGGGCTGGAGTGGGTGGCCAACATAAAGCAAGATGGAAGTGAGAAATACTATGTGGACTCTGTGAAGGGCCGATTCACCATCTCCAGAGACAACGCCAAGAACTCACTGTATCTGCAAATGAACAGCCTGAGAGCCGAGGACACGGGTGTATATTATTGTGCGAAAGCGACGGTGACTACAGAGCTAACCTTCTTCTACTACTACGCTCTGGACGTCTGGGGCCAAGGGACCACGGTCACCGTCTCCTCA</t>
  </si>
  <si>
    <t>GAAATAGTGATGACGCAGTCTCCAGCCACCCTGTCTGTGTCTCCAGGGGAAAGAGCCACCCTCTCCTGCAGGGCCAGTCAGAGTATTAACAACAACTTAGCCTGGTACCAGCAGAAACCTGGCCAGGCTCCCAGGCTCCTCATCTCTGATGCATCCACCAGGGCCACTGGTGTCCCAGCCAGGTTCAGTGGCAGTGGGTCTGGGACAGAGTTCACTCTCACCATCAGCAGCCTGCAGTCTGAAGATTCTGCAGTTTATCACTGTCAGCAGTATAATACCTGGCCTCCGTTCACTTTCGGCGGAGGGACCAAGGTGGAGATCAAA</t>
  </si>
  <si>
    <t>GAGGTGCAGCTGGTGGAGTCTGGGGGAGGCTTGGTCCAGCCTGGGGGGTCCCTGAGACTCTCCTGTGCAGCCTCTGGATTCACCTTTAGTAGTTATTGGATGAGCTGGGTCCGCCAGTCTCCAGGGCAGGGGCTGGAGTGGGTGGCCAACATAAAGGAAGATGGAAGTCAGAAATACTATATGGATTCTGTGAAGGGCCGATTCACCATCTCCAGAGACAACGCCAAGAACTCACTGTATCTGCAAGTGGAGAGCCTGAGAGCCGAGGACACGGCTGTATATTACTGTGCGAGAGATGTCCCAGGGGATTCTCTACTGGGGGATGCTTTTGCTATCTGGGGCCAAGGGACCCGGGTCACCGTCTCTTCA</t>
  </si>
  <si>
    <t>GAAATACTGATGACGCAGTCTCCAGCCACCCTGTCTGTGTCTCCAGGGGAAAGAGCCACCCTCTCCTGCAGGGCCAGTCAGAGTCTTAGCAGCAGCTTAGCCTGGTACCAGCAGAAACCTGGCCAGGCTCCCAGGCTCCTCATCTATGGTGCATCCACCAGGGCCACTGGTATCCCAGCCAGGTTCAGTGGCAGTGGGTCTGGGACAGAGTTCACTCTCACCATCAGCAACCTGCAGTCTGAAGATTTTGCAGTTTATTACTGTCAGCAGTATAACAACTGGCCTTTCTACACTTTTGGCCAGGGGACCAAGCTGGAAATCAAA</t>
  </si>
  <si>
    <t>CAGGTGCTGCTGCAGGAGTCGGGCCCAGGACTGGTGAAGCCTTCGGAGACCCTGTCCCTCACCTGCACTGTCTCTGGTGGCTCCATCGGTGCTTACTACTGGAGCTGGTTCCGGCTGGCACCAGGGAAGGGACTGCAGTGGATTGGGTTCATCTATTACACTGGGAGCACCAACTACAACCCCTCCCTCAAGAGTCGAGTCACCATATCGCTAGACACGTCCAAGAACCGGTTCTCCCTGAGACTGAACTCTGTGACCGCTGCGGACACGGCCGTATATTACTGTGCGAGAGCCCCCGAAGGATATTGTAGTGGTGGTAGCTGCTGGGGGGTCTACTTTGACTCCTGGGGCCAGGGAACCCTGGTCACCGTCTCCTCA</t>
  </si>
  <si>
    <t>GACATCCAGATGACCCAGTCTCCATCCTCCCTCTCTGCTTCTGTAGGAGACAGAGTCACCATCACTTGCCGGGCAAGTCAGAGCCTTAGCGATTATTTAAATTGGTATCAGCACAAAGTAGGGACAGCCCCTAAACTCCTGATCTATGGTGCATCCGGTTTGCAAAGTGGGGTCCCATCAAGGTTCAGTGGCAGTGGATCTGGGACAGATTTCACTCTCACCATCAGCAGTCTGCAACCTGAAGACTTTGCTACTTACTACTGTCAACAGAGTTACAGTACCCCCTTCACTTTTGGCCAGGGGACCAGGCTGGAGATCAAA</t>
  </si>
  <si>
    <t>CAGGTGCAGCTGGTACAGTCTGGGACTGAGGTGAAGAAGCCTGGGGCCTCAGTGAAGGTCTCCTGCAAGGCTTCTGGATACACCTTCACCAGTTCTGATATCAATTGGGTCCGACAGGCCACTGGACAAGGGCTTGAGTGGATGGGATGGATGAACCCTACCAGTGGCAAAACAGGCTATGCACAGAAGTTCCAGGGCAGAATCACCATGACCAGGAACACCTCCATAAGCACAGCCTACATGGAGTTGAGCAGCCTGAAATCTGAGGACACGGCCGTGTATTACTGTGCGAGGGCAGCTGCTATGTTTTATTACCACGGTCTGGACGTCTGGGGCCAGGGGACCACGGTCGCCGTCTCCTCA</t>
  </si>
  <si>
    <t>GACATCCAGATGACCCAGTCTCCATCTTCCGTGTCTGCATCTGTAGGAGACAGAGTCACCATCACTTGTCGGGCGAGTCAGGATATTAGCTACTGGTTAGCCTGGTATCAGCGGAAACCAGGAAAAGCCCCTAAACTCCTGATCTATGCTACTGCCAGTTTGCAAACTGGGGTCCCATCAAGGTTCAGCGGCAGTAGATCTGGGACAGATTTCACTCTCACCATCAGCAGCCTGCAGCCTGAAGATTTTGCAACTTACTTTTGTCAACAGGCTCACAGCTTCCCGTGGACGTTCGGCCAAGGGACCAAGGTGGAAATCAAA</t>
  </si>
  <si>
    <t>CAGGTGCAGCTACAGCAGTGGGGCGCAGGACTGTTGAAGCCTTCGGAGACCCTGTCCCTCACCTGCGCTGTCTATGGTGGGTCCTTCAGTGATTACTACTGGACCTGGATCCGCCAGCCCCCAGGGAAGGGGCTGGAGTGGATTGGGGAAAATAATCCTCGTGGAAGCAGCAACTACAACCCGTCCCTCCAGAGTCGAGTCACCATTTCATTAGACACGTCCAAGAACCAGTTCTCCCTGACGATGAAGTCTGTGACCGCCGCGGACACGGCTTTATATTACTGTGCGAGAGGCCGGCTGTTGGTCCAGGGGTTCGGGGGGTCAACTAACAACTGGTTCGACCCCTGGGGCCAGGGAACCGTGGTCACCGTCTCCTCA</t>
  </si>
  <si>
    <t>GACATCCAGATGACCCAGTCTCCATCCTCCCTGTCTGCATCTATAGGAGACAGAGTCACCATCACTTGCCGGGCAGGTCAAAACATTAACAGCTATTTAAATTGGTATCAGCAGAAACCAGGGAAAGCCCCTAAACTCCTGATCTCTGTTGCATCCAGTTTGCAAAGTGGGGTCCCATCAAGGTTCAGTGGCAGTGGATCTGGGACAGATTTCACTCTCACCATCAGCAGTCTGCAACCTGAAGACTTTGCAACTTACTACTGTCAACAGAGTTACAGTATCCCGCTCACTTTCGGCGGAGGGACCAAGCTGGAGATCAAA</t>
  </si>
  <si>
    <t>GAGGTGCAGCTGGTGGAGTCTGGGGGAGGCTTGGTCCAGCCTGGGGGGTCCCTGAGACTCTCCTGTGCAGCCTCTGGATTCACTTTTAGTACCTATTGGATGAGCTGGGTCCGCCAGGCTCCAGGGAAGGGGCTGGAGTGGGTGGCCAACATAAAGGAAGATGGAAGTGAGAAATACTATGTGGACTCTGTGAAGGGCCGATTCACCATCTCCAGAGACAACGGCAAGAACTCACTGTATCTGCAAATGAACAGCCTGAGAGCCGAGGAGACGGCTGTGTATTACTGTGCGAGAGATGTCCCAGGGGATACTGTTCTGGGGGATGCTTTTCATATCTGGGGCCAAGGGACAATGGTCACCGTCTCTTCA</t>
  </si>
  <si>
    <t>GAAATAGTGATGACGCAGTCTCCAGCCACCCTGTCTGTGTCTCCAGGGGAAAGAGCCACCCTCTCCTGCAGGGCCAGTCAGAGTGTTAGCAGCAACTTAGCCTGGTACCAGCAGAAAGTTGGCCAGGCTCCCAGGCTCCTCATCTATGGTGCATCCACCAGGGCCACTGGTATCCCAGCCAGGTTCAGTGGCAGTGGGTCTGGGACAGAGTTCACTCTCACCATCAGCAGCCTGCAGTCTGAAGATTTTGCAGTTTATTACTGTCAGCAGTATAATAACTGGCCTCTCTACACTTTTGGCCAGGGGACCAAGCTGGAGATCAAA</t>
  </si>
  <si>
    <t>CAGGTGCAGCTGCAGGAGTCGGGCCCAGGACTGGTGAAGCCTTCGGAGACCCTGTCCCTCACCTGCACTGTCTCTGGTGGCTCCATCAGTAATTACTACTGGAGCTGGATCCGGCAGCCCCCAGGGAAGGGACTGGAATGGATTGGGTTTATCTATTACAGTGGGGGCAGCAACTACAACCCCTCCCTCAAGAGTCGAGTCACCATATCACTAGACACGTCCAAGAACCAGTTCTCCCTGAAGCTGAGCTCTGTGACCGCCGCAGACACGGCCGTGTATTACTGTGCGAGAGTGGCAGTACCGAGTGATAACATTTATTTTTACTACTACGCCATGGATGTCTGGGGCCAAGGGACCACGGTCACCGTCTCCTCA</t>
  </si>
  <si>
    <t>TCTTCTGAGCTGACTCAGGACCCTGCTGTGTCTGTGGCCTTGGGACAGACAGTCAGGATCACATGCCAAGGAGACAGCCTCAGAAACTTTTATGCAAGCTGGTACCAGCAGAAGCCAGGGCAGGCCCCTATACTTGTCATCTATGATAAAAGCAGCCGCCCCTCAGGGATCCCAGACCGATTCTCTGGCTCCAGCTCAGGAAATACAGCTTCCTTGACCATCACTGGGGCTCAGGCGGAAGATGAGGCTGACTATTACTGTAGCTCCCGGGACTTCAGTGATGACCATCTGCTCTTCGGCGGAGGGACCAAGCTGACCGTCCTA</t>
  </si>
  <si>
    <t>GAGGTGCAGCTGTTGGAGTCTGGGGGAGGCTTGGTACAGCCTGGGGGGTCCCTGAGACTCTCCTGTGCAGCCTCTGGATTCACCTTTAGCGACTATGCCATGACCTGGGTCCGCCAGGCTCCAGGGAAGGGGCTGGAGTGGGTCTCAGCAATTACTGACAGTGGTGGTAGCACATACTACGCAGACTCCGTGAAGGGCCGGTTCACCATCTCCAGAGACAATTCCAAGAACATGCTGTATCTGCAAATGAATAGCCTGAGAGCCGAGGACACGGCCGTTTATTACTGTGCGAGAGTGGATACATCTATTGTTTATAGGTGGTTCGACCCCTGGGGCCAGGGAACCCTGGTCACCGTCTCCTCA</t>
  </si>
  <si>
    <t>GAAATAGTGATGACGCAGTCTCCAGCCACCCTGTCTGTGTCTCCAGGGGAAAGAGCCACCCTCTCCTGCAGGGCCAGTCAGAGTGTTAGCAGCAACTTAGCCTGGTACCAACAGAAACCTGGCCAGGCTCCCAGGCTCCTCATCTATGGTGCATCCACCAGGGCCACTGGTATCCCAGCCAGGTTCAGTGGCAGTGGGTCTGGGACAGAGTTCACTCTCACCATCAGCAGCCTGCAGTCTGAAGATTTTGCAGTTTATTACTGTCAGCAGTATAATAGGTGGCCTCCGTGGACGTTCGGCCAAGGGACCAAGGTGGAAATGAAA</t>
  </si>
  <si>
    <t>GAGGTGCAGCTGGTGGAGTCTGGGGGAGGCTTGGTCCAGCCTGGGGGGTCCCTGAGACTCTCCTGTACAGCCTCTGGATTCACCTTTAGTAGCTATTGGATGAGCTGGGTCCGCCAGGCTCCAGGGATGGGGCTGGAGTGGGTGGCCAGCATAAAGGAAGATGGAAGTGAGAAATATTATGTGGACTCTGTGAAGGGCCGATTCACCATCTCCAGAGACAACGCCAAGAACTCACTGTATCTGCAAATGAACAGCCTGAGAGCCGAGGACACGGCTGTCTATTACTGTGTGAGAGATGTCGTGGGAGATGTTGTTGTGGTGGTAGTGACTACTGACTACTGGGGCCAGGGAACCCTGGTCACCGTCTCCTCA</t>
  </si>
  <si>
    <t>GAAATAGTGATGACGCAGTCTCCAGCCACCCTGTCTGTGTCTCCAGGGGAAAAAGCCACCCTCTCCTGCCGGGCCAGTCAGAGTGTTGGCAGCAGCTTGGCCTGGTACCAGCAGAAACCTGGCCAGGCTCCCAGGCTCCTCCTCTATTATGCATCCACCAGGGCCACTGGTGTCCCAGCCAGGTTCAGTGGCAGTGGGTCTGGGACAGAGTTCACTCTCACCATCAGCAGCCTGCAGTCTGAAGATTTTGCCGTTTATTACTGTCAGCAGTATAATGCCTGGCCTCTGTACACTTTTGGCCAGGGGACCAAGCTGGAGATCAAA</t>
  </si>
  <si>
    <t>GAGGTGCAGCTGGTGGAGTCTGGGGGAGGCTTGGTCCAGCCTGGGGGGTCCCTGAGACTCTCCTGTGCAGCCTCTGGATTCACCTTTAATAAGCATTGGATGAGCTGGGTCCGCCAGGCTCCAGGGAAGGGGCTGGAGTGGGTGGCCAACATAAAAGAAGATGGAAGTGAGAAATACTATGTGGACTCTGTGAAGGGCCGATTCATCATCTCCAGAGACAACGCCAAGAACTCACTGTTTCTGCAACTGAACAGTCTGAGAGCCGAGGACACGGCCGTTTATTACTGTGCGAAAGACCTGCCCAACTATGACGATTTTTGGAGTGGATACTTTGACTATTGGGGCCAGGGTGTCCTCGTCACCGTCTCCTCA</t>
  </si>
  <si>
    <t>GAAATAGTGATGACGCAGTCTCCAGCCACCCTGTCTGTGTCTCCAGGAGAAAGAGCCACCCTCTCCTGCAGGGCCAGTCAGAGTGTTGGTTACAACTTAGCCTGGTATCAGCAGAAACCTGGCCAGGCTCCCAGGCTCCTCATCTATGGAACATCCACCAGGGCCACTGGTATCCCAGCCAGGTTCAGTGGCAGTGGGTCTGGGACAGAGTTCACTCTCACCATCAGCAGCCTGCAGTCTGAAGATTTCGCAGTTTATTACTGTCAGCAGTATAATAACTGGCCTCCGCTCACTTTCGGCGGAGGGACCAAGGTGGAGATCAAA</t>
  </si>
  <si>
    <t>CAGGTCCGGATGGTGCAGTCTGGGGCTGAGGTGAAGAAGCCTGGGTCCTCGGTGAAGGTCTCCTGCAAGACTTCTGGAGGCACCTTCAGTACCTATTCTATCAGCTGGGTGCGACAGGCCCCTGGACACGGGCTTGAGTGGATGGGAAGGCTTATCCCCATGCTTGGTACACCAAACTACGCACAGAAGTTCCAGGGCAGACTCACGATTACTGCGGACAGATCCACGAGCACAGCCTACATGGAGCTGAGCAGCCTGAGCTCTGAGGACACGGCCGTTTATTACTGTGCGAGAGATCTCGGTACGGTGTTGACCCCGGGGGACTCCTGGGGCCAGGGAACCCTGGTCACCGTCTCCTCA</t>
  </si>
  <si>
    <t>GACATCCAGATGACCCAGTCTCCATCCTCACTGTCTGCATCTGTAGGAGACAGAGTCACCATCACTTGTCGGGCGAGTCAGGGCATTAGCAATTATTTAGCCTGGTTTCAGCAGAAACCAGGGGAAGCCCCTAAGTCCCTGATCTATGCTGCATCCAGTCTGCAAAGTGGGGTCCCATCAAAGTTCAGCGGCAGTGGATCTGGGACAGATTTCACTCTCACCATCAGCAACCTGCAGCCTGAAGATTTTGCAACTTATTACTGCCAACAGTATAATAGTTATCCGCTCACTTTCGGCGGAGGGACCAAGGTGGAGATCAAA</t>
  </si>
  <si>
    <t>GAGGTGCAGCTGGTGGAGTCTGGGGGAGGCTTGGTCCAGCCGGGGGGGTCCCTGAGACTCTCCTGTGCAGCCTCTGGACTCACCGTCAGTAGCAACTACATGAACTGGGTCCGCCAGGCTCCAGGGAAGGGGCTGGAGTGGGTCTCAGTTATTTATAGCGGTGGAAGAACATACTACGCAGACTCCGTGAAGGGCAGATTCACCATCTCCAGAGACATTTCCAAGAACACGGTGTATCTTGAAATGAACAGCCTGAGAGCCGACGACACGGCTGTGTATTACTGTGCGAGAATATATTTCTTCTACAACGGTATGGACGTCTGGGGCCAAGGGACCACGGTCACCGTCTCC</t>
  </si>
  <si>
    <t>GAAATTTTGTTGACGCAGTCTCCAGGCACCCTGTCTTTGTCTCCAGGGGAAAGAGCCACCCTCTCCTGCAGGGCCAGTCAGAGTGTTAGCAGTAACTACTTAGCCTGGTTCCAGCAGAAACCTGGCCAGGCTCCCAGGCTCCTCATCTATGGTGCATCCAGCAGGGCCACTGGCATCCCAGACAGGTTCAGTGGCAGTGGGTCTGGGACAGACTTCACTCTCACCATCAGCAGACTGGAGCCTGAAGATTTTGCACTGTATTACTGTCAGCAGTATGGTAGCTCACCTCCCTGGACGTTCGGCCAAGGGACCAAGGTGGAAATGAAA</t>
  </si>
  <si>
    <t>CAGGTGCACCTGGTGGAGTCTGGGGGAGGCGTGGTCCAGCCTGGGAGGTCCCTGAAACTCTCCTGTGCAGCCTCTGGATTCACCTTTAGTAGTTATGGCATGCACTGGGTCCGCCAGGCTCCAGGCAAGGGACTGGAGTGGGTGGCTTTTATATTACATGACGGGACTATTCAAAACTATGCAGACTCGGTGAAGGGCCGATTCGCCGTCTCCAGAGACAATTCCAAGAACATGCTGTCATTGCAAATGAACAGCCTGAGACCTGAGGACACGGCTGTATATTACTGTGCGAAAGATGCAGTGGAACCGACTGCCCTCTTCTATTACGGTATGGACGGCTGGGGTCAAGGGACCACGGTCACCGTCTCCCCA</t>
  </si>
  <si>
    <t>GACATCCAGCTGACCCAGTCTCCATCTTCCGTGTCTGCATCTGTAGGAGACAGAGTCACCATCACTTGTCGGGCGAGTCAGGATATTAGCAGCTGGTTAGCCTGGTATCACCAGACACCAGGGAAAGCCCCTAAGCTCCTGATCTATGCTGCATCCAGTTTGCAAAGTGGGGTCCCATCAAGGTTCAGCGGCAGTGGATCTGGGACAGATTTCACTCTCACCATCAGCAGCCTGCAGCCTGAAGATTTTGCAACTTACTATTGTCAACAGGCTCACACTTTCCCTTTTACTTTCGGCCCTGGGACCAAAGTGGATATCAAA</t>
  </si>
  <si>
    <t>GAAGTGCAACTAGTGGAGTCTGGGGGAGGCTTGGAACAGCCTGGCAGGTCCCTGAGACTCTCCTGTGCAGCCTCTGGATTCAAATTTGACGATTATGCCATGCACTGGGTCCGGCACGTTCCAGGGAAGGGCCTGGAGTGGGTCTCAGGTATAACTTGGAATAGTGGAAGCACAGTCTATGCGGACTCTGTGAAGGGCCGATTCACCATCTCCAGAGACAACGCCAAGAACTCCCTGTATCTACAAATGAACAGTCTGAGACCTGAGGACACGGCCTTCTATTACTGTGCAAAGGATATTGCCTTTGCAATAACTGGCTTTGACTACTGGGGCCAGGGAACCCTGGTCACCGTCTCCTCA</t>
  </si>
  <si>
    <t>TCTTCTGAGCTGACTCAGGACCCTGCTGTGTCTGTGGCCTTGGGACAGACAGTCAGGATCACATGCCAAGGAGACATCCTCAGAAACTATTTTCCATGCTGGTATCAGCAGAAGCCAGGACAGGCCCCTGTCCTTGTCATCTATGGTAATAACGACCGGCCCTCAGGGATCCCAGACCGATTCTCTGGCTCCAGCTCAGGAAACACAGCTTCCTTGACCATCACTTGGGCTCAGGCGGAAGATGAGGCTGACTACTACTGTAATTCCCGGGACAGCAGTGGTAACCATCTGGTTTTCGGCGGAGGGACCAAGCTGACCGTCCTA</t>
  </si>
  <si>
    <t>CAGCTGCAGCTGCAGGAGTCGGGCCCAGGACTGGTGAAGCCTTCGGAAACCCTGTCCCTCACCTGCACTGTCTCTGGTGGCTCCATCAGCAGTAGTAGTCACCACTGGGGGTGGATCCGCCAGCCCCCAGGGAAGGGGCTGGAATATATTGGGAGTATCTTTTATAGCGGGAGCACCTACTACAACCCGTCATTCGAGAGTCGAGTCACCATCTCCGTAGACACGTCCAAGAACCAGTTCTCCCTGAGGCTGAGGTCTGTGACCGCCGCAGACACGGCTGTGTATTTCTGTGCGAGACATCCCCTTCGGTCGGAGCTACTGTACAACTGGTTCGACCCCTGGGGCCAGGGAGTGTTGGTCGCCGTCTCCTCA</t>
  </si>
  <si>
    <t>GACATCCAGATGACCCAGTCTCCATCCTCCCTGTCTGCATCTGTAGGAGACAGAGTCACCATCACTTGCCGGGCAAGTGAGAGCATTAGCAGCCATTTAAATTGGTATCAGCAGAAACCAGGGAAAGCCCCTAAGGTCCTGATCTATGCTGCGTCTAGTTTGCACAGTGGGGTCCCATCAAGGTTCAGTGGCAGAGGATCTGGGACAGATTTCACTCTCACCATCACCAGTCTGCAACCTGAAGATTTTGCAACTTACTACTGTCAACAGAGTGACAGTACCCAACCGTACACCTTTGGCCAGGGGACGAAGCTGGAAATCAAA</t>
  </si>
  <si>
    <t>GAAGTGCAGCTGGTGGAGTCTGGGGGAGGCGTGGTTCAGCCTGGGGGGTCCCTGAGACTCTCCTGTGCAGCCTCTGGATTCACCTTTGATAATTATGCCATACACTGGGTCCGTCAAGCTCCAGGGAAGGGTCTGGAGTGGGTCTCTCTTATTAGTGGGGATGGTGGTAGCACATACTATGCAGACTCTGTGAAGGGCCGATTCACCATCTCCAGAGACAACAGCAAAAACTCCCTGTATCTTCAAATGAACAGACTGAGAACTGAGGACACCGCCTTGTATTACTGTGCAAAAGTCATGGAGGAGGAACACGATTTTTGGAGTGGTACTTTTGACTACTGGGGCCAGGGAACCCTGGTCACCGTCTCCTCA</t>
  </si>
  <si>
    <t>GAAATAGTGATGACGCAGTCTCCAGCCACCCTGTCTGTGTCTCCAGGGGAAGGAGCCACCCTCTCCTGCAGGGCCAGTCAGAGTGTTGGCAGCAACTTAGCCTGGTACCAGCAGAAACCTGGCCAGGCTCCCAGGCTCCTCATCTATGGTGCATCCACCAGGGCCACTGGTATCCCAGCCAGGTTCAGTGGCAGTGGGTCTGGGACAGAGTTCACTCTCACCATCAGCAGCCTGCAGTCTGAAGATTTTGCAGTTTATTACTGTCAGCAGTATAATAACTGGCCTCCGCTCACTTTCGGCGGAGGGACCAAGGTGGAGATCAAA</t>
  </si>
  <si>
    <t>GAGGTGCAGGTGGTGGAGTCTGGGGGAGGCTTGGTCCAGCCGGGGGGGTCCCTGAGACTCTCCTGTGCAGCCTCTGGATTCACCTTTAGAACGTATTGGATGAGCTGGGTCCGCCAGGCTCCAGGGAAGGGGCTGGAGTGGGTGGCCAACATAAAGGAAGATGGAAGTGAGAAATACTATGTGGACTCTGTGAAGGGCCGATTCACCATCTCCAGAGACAACGCCAAGAACTCACTGTATCTGCAAATGAACAGCCTGAGAGCCGAGGACACGGCCGTATACTACTGTGCGAAAGATGGGGCACGATATGACGATTTTTGGAGTGGATACCTTGACTCCTGGGGTCAGGGAATCCTGGTCACCGTCTCCTCA</t>
  </si>
  <si>
    <t>GAAATAGTGATGACGCAGTCTCCAGCCACCCTGTCTGTGTCTCCAGGGGAAAGAGCCACCCTCTCCTGCAGGGCCAGTCAGAGTGTTGGCTACAACTTAGCCTGGTACCAGCAGAAACCTGGCCAGGCTCCCAGGCTCCTCATCTATGGTTCATCCACCAGGGCCACTGGTATCCCAGCCAGGTTCAGTGGCAGTGGGTCTGGGACAGAGTTCACTCTCACCATCAGCAGCCTGCAGTCTGAAGATTTTGCAATTTATTACTGTCAGCAGTATAATAACTGGCCTCCGTTCACTTTTGGCGGAGGGACCAAGGTGGAGATCAAA</t>
  </si>
  <si>
    <t>CAGGTGCAGCTGCAGGAGTCGGGCCCAGGACTGCTGAAGCCTTCACAGACCCTGTCCCTCACCTGCACTGTCTCTGGTGGGTCCATCAGCAGTGATGATTACTACTGGAGTTGGATCCGCCAGGCCCCAGGGAAGGGCCTGGAGTGGATTGGATACATCTTTTACAGTGGGAGCCCCTACTACAACCCGTCCCTCAAGAGTCGAGTTACCATATCAGTAGACACGTCCAAGAACCAGTTCTCCCTGAAGGTGAGCTCTGTGACTGCCGCAGACACGGCCGTGTATTACTGTGCCAGAGTCCTTCATTGTAATAATACCAGCTGCTTCTTCTACTACTACACTATGGACGTCTGGGGCCAAGGGACCACGGTCACCGTCTCCTCA</t>
  </si>
  <si>
    <t>CAGACTGTGGTGACTCAGGAACCCTCACTGACTGTGTCCCCAGGAGGGACAGTCACTCTCACCTGCGCTTCCAGCACTGGAGCAGTCACCAGTGGTTACCATCCAAACTGGTTCCAGCACAAGCCTGGACAGGCACCCAGGGCACTGATTTATAGTACAAGCAACAAACACTCCTGGACCCCTGCCCGGTTCTCAGGCTCCCTCCTTGGGGGCAATGCTGCCCTGACACTGTCAGGTGCGCTGCCTGAGGACGAGGCTGAATATTACTGCCTGCTCTACTATGGTGGTTCCTTGGTATTCGGCGGAGGGACCAAGTTGACCGTCCTA</t>
  </si>
  <si>
    <t>GAAGTGCAGCTGGTGGAGTCTGGGGGAGTCGTGGTACAGCCTGGGGGGTCCCTGAGACTCTCCTGTGCAGCCTCTGGATTTACTTTTGATGATTATACCATGCACTGGGTCCGTCAAGTTCCGGGGAAGGGTCCGGAGTGGGTCTCTCTTATTACTTGGGATGGTGCTCACACATACTATGCAGACTCTGTGAAGGGCCGATTCACCATCTCCAGAGACAACAGCAAAAACTCCCTGTATCTTCAAATGAACAGTCTGAGAACTGAGGACACCGCCTTGTATTTCTGTGCAAGGGATACGGCCGGGGGCGCTTTTTGGAGCGGTTATCCAGACTACTGGGGCCAGGGAACCCTGGTCACCGTCTCCTCA</t>
  </si>
  <si>
    <t>GACATCCAGATGACCCAGTCTCCATCCTCCCTGTCTGCATCTGTAGGAGACAGAGTCACCATCACTTGCCGGGCAAGTCAGAGCATTAGCAGTTATTTAATTTGGTATCAGCAGAAACCAGGGAAAGTCCCTAAGGTCCTCATCTATGGTGCATCCAGTTTACAAAGTGGGGTCCCATCAAGGTTCAGTGGCAGTGGATCTGGGACAGATTTCACTCTCACCATCAGCAGTCTGCAACCTGAAGATTTTGCAACCTACTACTGTCAACAGAGTCACAGTATCCCGTACACTTTTGGCCAGGGGACCAAGCTGGAGATCAAA</t>
  </si>
  <si>
    <t>GAGGTGCAGCTGGTGGAGTCTGGGGGAGGCTTGGTACAGCCAGGGCGGTCCCTGAGACTCTCCTGTACAGCTTCTGGATTCAGCTTTGGTGATTATGCTATGAGCTGGGTCCGCCAGGCTCCAGGGAAGGGGCTGGAGTGGGTAGGTTTCATTAGAAGCAAAGCTTATGGTTGGACAACAGAATACGCCGCGTCTGTGAAAGACAGATTCACCATCTCAAGAGAAGATTCCAAAAACATCGCCTATCTGCAAATGAACAGACTTAAAGCCGACGACACAGCCGTGTATTACTGTACTAGAGACATCGGCCCCTCTTGCTCTGATGACATATGTTACTCTCCCACGGGGCAGTACGGTATGGACGTCTGGGGCCAAGGGACCACGGTCACCGTCTCCTCA</t>
  </si>
  <si>
    <t>CAGTCTGCCCTGACTCAGCCTGCCTCCGTGTCTGGATCTCCTGGACAGTCGATCACCATCTCCTGCACTGGAGCCACCAGTGACATTGGTAATTATAATTATGTCTCCTGGCACCAACAACACCCAGGCAAAGCCCCCAAACTCATGATTTATGATGTCAGTAATCGGCCCTCAGGGGTTTCTAATCGATTCTCTGGCTCCAAGTCTGGCAACACGGCCTCCCTGACCATCTCTGGGCTCCAGGCTGAGGACGAGGCTGATTATTACTGCTCCTCATATACAAGCACCAGCACTCTCGTCTTCGGAACTGGGACCAAGGTCACCGTCCTA</t>
  </si>
  <si>
    <t>GAAGTGCAACTGGTGGAGTCTGGGGGAGGCTTGGTACAGCCTGGGGGGTCCCTGAGACTCTCCTGTGCAGCCTCTGGATTCACCTTCAGCACCTATAGTATGAACTGGTTGCGCCAGGCTCCAGGGAAGGGACTGGAGTGGATTTCATTCATTAGTATTAGGAGCACAACCACATACTATGCAGACTCTGTGAAGGGCCGATTCACCATCTCCAGGGACGATGCCAAGAACTCACTCTATCTGCAAATGAACAGCCTGAGAGACGAGGACACGGCTGTTTATTACTGTGCGAGAGTGTACATGCGCACTTTCTACTTTGACAACTGGGGCCAGGGAACCCTGGTCACCGTCTCCTCA</t>
  </si>
  <si>
    <t>CAGTCTGCCCTGACTCAGCCTGCCTCCGTGTCTGGGTCTCCTGGACAGTCGATCACCATCTCCTGCACTGGAACCAGCAGTGACGTTGGTGATTATAACTATGTCTCCTGGTACCAACAACACCCAGGCAAAGCCCCCAAACTCTTGATTTTTGATGTCAGTAATCGGCCCTCAGGGGTTTCTAATCGTTTCTCTGGCTCCAAGTCTGGCAACACGGCCTCCCTGACCATCTCTGGGCTCCAGGCTGAGGACGAGGCTGATTATTACTGCAGCTCATATGCAAGCAGCAGGACTTCTTGGGTGTTCGGCGGAGGGACCAAGCTGACCGTCC</t>
  </si>
  <si>
    <t>GAGGTGCAGCTGGTGGAGTCTGGGGGAGGCTTGGTCCAGCCTGGGGGGTCCCTGAGACTCTCCTGTGCAGCCTCTGGATTCACCTTTAGTACCTATTGGATGACCTGGGTCCGCCAGGCTCCAGGGAAGGGGCTGGAGTGGGTGGCCACCATAAAGCAAGATGGAAGTGAGAAATACTATGTGGACTCTGTGAAGGGCCGATTCACCATCTCCAGAGACAACGCCAAGAACTCACTGTCTCTGCAAATGAACAGCCTGAGAGCCGAGGACACGGCTGTGTATTACTGTGCGAGAGACGTTATGGCTCAAGAAGTTTTACCCTATGGTTTGGACGTCTGGGGCCAAGGGACCACGGTCACCGTCTCCTCA</t>
  </si>
  <si>
    <t>GAAATAGTGATGACGCAGTCTCCAGCCACCCTGTCTGTGTCTCCAGGGGAAAGAGCCACCCTCTCCTGCAGGGCCAGTCAGAGTATTAGCAGCAACTTAGCCTGGTACCAGCAGAAACCTGGCCAGGCTCCCAGGCTCCTCATCTATTATGCATCCACCAGGGCCACTGGTATCCCAGCCAGGTTCAGTGGCAGTGGGTCTGGGACAGAGTTCACTCTCACCATCAGCAGCCTGCAGTCTGAAGATTTTGCAGTTTATTACTGTCAGCAGTATTATAAGTGGCCCCTGTACACTTTTGGCCAGGGGACCAAGCTGGAGATCAAA</t>
  </si>
  <si>
    <t>CGGGTTCAGCTGGTGCAGTCTGGACCTGAGGTGAAGAAGCCTGGGGCCTCAGTGAAGGTCTCCTGCAAGGCTTCTGGTTACACCTTTACCAACTATGGTATCAACTGGGTGCGACAGGCCCCTGGACAAGGGCTTGAGTGGATGGGATGGATCAGCGCTTACAATGGTAACACAAACTATACACAGAACCTCCAGGGCAGAGTCACCATGACCACAGACACATCCTCGAGCACAGCCTACATGGAGCTGAGGAACCTGAGATCTGACGACACGGCCGTGTATTACTGTGCGAGAGATCTTGGGATGGTTAAGAGCTACTAC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</si>
  <si>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TTTTGGCCAGGGGACCAAGCTGGAGATCAAA</t>
  </si>
  <si>
    <t>CAGGTTCAGCTGGTGCAGTCTGGAGCTGAGGTGAAGAAGCCTGGGGCCTCAGTGAAGGTCTCCTGCAAGGCTTCTGGTTACACCTTTACCAATTACGGTATGAACTGGGTGCGACAGGCCCCTGGACAAGGGCTTGAGTGGATGGGATGGATCAGCGCTTACAGTGGTAACACAAACTATGCACAGAAGCTCCAGGACAGAGTCACCATGACCACAGACACATCCACGAGGACAGCCTACATGGAGCTGAGGAGCCTGAGATCTGACGACACGGCCGTATATTACTGTGCGAGAGATCGGGGTATGATAAATCGCTACTTCATGGACGTCTGGGGCAAAGGGACCACGGTCACCGTCTCCTCA</t>
  </si>
  <si>
    <t>GAAATTGTGTTGACGCAGTCTCCAGGCACCCTGTCTTTGTCTCCAGGAGAAAGAGCCACCCTCTCCTGTAGGGCCAGTCAGAGTGTTAGCAGCAGCTACTTAGCCTGGTATCAGCACAAACCTGGCCAGGCTCCCTGGCTCCTCATCTATGGTGCATCCAGCAGGGCCACTGGCATCCCAGACAGGTTCAGTGGCAGTGGGTCTGGGACAGACTTCACTCTCACCATCACCAGACTGGAGCCTGAAGATTTTGCAGTCTATTACTGTCAGCAGTATGCTTCCTCACCGACGTTCGGCCAAGGGACCAAGGTGGAAATCAAA</t>
  </si>
  <si>
    <t>CAGGTGCAGCTGCAGGAGTCGGGCCCAGGACTGGTGAAGCCTTCGGAGACCCTGTCCCTCACCTGCACTGTCTCTGGTGGCTCCATCAGTAGTTACTTCTGGAGCTGGATCCGGCAGCCCCCAGGGAAGGGACTGGAGTGGATTGGGTATATCTATTACAGTGGGAACACCAACTACAACCCCTCCCTCAAGAGTCGAGTCACCATATCAGTAGACACGTCCAAGAACCAGTTCTCCCTGAAGCTGAGCTCTGTGACCGCTGCGGACACGGCCGTGTATTACTGTGCGAGAGAGGTAGGATATTGTAGTAGTACCAGCTGCCTGTACTACTACTCCTACTACATGGACGTCTGGGGCAAAGGGACCACGGTCACCGTCTCCTCA</t>
  </si>
  <si>
    <t>TCTTCTGAGCTGACTCAGGACCCTGCTGTGTCTGTGGCCTTGGGACAGACAGTCAGGATCACATGCCAGGGAGACAGCCTCAGAAGCTATTATGCAACCTGGTACCAGCAGAAGCCAGGACAGGCCCCTGTACTTGTCATCTATGGTGAAAACAACCGGCCCTCAGGGATCCCAGACCGATTCTCTGGCTCCAGCTCGGGAAACACAGCTTCCTTGACCATCACTGGGGCTCAGGCGGAAGATGAGGCTGACTATTACTGTAACTCCCGGGACAGCAGTGGTAACCATGGGGTATTCGGCGGAGGGACCAAGCTGGCCGTCCTA</t>
  </si>
  <si>
    <t>GAGGTGCAGTTGGTGGAGTCTGGGGGAGGCTTGGTCCAGCCTGGGGGGTCCCTGAGACTCTCCTGTGCAGCCTCTGGATTCACGTTTAGTAGATATTGGATGACCTGGGTCCGCCAGGCTCCAGGGAAGGGGCTGGAGTGGGTGGCCAACATAAAGCAAGATGGAAGTGAGAAATACTATGTGGACTCTTTGAAGGGCCGATTCACCATCTCCAGAGACAACGCCAAGAACTCACTGTATCTGCAAATGAACAGCCTGAGAGCCGAGGACACGGCCGTATATTACTGTGCCAGAGGGGTGGATGAGTATAACACCTCCTTCTTCTACTACTACTACATGGACGTCTGGGGCAAAGGGACCACGGTCACCGTCTCCTCA</t>
  </si>
  <si>
    <t>GAAATAGTGATGACGCAGTCTCCAGCCACCCTGTCTGTGTCTCCAGGGGAAAGAGCCACCCTCTCCTGCAGGGCCAGTCAGAGTGTTAGCAGCGACTTAGCCTGGTACCAGCAGAAACGTGGCCAGGCTCCCAGGCTCCTCATCTATGGTACATCCACCAGGGCCACTGGTGTCCCAGCCAGGTTCAGTGGCAGTGGGTCTGGGACAGAGTTCACTCTCACCATCAGCAGCCTGCAGTTTGAAGATTTTGCAGTTTATTACTGTCAGCAGTATAATAACTGGCCTCCGCTCTCTTTCGGCGGAGGGACCAAGGTGGAGATCAAA</t>
  </si>
  <si>
    <t>CAGGTTCAGCTGGTGCAGTCTGGAGCTGAGGTGAAGAAGCCTGGGGCCTCAGTGAAGGTCTCCTGCAAGGCTTCTGGTTACACCTTTACCAGGTATGGTATCAATTGGGTGCGACAGGCCCCTGGACAAGGGCTTGAGTGGATGGGATGGATCAGCGCTTACAATGGTCACACAAGTTATGCACAGAAACTCCAGGGCAGAGTCACCATGACCACAGACACATCCACGAGCACAGCCTACATGGAGCTGAGTAGCCTGAGATCTGACGACACGGCCGTGTATTACTGTGCGAGAGACGCTGGTATGGTTAGACCATACTACTTTGACTACTGGGGCCAGGGAACCCTGGTCACCGTCTCCTCA</t>
  </si>
  <si>
    <t>GAAATTGTGTTGACGCAGTCTCCAGGCACCCTCTCTTTGTCTCCAGGGGAAAGAGCCACCCTCTCCTGCAGGGCCAGTCAGAGTGTTAGCAGCAGCTACTTAGCCTGGTGCCAGCAGAAACCTGGCCAGGCTCCCAGGCTCCTCATCTATGGTGCATCCAGCAGGGCCACTGGCATCCCAGACAGGTTCAGTGGCAGTGGGTCTGGGACAGACTTCACTCTCACCATCAGCAGACTGGAGCCTGAAGATTTTGCAGTGTATTACTGTCAGCAGTATGGTAGCTCACCTCGGACGTTCGGCCAAGGGACCAAGGTGGAAATCAAA</t>
  </si>
  <si>
    <t>GAGGTGCAGCTGGTGCAGTCTGGGGCTGAGGTGAAGAAGCCTGGGGCCTCAGTGAAGGTCTCCTGCAAGGCTTCTGGATACACCTTCACCGGCCAGTATATGCACTGGGTGCGACAGGCCCCTGGACAAGGGCTTGAGTGGATGGGATGGATCAACCCTAACAGTGGTGGCACAAACTATGCACAGAAGTTTCAGGGCAGGGTCACCATGACCAGGGACACGTCCATCAGCACAGCCTACATGGAGCTGAGCAGGCTGAGATCTGACGACACGGCCGTATATTACTGTGCGAGAGATTACGTACGATGGATGGCTACAATTGGGGATGCTTTTGATATCTGGGGCCAAGGGACAATGGTCACCGTCTCTTCA</t>
  </si>
  <si>
    <t>CAGTCTGCCCTGACTCAGCCTCCCTCCGCGTCCGGGTCTCCTGGACAGTCAGTCACCATCTCCTGCACTGGAACCAGCAGTGACGTTGGTGCTTATAACTATGTCTCCTGGTACCAACAGCACCCAGGCAAAGCCCCCAAACTCATGATTTATGAGGTCAGTAAGAGGCCCTCAGGGGTCCCTGATCGCTTCTCTGGCTCCAAGTCTGGCAACACGGCCTCCCTGACCGTCTCTGGGCTCCAGGCTGAGGATGAGGCTGATTATTACTGCAGCTCATATGCAGGCAGCAACAATTTCGATGTGGTATTCGGCGGAGGGACCAAGCTGACCGTCCTA</t>
  </si>
  <si>
    <t>GAGGTGCAGCTGGTGCAGTCTGGGGCTGAGGTGAAGAAGCCTGGGGCCTCAGTGAAGGTTTCCTGCAAGGCATCTGGATACACCTTCACCAGTTACTATATGCACTGGGTGCGACAGGCCCCTGGACAAGGGCTTGAGTGGATGGGAATAATCAACCCTAGTGGTGGTCGCACAAGCTACGCACAGAAGTTCCAGGTCAGAGTCACCATGACCAGGGACACGTCCACGAGCACAGTCTACATGGAGCTGAGCAGCCTGAGATCTGAGGACACGGCCGTGTATTACTGTGCGAGACATGATAGTAGTGGTTATGATGCTTTTGATATCTGGGGCCAAGGGACAATGGTCACCGTCTCTTCAG</t>
  </si>
  <si>
    <t>TCCTATGAGCTGACTCAGCCACCCTCGGTGTCAGTGTCCCCAGGACAGACGACCAGGATCACCTGCTCTGGAGATGCATTGCCAAAGCAATATGCTTATTGGTACCAGCAGAAGCCAGGCCAGGCCCCTGTGCTGGTGATATATAAAGACAGTGAGAGGCCCTCAGGGATCCCTGAGCGATTCTCTGGCTCCAGCTCAGGGACAACAGTCACGTTGACCATCAGTGGAGTCCAGGCAGAAGACGAGGCTGACTATTACTGTCAATCATCAGACAGCAGTGCTACTTATGTGGTATTCGGCGGAGGGACCAAGCTGACCGTCCTA</t>
  </si>
  <si>
    <t>GAGGTGCAGCTGTTGGAGTCTGGGGGAGGCTTGGTACAGCCTGGGGGGTCCCTGAGACTCTCCTGTGCTGCCTCTGGATTCACCTTTAACAGCTATGCCATGAACTGGGTCCGCCAGGCTCCAGGGAAGGGGCTGGAGTGGGTCTCAGCTATTAGTGGTAGTGGCGGTACCACATACTACACAGACTCCGTGAAGGGCCGGTTCACCATCTCCAGAGACAATTCCAACAACAGGCTGTATCTGCAAATGAACAGCCTGAGAGCCGAGGACACGGCCGTATATTACTGTGCGAAAGATTACGATTTTTGGAGTGGTTCCCGGCACTTTGACTACTGGGGCCAGGGAACCCTGGTCACCGTCTCCTCAG</t>
  </si>
  <si>
    <t>CAGTCTGTGCTGACT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</t>
  </si>
  <si>
    <t>GAAGTGCAGCTGGTGGAGTCTGGGGGAGGCTTGGTACAGCCTGGGGGGTCCCTGAGACTCTCCTGTGCAGCCTCTGGATTCACCTTTAGCAGCTATGTCATGAGCTGGGTCCGCCAGGCTCCAGGGAAGGGGCTGGAGTGGGTCTCAGGTATTATTGGTAATGGTGATGTCACATACTACGCAGACTCCGTGAAGGGCCGGTTCACCATCTCCAGAGACAATTCCAAGAACACGCTGTATCTGCAAATGAATAGCCTGAGAGCCGAGGACACGGCCGTATATTACTGTGCGAAAGATATAACAGTGGCTCGATTATACGGTATGGACGTCTGGGGCCAAGGGACCACGGTCACCGTCTCCTCA</t>
  </si>
  <si>
    <t>CAGTCTGTGCTGACGCAGCCACCCTCAGCGTCTGGGACCCCCGGGCAGAGGGTCACCATCTCTTGTTCTGGAAGCAGCTCCAATATCGGAAGTTATACTGTGAACTGGTACCAGCAGCTCCCAGGAACGGCCCCCAAACTCCTCATCTATAGGAATGATCAGCGGCCCTCAGGGGTCCCTGAAAGATTCTCTGGCTCCAAGTCTGGCACCTCAGCCTCCCTGGCCATCAGTGGGCTCCAGTCTGAGGATGAGGCTGATTATTACTGTGCAGCATGGGATGACAGCCTGACTGGTCGGGTGTTCGGCGGAGGGACCAAGCTGACCGTCCTA</t>
  </si>
  <si>
    <t>clonotype_id</t>
  </si>
  <si>
    <t>1_EBOV-5.1.5E07</t>
  </si>
  <si>
    <t>10_EBOV-808</t>
  </si>
  <si>
    <t>100_EBOV-570</t>
  </si>
  <si>
    <t>101_EBOV-576</t>
  </si>
  <si>
    <t>102_EBOV-581</t>
  </si>
  <si>
    <t>103_EBOV-597</t>
  </si>
  <si>
    <t>104_EBOV-713</t>
  </si>
  <si>
    <t>105_EBOV-714</t>
  </si>
  <si>
    <t>106_EBOV-ADI-15998</t>
  </si>
  <si>
    <t>107_EBOV-2.1.6B10</t>
  </si>
  <si>
    <t>108_EBOV-ADI-15751</t>
  </si>
  <si>
    <t>109_EBOV-842</t>
  </si>
  <si>
    <t>11_EBOV-811</t>
  </si>
  <si>
    <t>110_EBOV-VSV-3T0420</t>
  </si>
  <si>
    <t>111_EBOV-794</t>
  </si>
  <si>
    <t>112_EBOV-Rafi-5.6.c2903</t>
  </si>
  <si>
    <t>113_EBOV-2.1.1B06</t>
  </si>
  <si>
    <t>114_EBOV-5.1.7D11</t>
  </si>
  <si>
    <t>115_EBOV-5.1.7E01</t>
  </si>
  <si>
    <t>116_EBOV-5.1.7D01</t>
  </si>
  <si>
    <t>117_EBOV-NIG-463</t>
  </si>
  <si>
    <t>118_EBOV-658</t>
  </si>
  <si>
    <t>12_EBOV-825</t>
  </si>
  <si>
    <t>120_EBOV-731</t>
  </si>
  <si>
    <t>121_EBOV-739</t>
  </si>
  <si>
    <t>122_EBOV-745</t>
  </si>
  <si>
    <t>123_EBOV-Rafi-5.6.c2518</t>
  </si>
  <si>
    <t>124_EBOV-Rafi-5.6.c3567</t>
  </si>
  <si>
    <t>125_EBOV-5.1.5B08</t>
  </si>
  <si>
    <t>126_EBOV-617</t>
  </si>
  <si>
    <t>127_EBOV-VSV-3T0135</t>
  </si>
  <si>
    <t>128_EBOV-VSV-4T0770</t>
  </si>
  <si>
    <t>129_EBOV-863</t>
  </si>
  <si>
    <t>13_EBOV-837</t>
  </si>
  <si>
    <t>130_EBOV-557</t>
  </si>
  <si>
    <t>131_EBOV-Rafi-5.6.c3079</t>
  </si>
  <si>
    <t>132_EBOV-VSV-4T0764</t>
  </si>
  <si>
    <t>133_EBOV-VSV-5T0376</t>
  </si>
  <si>
    <t>134_EBOV-663</t>
  </si>
  <si>
    <t>135_EBOV-Rafi-5.6.c2887</t>
  </si>
  <si>
    <t>136_EBOV-636</t>
  </si>
  <si>
    <t>137_EBOV-Rafi-9.1.c1723</t>
  </si>
  <si>
    <t>138_EBOV-803</t>
  </si>
  <si>
    <t>139_EBOV-805</t>
  </si>
  <si>
    <t>14_EBOV-858</t>
  </si>
  <si>
    <t>140_EBOV-554</t>
  </si>
  <si>
    <t>143_EBOV-ADI-15743</t>
  </si>
  <si>
    <t>144_EBOV-ADI-15839</t>
  </si>
  <si>
    <t>145_EBOV-ADI-15977</t>
  </si>
  <si>
    <t>146_EBOV-ADI-16031</t>
  </si>
  <si>
    <t>147_EBOV-NEB-144</t>
  </si>
  <si>
    <t>149_EBOV-769</t>
  </si>
  <si>
    <t>15_EBOV-862</t>
  </si>
  <si>
    <t>150_EBOV-Rafi-5.6.c2685</t>
  </si>
  <si>
    <t>151_EBOV-623</t>
  </si>
  <si>
    <t>152_EBOV-626</t>
  </si>
  <si>
    <t>154_EBOV-679</t>
  </si>
  <si>
    <t>155_EBOV-722</t>
  </si>
  <si>
    <t>156_EBOV-736</t>
  </si>
  <si>
    <t>157_EBOV-759</t>
  </si>
  <si>
    <t>159_EBOV-774</t>
  </si>
  <si>
    <t>16_EBOV-562</t>
  </si>
  <si>
    <t>160_EBOV-Rafi-9.1.c1923</t>
  </si>
  <si>
    <t>161_EBOV-812</t>
  </si>
  <si>
    <t>162_EBOV-820</t>
  </si>
  <si>
    <t>163_EBOV-844</t>
  </si>
  <si>
    <t>164_EBOV-857</t>
  </si>
  <si>
    <t>165_EBOV-589</t>
  </si>
  <si>
    <t>166_EBOV-840</t>
  </si>
  <si>
    <t>167_EBOV-708</t>
  </si>
  <si>
    <t>168_EBOV-VSV-4T0444</t>
  </si>
  <si>
    <t>17_EBOV-577</t>
  </si>
  <si>
    <t>18_EBOV-585</t>
  </si>
  <si>
    <t>183_EBOV-798</t>
  </si>
  <si>
    <t>184_EBOV-719</t>
  </si>
  <si>
    <t>185_EBOV-752</t>
  </si>
  <si>
    <t>186_EBOV-764</t>
  </si>
  <si>
    <t>187_EBOV-Rafi-5.6.c2957</t>
  </si>
  <si>
    <t>188_EBOV-5.1.11D02</t>
  </si>
  <si>
    <t>189_EBOV-821</t>
  </si>
  <si>
    <t>19_EBOV-586</t>
  </si>
  <si>
    <t>190_EBOV-582</t>
  </si>
  <si>
    <t>191_EBOV-594</t>
  </si>
  <si>
    <t>192_EBOV-757</t>
  </si>
  <si>
    <t>193_EBOV-790</t>
  </si>
  <si>
    <t>194_EBOV-855</t>
  </si>
  <si>
    <t>195_EBOV-720</t>
  </si>
  <si>
    <t>196_EBOV-751</t>
  </si>
  <si>
    <t>197_EBOV-ADI-15932</t>
  </si>
  <si>
    <t>198_EBOV-569</t>
  </si>
  <si>
    <t>199_EBOV-599</t>
  </si>
  <si>
    <t>2_EBOV-792</t>
  </si>
  <si>
    <t>20_EBOV-591</t>
  </si>
  <si>
    <t>200_EBOV-835</t>
  </si>
  <si>
    <t>201_EBOV-Rafi-9.1.c1480</t>
  </si>
  <si>
    <t>202_EBOV-5.1.5A04</t>
  </si>
  <si>
    <t>203_EBOV-860</t>
  </si>
  <si>
    <t>204_EBOV-712</t>
  </si>
  <si>
    <t>205_EBOV-Rafi-5.6.c3034</t>
  </si>
  <si>
    <t>206_EBOV-852</t>
  </si>
  <si>
    <t>207_EBOV-TOWN-56-3-7A</t>
  </si>
  <si>
    <t>208_EBOV-753</t>
  </si>
  <si>
    <t>209_EBOV-788</t>
  </si>
  <si>
    <t>21_EBOV-596</t>
  </si>
  <si>
    <t>210_EBOV-709</t>
  </si>
  <si>
    <t>211_EBOV-ADI-15922</t>
  </si>
  <si>
    <t>212_EBOV-5.1.7D03</t>
  </si>
  <si>
    <t>213_EBOV-705</t>
  </si>
  <si>
    <t>214_EBOV-Rafi-5.6.c2643</t>
  </si>
  <si>
    <t>215_EBOV-831</t>
  </si>
  <si>
    <t>216_EBOV-725</t>
  </si>
  <si>
    <t>217_EBOV-ADI-15737</t>
  </si>
  <si>
    <t>218_EBOV-5.1.5E03</t>
  </si>
  <si>
    <t>219_EBOV-750</t>
  </si>
  <si>
    <t>22_EBOV-716</t>
  </si>
  <si>
    <t>220_EBOV-Rafi-5.1.8B07</t>
  </si>
  <si>
    <t>221_EBOV-5.6.3B12</t>
  </si>
  <si>
    <t>222_EBOV-853</t>
  </si>
  <si>
    <t>223_EBOV-Rafi-5.6.c3010</t>
  </si>
  <si>
    <t>224_EBOV-789</t>
  </si>
  <si>
    <t>225_EBOV-Rafi-5.6.c2934</t>
  </si>
  <si>
    <t>226_EBOV-Rafi-5.6.c3203</t>
  </si>
  <si>
    <t>227_EBOV-744</t>
  </si>
  <si>
    <t>228_EBOV-Rafi-5.6.c2630</t>
  </si>
  <si>
    <t>229_EBOV-Rafi-5.6.c2631</t>
  </si>
  <si>
    <t>23_EBOV-718</t>
  </si>
  <si>
    <t>230_EBOV-843</t>
  </si>
  <si>
    <t>231_EBOV-728</t>
  </si>
  <si>
    <t>232_EBOV-Rafi-5.6.c2732</t>
  </si>
  <si>
    <t>233_EBOV-749</t>
  </si>
  <si>
    <t>234_EBOV-Rafi-5.6.c2504</t>
  </si>
  <si>
    <t>235_EBOV-711</t>
  </si>
  <si>
    <t>236_EBOV-ADI-15804</t>
  </si>
  <si>
    <t>237_EBOV-730</t>
  </si>
  <si>
    <t>238_EBOV-Rafi-5.6.c2764</t>
  </si>
  <si>
    <t>239_EBOV-801</t>
  </si>
  <si>
    <t>24_EBOV-741</t>
  </si>
  <si>
    <t>240_EBOV-Rafi-5.6.c2449</t>
  </si>
  <si>
    <t>241_EBOV-583</t>
  </si>
  <si>
    <t>242_EBOV-VSV-3T0253</t>
  </si>
  <si>
    <t>243_EBOV-822</t>
  </si>
  <si>
    <t>244_EBOV-ADI-15936</t>
  </si>
  <si>
    <t>245_EBOV-5.1.13F11</t>
  </si>
  <si>
    <t>246_EBOV-574</t>
  </si>
  <si>
    <t>247_EBOV-710</t>
  </si>
  <si>
    <t>248_EBOV-TOWN-66-6-3</t>
  </si>
  <si>
    <t>249_EBOV-816</t>
  </si>
  <si>
    <t>25_EBOV-742</t>
  </si>
  <si>
    <t>250_EBOV-ADI-15811</t>
  </si>
  <si>
    <t>251_EBOV-5.1.5C07</t>
  </si>
  <si>
    <t>252_EBOV-717</t>
  </si>
  <si>
    <t>253_EBOV-806</t>
  </si>
  <si>
    <t>254_EBOV-Rafi-5.6.c3134</t>
  </si>
  <si>
    <t>255_EBOV-785</t>
  </si>
  <si>
    <t>256_EBOV-Rafi-5.6.c3955</t>
  </si>
  <si>
    <t>257_EBOV-2.1.1F04</t>
  </si>
  <si>
    <t>258_EBOV-851</t>
  </si>
  <si>
    <t>26_EBOV-777</t>
  </si>
  <si>
    <t>261_EBOV-763</t>
  </si>
  <si>
    <t>262_EBOV-Rafi-5.6.c3702</t>
  </si>
  <si>
    <t>263_EBOV-829</t>
  </si>
  <si>
    <t>264_EBOV-Rafi-5.6.c3956</t>
  </si>
  <si>
    <t>265_EBOV-715</t>
  </si>
  <si>
    <t>266_EBOV-Rafi-15.0.c846</t>
  </si>
  <si>
    <t>27_EBOV-ADI-15845</t>
  </si>
  <si>
    <t>271_EBOV-VSV-3T0135</t>
  </si>
  <si>
    <t>272_EBOV-VSV-4T0770</t>
  </si>
  <si>
    <t>273_EBOV-600</t>
  </si>
  <si>
    <t>274_EBOV-Rafi-5.6.c3276</t>
  </si>
  <si>
    <t>275_EBOV-823</t>
  </si>
  <si>
    <t>276_EBOV-ADI-15918</t>
  </si>
  <si>
    <t>277_EBOV-590</t>
  </si>
  <si>
    <t>278_EBOV-Rafi-5.6.c3123</t>
  </si>
  <si>
    <t>28_EBOV-ADI-15941</t>
  </si>
  <si>
    <t>281_EBOV-727</t>
  </si>
  <si>
    <t>282_EBOV-ADI-15944</t>
  </si>
  <si>
    <t>284_EBOV-Rafi-2.1.1D07</t>
  </si>
  <si>
    <t>289_EBOV-2.1.1B02</t>
  </si>
  <si>
    <t>29_EBOV-787</t>
  </si>
  <si>
    <t>290_EBOV-TOWN-66-3-9A</t>
  </si>
  <si>
    <t>291_EBOV-VSV-1T0130</t>
  </si>
  <si>
    <t>292_EBOV-799</t>
  </si>
  <si>
    <t>293_EBOV-828</t>
  </si>
  <si>
    <t>294_EBOV-Rafi-15.0.c946</t>
  </si>
  <si>
    <t>295_EBOV-Rafi-5.6.c2593</t>
  </si>
  <si>
    <t>296_EBOV-Rafi-5.6.c2915</t>
  </si>
  <si>
    <t>297_EBOV-Rafi-5.6.c2675</t>
  </si>
  <si>
    <t>298_EBOV-VSV-4T0159</t>
  </si>
  <si>
    <t>299_EBOV-VSV-4T0176</t>
  </si>
  <si>
    <t>3_EBOV-827</t>
  </si>
  <si>
    <t>30_EBOV-833</t>
  </si>
  <si>
    <t>300_EBOV-VSV-5T0378</t>
  </si>
  <si>
    <t>301_EBOV-VSV-5T0420</t>
  </si>
  <si>
    <t>302_EBOV-2.1.1B04</t>
  </si>
  <si>
    <t>303_EBOV-2.1.1D07</t>
  </si>
  <si>
    <t>304_EBOV-5.1.7H11</t>
  </si>
  <si>
    <t>305_EBOV-809</t>
  </si>
  <si>
    <t>306_EBOV-814</t>
  </si>
  <si>
    <t>307_EBOV-826</t>
  </si>
  <si>
    <t>308_EBOV-834</t>
  </si>
  <si>
    <t>309_EBOV-856</t>
  </si>
  <si>
    <t>31_EBOV-567</t>
  </si>
  <si>
    <t>310_EBOV-568</t>
  </si>
  <si>
    <t>311_EBOV-598</t>
  </si>
  <si>
    <t>312_EBOV-5.1.9E03</t>
  </si>
  <si>
    <t>313_EBOV-721</t>
  </si>
  <si>
    <t>314_EBOV-2.1.6F02</t>
  </si>
  <si>
    <t>315_EBOV-815</t>
  </si>
  <si>
    <t>316_EBOV-847</t>
  </si>
  <si>
    <t>317_EBOV-849</t>
  </si>
  <si>
    <t>318_EBOV-VSV-4T0429</t>
  </si>
  <si>
    <t>319_EBOV-2.1.1H02</t>
  </si>
  <si>
    <t>32_EBOV-593</t>
  </si>
  <si>
    <t>320_EBOV-5.1.6D01</t>
  </si>
  <si>
    <t>321_EBOV-555</t>
  </si>
  <si>
    <t>322_EBOV-859</t>
  </si>
  <si>
    <t>323_EBOV-743</t>
  </si>
  <si>
    <t>324_EBOV-Rafi-9.1.c1965</t>
  </si>
  <si>
    <t>325_EBOV-5.1.5E08</t>
  </si>
  <si>
    <t>326_EBOV-9.6.3E02</t>
  </si>
  <si>
    <t>327_EBOV-836</t>
  </si>
  <si>
    <t>328_EBOV-ADI-16059</t>
  </si>
  <si>
    <t>329_EBOV-VSV-4T0657</t>
  </si>
  <si>
    <t>33_EBOV-556</t>
  </si>
  <si>
    <t>330_EBOV-VSV-5T0257</t>
  </si>
  <si>
    <t>34_EBOV-707</t>
  </si>
  <si>
    <t>35_EBOV-726</t>
  </si>
  <si>
    <t>36_EBOV-755</t>
  </si>
  <si>
    <t>37_EBOV-ADI-16056</t>
  </si>
  <si>
    <t>38_EBOV-791</t>
  </si>
  <si>
    <t>39_EBOV-813</t>
  </si>
  <si>
    <t>4_EBOV-848</t>
  </si>
  <si>
    <t>40_EBOV-830</t>
  </si>
  <si>
    <t>41_EBOV-832</t>
  </si>
  <si>
    <t>42_EBOV-575</t>
  </si>
  <si>
    <t>43_EBOV-588</t>
  </si>
  <si>
    <t>44_EBOV-592</t>
  </si>
  <si>
    <t>45_EBOV-756</t>
  </si>
  <si>
    <t>46_EBOV-771</t>
  </si>
  <si>
    <t>47_EBOV-VSV-5T0465</t>
  </si>
  <si>
    <t>48_EBOV-802</t>
  </si>
  <si>
    <t>49_EBOV-587</t>
  </si>
  <si>
    <t>5_EBOV-595</t>
  </si>
  <si>
    <t>50_EBOV-729</t>
  </si>
  <si>
    <t>51_EBOV-747</t>
  </si>
  <si>
    <t>52_EBOV-733</t>
  </si>
  <si>
    <t>53_EBOV-VSV-4T0284</t>
  </si>
  <si>
    <t>54_EBOV-564</t>
  </si>
  <si>
    <t>55_EBOV-571</t>
  </si>
  <si>
    <t>56_EBOV-584</t>
  </si>
  <si>
    <t>57_EBOV-797</t>
  </si>
  <si>
    <t>58_EBOV-Rafi-9.1.c1475</t>
  </si>
  <si>
    <t>59_EBOV-784</t>
  </si>
  <si>
    <t>6_EBOV-754</t>
  </si>
  <si>
    <t>60_EBOV-563</t>
  </si>
  <si>
    <t>61_EBOV-579</t>
  </si>
  <si>
    <t>62_EBOV-758</t>
  </si>
  <si>
    <t>63_EBOV-ADI-16029</t>
  </si>
  <si>
    <t>66_EBOV-5.1.6D09</t>
  </si>
  <si>
    <t>67_EBOV-838</t>
  </si>
  <si>
    <t>68_EBOV-850</t>
  </si>
  <si>
    <t>69_EBOV-578</t>
  </si>
  <si>
    <t>7_EBOV-693</t>
  </si>
  <si>
    <t>70_EBOV-778</t>
  </si>
  <si>
    <t>71_EBOV-5.6.1A02</t>
  </si>
  <si>
    <t>72_EBOV-786</t>
  </si>
  <si>
    <t>73_EBOV-704</t>
  </si>
  <si>
    <t>74_EBOV-793</t>
  </si>
  <si>
    <t>75_EBOV-573</t>
  </si>
  <si>
    <t>76_EBOV-773</t>
  </si>
  <si>
    <t>77_EBOV-Rafi-5.6.c2701</t>
  </si>
  <si>
    <t>78_EBOV-Rafi-5.6.c2801</t>
  </si>
  <si>
    <t>79_EBOV-800</t>
  </si>
  <si>
    <t>8_EBOV-702</t>
  </si>
  <si>
    <t>80_EBOV-817</t>
  </si>
  <si>
    <t>81_EBOV-Rafi-5.6.c2788</t>
  </si>
  <si>
    <t>82_EBOV-854</t>
  </si>
  <si>
    <t>83_EBOV-ADI-15958</t>
  </si>
  <si>
    <t>84_EBOV-NEB-427</t>
  </si>
  <si>
    <t>85_EBOV-5.1.1G07</t>
  </si>
  <si>
    <t>86_EBOV-762</t>
  </si>
  <si>
    <t>87_EBOV-796</t>
  </si>
  <si>
    <t>88_EBOV-810</t>
  </si>
  <si>
    <t>89_EBOV-818</t>
  </si>
  <si>
    <t>9_EBOV-TOWN-66-6-20</t>
  </si>
  <si>
    <t>90_EBOV-819</t>
  </si>
  <si>
    <t>91_EBOV-824</t>
  </si>
  <si>
    <t>92_EBOV-845</t>
  </si>
  <si>
    <t>93_EBOV-861</t>
  </si>
  <si>
    <t>94_EBOV-566</t>
  </si>
  <si>
    <t>95_EBOV-VSV-4T0726</t>
  </si>
  <si>
    <t>96_EBOV-807</t>
  </si>
  <si>
    <t>97_EBOV-839</t>
  </si>
  <si>
    <t>98_EBOV-846</t>
  </si>
  <si>
    <t>99_EBOV-561</t>
  </si>
  <si>
    <t>heavy_v_gene</t>
  </si>
  <si>
    <t>heavy_j_gene</t>
  </si>
  <si>
    <t>heavy_cdr3_(aa)</t>
  </si>
  <si>
    <t>heavy_cdr3_aa_length</t>
  </si>
  <si>
    <t>heavy_percent_id</t>
  </si>
  <si>
    <t>heavy_mutations</t>
  </si>
  <si>
    <t>heavy_d_gene</t>
  </si>
  <si>
    <t>heavy_cdr3_(dna)</t>
  </si>
  <si>
    <t>heavy_nt_trimmed</t>
  </si>
  <si>
    <t>heavy_nt</t>
  </si>
  <si>
    <t>heavy_aa</t>
  </si>
  <si>
    <t>IGHV1-69</t>
  </si>
  <si>
    <t>IGHJ4</t>
  </si>
  <si>
    <t>N/A</t>
  </si>
  <si>
    <t>ARDLGTPSDY</t>
  </si>
  <si>
    <t>IGHD1-1</t>
  </si>
  <si>
    <t>GCGAGAGATCTGGGTACACCTTCTGACTAC</t>
  </si>
  <si>
    <t>GGGGCTGAGGTGAGGAAGCCTGGGTCCTCGGTGAAGGTCTCCTGCAAGGCTTCTGGAGGCACCTTCAGCACCTATGCTATCAGCTGGGTGCGACAGGCCCCTGGACAAGGGCTTGAGTGGATGGGAAGGATCATCCCTATGCTTGGTAAACCTAACTACGCACAGAAGTTCCAGGGCAGAGTCACGATTACCGCGGACAAATCCACGACCACAGCCTACATGGAGCTGAGCAGCCTGAGATCTGAGGACACGGCCGTATATTACTGTGCGAGAGATCTGGGTACACCTTCTGACTACTGGGGCCAGGGAACCCTGGTCACCGTCTCCTCAG</t>
  </si>
  <si>
    <t>GAEVRKPGSSVKVSCKASGGTFSTYAISWVRQAPGQGLEWMGRIIPMLGKPNYAQKFQGRVTITADKSTTTAYMELSSLRSEDTAVYYCARDLGTPSDYWGQGTLVTVSS</t>
  </si>
  <si>
    <t>IGHV1-2</t>
  </si>
  <si>
    <t>IGHJ5</t>
  </si>
  <si>
    <t>ARVNHYEYSGYFGWFDP</t>
  </si>
  <si>
    <t>IGHD3-22</t>
  </si>
  <si>
    <t>GCGAGAGTCAATCACTATGAATATAGTGGTTATTTCGGCTGGTTCGACCCC</t>
  </si>
  <si>
    <t>CAGGTTCAACTGGTGCAGTCTGGGGCTGAGGTGAAAAAGCCTGGGGCCTCAGTGAAGGTCTCCTGCAAGGCTTCTGGATATAGATTCATCGGCTACTATATACACTGGGTTCGACAGGCCCCTGGACAAGGACTTGAGTGGATGGGATGGATGAACCCTAATAGTGGTGGCACAGACTATGCACAGAATTTTCAGGGCAGGGTCTCCATGACCAGGGACACGTCCATCAGCACAGCCTACATGGAGCTGAGCAGGCTGAGATCTGACGACACGGCCGTCTATTACTGTGCGAGAGTCAATCACTATGAATATAGTGGTTATTTCGGCTGGTTCGACCCCTGGGGCCAGGGAACCCTGGTCACCGTCTCCTCAG</t>
  </si>
  <si>
    <t>QVQLVQSGAEVKKPGASVKVSCKASGYRFIGYYIHWVRQAPGQGLEWMGWMNPNSGGTDYAQNFQGRVSMTRDTSISTAYMELSRLRSDDTAVYYCARVNHYEYSGYFGWFDPWGQGTLV</t>
  </si>
  <si>
    <t>IGHV3-21</t>
  </si>
  <si>
    <t>IGHJ6</t>
  </si>
  <si>
    <t>ARVLLVGAYYYGMDV</t>
  </si>
  <si>
    <t>IGHD1-26</t>
  </si>
  <si>
    <t>GCGAGAGTACTCTTAGTGGGAGCCTACTACTACGGTATGGACGTC</t>
  </si>
  <si>
    <t>EFQLVESGGGLVKPGGSLRLSCAASGFTFSSYRMTWVRQAPGKGLEWVSSISGSSTYIYYSDSVKGRFTISRDNAESSLYLQLNSLRAEDTAVYYCARVLLVGAYYYGMDVWGQGTTVTV</t>
  </si>
  <si>
    <t>ARVLELGSYYYGMDV</t>
  </si>
  <si>
    <t>IGHD1-7</t>
  </si>
  <si>
    <t>GCGAGGGTACTGGAACTGGGCTCCTACTACTACGGTATGGACGTC</t>
  </si>
  <si>
    <t>EVQLVESGGGLVKPGGSLRLTCAASGFTFSSYRMNWVRQAPGKGLEWVSSISSSSSYIYYADSVKGRFTISRDNAKNSLYLQMNSLRAEDTAVYYCARVLELGSYYYGMDVWGQGTTVTV</t>
  </si>
  <si>
    <t>ARVLELGHYYYGMDV</t>
  </si>
  <si>
    <t>GCGCGGGTACTGGAACTGGGCCACTACTACTACGGTATGGACGTC</t>
  </si>
  <si>
    <t>EVQLVESGGGLVKPGGSLRLSCAASGFTFSTYSMNWVRQAPGKGLEWVSSISSSSTYIYYADSVKGRFTISRDNAKNSLSLQMNSLRAEDTAVYYCARVLELGHYYYGMDVWGQGTTVTV</t>
  </si>
  <si>
    <t>ARVLEMGSYYYGLDV</t>
  </si>
  <si>
    <t>GCGCGGGTACTGGAAATGGGCTCCTACTACTACGGTTTGGACGTC</t>
  </si>
  <si>
    <t>EGQLVESGGGLVKPGGSLRLTCTASGFTFSNFRIHWVRQAPGKGLEWVSSISPSSRYIYYGDSMKGRFTISRDNAKNSVYLQMNSLRVEDTAVYYCARVLEMGSYYYGLDVWGQGTTVTV</t>
  </si>
  <si>
    <t>EVQLVESGGGLVKPGGSLRLTCAASGFTFSNYRMKWVRQAPGKGLEWVSSISSSSSYIYYADSVKGRFTISRDNAKNSLYLQMNSLRAEDTAVYYCARVLELGSYYYGMDVWGQGTTVTV</t>
  </si>
  <si>
    <t>ARELVFGSNYYGMDV</t>
  </si>
  <si>
    <t>IGHD3-10</t>
  </si>
  <si>
    <t>GCGCGAGAACTAGTCTTTGGTTCAAACTACTACGGTATGGACGTC</t>
  </si>
  <si>
    <t>EVQLVESGGGLVKPGGSLRLSCAASGFTFSSYRMNWVRQAPGKGLEWVSSISSSSTYIYYADSVKGRFTISRDNAKNSLYLQMHSLRAEDTAVYYCARELVFGSNYYGMDVWGQGTTVTV</t>
  </si>
  <si>
    <t>ATQLVVGGYYYGMDV</t>
  </si>
  <si>
    <t>IGHD2-2</t>
  </si>
  <si>
    <t>GCGACACAGCTTGTAGTAGGAGGATATTACTATGGTATGGACGTC</t>
  </si>
  <si>
    <t>EVQLVESGGGLVKPGGSLRLSCAASGFTFSNYRMNWVRQAPGKGLEWVSSISSSSSYIYYADSVKGRFTISRDNAKNSLYLQMNSLRAEDTAVYYCATQLVVGGYYYGMDVWGQGTTVTV</t>
  </si>
  <si>
    <t>IGHV3-23</t>
  </si>
  <si>
    <t>AKGNDFWSGYPED</t>
  </si>
  <si>
    <t>IGHD3-3</t>
  </si>
  <si>
    <t>GCGAAAGGCAACGATTTTTGGAGTGGTTATCCCGAAGAC</t>
  </si>
  <si>
    <t>GGGGGAGGCTTGGTACAGCCTGGGGGGTCCCTGAGACTCTCCTGTGCAGCCTCTGGATTCACCTTTAGCAGCTATGCCATGAGCTGGGTCCGCCAGGCTCCAGGGAAGGGGCTGGAGTGGGTCTCAGGTATTACTGGTAGTGGTGGTACCACATACTACGCAGACTCCGTGAAGGGCCGGTTCACCATCTCCAGAGACAGTTCCAAGAACACACTGTATCTCCAAATGAACAGCTTGAGAGCCGAGGACACGGCCGTATATTACTGTGCGAAAGGCAACGATTTTTGGAGTGGTTATCCCGAAGACTGGGGCCAGGGACCCCTGGTCACCGTCTCCTCAG</t>
  </si>
  <si>
    <t>GGGLVQPGGSLRLSCAASGFTFSSYAMSWVRQAPGKGLEWVSGITGSGGTTYYADSVKGRFTISRDSSKNTLYLQMNSLRAEDTAVYYCAKGNDFWSGYPEDWGQGPLVTVSS</t>
  </si>
  <si>
    <t>AKGYDFWSAYPDY</t>
  </si>
  <si>
    <t>GCGAAAGGTTACGATTTTTGGAGTGCTTATCCGGACTAC</t>
  </si>
  <si>
    <t>QVQLQESGGGLVQPGGSLRLSCAASGFTFSSYAMSWVRQAPGKGLEWVSGITGSGGTPYYADSVKGRFTISRDNSRNTLYLQMNSLRAEDTAVYYCAKGYDFWSAYPDYWGQGTLVTVSS</t>
  </si>
  <si>
    <t>AKDPRVAAAGTIYFDY</t>
  </si>
  <si>
    <t>IGHD6-13</t>
  </si>
  <si>
    <t>GCGAAAGACCCAAGGGTAGCAGCAGCTGGTACGATCTACTTTGACTAC</t>
  </si>
  <si>
    <t>EVQLLESGGGLVQPGGSLRLSCAASGFTFSIYVMSWVRQAPGKGLEWVSAFNSSSGSTYYADSVKGRFTISRDNSKNTLYLQMNSLRVEDTAVYYCAKDPRVAAAGTIYFDYWGQGTLVT</t>
  </si>
  <si>
    <t>ARVNFYEYSGYYGWFDP</t>
  </si>
  <si>
    <t>GCGAGAGTAAATTTCTATGAATACAGTGGTTATTACGGCTGGTTCGACCCC</t>
  </si>
  <si>
    <t>CAGGTGCAACTGGTGCAGTCTGGGGCTGAGGTGAAAAAGCCTGGGGCCTCAGTGAAGGTCTCCTGCAAGGCTTCTGGATACAGATTCATCGGCTACTATATGCACTGGGTGCGCCAGGCCCCTGGGCAAGGGCTTGAGTGGATGGGATGGATCAACCCTAACAGTGGTGGCACAGACTATGCACAGAAATTTCAGGGCAGGGTCACCTTGACCAGGGACACGTCCATCAGTACAGCCTACATGGAGCTGACCAGGCTGAGATATGACGACACGGCCGTCTACTACTGTGCGAGAGTAAATTTCTATGAATACAGTGGTTATTACGGCTGGTTCGACCCCTGGGGCCAGGGAACCCTGGTCACCGTCTCCTCAG</t>
  </si>
  <si>
    <t>QVQLVQSGAEVKKPGASVKVSCKASGYRFIGYYMHWVRQAPGQGLEWMGWINPNSGGTDYAQKFQGRVTLTRDTSISTAYMELTRLRYDDTAVYYCARVNFYEYSGYYGWFDPWGQGTLV</t>
  </si>
  <si>
    <t>ARDPRVATTGTVYFDS</t>
  </si>
  <si>
    <t>IGHD3-9</t>
  </si>
  <si>
    <t>GCGAGAGATCCTCGTGTTGCAACGACTGGTACTGTGTACTTTGACTCC</t>
  </si>
  <si>
    <t>EVQLLESGGHLIQPGGSLRLSCTASKVNFTTYAMSWVRQAPGKGLEWVSSISGSGLITWYVDSVKGRFAISRDNSKNTVYLQMNSLRAEDTAEYYCARDPRVATTGTVYFDSWGQGALVT</t>
  </si>
  <si>
    <t>AKVDTSIVWRWFDP</t>
  </si>
  <si>
    <t>IGHD5-18</t>
  </si>
  <si>
    <t>GCGAAAGTGGATACATCTATTGTTTGGCGCTGGTTCGACCCC</t>
  </si>
  <si>
    <t>GAAGAGCAGCTGTTGGAGTCTGGGGGAAACTTGGTGCAGCCGGGGGGGTCCCTGAGACTCTCCTGTGTAGCCTCTGGATTCACCTTTGGAGACCATGCCATGACCTGGGTCCGCCAGGCTCCAGGGAAGGGGCTGGAGTGGGTCTCAGTTATTGGTGAAAGTGGCGGTCACACGTATTACGCAGACTCCGTGAAGGGCCGGTTCACCATCTCCAGAGACAATTCCAAGAACACACTATATCTGCAAATGAACAGCCTGAGAACCGAGGACACAGCCGTTTACTACTGTGCGAAAGTGGATACATCTATTGTTTGGCGCTGGTTCGACCCCTGGGGCCAGGGAACCCGGGTCATCGTCTCCTCAG</t>
  </si>
  <si>
    <t>EEQLLESGGNLVQPGGSLRLSCVASGFTFGDHAMTWVRQAPGKGLEWVSVIGESGGHTYYADSVKGRFTISRDNSKNTLYLQMNSLRTEDTAVYYCAKVDTSIVWRWFDPWGQGTRVIVS</t>
  </si>
  <si>
    <t>ARVDTSIVYRWFDP</t>
  </si>
  <si>
    <t>GCGAGAGTGGATACATCTATTGTTTATAGGTGGTTCGACCCC</t>
  </si>
  <si>
    <t>EVQLLESGGGLVQPGGSLRLSCAASGFTFSDYAMTWVRQAPGKGLEWVSAITDSGGSTYYADSVKGRFTISRDNSKNMLYLQMNSLRAEDTAVYYCARVDTSIVYRWFDPWGQGTLVTVS</t>
  </si>
  <si>
    <t>IGHV3-30</t>
  </si>
  <si>
    <t>AKDLPRYDDFWSGYCDY</t>
  </si>
  <si>
    <t>GCGAAAGATCTCCCCAGATATGACGATTTTTGGAGTGGTTACTGTGACTAC</t>
  </si>
  <si>
    <t>GGGGGAGGCGTGGTCCAGCCTGGGAGGTCCCTGAGACTCTCCTGTGCAGCCTCTGGATTCACCTTCAGTAACTATGTCATGCACTGGGTCCGCCAGGCTCCAGGCAAGGGGCTGGAGTGGGTGGCAGTTATATCATATGATGGAAGTAATAAATACTATGCAGACTCCGTGAAGGGCCGATTCACCATCTCCAGAGACAATTCCAAGAACACGCTGTATCTGCAAATGAACAGCCTGAGAGCTGAGGACACGGCTGTGTATTACTGTGCGAAAGATCTCCCCAGATATGACGATTTTTGGAGTGGTTACTGTGACTACTGGGGCCAGGGAACCCTGGTCACCGTCTCCTCAG</t>
  </si>
  <si>
    <t>GGGVVQPGRSLRLSCAASGFTFSNYVMHWVRQAPGKGLEWVAVISYDGSNKYYADSVKGRFTISRDNSKNTLYLQMNSLRAEDTAVYYCAKDLPRYDDFWSGYCDYWGQGTLVTVSS</t>
  </si>
  <si>
    <t>AKDLASYYDFWIGYFDY</t>
  </si>
  <si>
    <t>GCGAAAGATCTTGCCTCGTATTACGATTTTTGGATTGGTTATTTTGACTAC</t>
  </si>
  <si>
    <t>GGGGGAGGCGTGGTCCAGCCTGGGAGGTCCCTGAGACTCTCCTGTGCAGCCTCTGGATTCACCTTCAGTAGCTTTGGCATGCACTGGGTCCGCCAGGCTCCAGGCAAGGGGCTGGAGTGGGTGGCAGTTATATCAGCTGATGGAAGTGATAAATACTATGCAGACTCCGTGAAGGGCCGATTCACCATCTCCAGAGACAATTCCAAGAACACGCTGTATCTGCAGATGAACAGCCTGAGAGCTGAGGACACGGCTGTGTATTACTGTGCGAAAGATCTTGCCTCGTATTACGATTTTTGGATTGGTTATTTTGACTACTGGGGCCAGGGAACCCTGGTCACCGTCTCCTCAG</t>
  </si>
  <si>
    <t>GGGVVQPGRSLRLSCAASGFTFSSFGMHWVRQAPGKGLEWVAVISADGSDKYYADSVKGRFTISRDNSKNTLYLQMNSLRAEDTAVYYCAKDLASYYDFWIGYFDYWGQGTLVTVSS</t>
  </si>
  <si>
    <t>AKDRPLYNDFWSGYYDD</t>
  </si>
  <si>
    <t>GCGAAAGATAGGCCCTTGTATAACGATTTTTGGAGTGGTTATTACGACGAC</t>
  </si>
  <si>
    <t>GGGGGAGGCGTGGTCCAGCCTGGGAGGTCCCTGAGACTCTCCTGTGCAGCCTCTGGATTCACCTTCAGTAACTATGGCATGCACTGGGTCCGCCAGGCTCCAGGCAAGGGGCTGGAGTGGGTGGCAGTGATATCATATGATGGAAGTAATAAATACTATGCAGACTCCGTGAAGGGCCGATTCACCATCTCCAGAGACAATTCCAAGAACACGCTGTATCTGCAAATGAACAGCCTGAGAGCTGAGGACACGGCTGTGTATTACTGTGCGAAAGATAGGCCCTTGTATAACGATTTTTGGAGTGGTTATTACGACGACTGGGGCCAGGGAACCCTGGTCACCGTCTCCTCAG</t>
  </si>
  <si>
    <t>GGGVVQPGRSLRLSCAASGFTFSNYGMHWVRQAPGKGLEWVAVISYDGSNKYYADSVKGRFTISRDNSKNTLYLQMNSLRAEDTAVYYCAKDRPLYNDFWSGYYDDWGQGTLVTVSS</t>
  </si>
  <si>
    <t>IGHV3-33</t>
  </si>
  <si>
    <t>ARESDASDILTGYLDY</t>
  </si>
  <si>
    <t>GCGAGGGAGTCCGATGCCTCCGATATTTTGACTGGTTATCTTGACTAC</t>
  </si>
  <si>
    <t>GGGGGAGACGTGGTCCAGCCTGGGAGGTCCCTGAGACTCTCCTGTGCAGCGTCTGGATTCACCTTCAGTAGGAATGGCATGCACTGGGTCCGCCAGGCTCCAGGCAAGGGGCTGGAGTGGGTGGCACTTATATGGTATGATGGAAGTAATAAATACTATGCAGACTCCGTGAAGGGCCGATTCACCATCTCCAGAGACAATTCCAGGAACACGCTGTATCTGCAAATGAACAGCCTGAGAGCCGAGGACACGGCTGTGTATTACTGTGCGAGGGAGTCCGATGCCTCCGATATTTTGACTGGTTATCTTGACTACTGGGGCCAGGGAACCCTGGTCACCGTCTCCTCAG</t>
  </si>
  <si>
    <t>GGDVVQPGRSLRLSCAASGFTFSRNGMHWVRQAPGKGLEWVALIWYDGSNKYYADSVKGRFTISRDNSRNTLYLQMNSLRAEDTAVYYCARESDASDILTGYLDYWGQGTLVTVSS</t>
  </si>
  <si>
    <t>ARDMLISDILTGYYDY</t>
  </si>
  <si>
    <t>GCGAGAGATATGCTTATATCCGATATTTTGACTGGATATTACGACTAC</t>
  </si>
  <si>
    <t>QVQLVESGGGVVQPGKSLRLSCAASGFTLNNYVMHWVRQAPGKGLEWVALIWDDKSNKYYADSVKGRFTISRDNSKNTLYLQMNSLRAEDTAVYYCARDMLISDILTGYYDYWGQGTLVT</t>
  </si>
  <si>
    <t>IGHV3-43</t>
  </si>
  <si>
    <t>AKDIQGGSFWRGYISL</t>
  </si>
  <si>
    <t>GCAAAAGATATCCAGGGGGGCAGTTTTTGGCGTGGTTATATATCCTTG</t>
  </si>
  <si>
    <t>EVQLVESGGVVVQPGGSLRLSCAASGFTFDDYTMYWVRQAPGKGLEWVSLINWDGGSAYYAGSVKGRFTISRDNSKNSLYLQMNSLRIEDTALYYCAKDIQGGSFWRGYISLWGQGTLVT</t>
  </si>
  <si>
    <t>ARVNKDDYSGYFGWFDP</t>
  </si>
  <si>
    <t>GCGAGAGTAAATAAGGATGATTATAGTGGGTATTTCGGCTGGTTTGACCCC</t>
  </si>
  <si>
    <t>QVQLVQSGAEVKKPGASVRVSCKASGYRFIAYYMHWVRQAPGQGPEWMGWINPNSGATEYAQKFQGRVTMTRDPSISTAYMELTNLRSDDTAIYYCARVNKDDYSGYFGWFDPWGQGTPV</t>
  </si>
  <si>
    <t>ARAINHDYSGYFGWFDS</t>
  </si>
  <si>
    <t>IGHD4-23</t>
  </si>
  <si>
    <t>GCGCGAGCAATTAATCATGATTACAGTGGTTACTTCGGCTGGTTCGACTCC</t>
  </si>
  <si>
    <t>CAGGTGCAGTTGGTGCAGTCTGGGGCTGAGGTGAAAAAGCCTGGGGCCTCAGTAAAGGTCTCCTGCAAGGCTTCTGGATACAAATTCATCGGCTACTATATGCATTGGGTGCGGCAGGCCCCTGGACAAGGGCTTGAATGGATGGGAAGGATCAACCCTAACAGTGGTGCCGCAGACTATGCAGGGAAGTTTCAGGGCAGGGTCACCATGACCAGGGACCCGTACATCAGCACAGCCCACATGGAGCTGAGTAGGCTGCGAACTGACGACACGGCCCTTTATTATTGTGCGCGAGCAATTAATCATGATTACAGTGGTTACTTCGGCTGGTTCGACTCCTGGGGCCAGGGAACCCTGCTTCTCGTCTCTTCAG</t>
  </si>
  <si>
    <t>QVQLVQSGAEVKKPGASVKVSCKASGYKFIGYYMHWVRQAPGQGLEWMGRINPNSGAADYAGKFQGRVTMTRDPYISTAHMELSRLRTDDTALYYCARAINHDYSGYFGWFDSWGQGTLL</t>
  </si>
  <si>
    <t>ARDIQGGAFWRGSPSL</t>
  </si>
  <si>
    <t>GCAAGAGATATTCAGGGGGGCGCTTTTTGGCGTGGTTCTCCATCCTTG</t>
  </si>
  <si>
    <t>EVQLVESGGAVVQPGGSLRLSCAASGFTFDDYTMYWVRQGPGKGLEWVSLINWDGGSKYYADSVKGRFTVSRDNSRNSLYLQMNSLRIEDTAFYYCARDIQGGAFWRGSPSLWGQGTLVT</t>
  </si>
  <si>
    <t>AKDIQGGAFWRGSPSL</t>
  </si>
  <si>
    <t>GCAAAAGATATCCAGGGGGGCGCTTTTTGGCGTGGTTCTCCATCCTTG</t>
  </si>
  <si>
    <t>EEQLVESGGVVVQPGGSLRLSCAASGFTFDDYSMYWVRQPPGKGLEWVSLINWDGGSAYYADSVKGRFTISRDNSENSLYLQMNSLRIEDTALYFCAKDIQGGAFWRGSPSLWGQGTLVT</t>
  </si>
  <si>
    <t>AKDNLGGAFWSAYLDS</t>
  </si>
  <si>
    <t>GCAAAAGATAACCTAGGCGGCGCTTTTTGGAGTGCTTATCTTGACTCC</t>
  </si>
  <si>
    <t>EVQLVESGGVVVQPGGSLRLSCAASGFIFDDYTMHWVRQAPGKGLEWVSLISWDGENTYYGDSVKGRFTISRDNSKNSLYLQMNSLTTEDTAMYYCAKDNLGGAFWSAYLDSWGQGTLVT</t>
  </si>
  <si>
    <t>ARDLHNYAFWSGYPDY</t>
  </si>
  <si>
    <t>GCAAGAGATCTCCACAATTACGCTTTTTGGAGTGGTTATCCCGACTAC</t>
  </si>
  <si>
    <t>EVQLVESGGGVVQPGGSLKLSCAASGFTFDDHAMHWVRQAPGKGPEWVSLISWDGANSYYANSVRGRFTVSRDNSKNSLFLQMNSLRTEDTALYYCARDLHNYAFWSGYPDYWGRGTLVT</t>
  </si>
  <si>
    <t>ARDTAGGAFWSGYPDY</t>
  </si>
  <si>
    <t>GCAAGGGATACGGCCGGGGGCGCTTTTTGGAGCGGTTATCCAGACTAC</t>
  </si>
  <si>
    <t>EVQLVESGGVVVQPGGSLRLSCAASGFTFDDYTMHWVRQVPGKGPEWVSLITWDGAHTYYADSVKGRFTISRDNSKNSLYLQMNSLRTEDTALYFCARDTAGGAFWSGYPDYWGQGTLVT</t>
  </si>
  <si>
    <t>IGHV3-48</t>
  </si>
  <si>
    <t>ARASLWFGEHPAYYFDY</t>
  </si>
  <si>
    <t>GCGAGAGCCAGCTTATGGTTCGGGGAGCACCCGGCATACTACTTTGACTAC</t>
  </si>
  <si>
    <t>GGGGGAGGCTTGGTACAGCCTGGAGGGTCCCTGAGACTCTCCTGTGCAGTCTCTGGACTCACCTTCAGTAATTATGAAATGAACTGGGTCCGCCAGGCTCCAGGGAAGGGGCTGGAGTGGCTTTCATATATTAGTAGTAGTGGTGGTCTCGTATCCTACGCAGACTCTGTGAAGGGCCGATTCACCACCTCCAGAGACAACGCCAAGAATTCACTGTATCTGCAAATGAACAGCCTGAGAGCCGAGGACACGGCTGTTTATTACTGTGCGAGAGCCAGCTTATGGTTCGGGGAGCACCCGGCATACTACTTTGACTACTGGGGCCAGGGAACCCTGGTCACCGTCTCCTCAG</t>
  </si>
  <si>
    <t>GGGLVQPGGSLRLSCAVSGLTFSNYEMNWVRQAPGKGLEWLSYISSSGGLVSYADSVKGRFTTSRDNAKNSLYLQMNSLRAEDTAVYYCARASLWFGEHPAYYFDYWGQGTLVTVSS</t>
  </si>
  <si>
    <t>VRAMLWFGETPHYYFDN</t>
  </si>
  <si>
    <t>GTCAGAGCGATGCTATGGTTCGGGGAGACCCCTCACTACTACTTTGACAAC</t>
  </si>
  <si>
    <t>EVQLVESGGGLVQPGGSLRLSCKGSGFTFSSYEMNWVRQAPGKGLEWVSYITGTSSTMYYADSVKGRFTISRDNAKNSLYLQMNSLRAEDTAVYYCVRAMLWFGETPHYYFDNWGQGTLV</t>
  </si>
  <si>
    <t>IGHV3-74</t>
  </si>
  <si>
    <t>ARGGNYYLDY</t>
  </si>
  <si>
    <t>GCAAGAGGTGGGAACTACTATCTTGACTAC</t>
  </si>
  <si>
    <t>EVQLVESGGGLVQPGGSLRLSCAASGFTFSNSWIHWVRQAPGKGLVWLSRMNGDGRTINYADSVKGRFTISRDNAKNTLYLQMNSLRDEDTAVYYCARGGNYYLDYWGQGALVTVSS</t>
  </si>
  <si>
    <t>ARGGNYYNDY</t>
  </si>
  <si>
    <t>GCAAGAGGTGGAAATTATTACAATGACTAC</t>
  </si>
  <si>
    <t>EVQLVESGGGLVQPGGSLRLSCTVSGFTFSTSWIHWVRQAPGKGLVWVSRSSGNGRTTNYADSVKGRFTISRDNAKNTLYLQMSSLRVEDTAVYYCARGGNYYNDYWGQGTLVTVSS</t>
  </si>
  <si>
    <t>IGHV3-9</t>
  </si>
  <si>
    <t>AKDLAFEATGVDY</t>
  </si>
  <si>
    <t>GCAAAAGATCTGGCTTTTGAGGCGACTGGCGTTGACTAC</t>
  </si>
  <si>
    <t>GAAGTGCACCTGGTGGAGTCTGGGGGAGGGTTGGTCCAGCCTGGCAGGTCCCTGAGACTCTCCTGTGCAGCCTCTGGATTCAACTTTGATGATTTTGCCATGCACTGGGTCCGGCAAGCTCCAGGGAAGGGCCTGGAGTGGGTCTCAGGTATTAATTGGAATAGTGGTAGGATGGGCTATAGGGACTCTGTGAAGGGCCGATTCACCATCTCCAGAGACAACGCCAAGAATACCCTCTATCTGCAAATGAACAGTCTCAGACCAGAGGACACGGCCTTCTATTACTGTGCAAAAGATCTGGCTTTTGAGGCGACTGGCGTTGACTACTGGGGCCAGGGAACGCTGGTCACCGTCTCCCCAG</t>
  </si>
  <si>
    <t>EVHLVESGGGLVQPGRSLRLSCAASGFNFDDFAMHWVRQAPGKGLEWVSGINWNSGRMGYRDSVKGRFTISRDNAKNTLYLQMNSLRPEDTAFYYCAKDLAFEATGVDYWGQGTLVTVSP</t>
  </si>
  <si>
    <t>CAGGTGCAGCTAGTGCAGTCTGGGGCTGAAGTGAAAAAGCCTGGGGCCTCAGTGAGGGTCTCCTGCAAGGCTTCTGGATACAGGTTCATCGCCTACTATATGCACTGGGTGCGACAGGCCCCTGGACAAGGGCCTGAGTGGATGGGATGGATTAACCCTAACAGTGGTGCCACAGAGTATGCACAGAAGTTTCAGGGCAGGGTCACCATGACCCGGGACCCGTCCATCAGCACAGCCTACATGGAGCTGACCAATCTGAGATCTGACGACACGGCCATATATTACTGTGCGAGAGTAAATAAGGATGATTATAGTGGGTATTTCGGCTGGTTTGACCCCTGGGGCCAGGGGACCCCGGTCACCGTCTCCTCAG</t>
  </si>
  <si>
    <t>AKDIAFLVSGIDY</t>
  </si>
  <si>
    <t>IGHD1-14</t>
  </si>
  <si>
    <t>GCAAAAGATATAGCGTTCCTGGTAAGCGGAATTGACTAC</t>
  </si>
  <si>
    <t>EVQLVESGGGLVQPGRSLRLSCAASGFTFDDYAMHWVRQAPGKGLEWVSGISWNSGSIGYADSVKGRFTISRDNAKNSLYLQMNSLRVEDMALYYCAKDIAFLVSGIDYWGQGTLVTVSS</t>
  </si>
  <si>
    <t>AKDIAFAITGFDY</t>
  </si>
  <si>
    <t>IGHD1-20</t>
  </si>
  <si>
    <t>GCAAAGGATATTGCCTTTGCAATAACTGGCTTTGACTAC</t>
  </si>
  <si>
    <t>EVQLVESGGGLEQPGRSLRLSCAASGFKFDDYAMHWVRHVPGKGLEWVSGITWNSGSTVYADSVKGRFTISRDNAKNSLYLQMNSLRPEDTAFYYCAKDIAFAITGFDYWGQGTLVTVSS</t>
  </si>
  <si>
    <t>IGHV4-59</t>
  </si>
  <si>
    <t>ARGLLGSQDS</t>
  </si>
  <si>
    <t>GCGAGAGGATTACTCGGTAGTCAAGACTCC</t>
  </si>
  <si>
    <t>QVQLQESGPGLVEPSETLSLTCTVSGASISSLFWSWIRQPPGKGLEWIGYIHSDGSTNYNPFLKSRVTISIDTSQNQFSLRLTSVTAADTAVYFCARGLLGSQDSWGQGTLVTVSS</t>
  </si>
  <si>
    <t>ARGLLGPGDS</t>
  </si>
  <si>
    <t>IGHD2-21</t>
  </si>
  <si>
    <t>GCGAGAGGACTGTTAGGCCCCGGGGACTCC</t>
  </si>
  <si>
    <t>QVQLQESGPGLVKPSETLSLTCSVSGASISTLYWSWIRQPPGKGLEWIGYMHSSGTTNYNPSLESRVTMSIDTSRNQFSLKLTSVTAADTAVYYCARGLLGPGDSWGQGTLVTVSS</t>
  </si>
  <si>
    <t>ARTMVPLTEFYFYYYAMDV</t>
  </si>
  <si>
    <t>IGHD2-8</t>
  </si>
  <si>
    <t>GCGAGAACAATGGTCCCCCTTACCGAGTTTTACTTCTACTACTACGCCATGGACGTC</t>
  </si>
  <si>
    <t>QLRLQESGPGLVKPSETLSLTCTVSGGSISSHYWSWIRQPPGKGLEWIGFIYYSGSTSYNPSLSSRVTISLDTSKNQFSLNLSSVTAADTAVYFCARTMVPLTEFYFYYYAMDVWGQGTT</t>
  </si>
  <si>
    <t>ARVAVPSDNIYFYYYAMDV</t>
  </si>
  <si>
    <t>GCGAGAGTGGCAGTACCGAGTGATAACATTTATTTTTACTACTACGCCATGGATGTC</t>
  </si>
  <si>
    <t>QVQLQESGPGLVKPSETLSLTCTVSGGSISNYYWSWIRQPPGKGLEWIGFIYYSGGSNYNPSLKSRVTISLDTSKNQFSLKLSSVTAADTAVYYCARVAVPSDNIYFYYYAMDVWGQGTT</t>
  </si>
  <si>
    <t>AREVGYCSSTDCLYYYNYYMDV</t>
  </si>
  <si>
    <t>GCGAGAGAGGTAGGATATTGTAGTAGTACCGACTGCCTATACTACTACAACTACTACATGGACGTC</t>
  </si>
  <si>
    <t>QVQLQESGPGLVKPSETLSLSCTVSGGSVSSHFWTWIRQPPGKGLEWIGNIFYTGNTNYNPSLQSRVTISVDTSKNQFSLKLSSVTAADTAVYYCAREVGYCSSTDCLYYYNYYMDVWGK</t>
  </si>
  <si>
    <t>AREVGYCSSTSCLYYYSYYMDV</t>
  </si>
  <si>
    <t>GCGAGAGAGGTAGGATATTGTAGTAGTACCAGCTGCCTGTACTACTACTCCTACTACATGGACGTC</t>
  </si>
  <si>
    <t>QVQLQESGPGLVKPSETLSLTCTVSGGSISSYFWSWIRQPPGKGLEWIGYIYYSGNTNYNPSLKSRVTISVDTSKNQFSLKLSSVTAADTAVYYCAREVGYCSSTSCLYYYSYYMDVWGK</t>
  </si>
  <si>
    <t>IGHV4-34</t>
  </si>
  <si>
    <t>ARELRRGYNYGNFDF</t>
  </si>
  <si>
    <t>GCGAGAGAACTCCGACGTGGATACAACTATGGTAACTTTGACTTC</t>
  </si>
  <si>
    <t>CAGGTGCAGCTACAGCAGTGGGGCGCAGGGCTGTTGAAGCCTTCGGAGACCCTGTCCCTCACCTGCGCTGTCTATGGTGGGCCCTTCAGTGGTTACTACTGGAGTTGGATCCGCCAGTCCCCAGGGAAGGGGCTGGAGTGGATTGGGGAAATTTATCAGAGTGGAAGCACCAGGTACAATCCGTCCCTCAAGAGCCGAGTCACCATATCAGTAGACACGTCCAAGAACCAGTTCTCCCTGAAGCTGACCTCTGTGACCGCCGCGGACACGGCTGTCTATTACTGCGCGAGAGAACTCCGACGTGGATACAACTATGGTAACTTTGACTTCTGGGGCCAGGGAACCCTGGTCACCGTCTCCTCAG</t>
  </si>
  <si>
    <t>QVQLQQWGAGLLKPSETLSLTCAVYGGPFSGYYWSWIRQSPGKGLEWIGEIYQSGSTRYNPSLKSRVTISVDTSKNQFSLKLTSVTAADTAVYYCARELRRGYNYGNFDFWGQGTLVTVS</t>
  </si>
  <si>
    <t>ARELRRGYNYGNFDY</t>
  </si>
  <si>
    <t>GCGAGAGAACTCCGACGTGGATACAACTATGGGAACTTTGACTAC</t>
  </si>
  <si>
    <t>QVQLQQWGAGLLKPSETLSLTCAVYGGSFSGYYWSWIRQPPGKGLEWIGEINHSGSTNYNPSLKSRVTISVDTSKNQFSLRLSSVTAADTAVYYCARELRRGYNYGNFDYWGQGTLVTVS</t>
  </si>
  <si>
    <t>ARVNRYESSGYYGWFDP</t>
  </si>
  <si>
    <t>GCGAGAGTGAATAGGTACGAGAGTAGCGGTTATTACGGTTGGTTCGACCCC</t>
  </si>
  <si>
    <t>CAGGTGCAGCTGGTGCAGTCTGGGGCTGAGGTGACAAAGCCTGGGGCCTCAGTGAAGGTCTCCTGCAGGGCTTCTGGCTACTCCTTCATCGGCTACTATCTCCACTGGGTGCGACAGGCCCCTGGACAAGGACTTGAGTGGATGGGGTGGATCAACCCTAATAGTGCTGCCACAAATTATGCACAGAAATTTCAGGGCAGGGTCACCATGACCAGGGACACGTCCATCGGCACAGCCTACATGGAGTTGAGCAGGCTGACATCTGACGACACGGCCGTGTATTACTGTGCGAGAGTGAATAGGTACGAGAGTAGCGGTTATTACGGTTGGTTCGACCCCTGGGGCCAGGGAACCCTGGTCGTCGTCTCGTCAG</t>
  </si>
  <si>
    <t>QVQLVQSGAEVTKPGASVKVSCRASGYSFIGYYLHWVRQAPGQGLEWMGWINPNSAATNYAQKFQGRVTMTRDTSIGTAYMELSRLTSDDTAVYYCARVNRYESSGYYGWFDPWGQGTLV</t>
  </si>
  <si>
    <t>ARELRRGYSYGNFDY</t>
  </si>
  <si>
    <t>GCGAGAGAACTCCGACGTGGATACAGCTATGGGAACTTTGACTAC</t>
  </si>
  <si>
    <t>QVQLQQWGAGLLKPSETLSLTCAVYGGSFSGYYWSWIRQPPGKGLEWIGEINHSGSTNYNPSLKSRVTISVDTSKNQFSLKLSSVTAADTAVYYCARELRRGYSYGNFDYWGQGTLVTVS</t>
  </si>
  <si>
    <t>ARALPRGGNYRTFDY</t>
  </si>
  <si>
    <t>GCGAGAGCCCTCCCCCGGGGTGGGAACTACCGGACGTTTGACTAC</t>
  </si>
  <si>
    <t>QVQLQQWGAGLLKPSETLSLTCAVDGGSFSGYYWSWIRQPPGKGLEWIGQINHSGSTNYNPSLKSRVTISVDTSKNQFSLKLSSVTAADTAVYYCARALPRGGNYRTFDYWGQGTLVTVS</t>
  </si>
  <si>
    <t>ARALPRGGNYRTFEY</t>
  </si>
  <si>
    <t>GCGAGAGCCCTACCCCGGGGTGGGAACTACCGGACGTTTGAATAC</t>
  </si>
  <si>
    <t>QVQLVESGAGLLKPSETLSLTCAVYGGSFSGYYWTWIRQPPGKGLEWIGQINHSGSTNYNPSLKSRVTISIDTSKNQFSLKLRSVTAADTAVYYCARALPRGGNYRTFEYWGQGTLVTVS</t>
  </si>
  <si>
    <t>GCGAGAGCCCTACCCCGGGGTGGGAACTACCGGACGTTTGACTAC</t>
  </si>
  <si>
    <t>QVQLQQWGAGLLKPSETLSLTCAVYGGSFSGYYWSWIRQPPGKGLEWIGQINHSGSTNYNPSLKSRVTISVDTSKNQFSLKLTSVTAADTAVYHCARALPRGGNYRTFDYWGQGTLVTVS</t>
  </si>
  <si>
    <t>IGHV3-7</t>
  </si>
  <si>
    <t>ARGTMAPVTTFFYNFYLDV</t>
  </si>
  <si>
    <t>IGHD4-17</t>
  </si>
  <si>
    <t>GCGAGAGGAACGATGGCTCCAGTGACTACCTTTTTCTACAACTTCTATTTGGACGTC</t>
  </si>
  <si>
    <t>EVQLVESGGGLVQPGGSLRLSCAASGFTFSRYWMTWVRQAPGKGLEWVANIKEDGSETYLVDSVKGRFTISRDSARSSLFLHMNSLRAEDTAVYYCARGTMAPVTTFFYNFYLDVWGKGT</t>
  </si>
  <si>
    <t>ARVNRDYSSGYYGWFDI</t>
  </si>
  <si>
    <t>GCGAGAGTGAATAGGGACTATAGTAGTGGTTATTACGGTTGGTTCGACATC</t>
  </si>
  <si>
    <t>QVQLVQSGAEVKKPGASVRVSCKASGFKFIAYYIHWVREAPGQGLEWMGLMNPNSGDTEYARKFQGRVSMTRDTSTSTAYMEMSSLRSDDTAIYYCARVNRDYSSGYYGWFDIWGQGTLV</t>
  </si>
  <si>
    <t>AKATVTTELTFFYYYALDV</t>
  </si>
  <si>
    <t>GCGAAAGCGACGGTGACTACAGAGCTAACCTTCTTCTACTACTACGCTCTGGACGTC</t>
  </si>
  <si>
    <t>EVQLVESGGGLVQPGGSLRLSCAASGFTFSRSWMNWVRQAPGKGLEWVANIKQDGSEKYYVDSVKGRFTISRDNAKNSLYLQMNSLRAEDTGVYYCAKATVTTELTFFYYYALDVWGQGT</t>
  </si>
  <si>
    <t>ARGPLMCSDCLLYYYYMDV</t>
  </si>
  <si>
    <t>GCGAGAGGCCCCCTTATGTGCAGTGACTGCCTCCTCTACTACTACTACATGGACGTC</t>
  </si>
  <si>
    <t>DVQLVESGGGLVQPGGSLRLSCTASGFTFSSYWMTWVRQAPGKGLEWVANIKEDGSEKYYVDSVKGRFTISRDNAKNSLYLQMNSLRAEETAVYYCARGPLMCSDCLLYYYYMDVWGKGT</t>
  </si>
  <si>
    <t>ARAPGDSRSSFFYDYYMDV</t>
  </si>
  <si>
    <t>IGHD3-16</t>
  </si>
  <si>
    <t>GCGAGAGCTCCGGGGGACTCGAGATCCTCCTTTTTTTACGACTACTATATGGACGTC</t>
  </si>
  <si>
    <t>EVQLVESGGGLVQPGGSLRLSCAASGFTFNDYWMTWVRQAPGKGLEWLANINQDGSEKYYVDSVKGRFTISRDNAKNSVYLQMNSLRAEDAAVYFCARAPGDSRSSFFYDYYMDVWGKGI</t>
  </si>
  <si>
    <t>ANGDRGGHDSLFYNYYMDV</t>
  </si>
  <si>
    <t>GCGAACGGCGATCGTGGGGGCCATGACTCCTTATTCTACAACTACTACATGGACGTC</t>
  </si>
  <si>
    <t>EMQMVESGGGLVQPGGSLRLSCAASGFTFSDYWMTWVRQAPGRGLEWVANIKEDGSEKYYVDSVKGRFTISRDNAKKSLYLQMNSLKAEDTAVYYCANGDRGGHDSLFYNYYMDVWGKGI</t>
  </si>
  <si>
    <t>ARAPGDSTSSFFYDYYMDV</t>
  </si>
  <si>
    <t>GCGAGAGCTCCGGGGGACTCGACATCCTCCTTTTTTTACGACTACTATATGGACGTC</t>
  </si>
  <si>
    <t>EVQLVESGGGLVQPGGSLRLSCAASGFSFNDYWMTWVRQGPGKGPEWLANINQDGSEKYYVDSVKGRFTISRDNAKNSVYLQMDSLRAEDAAVYFCARAPGDSTSSFFYDYYMDVWGKGI</t>
  </si>
  <si>
    <t>ARGDEYDSSSLFYHYYMDV</t>
  </si>
  <si>
    <t>IGHD6-6</t>
  </si>
  <si>
    <t>GCGAGAGGGGACGAGTATGACAGTTCGTCCCTCTTCTACCACTACTACATGGACGTC</t>
  </si>
  <si>
    <t>EVQLVESGGDLVQPGGSLRLSCEASGFTFSTYWMTWVRQAPGKGLEWVANIKEDGSEKYYLDSVKGRFTISRDNAKNSLYLQMNGLRVEDTAVYYCARGDEYDSSSLFYHYYMDVWGKGT</t>
  </si>
  <si>
    <t>ARGPLMCSDCLLYFYYMDV</t>
  </si>
  <si>
    <t>GCGAGAGGCCCCCTTATGTGCAGTGACTGCCTCCTCTACTTCTACTACATGGACGTC</t>
  </si>
  <si>
    <t>EIQLVESGGGLVQPGGSLRLSCTASGFTFSNYWMTWVRQAPGKGLEWVANIKEDGSEKYYVDSVKGRFTISRDNAKNSLFLQMNSLRAEETAVYYCARGPLMCSDCLLYFYYMDVWGKGT</t>
  </si>
  <si>
    <t>ARGEKSGDSVFYYYYYMDV</t>
  </si>
  <si>
    <t>GCGAGAGGTGAAAAAAGTGGGGATTCCGTCTTCTACTACTACTACTACATGGACGTC</t>
  </si>
  <si>
    <t>EVQLVESGGGLVQPGGSLRLSCEASGFTFSDYWMTWVRQAPGKGLEWVANIKQDGSEKYYVDSVKGRFSISRDNAKNSLYLQLNSLRAEDTAVYYCARGEKSGDSVFYYYYYMDVWGKGT</t>
  </si>
  <si>
    <t>ARVNKDDYSGYYGWFDP</t>
  </si>
  <si>
    <t>GCGAGAGTGAATAAGGATGATTATAGTGGTTATTACGGTTGGTTCGACCCC</t>
  </si>
  <si>
    <t>QVQLVQSGTEVKQPGASVRVSCKASGYRFIGYYIHWVRQAPGQGLEWMGWINPNSGGTNYAQNFQGRVTMTRDTSISTAYLDLSRLRSDDTAVYYCARVNKDDYSGYYGWFDPWGQGTLV</t>
  </si>
  <si>
    <t>ARGVDEYNTSFFYYYYMDV</t>
  </si>
  <si>
    <t>GCCAGAGGGGTGGATGAGTATAACACCTCCTTCTTCTACTACTACTACATGGACGTC</t>
  </si>
  <si>
    <t>EVQLVESGGGLVQPGGSLRLSCAASGFTFSRYWMTWVRQAPGKGLEWVANIKQDGSEKYYVDSLKGRFTISRDNAKNSLYLQMNSLRAEDTAVYYCARGVDEYNTSFFYYYYMDVWGKGT</t>
  </si>
  <si>
    <t>IGHV3-13</t>
  </si>
  <si>
    <t>ARARFGASDFDY</t>
  </si>
  <si>
    <t>GCAAGAGCAAGATTCGGTGCCAGCGACTTTGACTAC</t>
  </si>
  <si>
    <t>GAGGTACAACTGGTGGAGTCTGGGGGAGGCTTGGTACAGCCGGGGGGGTCCCTGAGACTCTCCTGCGCAGCCTCTGGATTCACCTTCAGGATCTACGACATGCACTGGGTCCGTCAAGTTGCAGGAAAACGTCTGGAGTGGGTCTCAGCTATCGGTTCTGCTGGTGACACTTACTATCGAGACTCCGTGAAGGGCCGATTCACCATCTCCAGAGAAAGTGCCAAGAACTCCTTGTATCTTCAAATGAACAGCCTGGGGGCCGGGGACACGGCTCTATACTACTGTGCAAGAGCAAGATTCGGTGCCAGCGACTTTGACTACTGGGGCCCGGGAACGCTGGTCACCGTCTCCTCAG</t>
  </si>
  <si>
    <t>EVQLVESGGGLVQPGGSLRLSCAASGFTFRIYDMHWVRQVAGKRLEWVSAIGSAGDTYYRDSVKGRFTISRESAKNSLYLQMNSLGAGDTALYYCARARFGASDFDYWGPGTLVTVSS</t>
  </si>
  <si>
    <t>VRARFGFVDFDS</t>
  </si>
  <si>
    <t>GTAAGAGCGCGATTCGGGTTCGTTGATTTTGACTCC</t>
  </si>
  <si>
    <t>GAGGTGCAGCTGGTGGAGTCTGGGGGAGGCTTGGTACAGCCGGGGGGGTCCCTGAGACTCTCCTGTGCAGCCTCTGGATTCACCTTCAGAAGCTACGACATGCACTGGGTCCGCCAAGTTACAGGAGAAGGTCTGGAGTGGGTCTCAGCAATTGGTGCTGCTGGTGACACATACTATGCAGCCTCCGTGAGGGGCCGATTCACCCTCTCCAGAGATAATGCCAAGAACTCCCTGTCTCTTCAAATGAGCAGCATGAGCGCCGGGGACACGGCTATGTACTACTGTGTAAGAGCGCGATTCGGGTTCGTTGATTTTGACTCCTGGGGCCGGGGAACGCTGGTCACCGTCTCCTCAG</t>
  </si>
  <si>
    <t>EVQLVESGGGLVQPGGSLRLSCAASGFTFRSYDMHWVRQVTGEGLEWVSAIGAAGDTYYAASVRGRFTLSRDNAKNSLSLQMSSMSAGDTAMYYCVRARFGFVDFDSWGRGTLVTVSS</t>
  </si>
  <si>
    <t>ARASFGENYFDY</t>
  </si>
  <si>
    <t>GCAAGAGCGAGTTTTGGAGAAAACTACTTTGACTAC</t>
  </si>
  <si>
    <t>GAGGTGCAGCTGGTGGAGTCTGGGGGAGGCTTGGTACAGCCTGGGGGGTCCCTGAGACTCTCCTGTGCAGCCTCTGGATTCACCTTCAGGAGCTACGACATGCACTGGGTCCGCCAAGCTACAGGAAAAGGTCTGGAGTGGGTCTCAAGCATTGGTGCTGCTGGTGACACATACTATCCAGGCTCCGTGAAGGGCCGATTCACCATCTCCAGAGAAAATGCCAAGAATTCCTTGTATCTTCAAATGAACAGCCTGAGAGCCGGGGACACGGCTGTATATTACTGTGCAAGAGCGAGTTTTGGAGAAAACTACTTTGACTACTGGGGCCGGGGAACGCTGGTCACCGTCTCCTCAG</t>
  </si>
  <si>
    <t>EVQLVESGGGLVQPGGSLRLSCAASGFTFRSYDMHWVRQATGKGLEWVSSIGAAGDTYYPGSVKGRFTISRENAKNSLYLQMNSLRAGDTAVYYCARASFGENYFDYWGRGTLVTVSS</t>
  </si>
  <si>
    <t>VRARFGFIDFDS</t>
  </si>
  <si>
    <t>GTAAGAGCACGATTCGGATTCATTGATTTTGACTCC</t>
  </si>
  <si>
    <t>GAGGTGCAGCTGGTGGAGTCTGGGGGAGGCTTGGTACAGCCTGGGGGGTCCCTGAGACTCTCCTGTGCAGCCTCTGGATTCACCTTCAGACGGCACGACATGCACTGGATCCGCCAAGTTTCCGGAAAAGGTCTGGAGTGGGTCTCAGCTATTGGTGCTGCTGGAGACACATACTATGCAGCCTCCGTGAGGGGCCGATTCACCCTCTCCAGAGATAATGCCAAGAACTCCTTGTTTCTTCAAATGAGCAGCCTGAGCGCCGGGGACACGGCTGTGTATTACTGTGTAAGAGCACGATTCGGATTCATTGATTTTGACTCCTGGGGCCAGGGAACGCTGGTCACCGTCTCCTCAG</t>
  </si>
  <si>
    <t>EVQLVESGGGLVQPGGSLRLSCAASGFTFRRHDMHWIRQVSGKGLEWVSAIGAAGDTYYAASVRGRFTLSRDNAKNSLFLQMSSLSAGDTAVYYCVRARFGFIDFDSWGQGTLVTVSS</t>
  </si>
  <si>
    <t>VRAWFGAIYFDY</t>
  </si>
  <si>
    <t>GTAAGAGCATGGTTCGGTGCCATTTACTTTGACTAC</t>
  </si>
  <si>
    <t>EVQLVESGGGLVQPGGSLRLSCAASGFTFRSYDMHWVRQAAGKGLEWVSAIGTAGDTYYRGSVKGRFTISRENAKNSLYLQMNSLRDGDTAVYYCVRAWFGAIYFDYWGQGALVTVSS</t>
  </si>
  <si>
    <t>ARGRFGASDFDY</t>
  </si>
  <si>
    <t>GCAAGAGGAAGGTTCGGTGCCAGCGACTTTGACTAC</t>
  </si>
  <si>
    <t>GAGGTGCAGCTGGTGGAGTCTGGGGGAGGCTTGGTACAGCCGGGGGGGTCCCTGAGACTCTCCTGTGCAGCCTCTGGATTCACCTTCAGGATCTACGACATGCACTGGGTCCGCCAAGCTACAGGAAAAAGTCTGGAGTGGGTCTCAGCTATCGGTTCTGCTGGTGACACATACTATCGAGGCTCCGTGAAGGGCCGATTCACCATCTCCAGAGAAAATGCCAAGAACTCCTTGTATCTTCAAATGAACAGCCTGGGGGCCGGGGACACGGCTCTGTATTACTGTGCAAGAGGAAGGTTCGGTGCCAGCGACTTTGACTACTGGGGCCAGGGAACGCTGGTCACCGTCTCCTCAG</t>
  </si>
  <si>
    <t>EVQLVESGGGLVQPGGSLRLSCAASGFTFRIYDMHWVRQATGKSLEWVSAIGSAGDTYYRGSVKGRFTISRENAKNSLYLQMNSLGAGDTALYYCARGRFGASDFDYWGQGTLVTVSS</t>
  </si>
  <si>
    <t>GCAAGAGCGAGTTTTGGGGAAAACTACTTTGACTAC</t>
  </si>
  <si>
    <t>EVQLVESGGGLVKPGGSLRLSCAASGFTFRIYDMHWVRQVAGKRLEWVSSIGTAGDTYYPDSVKGRFTISREKASNSLFLQMNSLRAGDTAVYYCARASFGENYFDYWGRGTLVTVSS</t>
  </si>
  <si>
    <t>ARARFGDLALDY</t>
  </si>
  <si>
    <t>GCAAGAGCGCGCTTCGGAGACTTAGCCCTTGACTAC</t>
  </si>
  <si>
    <t>EVQLVVSGGGLVQPGGSLRLSCAASGFTLKSYDIHWVRQRPGEGLEWVAAIGAAGDTYFSGSVKGRFTISRENARNSLYLQMNSLGAGDTAIYYCARARFGDLALDYWGQGILVTVSS</t>
  </si>
  <si>
    <t>ARVNKFDSSGYFGWFDP</t>
  </si>
  <si>
    <t>GCGCGAGTAAATAAGTTTGATAGTAGTGGTTATTTCGGCTGGTTCGACCCC</t>
  </si>
  <si>
    <t>QVQLVQSGAEVKKPGASVKVSCKASGYRFIGYYIHWVRQAPGQGLEWMGWMNPNSGGTNYAQKFQGRVTMTRDPYISTAYMELGRLRSDDTAVYYCARVNKFDSSGYFGWFDPWGQGTLV</t>
  </si>
  <si>
    <t>IGHD2/OR15-2a</t>
  </si>
  <si>
    <t>ARANNYDYSGYFGWFDP</t>
  </si>
  <si>
    <t>GCGAGAGCAAATAACTACGATTATAGTGGTTATTTCGGCTGGTTCGACCCC</t>
  </si>
  <si>
    <t>CAGGTGCAGCTGGTGCAGTCTGGGGCTGAAGTCATAAAGCCTGGGGCCTCAGTGAAGGTCTCCTGCAGGGCTTCTGGATACCGATTCATCGGCCACTATGTCCACTGGGTGCGACAGGCCCCTGGCCAAGGGCTGGAGTGGATGGGATGGATCAACCCTAATAGTGGCGTCACAAATTATGCACAGAAGTTTCAGGGCAGGGTCACCATGACCAGGGACACGTCCACTAGCACAGCCTACATGGAGCTCAGTAGGCTGAGATCTGACGACACGGCCGTGTATTACTGTGCGAGAGCAAATAACTACGATTATAGTGGTTATTTCGGCTGGTTCGACCCCTGGGGCCAGGGAACCCTGGTCACCGTC</t>
  </si>
  <si>
    <t>QVQLVQSGAEVIKPGASVKVSCRASGYRFIGHYVHWVRQAPGQGLEWMGWINPNSGVTNYAQKFQGRVTMTRDTSTSTAYMELSRLRSDDTAVYYCARANNYDYSGYFGWFDPWGQGTLV</t>
  </si>
  <si>
    <t>IGHD2-15</t>
  </si>
  <si>
    <t>ARELGRVIIGGDS</t>
  </si>
  <si>
    <t>GCGAGAGAGTTGGGAAGGGTGATCATAGGGGGTGACTCC</t>
  </si>
  <si>
    <t>CAGGTCCAGTTGGTGCAGTCTGGGGCTGAGGTGAAGAAGCCTGGGTCCTCGGTGAAGGTCTCCTGTAAGGCTTCTGGAGGCAGCTTCAGCACCCATGATGTCAACTGGGTGCGACAGGCCCCTGGACACGGGCTTGAGTGGATGGGAAGGATCATCCCTATGATTGGAACACCAAACTACGCACAGAAGTTCCAGGGCAGAGTCACAATTACCGCGGACAAATCCACGAGCACAGTCCACATGGAGCTGAGAAACTTGAGATCTGCGGACACGGCCGTATATTTCTGTGCGAGAGAGTTGGGAAGGGTGATCATAGGGGGTGACTCCTGGGGCCAGGGAACCCTAGTCACCGTCTCCTCAG</t>
  </si>
  <si>
    <t>QVQLVQSGAEVKKPGSSVKVSCKASGGSFSTHDVNWVRQAPGHGLEWMGRIIPMIGTPNYAQKFQGRVTITADKSTSTVHMELRNLRSADTAVYFCARELGRVIIGGDSWGQGTLVTVSS</t>
  </si>
  <si>
    <t>ARELGRVGITGDY</t>
  </si>
  <si>
    <t>GCGAGAGAATTAGGAAGGGTGGGAATTACGGGGGACTAC</t>
  </si>
  <si>
    <t>QVQLVQSGAEVKKPGSSVKVSCKASGGTFSTSDISWVRQVPGQGLEWMGRIIPIFGTPNYAQKFQGRVTITADKSTSTVYMELSSLRSEDTAVYYCARELGRVGITGDYWGQGTLVTVSS</t>
  </si>
  <si>
    <t>ARELGRVATAGDL</t>
  </si>
  <si>
    <t>GCGAGAGAATTAGGAAGGGTGGCAACTGCGGGGGACTTG</t>
  </si>
  <si>
    <t>QVQLVQSGAEVKKPGSSVKVSCKASGGTFSTFDINWVRQAPGQGLEWMGRIIPLIGTPNYARKFQDRLTITADKSSTTAYMELSSLRSEDTALYYCARELGRVATAGDLWGQGTLVTVSS</t>
  </si>
  <si>
    <t>ARELGRVRTTEDY</t>
  </si>
  <si>
    <t>GCGAGAGAATTAGGAAGGGTGAGAACTACGGAGGACTAC</t>
  </si>
  <si>
    <t>QVHLVQSGAEVKKPGSSVKVSCKASGGTFSTYDINWVRQAPGQGLEWMGRIIPIFGTADYAQKFQGRVTITADRSTSTAFMELSSLRSDDTAVYYCARELGRVRTTEDYWGQGTLVTVSS</t>
  </si>
  <si>
    <t>ARDLGTVLTPGDS</t>
  </si>
  <si>
    <t>GCGAGAGATCTCGGTACGGTGTTGACCCCGGGGGACTCC</t>
  </si>
  <si>
    <t>QVRMVQSGAEVKKPGSSVKVSCKTSGGTFSTYSISWVRQAPGHGLEWMGRLIPMLGTPNYAQKFQGRLTITADRSTSTAYMELSSLSSEDTAVYYCARDLGTVLTPGDSWGQGTLVTVSS</t>
  </si>
  <si>
    <t>ARVRWLQFDY</t>
  </si>
  <si>
    <t>IGHD5-24</t>
  </si>
  <si>
    <t>GCAAGAGTGAGATGGCTACAATTTGACTAC</t>
  </si>
  <si>
    <t>GGGGGAGGCTTGGTACAGCCTGGGGGGTCCCTGAGACTCTCCTGTGCAGCCTCTGGATTCATCTTCAGTACCTACGACATGCACTGGGTCCGCCAAGGTACAGGAAAAGGTCTGGAGTGGGTCTCAGCTATTGGTACTGCTGGTGATACATACTATCCAGGCTCCGTGAAGGGCCGATTCACCATCTCCAGAGAAAATGGCAAGAACTCCTTATATCTTCAAATGAACAGCCTGAGAGTCGAGGACACGGCCGTGTATTACTGTGCAAGAGTGAGATGGCTACAATTTGACTACTGGGGCCAGGGAACCCTGGTCACCGTCTCCTCAG</t>
  </si>
  <si>
    <t>GGGLVQPGGSLRLSCAASGFIFSTYDMHWVRQGTGKGLEWVSAIGTAGDTYYPGSVKGRFTISRENGKNSLYLQMNSLRVEDTAVYYCARVRWLQFDYWGQGTLVTVSS</t>
  </si>
  <si>
    <t>ARGRQLAFDY</t>
  </si>
  <si>
    <t>GCAAGAGGGCGGCAGCTGGCCTTTGACTAC</t>
  </si>
  <si>
    <t>GAGGTGCAGCTGGTGGAGTCTGGGGGAGGCTTGGTAAAGCCTGGGGGGTCCCTGAGACTCTCCTGTGCAGCCTCTGGATTCACCCTCAGTAGATACGAAATGCACTGGGTCCGCCAAGCTCCAGGAAAAGGTCTGGAGTGGGTCTCAGCTATTGGTACTGCTGGTGACACATACTATCCAGGCTCCGTGAAGGGCCGATTCACCATCTCCAGAGAAAATGCCAAGAACTCCTTGTATCTTCAAATGAACAGCCTGAGAGCCGGGGACACGGCTGTGTATTACTGTGCAAGAGGGCGGCAGCTGGCCTTTGACTACTGGGGCCAGGGGACGCTGGTCACCGTCTCCTCAG</t>
  </si>
  <si>
    <t>EVQLVESGGGLVKPGGSLRLSCAASGFTLSRYEMHWVRQAPGKGLEWVSAIGTAGDTYYPGSVKGRFTISRENAKNSLYLQMNSLRAGDTAVYYCARGRQLAFDYWGQGTLVTVSS</t>
  </si>
  <si>
    <t>ARVNKYDSSGYFGWFDP</t>
  </si>
  <si>
    <t>GCGAGAGTAAATAAGTATGATAGTAGTGGTTATTTCGGCTGGTTCGACCCC</t>
  </si>
  <si>
    <t>QVQLVQSGAEVKKPGASVKLSCKASGYRFIGYYLHWVRQAPGQGLEWMGWINPNSGGTNYAQKFQGRVSMTRDTSISTAYMELSSLRSDDTAVYYCARVNKYDSSGYFGWFDPWGQGTLV</t>
  </si>
  <si>
    <t>VRGRQLAFDY</t>
  </si>
  <si>
    <t>GTAAGAGGGCGCCAGTTGGCCTTTGACTAT</t>
  </si>
  <si>
    <t>EVQLVESGGGLVQPGGSLRLSCEASGFTLSYYEMHWVRQGAGEGLEWVSAIGTAGDTYYPGSVKGRFTISRENAKNSLYLQMNSLRAGDTAIYYCVRGRQLAFDYWGQGALVTVSS</t>
  </si>
  <si>
    <t>ARGHQLAFDY</t>
  </si>
  <si>
    <t>GCAAGAGGTCACCAGCTCGCCTTTGACTAC</t>
  </si>
  <si>
    <t>AVQLVESGGGLVQPGGSLRLSCAASGFTLSRYEMHWVRQAPGKGLEWVSAIGTAGDTYYPGSVKGRFTTSRENAKNSLYLQMNSLRAGDTAVYFCARGHQLAFDYWGQGTLVTVSS</t>
  </si>
  <si>
    <t>AVQLVESGGGLVQPGGSLRLSCAASGFTLSRYEMHWVRQATGKGLEWVSAIGTAGDTYYPGSVKGRFTTSRENAKNSLYLQMNSLRAGDTAVYFCARGHQLAFDYWGQGTLVTVSS</t>
  </si>
  <si>
    <t>ARGEGDRSTLYYYYYMDV</t>
  </si>
  <si>
    <t>GCCCGAGGCGAAGGAGATAGAAGTACATTATACTACTACTACTATATGGACGTC</t>
  </si>
  <si>
    <t>GAGGTGCAGCTGGTGGAGTCTGGGGGAGCCTTGGTAAAGCCTGGGGGGTCCCTGAGACTCTCCTGTGCGGCCTCTGGATTCACCTTCAGCAGCTATAGCATGAACTGGGTCCGCCAGGCTCCAGGGAAGGGACTGGAGTGGGTTGCATATATTAGTGGTGGTAGTAAAGCCATAAAGTATGCAGACTCTGTGAAGGGCCGACTCACCTTGTCCCGAGACAACGCCAAGAACTCACTGTCTCTGCAAATGAACAGCCTGAGAGCCGAGGACACGGCTGTCTATTACTGTGCCCGAGGCGAAGGAGATAGAAGTACATTATACTACTACTACTATATGGACGTCTGGGGCAAAGGGACCACGGTCACCGTCTCCTCAG</t>
  </si>
  <si>
    <t>EVQLVESGGALVKPGGSLRLSCAASGFTFSSYSMNWVRQAPGKGLEWVAYISGGSKAIKYADSVKGRLTLSRDNAKNSLSLQMNSLRAEDTAVYYCARGEGDRSTLYYYYYMDVWGKGTT</t>
  </si>
  <si>
    <t>ARGFGDQDVVYSYYYMDV</t>
  </si>
  <si>
    <t>GCGAGAGGTTTTGGGGATCAGGACGTCGTCTACTCCTACTACTACATGGACGTC</t>
  </si>
  <si>
    <t>GAGGTGCAGCTGGTGGAGTCTGGGGGAGACTTGGTCCAGCCTGGGGGGTCCCTGAGACTCTCCTGTGCAGCCTCTGGATTCACCTTCAGTAGCTATAGCATGAACTGGGTCCGCCAGGCGCCAGGGAAGGGGCCGGAATGGGTTTCTTACATTACTAGCGGGAGTAGAGCCATATATTATGCAGACTCTGTGAAGGGCCGATTCACCATCTCCAGAGACAATGCCAAGAACTCATTGTATCTGCAAATGGACAGCCTGAGAGCCGAGGACACGGCTGTATATTACTGCGCGAGAGGTTTTGGGGATCAGGACGTCGTCTACTCCTACTACTACATGGACGTCTGGGGCAAAGGGACCACGGTCACCGTCTCCTCAG</t>
  </si>
  <si>
    <t>EVQLVESGGDLVQPGGSLRLSCAASGFTFSSYSMNWVRQAPGKGPEWVSYITSGSRAIYYADSVKGRFTISRDNAKNSLYLQMDSLRAEDTAVYYCARGFGDQDVVYSYYYMDVWGKGTT</t>
  </si>
  <si>
    <t>ARGEGDSTSLYYYYYMDV</t>
  </si>
  <si>
    <t>GCGAGAGGCGAAGGAGATAGCACCTCGTTATACTACTACTATTACATGGACGTC</t>
  </si>
  <si>
    <t>EVQLVESGGGLVQPGGSLRLSCAASGFTFSSYSINWVRQAPGKGLEWVSYISSRSSATGYADSVKGRFTVSRDNANNSLYLQMNSLRAEDTAVYYCARGEGDSTSLYYYYYMDVWGKGTT</t>
  </si>
  <si>
    <t>ARGNVPPDMLYYYYAMDV</t>
  </si>
  <si>
    <t>GCGAGAGGCAATGTACCACCTGATATGTTATACTACTACTACGCTATGGACGTC</t>
  </si>
  <si>
    <t>EVQLVESGGGLTQPGGSLRLSCEASGFTFSSYSMNWVRQAPGKGLEWVSYISGRSSTIYYADSVKGRFTISRDNAMNSLYLQMSSLRDEDTAVYFCARGNVPPDMLYYYYAMDVWGQGTT</t>
  </si>
  <si>
    <t>IGHV1-18</t>
  </si>
  <si>
    <t>VRDLGMITNYYMDV</t>
  </si>
  <si>
    <t>GTGAGAGATCTTGGAATGATTACGAACTACTACATGGACGTC</t>
  </si>
  <si>
    <t>QVHLVQSGAEVKKPGASVKVSCKASGYIFTRFGINWVRQAPGQGLEWMGWITPYNGDTDYAQKFQDRVIITTDTSTSTAYLELRSLRSDDTAVYYCVRDLGMITNYYMDVWGKGTTVTVS</t>
  </si>
  <si>
    <t>ARDRGMVYSYYMDV</t>
  </si>
  <si>
    <t>GCGAGAGATCGAGGTATGGTCTACTCCTACTACATGGACGTC</t>
  </si>
  <si>
    <t>QVQLVQSGPEVRKPGASVKVSCKASGYTFTHYGVTWVRQAPGQGPEWMGWISTYNRDTKSAQKFQGRVTLTTDASTSTAYMELRSLRSDDTAVYYCARDRGMVYSYYMDVWGKGTTVTVS</t>
  </si>
  <si>
    <t>ARDIGTPSDN</t>
  </si>
  <si>
    <t>GCGAGAGATATCGGGACCCCGTCTGACAAC</t>
  </si>
  <si>
    <t>CAGGTCCAGCTGGTGCAATCTGGGGCTGAGGTGAAGAAGCCTGGGTCCTCGGTGAAGGTCTCCTGCAAGGCTTTTGGAGGCACCTTCAGCACCTATACCATCAGCTGGGTGCGACAGGCCCCTGGACAAGGGCTTGAGTGGATGGGAGGGCTCATCCCTATGCTTGGTACACCAAAGTACGCACAGAAGTTCCAGGGCAGAGTCACGATTATCGCGGACAGATCTACCAATACAGTCTACATGGACCTGAGTGGCCTGAGATCTGAGGACACGGCCGTGTATTACTGTGCGAGAGATATCGGGACCCCGTCTGACAACTGGGGCCAGGGAACCCTGGTCACCGTCTCCTCAG</t>
  </si>
  <si>
    <t>QVQLVQSGAEVKKPGSSVKVSCKAFGGTFSTYTISWVRQAPGQGLEWMGGLIPMLGTPKYAQKFQGRVTIIADRSTNTVYMDLSGLRSEDTAVYYCARDIGTPSDNWGQGTLVTVSS</t>
  </si>
  <si>
    <t>ARVINYDYSGYFGWFDS</t>
  </si>
  <si>
    <t>GCGAGAGTAATTAACTATGATTATAGTGGTTATTTCGGCTGGTTCGACTCC</t>
  </si>
  <si>
    <t>QVQLVQSGAEVRKPGASLKVSCKASGYKFIGYYMHWVRQAPGQGLEWMGRINPNSGATDYAQKFQGRVTMTRDPYISTAYMELSRLRTDDTALYYCARVINYDYSGYFGWFDSWGQGTLV</t>
  </si>
  <si>
    <t>ARDLGMVYHYYMDV</t>
  </si>
  <si>
    <t>IGHD7-27</t>
  </si>
  <si>
    <t>GCGAGAGATCTGGGGATGGTCTACCACTACTACATGGACGTC</t>
  </si>
  <si>
    <t>CAGGTTCAGCTGGTGCAGTCTGGAGCTGAGGTGAAGAAGCCTGGGGCCTCAGTGAAGGTCTCCTGCAAGGCTTCTGGTTACACCTTTACCCGCTATGGTATCAACTGGGTGCGACAGGCCCCTGGACAAGGGCTTGAGTGGATGGGAAGGATCAGCGCTTACAATGGTGACACAAACTATGCACAGAAGCTCCAGGGCAGAGTCACCATGACCACAGACACATCCACGAACACAGCCTACATGGAGCTGAGGAGCCTGAGATCTGACGACACGGCCGTATATTACTGTGCGAGAGATCTGGGGATGGTCTACCACTACTACATGGACGTCTGGGGCAAAGGGACCACGGTCACCGTCTCCTCAG</t>
  </si>
  <si>
    <t>QVQLVQSGAEVKKPGASVKVSCKASGYTFTRYGINWVRQAPGQGLEWMGRISAYNGDTNYAQKLQGRVTMTTDTSTNTAYMELRSLRSDDTAVYYCARDLGMVYHYYMDVWGKGTTVTVS</t>
  </si>
  <si>
    <t>ARDRGMINRYFMDV</t>
  </si>
  <si>
    <t>GCGAGAGATCGGGGTATGATAAATCGCTACTTCATGGACGTC</t>
  </si>
  <si>
    <t>QVQLVQSGAEVKKPGASVKVSCKASGYTFTNYGMNWVRQAPGQGLEWMGWISAYSGNTNYAQKLQDRVTMTTDTSTRTAYMELRSLRSDDTAVYYCARDRGMINRYFMDVWGKGTTVTVS</t>
  </si>
  <si>
    <t>AKEGATVTDLYYYGMDV</t>
  </si>
  <si>
    <t>GCGAAAGAGGGGGCTACGGTGACCGACCTCTACTACTACGGTATGGACGTC</t>
  </si>
  <si>
    <t>GGGGGAGGCGTGGTCCAGCCTGGGAGGTCCCTGAGACTCTCCTGTGCAGCCTCTGGATTCACCTTCAATAGCTATGCCATGCACTGGGTCCGCCAGGCTCCAGGCAAGGGGCTGGATTGGGTGGCATTTATATCACATGATGAAAGTTATAAATACTATGCAGGCTCCGTGAAGGGCCGATTCACCATCTCCAGAGACAATTCCAAGAACACGCTGTATTTGCAAATGAACAGCCTGAGAGCTGACGACACGGCTGTTTATTACTGTGCGAAAGAGGGGGCTACGGTGACCGACCTCTACTACTACGGTATGGACGTCTGGGGCCAAGGGACCACGGTCACCGTCTCCTCAG</t>
  </si>
  <si>
    <t>GGGVVQPGRSLRLSCAASGFTFNSYAMHWVRQAPGKGLDWVAFISHDESYKYYAGSVKGRFTISRDNSKNTLYLQMNSLRADDTAVYYCAKEGATVTDLYYYGMDVWGQGTTVTVSS</t>
  </si>
  <si>
    <t>AKDAVEPDAMYYTGMDV</t>
  </si>
  <si>
    <t>GCGAAAGATGCAGTAGAACCAGATGCTATGTACTACACCGGTATGGACGTC</t>
  </si>
  <si>
    <t>CAGGTGCAGGTGGTGGAGTCTGGGGGAGGCGTGGTCCAGCCTGGGGGGTCCCTGAGACTCTCCTGTGCAGCGTCTGGCTTCACCTTCAGTAACTACGGCATGCACTGGGTCCGCCAGGCTCCAGGCAAGGGGCTGGAGTGGGTGACATTTATACACTTTGATGGAAGTACTAAGAATTATGCAGACTCCGTGAAGGGCCGATTCAGCATCTCCAGAGACAATCCCAGGAACACGGTGTATCTGCAAATGAACAGCCTGAGACCTGAGGACACGGCTGTCTATTACTGTGCGAAAGATGCAGTAGAACCAGATGCTATGTACTACACCGGTATGGACGTCTGGGGCCAAGGGACCACGGTCACCGTCTCCTCAG</t>
  </si>
  <si>
    <t>QVQVVESGGGVVQPGGSLRLSCAASGFTFSNYGMHWVRQAPGKGLEWVTFIHFDGSTKNYADSVKGRFSISRDNPRNTVYLQMNSLRPEDTAVYYCAKDAVEPDAMYYTGMDVWGQGTTV</t>
  </si>
  <si>
    <t>AKDAAESDALYYYGIDV</t>
  </si>
  <si>
    <t>GCGAAGGATGCGGCCGAATCAGATGCTCTATACTACTACGGCATAGACGTC</t>
  </si>
  <si>
    <t>QVQLVESGGGVVQPGGSLRLSCAASGFIFSTYAMHWVRQAPGKGLEWVAFVRFDGSETYYADSVKGRVTISRDNSKNTVFLQMNSLRAEDTAIYYCAKDAAESDALYYYGIDVWGQGTTV</t>
  </si>
  <si>
    <t>AKDAVEPTALFYYGMDG</t>
  </si>
  <si>
    <t>IGHD6-19</t>
  </si>
  <si>
    <t>GCGAAAGATGCAGTGGAACCGACTGCCCTCTTCTATTACGGTATGGACGGC</t>
  </si>
  <si>
    <t>CAGGTGCACCTGGTGGAGTCTGGGGGAGGCGTGGTCCAGCCTGGGAGGTCCCTGAAACTCTCCTGTGCAGCCTCTGGATTCACCTTTAGTAGTTATGGCATGCACTGGGTCCGCCAGGCTCCAGGCAAGGGACTGGAGTGGGTGGCTTTTATATTACATGACGGGACTATTCAAAACTATGCAGACTCGGTGAAGGGCCGATTCGCCGTCTCCAGAGACAATTCCAAGAACATGCTGTCATTGCAAATGAACAGCCTGAGACCTGAGGACACGGCTGTATATTACTGTGCGAAAGATGCAGTGGAACCGACTGCCCTCTTCTATTACGGTATGGACGGCTGGGGTCAAGGGACCACGGTCACCGTCTCC</t>
  </si>
  <si>
    <t>QVHLVESGGGVVQPGRSLKLSCAASGFTFSSYGMHWVRQAPGKGLEWVAFILHDGTIQNYADSVKGRFAVSRDNSKNMLSLQMNSLRPEDTAVYYCAKDAVEPTALFYYGMDGWGQGTTV</t>
  </si>
  <si>
    <t>IGHJ3</t>
  </si>
  <si>
    <t>ARDFQRGIVTLGDAFDF</t>
  </si>
  <si>
    <t>GCGAGAGATTTCCAGCGGGGAATTGTGACCCTCGGAGATGCTTTTGATTTC</t>
  </si>
  <si>
    <t>CAGGTGCAACTGGTGCAGTCTGGGGCTGAGGTGAAGAAGCCTGGGGCCTCAGTGAAGGTCTCCTGCAAGGCTTCTGGATACAGGTTCACCGGCTACTATCTATACTGGGTGCGACAGGCCCCTGGACAAGGGCCTGAGTGGATGGGATGGATTAACCCTAATAGTGGTGCCACAGAGTATGCACAGACATTTCACGGCAGGGTCACCATGACCAGGGACACGTCTATAAGCACAGCCTACCTGGAACTGGATGGACTGAGGTCTGACGACACGGCCGTGTATTATTGTGCGAGAGATTTCCAGCGGGGAATTGTGACCCTCGGAGATGCTTTTGATTTCTGGGGCCAAGGGACAATGGTCACCGTCTCTTCAG</t>
  </si>
  <si>
    <t>QVQLVQSGAEVKKPGASVKVSCKASGYRFTGYYLYWVRQAPGQGPEWMGWINPNSGATEYAQTFHGRVTMTRDTSISTAYLELDGLRSDDTAVYYCARDFQRGIVTLGDAFDFWGQGTMV</t>
  </si>
  <si>
    <t>ARDYVRWMATIGDAFDI</t>
  </si>
  <si>
    <t>GCGAGAGATTACGTACGATGGATGGCTACAATTGGGGATGCTTTTGATATC</t>
  </si>
  <si>
    <t>EVQLVQSGAEVKKPGASVKVSCKASGYTFTGQYMHWVRQAPGQGLEWMGWINPNSGGTNYAQKFQGRVTMTRDTSISTAYMELSRLRSDDTAVYYCARDYVRWMATIGDAFDIWGQGTMV</t>
  </si>
  <si>
    <t>ARDYQRGIVTLGDAFDI</t>
  </si>
  <si>
    <t>GCGAGAGATTACCAACGGGGAATTGTGACCCTCGGCGATGCTTTTGATATC</t>
  </si>
  <si>
    <t>QVQLVQSGAEVKKPGASVKVSCKASGYRFTGYYLYWVRQAPGQGPEWMGWINPNSGGTKYAQTFHGRVTMTRDTSISTAYLELSGLRSDDTAVYYCARDYQRGIVTLGDAFDIWGRGTMV</t>
  </si>
  <si>
    <t>ATEETVSGILLSNYFDP</t>
  </si>
  <si>
    <t>GCGACAGAAGAAACAGTTTCTGGAATACTTCTTAGTAATTATTTCGACCCC</t>
  </si>
  <si>
    <t>CAGGTCCAGTTGGTGCAGTCTGGGACTGAGGTGAAGAAGCCTGGGTCCTCGGTGAAGGTCTCCTGCAAGGCTTCTGGAGGTACCTTCAACAACTTTGCTATCAACTGGGTGCGACAGGCCCCTGGACAAGGGCTTGAGTGGATGGGAAGGATCATCCCTATTTTTGGTTCAAGAAAGTACGCACAGAAGTTCCAGGACAGAGTCATTATTACCGCGGACGAATCAACGACCACATCCTACATGGAGCTGACCAGTCTGAGATCTGAGGACACGGCCGTCTATTACTGTGCGACAGAAGAAACAGTTTCTGGAATACTTCTTAGTAATTATTTCGACCCCTGGGGCCAGGGAACCGTGGTCACCGTCTCCTCAG</t>
  </si>
  <si>
    <t>QVQLVQSGTEVKKPGSSVKVSCKASGGTFNNFAINWVRQAPGQGLEWMGRIIPIFGSRKYAQKFQDRVIITADESTTTSYMELTSLRSEDTAVYYCATEETVSGILLSNYFDPWGQGTVV</t>
  </si>
  <si>
    <t>QVQLVQSGAEVKKPGASVKVSCKASGYRFIGYYMHWVRQAPGQGLEWMGWINPNSGGTNYAQKFQGRVTMTRDTSISTAYMELSRLRSDDTAIYYCARVNKYDSSGYFGWFDPWGQGTLV</t>
  </si>
  <si>
    <t>ATGDTISGVLIGDWLDP</t>
  </si>
  <si>
    <t>GCGACAGGGGATACGATTTCTGGAGTACTTATCGGGGACTGGCTCGACCCC</t>
  </si>
  <si>
    <t>QVQLVQSGAEVKKPGSSVKVSCKTSGVTFSSYTFSWVRQAPGQGLEWMGRIIPIIGTTKYAQKFQGRVTITADESTTTAYMELRSLRSEDTAMYYCATGDTISGVLIGDWLDPWGQGTLV</t>
  </si>
  <si>
    <t>AREETIGGIVVSQFFDP</t>
  </si>
  <si>
    <t>GCGAGAGAGGAGACTATTGGGGGAATTGTTGTCAGTCAGTTCTTCGACCCC</t>
  </si>
  <si>
    <t>QVQLVQSGAEVKMPGSSVKVSCKASGGTFSSYAINWVRQAPGQGLEWMGRIIPSFGTAKYAQKFQGRVTITADESTRTAYMELSRLTSEDTAMYYCAREETIGGIVVSQFFDPWGQGTLV</t>
  </si>
  <si>
    <t>ARAAFGSHYFDY</t>
  </si>
  <si>
    <t>GCAAGAGCAGCTTTTGGCTCCCACTACTTTGACTAC</t>
  </si>
  <si>
    <t>GGGGGAGGCTTGGCACAGCCTGGGGGGTCCCTAAGACTCTCCTGTGCAGCCTCTGGATTCACCTTCAGGAGCTACGACATGCACTGGGTCCGCCAAGTTACAGGAAAAGGTCTGGAGTGGGTCTCGGCTATCGGTACTGCTGGTGACACTTACTATACAGGCTCCGTGAAGGGCCGATTCACCATCTCCAGAGAAAATGACAAGAGCTCCCTGTATCTTCAAATGAGCAGCCTGAGAGGCGAGGACACGGCCGTGTATTACTGTGCAAGAGCAGCTTTTGGCTCCCACTACTTTGACTACTGGGGCCAGGGAACCCTGGTCACCGTCTCCTCAG</t>
  </si>
  <si>
    <t>GGGLAQPGGSLRLSCAASGFTFRSYDMHWVRQVTGKGLEWVSAIGTAGDTYYTGSVKGRFTISRENDKSSLYLQMSSLRGEDTAVYYCARAAFGSHYFDYWGQGTLVTVSS</t>
  </si>
  <si>
    <t>VRARWGAVDFDY</t>
  </si>
  <si>
    <t>GTAAGAGCCCGGTGGGGAGCTGTCGACTTTGACTAC</t>
  </si>
  <si>
    <t>DVQLVESGGGLVQPGGSLRLSCAASGFTFSSYDMHWVRQTTGKGLEWVSAIGKAADTYYRGSVKGRFTISRENAKNSLYLQMNSLGAGDTAVYYCVRARWGAVDFDYWGQGALVTVSS</t>
  </si>
  <si>
    <t>ARASFGSHYFDY</t>
  </si>
  <si>
    <t>GCAAGAGCATCTTTTGGCTCCCACTACTTTGACTAC</t>
  </si>
  <si>
    <t>DVQLVDSGGAMVQPGGSLRLSCAASGLTFRSHDMHWVRQVTGKGLEWVSAIGSAGDTYHAASVKGRFTTSRDKAKDSLYLQMNSVRAEDTAVYYCARASFGSHYFDYWGQGILVTVSS</t>
  </si>
  <si>
    <t>ARDYYHPSGYLFIDAFDI</t>
  </si>
  <si>
    <t>GCGAGAGATTACTATCATCCTAGTGGTTATTTATTTATAGATGCTTTTGATATC</t>
  </si>
  <si>
    <t>CAGGTGCACCTGGTGGAGTCTGGGGGAGGCCTGGTCAAGCCTGGGGGGTCCCTGAGACTCTCCTGTGCAGCCTCTGGATTCACCTTCAGTTCCTATAGCATGAACTGGGTCCGCCAGGCTCCAGGGAAGGGGCTGGAGTGGGTCTCATCCATTAGTAGTCGTGGTACTTACATAGACTACACAGGCTCAGTGAAGGGCCGATTCACCATCTCCAGAGACAACGCCAAGAACTCACTGTTTCTGCAAATGAACAACCTGAGAGCCGAGGACACGGCTGTCTATTATTGTGCGAGAGATTACTATCATCCTAGTGGTTATTTATTTATAGATGCTTTTGATATCTGGGGCCAAGGGACAATGGTCACCGTCTCTTCAG</t>
  </si>
  <si>
    <t>QVHLVESGGGLVKPGGSLRLSCAASGFTFSSYSMNWVRQAPGKGLEWVSSISSRGTYIDYTGSVKGRFTISRDNAKNSLFLQMNNLRAEDTAVYYCARDYYHPSGYLFIDAFDIWGQGTM</t>
  </si>
  <si>
    <t>ARDLYHSSGYLFINVFDV</t>
  </si>
  <si>
    <t>GCGAGAGATCTCTATCATAGTAGTGGTTATTTGTTTATAAATGTTTTTGATGTC</t>
  </si>
  <si>
    <t>EVQLVESGGGLVKPGGSLRLSCAASGFTFSSYSLNWVRQAPGKGLEWVSSISTRSNYINYADSVKGRFTISRDNAKNSLYLQMNSLRAEDTAVYYCARDLYHSSGYLFINVFDVWGQGTM</t>
  </si>
  <si>
    <t>AREGITLGGVLVINALDI</t>
  </si>
  <si>
    <t>GCGAGAGAAGGGATTACGCTTGGGGGAGTTCTCGTTATAAATGCTCTTGATATC</t>
  </si>
  <si>
    <t>EVQLVESGGGLVKRGGSLRLSCAASGFTFSSYSMNWVRQAPGKGLEWVSTIGSRSRYIEYGDSVKGRFTISRDNAKNLLYLHMNSLRAEDTAVYYCAREGITLGGVLVINALDIWGQGTL</t>
  </si>
  <si>
    <t>AKEYTSSAGLYYYGVDV</t>
  </si>
  <si>
    <t>GCAAAAGAGTATACCAGTTCGGCCGGATTATACTACTACGGTGTGGACGTC</t>
  </si>
  <si>
    <t>GGAGGAGGCGTGGTACAGCCTGGGGGGTCCCTGAGACTCTCCTGTGCAGCCTCTGGATTCAACTTTGATGATTATGCCATGCACTGGGTCCGTCAAGCTCCAGGGAAGGGTCTGGAGTGGGTCTCTTTTATTAGTGGAGATGGTGGTAGCACATACTTTGCAGACTCTGTGAAGGGCCGATTCACCATCTCCAGAGACAACAGCAAAAACTCCCTGTATCTGCAAATGAACAGTCTGAGAATTGAGGACACCGCCTTCTATTACTGTGCAAAAGAGTATACCAGTTCGGCCGGATTATACTACTACGGTGTGGACGTCTGGGGCCAAGGGACCACGGTCACCGTCTCCTCAG</t>
  </si>
  <si>
    <t>GGGVVQPGGSLRLSCAASGFNFDDYAMHWVRQAPGKGLEWVSFISGDGGSTYFADSVKGRFTISRDNSKNSLYLQMNSLRIEDTAFYYCAKEYTSSAGLYYYGVDVWGQGTTVTVSS</t>
  </si>
  <si>
    <t>AKEIVSSSALFYNGMDV</t>
  </si>
  <si>
    <t>GCAAAAGAAATAGTGAGCAGCTCGGCACTCTTCTACAACGGTATGGACGTC</t>
  </si>
  <si>
    <t>EVQLVESGGGVVQPGGSLRLSCAASGFSFDDYTMHWVRQVPGKGLEWVSLISWDGGSPHYADSVKGRFTVSRDNSKNSLYLQMNSLRTEDTALYFCAKEIVSSSALFYNGMDVWGQGTTV</t>
  </si>
  <si>
    <t>ARANNYEYSGYFGWFDP</t>
  </si>
  <si>
    <t>GCGAGAGCAAATAACTATGAATATAGTGGTTATTTCGGCTGGTTCGACCCC</t>
  </si>
  <si>
    <t>QVQLVQSGAEVKKPGASVKVSCKASGFRFIGYYLHWVRQAPGQGLEWMGWINPNSGATNYARKFQGRVTMTRDTSTSTAYMDLSRLRSDDTAVYYCARANNYEYSGYFGWFDPWGQGTLV</t>
  </si>
  <si>
    <t>AKEIGGSSELFYYGLDV</t>
  </si>
  <si>
    <t>GCAAAAGAAATCGGTGGTTCGTCCGAGTTGTTCTACTACGGTTTGGACGTC</t>
  </si>
  <si>
    <t>GGGVVQPGGSLRLSCAASGFTFDDYAMHWVRQAPGKGLEWVSLISGDGGNTYYADSVKGRFTISRDNSKNSLYLQMNSLAAEDTAFYYCAKEIGGSSELFYYGLDVWGQGTTVTVSS</t>
  </si>
  <si>
    <t>IGHV3-66</t>
  </si>
  <si>
    <t>ARIYFYYNGMDA</t>
  </si>
  <si>
    <t>GCGAGAATATACTTCTACTATAACGGTATGGACGCC</t>
  </si>
  <si>
    <t>GGGGGAGGCTTGGTCCAGCCTGGGGGGTCCCTGAGAGTCTCCTGTGCAGTCTCTGGATTCACCGTCAGTAGTAATTATATCAACTGGGTCCGCCAGGCTCCAGGGAAGGGGCTGGAGTGGGTCTCAGTTATTTATAGCGGTGGTAGCACATACTACGCAGACTCCGTGAAGGGCAGATTCACCATCTCTAGAGACACTTCCAAGAACATCGTGTATCTTCAAATGAACAGCCTGAGAGCCGAGGACACGGCTGTGTATTATTGTGCGAGAATATACTTCTACTATAACGGTATGGACGCCTGGGGCCAAGGGACCACGGTCACCGTCTCCTCAG</t>
  </si>
  <si>
    <t>GGGLVQPGGSLRVSCAVSGFTVSSNYINWVRQAPGKGLEWVSVIYSGGSTYYADSVKGRFTISRDTSKNIVYLQMNSLRAEDTAVYYCARIYFYYNGMDAWGQGTTVTVSS</t>
  </si>
  <si>
    <t>ASIRYFYNGMDV</t>
  </si>
  <si>
    <t>GCGAGCATAAGGTACTTCTACAACGGGATGGACGTC</t>
  </si>
  <si>
    <t>GAGGTGCAGCTGGTGGAGTCTGGGGGAGGCTTGGTCCAGCCTGGGGGGTCCCTAAGACTCTCCTGTGCAGCCTCTGGATTCACCGTCAGTAACAACTACATGAACTGGGTCCGCCAGGCTCCAGGGAAGGGGCTGGAGTGGATCTCAGTTATTTATAGCGCTGGTAGGACATACTACGCAGACTCCGTGAAGGGCAGATTCACCATCTCCAGGGACAATTCCAAGAACACGCTGTATCTTCAAATGAACAGCCTGAGAGCCGGAGACACGGCTGTGTATTACTGTGCGAGCATAAGGTACTTCTACAACGGGATGGACGTCTGGGGCCAAGGGACCACGGTCACCGTCTCCTCAG</t>
  </si>
  <si>
    <t>EVQLVESGGGLVQPGGSLRLSCAASGFTVSNNYMNWVRQAPGKGLEWISVIYSAGRTYYADSVKGRFTISRDNSKNTLYLQMNSLRAGDTAVYYCASIRYFYNGMDVWGQGTTVTVSS</t>
  </si>
  <si>
    <t>ARIYFFYNGMDV</t>
  </si>
  <si>
    <t>GCGAGAATATATTTCTTCTACAACGGTATGGACGTC</t>
  </si>
  <si>
    <t>EVQLVESGGGLVQPGGSLRLSCAASGLTVSSNYMNWVRQAPGKGLEWVSVIYSGGRTYYADSVKGRFTISRDISKNTVYLEMNSLRADDTAVYYCARIYFFYNGMDVWGQGTTVTVS</t>
  </si>
  <si>
    <t>ARDLPMYNEFWSGYLGY</t>
  </si>
  <si>
    <t>GCGAGAGACCTCCCTATGTATAACGAGTTTTGGAGTGGTTATTTGGGCTAT</t>
  </si>
  <si>
    <t>GAGGTGCAGGTGGTGGAGTCTGGGGGAGGCTTGGTCCAGCCTGGGGGGTCCCTGAGACTCTCCTGTGCAGCCTCCGGATTCACCTTTAGTAACTATTGGATGAGTTGGGTCCGCCAGGCTCCAGGGAAGGGGCTGGAGTGGGTGGCCAACATAAAGGAAGATGGAAGTGAGCAATACTATCTGGACTCTGTGAAGGGCCGATTCACCATCTCCAGAGACAACGCCAAGAATTCAGTATATCTGCAAATGAACAGCCTGAGAGCCGAGGACACGGCTGTCTATTTCTGTGCGAGAGACCTCCCTATGTATAACGAGTTTTGGAGTGGTTATTTGGGCTATTGGGGCCAGGGAACGCTGGTCACCGTCTCCTCAG</t>
  </si>
  <si>
    <t>EVQVVESGGGLVQPGGSLRLSCAASGFTFSNYWMSWVRQAPGKGLEWVANIKEDGSEQYYLDSVKGRFTISRDNAKNSVYLQMNSLRAEDTAVYFCARDLPMYNEFWSGYLGYWGQGTLV</t>
  </si>
  <si>
    <t>AKDLPNYDDFWSGYFDY</t>
  </si>
  <si>
    <t>GCGAAAGACCTGCCCAACTATGACGATTTTTGGAGTGGATACTTTGACTAT</t>
  </si>
  <si>
    <t>EVQLVESGGGLVQPGGSLRLSCAASGFTFNKHWMSWVRQAPGKGLEWVANIKEDGSEKYYVDSVKGRFIISRDNAKNSLFLQLNSLRAEDTAVYYCAKDLPNYDDFWSGYFDYWGQGVLV</t>
  </si>
  <si>
    <t>AKDGARYDDFWSGYLDS</t>
  </si>
  <si>
    <t>GCGAAAGATGGGGCACGATATGACGATTTTTGGAGTGGATACCTTGACTCC</t>
  </si>
  <si>
    <t>EVQVVESGGGLVQPGGSLRLSCAASGFTFRTYWMSWVRQAPGKGLEWVANIKEDGSEKYYVDSVKGRFTISRDNAKNSLYLQMNSLRAEDTAVYYCAKDGARYDDFWSGYLDSWGQGILV</t>
  </si>
  <si>
    <t>IGHV4-39</t>
  </si>
  <si>
    <t>GRVPHTNDMFFENWFDP</t>
  </si>
  <si>
    <t>GGAAGAGTCCCACATACTAATGATATGTTCTTCGAAAACTGGTTCGACCCC</t>
  </si>
  <si>
    <t>QLQLQESGPGLVKPSETLSLTCSVSGDSITSGSNYWAWIRQPPGKGLEWIGGIYDSGNTYYNPSLKSRVTVSVDTSKNQFSLKLTSVTAADTAVYYCGRVPHTNDMFFENWFDPWGQGTL</t>
  </si>
  <si>
    <t>ARVEDRGAIYYEIYFDP</t>
  </si>
  <si>
    <t>GCGAGAGTCGAAGATCGTGGCGCGATTTACTATGAAATCTATTTCGACCCC</t>
  </si>
  <si>
    <t>QLQVQESGPGLVKPSETLSLTCTVSGGSITSTSDYWGWIRQPPGKGLEWIGGIYESGNTYYNPSLKSRVTISVDSSKNQFSLKLSSVTAADTAVYYCARVEDRGAIYYEIYFDPWGQGTL</t>
  </si>
  <si>
    <t>ARANHYEYSGYFGWFDP</t>
  </si>
  <si>
    <t>GCGAGAGCAAATCACTATGAATACAGTGGTTATTTCGGCTGGTTCGACCCC</t>
  </si>
  <si>
    <t>CAGGTGCAGCTGGTGCAGTCTGGGGCTGAGGTGAAAAAGCCTGGGGCCTCAGTGAAGGTCTCCTGCAAGGCTTCTGGATACGCCTTCACCGGCTACTATATGCACTGGGTGCGACAGGCCCCTGGACAAGGGCTTGAGTGGATGGGATGGATCAACCCTAATAGTGGTGACACAAATTATGGCCAGAGTTTTCAGGGCAGGGTCACCATGACGAGGGACACGTCCCTCAGCACAGCCTACATGGAACTGCGCAGACTGAGATCTGACGACACGGCCGTATATTTTTGTGCGAGAGCAAATCACTATGAATACAGTGGTTATTTCGGCTGGTTCGACCCCTGGGGCCAGGGAACCCTGGTCATCGTCTCC</t>
  </si>
  <si>
    <t>QVQLVQSGAEVKKPGASVKVSCKASGYAFTGYYMHWVRQAPGQGLEWMGWINPNSGDTNYGQSFQGRVTMTRDTSLSTAYMELRRLRSDDTAVYFCARANHYEYSGYFGWFDPWGQGTLV</t>
  </si>
  <si>
    <t>AKENVGSSTLLGPWDYYFDS</t>
  </si>
  <si>
    <t>GCGAAAGAAAACGTGGGATCATCTACCCTTTTGGGCCCCTGGGACTACTACTTTGACTCC</t>
  </si>
  <si>
    <t>CAGCTGCAGCTGCAGGAGTCGGGCCCAGGACTGGTGAAGCCTTCGGAGACCCTGTCCCTCACCTGCACTCTCTCTGGTGGCTCCTTCAGCAGTCACTACTGGACCTGGATCCGGCAGCCCCCAGGGAAGGGGCTGGAGTGGATTGGCTATATCTCTTTCAGTGGGAGAACCAACTACAACCCCTCCCTCAAGAGTCGACTCACCCTCTCACTAGATACGCCCAAGAACCAGTTCTCCCTGAATCTGAACTCTGTGACCGCTGCGGACACGGCCGTCTATTTCTGTGCGAAAGAAAACGTGGGATCATCTACCCTTTTGGGCCCCTGGGACTACTACTTTGACTCCTGGGGCCAGGGAATCCCGGTCACCGTCTCCTCAG</t>
  </si>
  <si>
    <t>QLQLQESGPGLVKPSETLSLTCTLSGGSFSSHYWTWIRQPPGKGLEWIGYISFSGRTNYNPSLKSRLTLSLDTPKNQFSLNLNSVTAADTAVYFCAKENVGSSTLLGPWDYYFDSWGQGI</t>
  </si>
  <si>
    <t>QLQLQESGPGLVKPSETLSLTCTLSGGSFSSHYWTWIRQPPGKGLEWIGYISFSGRTNYNPSLKSRLTLSLNTPKNQFSLNLNSVTAADTAVYFCAKENVGSSTLLGPWDYYFDSWGQGI</t>
  </si>
  <si>
    <t>ARAPEGYCSGGSCWGVYFDS</t>
  </si>
  <si>
    <t>GCGAGAGCCCCCGAAGGATATTGTAGTGGTGGTAGCTGCTGGGGGGTCTACTTTGACTCC</t>
  </si>
  <si>
    <t>QVLLQESGPGLVKPSETLSLTCTVSGGSIGAYYWSWFRLAPGKGLQWIGFIYYTGSTNYNPSLKSRVTISLDTSKNRFSLRLNSVTAADTAVYYCARAPEGYCSGGSCWGVYFDSWGQGT</t>
  </si>
  <si>
    <t>ARDRGMVYAYYLDY</t>
  </si>
  <si>
    <t>GCGAGAGATCGGGGGATGGTATATGCCTACTACCTTGACTAC</t>
  </si>
  <si>
    <t>QVQLVQSGAEVKKPAASVKVSCKASGYTFTNFGINWVRQAPGQGLEWMGRISAYNGDTNYAQKLQGRVTMTTDTSTSTAYMELRSLRSDDTAVYYCARDRGMVYAYYLDYWGRGTLVTVS</t>
  </si>
  <si>
    <t>ARNTGMVTPYYIDY</t>
  </si>
  <si>
    <t>GCGAGAAATACTGGCATGGTAACTCCTTACTACATTGACTAC</t>
  </si>
  <si>
    <t>QVQLVQSGAEVKKPGASVKVSCEASGYSFTKFGINWVRQTPGQGLEWMGWISGYNGNTNYAQKLQGRVTMTTDTSTRTAYMELRSLRSDDTAVYYCARNTGMVTPYYIDYWGQGTLVTVS</t>
  </si>
  <si>
    <t>IGHV1-46</t>
  </si>
  <si>
    <t>AIFILSITTYAGY</t>
  </si>
  <si>
    <t>GCGATTTTTATCCTCTCAATTACTACTTACGCTGGCTAT</t>
  </si>
  <si>
    <t>QVQLVQSGAEVKKPGASVKVSCKASGYTFTKYYIHWVRQAPGQGLEWMGIINPSDGTTTYAQSFQGRVTMTRDTSTSTVYMALSSLRSEDTAVYYCAIFILSITTYAGYWGQGTPVTVSS</t>
  </si>
  <si>
    <t>AIFVLSIGGYQSY</t>
  </si>
  <si>
    <t>GCGATTTTTGTCTTGAGCATTGGTGGGTACCAGAGCTAT</t>
  </si>
  <si>
    <t>QVQLVQSGAEVKKPGASVKVSCKASGYTFINYYIHWVRQAPGQGLEWMGIVNPSGGSTSYAQKFQGRVTMTRDTSTSTVYMELTSLRSEDTAVYYCAIFVLSIGGYQSYWGQGTLVTVSS</t>
  </si>
  <si>
    <t>IGHV1-8</t>
  </si>
  <si>
    <t>ARGFGDFYFYGMDV</t>
  </si>
  <si>
    <t>GCGAGAGGATTCGGGGACTTCTACTTCTACGGTATGGACGTC</t>
  </si>
  <si>
    <t>QVQLVQSGAEVRKPGASVKVSCKASGYTFTSYHINWVRQATGQGLEWMGWMDPNSGNTGYAQKFQGRVIMTRNTSISTAYMELRSLRSEDTAVYYCARGFGDFYFYGMDVWGQGTTVTVS</t>
  </si>
  <si>
    <t>ARAAAMFYYHGLDV</t>
  </si>
  <si>
    <t>GCGAGGGCAGCTGCTATGTTTTATTACCACGGTCTGGACGTC</t>
  </si>
  <si>
    <t>QVQLVQSGTEVKKPGASVKVSCKASGYTFTSSDINWVRQATGQGLEWMGWMNPTSGKTGYAQKFQGRITMTRNTSISTAYMELSSLKSEDTAVYYCARAAAMFYYHGLDVWGQGTTVAVS</t>
  </si>
  <si>
    <t>ARARFGDIFYDY</t>
  </si>
  <si>
    <t>GCAAGAGCCCGGTTCGGGGACATATTTTATGACTAC</t>
  </si>
  <si>
    <t>EVQLVESGGGLAQPGGSLRLSCAAAGFTFRSYDMHWVRQTTGKGLEWVSVIGAAGDTYYADSVKGRFTISRDNARNSLYLQMNSLRAGDTAVYFCARARFGDIFYDYWGQGTLVTVSS</t>
  </si>
  <si>
    <t>ARVNNYDYSGYFGWFDP</t>
  </si>
  <si>
    <t>GCGAGAGTCAATAACTATGATTATAGTGGTTATTTCGGCTGGTTCGACCCC</t>
  </si>
  <si>
    <t>QVHLVQSGAEVKKPGASVKVSCKASGYRFIGYYMHWVRQAPGQGPEWMGWLNPNSGDTNYAQNFQGRVTMTRDTSISTAYMELRGLRSDDTAVYYCARVNNYDYSGYFGWFDPWGQGTLV</t>
  </si>
  <si>
    <t>ARAWFGELYFDY</t>
  </si>
  <si>
    <t>GCAAGAGCATGGTTCGGGGAGTTGTACTTTGACTAC</t>
  </si>
  <si>
    <t>EVQLVESGGGLVQPGGSLRLSCTASGFTLRGYDMHWVRQGPGKGLEWVASIGAASDTYYPDSVKGRFTLSRENAKNSLYLQMNNLRAEDTAVYYCARAWFGELYFDYWGQGVRVTVSS</t>
  </si>
  <si>
    <t>IGHV3-15</t>
  </si>
  <si>
    <t>TTLYYYYMDV</t>
  </si>
  <si>
    <t>ACCACACTCTACTACTACTACATGGACGTC</t>
  </si>
  <si>
    <t>EVQLVESGGGLVKPGGSLRLSCAASGFTFSKAWMSWVRQAPGKGLEWVGRIKSNPDGGAADYAAPVKGRFTISRDDSKNTLYLQMNSLKAEDTAVYYCTTLYYYYMDVWGKGTTVTVSS</t>
  </si>
  <si>
    <t>TTRHHRGMDV</t>
  </si>
  <si>
    <t>ACCACCCGACACCACCGCGGTATGGACGTC</t>
  </si>
  <si>
    <t>EVQLVESGGGLVKPGRSLRISCAASGITFNKAWMNWVRLAPGKGLEWVGRIKSNGDGGKRDYAAPVTGRFTISRDDSKNTLYLQMNSLKTEDTAVYFRTTRHHRGMDVWGQGTTVTVSS</t>
  </si>
  <si>
    <t>ARDLQYQMLYIDAFDL</t>
  </si>
  <si>
    <t>GCGAGAGACCTCCAGTACCAGATGCTATATATTGATGCTTTTGATCTC</t>
  </si>
  <si>
    <t>GAGGTGCAGCTGGTGGAGTCTGGGGGAGGCCTGGTCAAGCCTGGGGGGTCCCTGAGACTCTCCTGTGTAGCCTCTGGATTCGACTTCAGTAGATCTATCATGAACTGGGTCCGCCAGGCTCCAGGGCAGGGGCTGGAATGGGTCTCAAATATCAGTAGTAGTAGTAGTTTCATATACTACGCAGACTCAGTGAAGGGCCGATTCACCATCTCTAGAGACAACGCCAAGAAATCATTGTATCTGCAAATGGACAGCCTGAGAGCCGAGGACACGGCTGTGTATTATTGTGCGAGAGACCTCCAGTACCAGATGCTATATATTGATGCTTTTGATCTCTGGGGCCAAGGGACAATGGTCACCGTCTCTTCAG</t>
  </si>
  <si>
    <t>EVQLVESGGGLVKPGGSLRLSCVASGFDFSRSIMNWVRQAPGQGLEWVSNISSSSSFIYYADSVKGRFTISRDNAKKSLYLQMDSLRAEDTAVYYCARDLQYQMLYIDAFDLWGQGTMVT</t>
  </si>
  <si>
    <t>ARTLGDSLLYLDAFDI</t>
  </si>
  <si>
    <t>GCGAGGACTTTGGGGGACTCATTGTTATACCTTGATGCTTTTGATATC</t>
  </si>
  <si>
    <t>QVQLVQSGGGLVKPGGSLRLSCAASGFTFSTYIMNWVRQAPGKGLEWVSSISSSSTYKYYADSVKGRFTISRDNAKNSLDLQMNSLRAEDTAVYYCARTLGDSLLYLDAFDIWGQGTLVT</t>
  </si>
  <si>
    <t>ARDIIRAANYYYYGMDL</t>
  </si>
  <si>
    <t>IGHD6-25</t>
  </si>
  <si>
    <t>GCGAGAGATATAATACGGGCAGCGAACTACTACTACTACGGTATGGACCTC</t>
  </si>
  <si>
    <t>GGGGGAGGCCTGGTCAAGCCTGGGGGGTCCCTGAGACTCTCCTGTGCAGCCTCTGGATTCACCTTCAGTGCCTATAGCTTTAACTGGGTCCGCCAGGCTCCAGGGAAGGGGCCGGAGTGGGTCTCATCCATTAATATTAGGAGTACTTACATATACTACGCAGACTCAGTGAAGGGCCGATTCACCGTCTCCAGAGACAACGCCAAGAACTCACTGTATCTGCACATGAACAGCCTGAGAGCCGAGGACACGGCTGTGTATTACTGTGCGAGAGATATAATACGGGCAGCGAACTACTACTACTACGGTATGGACCTCTGGGGCCAAGGGACCACGGTCACCGTCTCCTCAG</t>
  </si>
  <si>
    <t>GGGLVKPGGSLRLSCAASGFTFSAYSFNWVRQAPGKGPEWVSSINIRSTYIYYADSVKGRFTVSRDNAKNSLYLHMNSLRAEDTAVYYCARDIIRAANYYYYGMDLWGQGTTVTVSS</t>
  </si>
  <si>
    <t>ARDSSGYYSHYYYGMDV</t>
  </si>
  <si>
    <t>GCGAGGGATAGTAGTGGTTATTACTCTCACTACTACTACGGTATGGACGTC</t>
  </si>
  <si>
    <t>EVQLVESGGGLVKPGGSLRLSCAASGFTFSSYSMNWVRQAPGKGLEWVSSISSSSSYIYYADSVKGRFTISRDNAKNSLYLQMNSLRAEDTAVYYCARDSSGYYSHYYYGMDVWGQGTTV</t>
  </si>
  <si>
    <t>AKERSPDYFNGMDV</t>
  </si>
  <si>
    <t>GCGAAAGAGAGGAGTCCGGACTACTTCAACGGTATGGACGTC</t>
  </si>
  <si>
    <t>EVHLVESGGGLVQPGGSLRLSCVASGFALSDYAMSWVRQAPGKGLEWVSGITGSGWTRYDAASLKGRISISRDNSKNTLYLEMTSLRAEDTALYYCAKERSPDYFNGMDVWGRGTTVTVS</t>
  </si>
  <si>
    <t>AKDITVARLYGMDV</t>
  </si>
  <si>
    <t>GCGAAAGATATAACAGTGGCTCGATTATACGGTATGGACGTC</t>
  </si>
  <si>
    <t>EVQLVESGGGLVQPGGSLRLSCAASGFTFSSYVMSWVRQAPGKGLEWVSGIIGNGDVTYYADSVKGRFTISRDNSKNTLYLQMNSLRAEDTAVYYCAKDITVARLYGMDVWGQGTTVTVS</t>
  </si>
  <si>
    <t>TKSRVVVVAATYFDY</t>
  </si>
  <si>
    <t>ACGAAATCCCGGGTAGTGGTGGTAGCTGCTACCTACTTTGACTAC</t>
  </si>
  <si>
    <t>CAGGTGCAACTGGTGGAGTCTGGGGGAGGCGTGGTCCAGCCTGGGGGGTCCCTGAGACTCTCCTGTGTAGCTTCTGGATTCACCTTTAGTGACTATGGCTTGCACTGGGTCCGCCAGGCTCCAGGCAAGGGGCTGGAGTGGGTGGCACTTATAAGGTATGATGGAAGTGATAAATACTACGCAGACTCCGTGAAGGGCCGATTCACCATCTCCAGAGACAATTCCAAGAACACGCTGTATCTGCAAATGAACAGCCTGAGAGCTGAGGACACGGCTGTGTATTACTGTACGAAATCCCGGGTAGTGGTGGTAGCTGCTACCTACTTTGACTACTGGGGCCAGGGAACCCTGGTCACCGTCTCCTCAG</t>
  </si>
  <si>
    <t>QVQLVESGGGVVQPGGSLRLSCVASGFTFSDYGLHWVRQAPGKGLEWVALIRYDGSDKYYADSVKGRFTISRDNSKNTLYLQMNSLRAEDTAVYYCTKSRVVVVAATYFDYWGQGTLVTV</t>
  </si>
  <si>
    <t>GCGAGAGTAAATAAGGATGATTATAGTGGTTATTTCGGCTGGTTCGACCCC</t>
  </si>
  <si>
    <t>QVQLVQSGAEVKKPGASVKVSCKASGYRFIGYYMHWVRQAPGQGLEWMGWINPNSGGTNYAQKFQGRVTMTRDTSISTAYMELSRLRSDDTAVYYCARVNKDDYSGYFGWFDPWGQGTLV</t>
  </si>
  <si>
    <t>AKGRAPVAGTSYFDY</t>
  </si>
  <si>
    <t>GCGAAAGGGAGGGCGCCAGTGGCTGGTACATCGTACTTTGACTAC</t>
  </si>
  <si>
    <t>EVQLVESGGGVVQPGRSLRLSCAASGFTFSSYGMHWVRQAPGKGLEWVAVISYDGSNKYYADSVKGRFTISRDNSKNTLYLQMNSLRAEDTAVYYCAKGRAPVAGTSYFDYWGQGTLVTV</t>
  </si>
  <si>
    <t>AKVGPHFVVAYYFDY</t>
  </si>
  <si>
    <t>GCGAAAGTGGGCCCCCATTTTGTGGTGGCGTACTACTTTGACTAC</t>
  </si>
  <si>
    <t>GGGGGAGGCGTGGTCCAGCCTGGGAGGTCCCTGAGACTCTCCTGTGCAGCCTCTGGATTCACCTTCAGTAGCCATGGCATGCACTGGGTCCGCCAGGCTCCAGGCAAGGGGCTGGAGTGGGTGGCAGTTATATCATATGATGGAAGTAATAAATATTATGCAGATTCCGTGAAGGGCCGATTCACCATCTCCAGAGACAATTCCAAGAACACGCTGTATCTGCAAATGAACAGCCTGAGAGCTGAGGACACGGCTGTGTATTACTGTGCGAAAGTGGGCCCCCATTTTGTGGTGGCGTACTACTTTGACTACTGGGGCCAGGGAACCCTGGTCACCGTCTCCTCAG</t>
  </si>
  <si>
    <t>GGGVVQPGRSLRLSCAASGFTFSSHGMHWVRQAPGKGLEWVAVISYDGSNKYYADSVKGRFTISRDNSKNTLYLQMNSLRAEDTAVYYCAKVGPHFVVAYYFDYWGQGTLVTVSS</t>
  </si>
  <si>
    <t>ARVGIFGMIAYYFDY</t>
  </si>
  <si>
    <t>GCGAGAGTTGGGATTTTTGGAATGATTGCGTACTACTTTGACTAC</t>
  </si>
  <si>
    <t>QVQLVESGGGVVQPGRSLRLSCAASGFTFSDYSFHWVRQAPGKGLEWVAVISYDGSNKYYVDSVKGRFTISRDNSKRTLHLQMNSLRAEDTAVYYCARVGIFGMIAYYFDYWGQGTLVTV</t>
  </si>
  <si>
    <t>AKDVFLKDDFWSGPFDY</t>
  </si>
  <si>
    <t>GCAAAAGATGTATTCCTCAAGGACGATTTTTGGAGTGGACCCTTTGACTAC</t>
  </si>
  <si>
    <t>GAGGTGCAGCTGGTGGAGTCTGGGGGAGTCGTGGGACAGCCTGGGGGGTCCCTGAGACTCTCCTGTGCAGCCTCTGGGTTCACCTTTGATGATTATAACATGCACTGGGTCCGTCAAGCTCCGGGGAAGGGTCTGGAGTGGGTCTCTCTCATTTATGGGGATGGAGGTAGCACATACTATGCAGACTCTGTGAAGGGCCGATTCACCATCTCCAGAGACAACAGGAAAAACTCCCTGTATCTGCAAATGAACAGTCTGAGAATTGAGGACACCGCCTTGTATTTCTGTGCAAAAGATGTATTCCTCAAGGACGATTTTTGGAGTGGACCCTTTGACTACTGGGGCCAGGGCACGCTGGTCACCGTCTCCTCAG</t>
  </si>
  <si>
    <t>EVQLVESGGVVGQPGGSLRLSCAASGFTFDDYNMHWVRQAPGKGLEWVSLIYGDGGSTYYADSVKGRFTISRDNRKNSLYLQMNSLRIEDTALYFCAKDVFLKDDFWSGPFDYWGQGTLV</t>
  </si>
  <si>
    <t>AKVMEEEHDFWSGTFDY</t>
  </si>
  <si>
    <t>GCAAAAGTCATGGAGGAGGAACACGATTTTTGGAGTGGTACTTTTGACTAC</t>
  </si>
  <si>
    <t>EVQLVESGGGVVQPGGSLRLSCAASGFTFDNYAIHWVRQAPGKGLEWVSLISGDGGSTYYADSVKGRFTISRDNSKNSLYLQMNRLRTEDTALYYCAKVMEEEHDFWSGTFDYWGQGTLV</t>
  </si>
  <si>
    <t>ARVPWGQFHFDY</t>
  </si>
  <si>
    <t>GCGAGAGTCCCCTGGGGCCAATTCCACTTTGACTAT</t>
  </si>
  <si>
    <t>GAGGTGCAGCTGGTGGAGTCTGGGGGAGGCATGGTACAGCCTGGGGGGTCCCTGAGACTCTCCTGTGCAGACTCTGGATTCACCTTCAGTAGCTATAGCATGAGCTGGGTCCGCCAGGCTCCAGGGAAGGGGCTGGAGTGGGTTTCATACATTAGTAGTAGTAGTAGTACCATATACTACGCAGACTCTGTGAAGGGCCGATTCACCATCTCCAGAGACAATGCCAAGAACTCACTGTATCTGCAAATGAACAGCCTGAGAGCCGAGGACACGGCTGTGTATTACTGTGCGAGAGTCCCCTGGGGCCAATTCCACTTTGACTATTGGGGCCAGGGAACCCTGGTCACCGTCTCCTCAG</t>
  </si>
  <si>
    <t>EVQLVESGGGMVQPGGSLRLSCADSGFTFSSYSMSWVRQAPGKGLEWVSYISSSSSTIYYADSVKGRFTISRDNAKNSLYLQMNSLRAEDTAVYYCARVPWGQFHFDYWGQGTLVTVSS</t>
  </si>
  <si>
    <t>ARVYMRTFYFDN</t>
  </si>
  <si>
    <t>GCGAGAGTGTACATGCGCACTTTCTACTTTGACAAC</t>
  </si>
  <si>
    <t>EVQLVESGGGLVQPGGSLRLSCAASGFTFSTYSMNWLRQAPGKGLEWISFISIRSTTTYYADSVKGRFTISRDDAKNSLYLQMNSLRDEDTAVYYCARVYMRTFYFDNWGQGTLVTVSS</t>
  </si>
  <si>
    <t>ARDQLWFGESPLYYFDY</t>
  </si>
  <si>
    <t>GCGAGAGATCAGCTGTGGTTCGGGGAGTCCCCCCTATACTACTTTGACTAC</t>
  </si>
  <si>
    <t>GGGGGAGGCTTGGTACAGCCTGGGGGGTCCCTGAGACTCTCCTGTGCAGCCTCTGGATTCACCTTCAATAGCAATAACATGAACTGGGTCCGCCAGGCTCCAGGGAAGGGGCTGGAATGGGTTTCATCCATTAGTAGTAGTGGTAGTACCATATACTACGCAGACTCTGTGAAGGGCCGATTCACCATCTCCAGAGACATTGCCAAGAACTCACTGTTTCTGCAAATGAACAGCCTGAGAGACGAGGACACGGCTGTGTATTACTGTGCGAGAGATCAGCTGTGGTTCGGGGAGTCCCCCCTATACTACTTTGACTACTGGGGCCAGGGAACCCTGGTCACCGTCTCCTCAG</t>
  </si>
  <si>
    <t>GGGLVQPGGSLRLSCAASGFTFNSNNMNWVRQAPGKGLEWVSSISSSGSTIYYADSVKGRFTISRDIAKNSLFLQMNSLRDEDTAVYYCARDQLWFGESPLYYFDYWGQGTLVTVSS</t>
  </si>
  <si>
    <t>ARGLLWFADLPSYYFDY</t>
  </si>
  <si>
    <t>GCGAGAGGGCTACTGTGGTTCGCGGACTTACCCTCATACTACTTTGACTAC</t>
  </si>
  <si>
    <t>GAGGTACAGCTGGTGGAGTCTGGGGGAGGCTTGGTGCAGCCTGGAGGGTCCCTAAGACTCTCCTGTGCAGCCTCTGGATTCACCTTCAGTGATTATGAGATGAACTGGGTCCGCCAGGCTCCAGGGAAGGGGCTGGAGTGGGTTTCATACATTAGTACTAGTAGTGGTCTCATACACTACGCAGACTCTGTGAAGGGCCGATTCACCATCTCCAGAGACAACGCCGACAACTCACTGTATCTCCAAATGGACAGCCTGAGAGCCGAGGACACGGCTATTTATTACTGTGCGAGAGGGCTACTGTGGTTCGCGGACTTACCCTCATACTACTTTGACTACTGGGGCCAGGGAACGCTGGTCGCCGTCTCCTCAG</t>
  </si>
  <si>
    <t>EVQLVESGGGLVQPGGSLRLSCAASGFTFSDYEMNWVRQAPGKGLEWVSYISTSSGLIHYADSVKGRFTISRDNADNSLYLQMDSLRAEDTAIYYCARGLLWFADLPSYYFDYWGQGTLV</t>
  </si>
  <si>
    <t>QVQLVQSGAEVKKPGASVKVSCKASGYRFIGYYMHWVRQAPGQGLEWMGWINPNSGDTNYAQKFQGRVAMTRDAYISTAYMELSRLRSDDTAVYYCARVNKYDSSGYFGWFDPWGQGTLV</t>
  </si>
  <si>
    <t>IGHV3-49</t>
  </si>
  <si>
    <t>IRDRDFYCSSNICYTDQNHYGVDV</t>
  </si>
  <si>
    <t>ATTAGAGATCGCGACTTTTATTGTAGTAGTAACATCTGCTATACGGACCAGAACCACTACGGTGTGGACGTC</t>
  </si>
  <si>
    <t>EVQLVESGGGLVQPGRSLRLSCTASGFTFGDYAMTWVRQAPGKGLEWIGFIRSKAYGGTTEYAASVKGRFTISRDDSKSIAYLQMNSLKTEDTALYFCIRDRDFYCSSNICYTDQNHYGVDVWGQGTTVTVSS</t>
  </si>
  <si>
    <t>TRDIGPSCSDDICYSPTGQYGMDV</t>
  </si>
  <si>
    <t>ACTAGAGACATCGGCCCCTCTTGCTCTGATGACATATGTTACTCTCCCACGGGGCAGTACGGTATGGACGTC</t>
  </si>
  <si>
    <t>EVQLVESGGGLVQPGRSLRLSCTASGFSFGDYAMSWVRQAPGKGLEWVGFIRSKAYGWTTEYAASVKDRFTISREDSKNIAYLQMNRLKADDTAVYYCTRDIGPSCSDDICYSPTGQYGMDVWGQGTTVTVSS</t>
  </si>
  <si>
    <t>ARDQEDTVVLPDAMDV</t>
  </si>
  <si>
    <t>GCCAGAGATCAGGAAGATACAGTAGTACTACCAGATGCCATGGACGTC</t>
  </si>
  <si>
    <t>GAGGTGCAGTTGGTGGAGTCTGGGGGAGGCTTGGTCCAGCCTGGGGGGTCCCTGAGACTCTCCTGTGTAGCCTCTGGATTCACTTTTAGTACCTATTGGATGAGCTGGGTCCGCCAGGCTCCAGGGAAGGGGCTGGAGTGGGTGGCCAACATAAAGGAAGATGGAAGTGAGAAATATTATGTGGACTCTGTGAAGGGCCGATTCACCATCTCCAGAGACAATGCCAAGAATTCACTGTATCTGCAAATGAACAGCCTGACAGCCGAGGACACGGCTGTGTATTACTGTGCCAGAGATCAGGAAGATACAGTAGTACTACCAGATGCCATGGACGTCTGGGGCAAAGGGACCACGGTCACCGTCTCCTCAG</t>
  </si>
  <si>
    <t>EVQLVESGGGLVQPGGSLRLSCVASGFTFSTYWMSWVRQAPGKGLEWVANIKEDGSEKYYVDSVKGRFTISRDNAKNSLYLQMNSLTAEDTAVYYCARDQEDTVVLPDAMDVWGKGTTVT</t>
  </si>
  <si>
    <t>ARDVMAQEVLPYGLDV</t>
  </si>
  <si>
    <t>GCGAGAGACGTTATGGCTCAAGAAGTTTTACCCTATGGTTTGGACGTC</t>
  </si>
  <si>
    <t>EVQLVESGGGLVQPGGSLRLSCAASGFTFSTYWMTWVRQAPGKGLEWVATIKQDGSEKYYVDSVKGRFTISRDNAKNSLSLQMNSLRAEDTAVYYCARDVMAQEVLPYGLDVWGQGTTVT</t>
  </si>
  <si>
    <t>TRGSPSTSSFLYYYYMDV</t>
  </si>
  <si>
    <t>ACGAGAGGGTCGCCTAGCACTTCGTCCTTCTTGTACTACTACTACATGGACGTC</t>
  </si>
  <si>
    <t>EVQLVESGGGLVQPGGSLRLSCEVSGFTFSNYWMSWVRQAPGKGLEWVANIKEDGSEKYFVDSVKGRFTISRDNAKDSLYLQMNSLRAEDTAVYYCTRGSPSTSSFLYYYYMDVWGNGTT</t>
  </si>
  <si>
    <t>ARTRDSSSSFYYYYYMDV</t>
  </si>
  <si>
    <t>GCGAGAACACGTGATAGCAGCTCGTCTTTCTACTACTACTACTACATGGACGTC</t>
  </si>
  <si>
    <t>EVQLVESGGGLVQPGGSLRLSCAASGFTFSSYWMSWVRQAPGKGLEWVANIKQDGSEKYYVDSVKGRFTISRDNAKNSLYLQMNSLRAEDTAVYYCARTRDSSSSFYYYYYMDVWGKGTT</t>
  </si>
  <si>
    <t>ARVNYYDSSGYYGWFDP</t>
  </si>
  <si>
    <t>GCGAGAGTAAATTACTATGATAGTAGTGGTTATTACGGCTGGTTCGACCCC</t>
  </si>
  <si>
    <t>QVQLVQSGAEVKKPGASVKVSCKASGYTFTGYYMHWVRQAPGQGLEWMGWINPNSGGTNYAQKFQGRVTMTRDTSISTAYMELSRLRSDDTAVYYCARVNYYDSSGYYGWFDPWGQGTLV</t>
  </si>
  <si>
    <t>IGHV4-30-4</t>
  </si>
  <si>
    <t>ARVDHCSSDTCFLYYYVIDV</t>
  </si>
  <si>
    <t>GCCAGAGTCGACCATTGTAGTAGTGACACCTGCTTTCTCTACTACTACGTTATAGACGTC</t>
  </si>
  <si>
    <t>QVQLQESGPGLVKPSQTLSLICSVSGASISSGDYYWTWIRQPPGKGLEWIGYISHNGNTYSNPSLKSRITMSLDTSKNQFSLNLRSVTAADTAAYYCARVDHCSSDTCFLYYYVIDVWGQ</t>
  </si>
  <si>
    <t>ARVLHCNNTSCFFYYYTMDV</t>
  </si>
  <si>
    <t>GCCAGAGTCCTTCATTGTAATAATACCAGCTGCTTCTTCTACTACTACACTATGGACGTC</t>
  </si>
  <si>
    <t>QVQLQESGPGLLKPSQTLSLTCTVSGGSISSDDYYWSWIRQAPGKGLEWIGYIFYSGSPYYNPSLKSRVTISVDTSKNQFSLKVSSVTAADTAVYYCARVLHCNNTSCFFYYYTMDVWGQ</t>
  </si>
  <si>
    <t>ARGPQFLESLLISLEPFDP</t>
  </si>
  <si>
    <t>GCGAGAGGACCACAATTTTTGGAGTCATTATTAATATCGTTGGAACCCTTCGACCCC</t>
  </si>
  <si>
    <t>CAGGTGCACCTACAGCAGTGGGGCGCAGGACTGGTGAAGCCTTCGGAGACCCTGTCCATTACCTGCGGTGTCTTTGGTGGGTCCTTCAGAGATCACTACTGGAGCTGGATTCGCCAGATCTCAGGGAAGGGGCTGGAGTGGATTGGGGAAATCAATCATAGTGGAAGCACCAACTACAACCCGTCCCTCAAGAGTCGAGTCACCATGTCAATAGACACGTCCAAGAACCAGTTCTCCCTGAAGCTGAGCTCTGTGACCGCCGCGGACACGGCTGTGTATTACTGCGCGAGAGGACCACAATTTTTGGAGTCATTATTAATATCGTTGGAACCCTTCGACCCCTGGGGCCAGGGAACCCTGGTCACCGTCTCCTCAG</t>
  </si>
  <si>
    <t>QVHLQQWGAGLVKPSETLSITCGVFGGSFRDHYWSWIRQISGKGLEWIGEINHSGSTNYNPSLKSRVTMSIDTSKNQFSLKLSSVTAADTAVYYCARGPQFLESLLISLEPFDPWGQGTL</t>
  </si>
  <si>
    <t>ARGPQSFYDLLTGLNPPDS</t>
  </si>
  <si>
    <t>GCGAGAGGCCCACAGTCTTTTTACGATCTTTTGACTGGCTTAAACCCCCCCGACTCC</t>
  </si>
  <si>
    <t>QVQLQQWGAGLLKPSETLSLTCAVYGGSFSDYYWSWIRQPPGKGLEWIGEINHSGRTNYNPSLKSRVTISVDTSKNQFSLKLISVTAADTAVYFCARGPQSFYDLLTGLNPPDSWGQGTL</t>
  </si>
  <si>
    <t>ARDRGFGGLLYNWFDP</t>
  </si>
  <si>
    <t>GCGAGAGACCGTGGGTTCGGGGGCTTATTATACAACTGGTTCGACCCC</t>
  </si>
  <si>
    <t>QLLLQESGPGLVKPSETLSLTCTVSGGSISENSYYWAWIRQPPGKGLEWIGSFYYIGSTYYNPSLKNRVTISVDTSKNHFSLKLSSVTAADTAVYYCARDRGFGGLLYNWFDPWGQGILV</t>
  </si>
  <si>
    <t>ARHPLRSELLYNWFDP</t>
  </si>
  <si>
    <t>GCGAGACATCCCCTTCGGTCGGAGCTACTGTACAACTGGTTCGACCCC</t>
  </si>
  <si>
    <t>QLQLQESGPGLVKPSETLSLTCTVSGGSISSSSHHWGWIRQPPGKGLEYIGSIFYSGSTYYNPSFESRVTISVDTSKNQFSLRLRSVTAADTAVYFCARHPLRSELLYNWFDPWGQGVLV</t>
  </si>
  <si>
    <t>ARVNHYDSSGYYGWFDP</t>
  </si>
  <si>
    <t>GCGAGAGTAAATCACTATGATAGTAGTGGTTATTACGGCTGGTTCGACCCC</t>
  </si>
  <si>
    <t>QVQLVQSGAEVKKPGASVKVSCKASGYTFTGYYMHWVRQAPGQGLEWMGWINPNSGGTNYAQKFQGRVTMTRDTSISTAYMELSRLRSDDTAVYYCARVNHYDSSGYYGWFDPWGQGTLV</t>
  </si>
  <si>
    <t>ARVDYDFWSGYSSSNWFDP</t>
  </si>
  <si>
    <t>IGHD3/OR15-3a</t>
  </si>
  <si>
    <t>GCGAGAGTAGACTATGATTTTTGGAGTGGTTATTCCTCAAGTAACTGGTTCGACCCC</t>
  </si>
  <si>
    <t>QVQLQESGPGLVKPSETLSLTCTVSGVFVKSYYWTWIRQPPGKGLECIGYMYYSAIPHYNPSLQNRVTISVDTSKNQFSLKLTSVTAADTAVYYCARVDYDFWSGYSSSNWFDPWGQGIL</t>
  </si>
  <si>
    <t>VRHYSDFWSGYHTPIWFDP</t>
  </si>
  <si>
    <t>GTGAGACACTATTCCGATTTTTGGAGTGGTTATCATACCCCCATCTGGTTCGACCCC</t>
  </si>
  <si>
    <t>QVQLQESGPGLVKPSEALSLTCTVSGDSISSYYWSWIRQPPGKGLEWIGYIYYSGSTNYNPSLKSRVTISVDTSKNQFSLRLSSVTAADTAVYYCVRHYSDFWSGYHTPIWFDPWGQGTL</t>
  </si>
  <si>
    <t>AKVGEYYDFWSGYSPFEY</t>
  </si>
  <si>
    <t>GCGAAAGTGGGGGAGTATTACGATTTTTGGAGTGGTTATTCCCCCTTTGAATAC</t>
  </si>
  <si>
    <t>EVQLVESGGGLVQPGGSLRLSCAASGFTFSTYGMSWVRQAPGKGLEWVSGISGSGGITYYADSVRGRFTISRDNSKNTLYLRMNSLRAEDTAVYYCAKVGEYYDFWSGYSPFEYWGQGTL</t>
  </si>
  <si>
    <t>ARHDSSGYDAFDI</t>
  </si>
  <si>
    <t>GCTAGGCATGATAGTAGTGGTTATGATGCTTTTGATATC</t>
  </si>
  <si>
    <t>GGGGCTGAGGTGAAGAAGCCTGGGGCCTCAGTGAAGGTTTCCTGCAAGGCATCTGGATACACCTTCACCAGCTACTATATGCACTGGGTGCGACAGGCCCCTGGACAAGGGCTTGAGTGGATGGGAATAATCAACCCTAGTGGTGGTAGCACAAGCTACGCACAGAAGTTCCAGGGCAGAGTCACCATGACCAGGGACACGTCCACGAGCACAGTCTACATGGAGCTGAGCAGCCTGAGATCTGAGGACACGGCCGTGTATTACTGTGCTAGGCATGATAGTAGTGGTTATGATGCTTTTGATATCTGGGGCCAAGGGACAATGGTCACCGTCTCTTCAG</t>
  </si>
  <si>
    <t>GAEVKKPGASVKVSCKASGYTFTSYYMHWVRQAPGQGLEWMGIINPSGGSTSYAQKFQGRVTMTRDTSTSTVYMELSSLRSEDTAVYYCARHDSSGYDAFDIWGQGTMVTVSS</t>
  </si>
  <si>
    <t>ARDYYDTSGYLYVNAFDI</t>
  </si>
  <si>
    <t>GCGAGAGACTACTATGATACTAGTGGTTATCTCTACGTAAATGCTTTTGATATC</t>
  </si>
  <si>
    <t>GAGGTGCAGCTGGTGGAGTCTGGGGGAGGCCTGGTCAAGCCTGGGGGGTCCCTGAGACTCTCCTGTGCAGCCTCTGGATTCACCTTCAGTAGCTATAGCCTGAACTGGGTCCGCCAGGCTCCAGGGAAGGGGCTGGAGTGGGTCTCCTCAATTAGTAGTCGTAGTAGTTACATATTCTACGCAGACTCAGTGAAGGGCCGATTCACCATCTCCAGAGACAACGCCAATAACTCACTGTATCTGCAAATGAACAGCCTGAGAGCCGAGGACACGGCTTTGTATTACTGTGCGAGAGACTACTATGATACTAGTGGTTATCTCTACGTAAATGCTTTTGATATCTGGGGCCAAGGGACAATGGTCACCGTCTCTTCAG</t>
  </si>
  <si>
    <t>EVQLVESGGGLVKPGGSLRLSCAASGFTFSSYSLNWVRQAPGKGLEWVSSISSRSSYIFYADSVKGRFTISRDNANNSLYLQMNSLRAEDTALYYCARDYYDTSGYLYVNAFDIWGQGTM</t>
  </si>
  <si>
    <t>GCGAGACATGATAGTAGTGGTTATGATGCTTTTGATATC</t>
  </si>
  <si>
    <t>EVQLVQSGAEVKKPGASVKVSCKASGYTFTSYYMHWVRQAPGQGLEWMGIINPSGGRTSYAQKFQVRVTMTRDTSTSTVYMELSSLRSEDTAVYYCARHDSSGYDAFDIWGQGTMVTVSS</t>
  </si>
  <si>
    <t>GCGAGACATGATAGTAGTGGTTATGATGCTTTTGATATT</t>
  </si>
  <si>
    <t>QVQLVQSGAEVKKPGASVKVSCKSSGYTFTNYYMHWVRQAPGQGLEWMGIINPSGGRTSYAQKFQGRVTMTRDTSTSTVYMELSSLRSEDTAVYYCARHDSSGYDAFDIWGQGTMVTVSS</t>
  </si>
  <si>
    <t>ARDVPMDVVVVVGVPDY</t>
  </si>
  <si>
    <t>GCGAGAGATGTTCCTATGGATGTTGTGGTGGTGGTAGGTGTTCCCGACTAC</t>
  </si>
  <si>
    <t>EVQLVESGGRLVQPGGSLRLSCAASGFTFSTYWMTWVRQAPGKGPEWVASVKEDGSEKYYVDSVRGRFTISRDNAKKSLYLEMNSLRAEDTAVYYCARDVPMDVVVVVGVPDYWGQGTLV</t>
  </si>
  <si>
    <t>ARDVEGDIVVVTATLDY</t>
  </si>
  <si>
    <t>GCGAGAGATGTAGAGGGGGACATTGTCGTGGTGACTGCTACCCTTGACTAC</t>
  </si>
  <si>
    <t>GAGGTGCAGCTGGTGGAGTCTGGGGGAGGCTTGGTCCAGCCTGGGGAGTACCTGAGACTCTCCTGTGTCGCCTCTGGATTCACCTTTAGTAACTATTGGATGACCTGGGTCCGCCAGGGACCAGGGAAGGGGCTGGAGTGGGTGGCCAGCATAAAGGAAGATGGAACTGAGAAATACTATGTGGACTCTGTGAAGGGCCGATTCACCATCTCCAGAGACAACGCCAAGAACTCACTGTATCTGCAAATGAACAGCCTGAGAGCCGAGGACACGGCTGTCTATTATTGTGCGAGAGATGTAGAGGGGGACATTGTCGTGGTGACTGCTACCCTTGACTACTGGGGCCAGGGAGCCCTGGTCTCCGTCTCCGCAG</t>
  </si>
  <si>
    <t>EVQLVESGGGLVQPGEYLRLSCVASGFTFSNYWMTWVRQGPGKGLEWVASIKEDGTEKYYVDSVKGRFTISRDNAKNSLYLQMNSLRAEDTAVYYCARDVEGDIVVVTATLDYWGQGALV</t>
  </si>
  <si>
    <t>ARDIPSDIVVVVAAPDY</t>
  </si>
  <si>
    <t>GCGAGAGATATCCCCTCGGATATTGTAGTGGTGGTAGCTGCTCCCGACTAC</t>
  </si>
  <si>
    <t>EVQLVESGGGLVQPGGSLRLSCAASGFTFSSYWMSWVRQAPGKGLEWVANIKQDGSEKYYVDSVKGRFTISRDNAKNSLYLQMNSLRAEDTAVYYCARDIPSDIVVVVAAPDYWGQGTLV</t>
  </si>
  <si>
    <t>ARDVEAEIVVVVSGIAD</t>
  </si>
  <si>
    <t>GCGAGAGATGTTGAAGCGGAGATTGTAGTGGTGGTGTCTGGTATAGCGGAC</t>
  </si>
  <si>
    <t>EVRLVESGGGLVQPGGSLRLSCAASGFTFDSHWMIWLRQAPGKGLEWVANIKPDGSEKYYVDSVKGRFTISRDNAKNSLYLQMDSLRADDTAVYYCARDVEAEIVVVVSGIADWGQGTRV</t>
  </si>
  <si>
    <t>VRDVVGDVVVVVVTTDY</t>
  </si>
  <si>
    <t>GTGAGAGATGTCGTGGGAGATGTTGTTGTGGTGGTAGTGACTACTGACTAC</t>
  </si>
  <si>
    <t>EVQLVESGGGLVQPGGSLRLSCTASGFTFSSYWMSWVRQAPGMGLEWVASIKEDGSEKYYVDSVKGRFTISRDNAKNSLYLQMNSLRAEDTAVYYCVRDVVGDVVVVVVTTDYWGQGTLV</t>
  </si>
  <si>
    <t>ARRLDY</t>
  </si>
  <si>
    <t>GCGAGACGTCTCGACTAC</t>
  </si>
  <si>
    <t>QLQLQQSGPGLVKPSETLSLTCTVSGGSLSSSSYYWGWIRQSPGTGLEWIGIIYNTGRTYYNPSLRSRLTISVDMSKNQFSLKLSSVTAADTAIYYCARRLDYWGQGTLVTVSS</t>
  </si>
  <si>
    <t>ARRFDS</t>
  </si>
  <si>
    <t>GCGAGACGATTTGACTCC</t>
  </si>
  <si>
    <t>QLQLQESGPGLVKPSETLSLTCTVSGGSISTSSHYWGWIRQPPGKGLEWVGTRSNIGNTYYNPSLKSRVTIFVDTSKNQFSLRLSSVTAADTAVYYCARRFDSWGQGILVTVSS</t>
  </si>
  <si>
    <t>VRRFDY</t>
  </si>
  <si>
    <t>GTCAGACGTTTTGACTAT</t>
  </si>
  <si>
    <t>QLQLQESGPGLVKPSETLSLTCTVSGGSISSSSYYWGWIRQPPGKGLEWIGTISHSGSTYYNPSLQSRVTMSVDTSKNHFSLRLSSVTAADTAVYYCVRRFDYWGQGTLVTVSS</t>
  </si>
  <si>
    <t>ALEMGTIDDN</t>
  </si>
  <si>
    <t>GCGCTAGAGATGGGCACAATTGACGACAAC</t>
  </si>
  <si>
    <t>CAGGTCCAGCTGATGCAGTCTGGGGCTGAGGTGAAGAGGCCTGGGTCCTCGGTGAAGGTCTCTTGCAAGACTTCTGGAGGCACCTTCAGCAGATTTTCCATCAACTGGGTGCGACAGGCCCCTGGACAAGGGCTTGAGTGGATGGGAAGGATCATCCCAACCCTTAAAATGCTAAACCACGCACAGAGATTTCAGGGCAGACTCACGATCACCGCGGACGAATCCACGAGGACAGCCTTCATGGAGTTGAGCGGCCTGACATCTGAGGACACGGCCATCTATTTCTGTGCGCTAGAGATGGGCACAATTGACGACAACTGGGGCCAGGGAACGCTGGTCACCGTCTCCTCAG</t>
  </si>
  <si>
    <t>QVQLMQSGAEVKRPGSSVKVSCKTSGGTFSRFSINWVRQAPGQGLEWMGRIIPTLKMLNHAQRFQGRLTITADESTRTAFMELSGLTSEDTAIYFCALEMGTIDDNWGQGTLVTVSS</t>
  </si>
  <si>
    <t>ARDFYHSSGYLYFNAFDV</t>
  </si>
  <si>
    <t>GCGAGAGATTTCTATCATAGTAGTGGTTATCTCTACTTTAATGCTTTTGATGTC</t>
  </si>
  <si>
    <t>GAAGTGCAGCTGGTGGAATCTGGGGGAGGCCTGGTCAAGCCTGGGGGGTCCCTGAGACTCTCCTGTGAAGCCTCTGGATTCACCTTCAGCACCTATAGCATGAATTGGGTCCGCCAGGCTCCAGGGAAGGGGCTGGAGTGGGTCTCATCCATTACTAGTCGCGGTAGTTACATACACTACGCAGACTCAGTGCAGGGCCGATTCACCATCTCCAGAGACAACGCCAAGAACTCACTGTATCTGCAAATGAACAGCCTGAGAGCCGAGGACACGGCTGTCTATTACTGTGCGAGAGATTTCTATCATAGTAGTGGTTATCTCTACTTTAATGCTTTTGATGTCTGGGGCCAAGGGACAACGGTCACCGTCTCTTCAG</t>
  </si>
  <si>
    <t>EVQLVESGGGLVKPGGSLRLSCEASGFTFSTYSMNWVRQAPGKGLEWVSSITSRGSYIHYADSVQGRFTISRDNAKNSLYLQMNSLRAEDTAVYYCARDFYHSSGYLYFNAFDVWGQGTT</t>
  </si>
  <si>
    <t>ARRFDY</t>
  </si>
  <si>
    <t>GCGAGACGATTTGACTAC</t>
  </si>
  <si>
    <t>QLQLQESGPGLVKPSETLSLTCTVSGGSISSSSYYWGWIRQPPGKGLEWIGTISYSGSTYYNPSLKSRVTISLDTSKNQFSLRLSSVTAADTAVYYCARRFDYWGQGTLVTVSS</t>
  </si>
  <si>
    <t>ARRFDL</t>
  </si>
  <si>
    <t>GCGAGACGGTTTGACTTG</t>
  </si>
  <si>
    <t>QLQLQESGPGLVKPSETLSLVCTVSGGSISSSSFYWGWIRQPPGKGLEWIATISNLGSTYYNPSLKSRVTISVDTSRKHLSLKLNSVTAADTAVYFCARRFDLWGRGTLVTVSS</t>
  </si>
  <si>
    <t>AKVGEYYDFWSGYSPFDY</t>
  </si>
  <si>
    <t>GCGAAAGTGGGGGAGTATTACGATTTTTGGAGTGGTTATTCCCCCTTTGACTAC</t>
  </si>
  <si>
    <t>GGGGGAGGCTTGGTACAGCCTGGGGGGTCCCTGAGACTCTCCTGTACAGCCTCTGGATTCACCTTTAGCACCTATGCCATGAGCTGGGTCCGCCAGGCTCCAGGGAAGGGGCTGGAGTGGGTCTCAACTATTAGTGGTAGTGGTGGTAGTGGTAGTGGTGGTCGCACATACTACGCAGACTCCGTGAAGGGCCGGTTCACCATCTCCAGAGACAATTCCAAGAACACGCTGTATCTGCAAATGAACAGCCTGAGAGCCGAGGACACGGCCGTATATTACTGTGCGAAAGTGGGGGAGTATTACGATTTTTGGAGTGGTTATTCCCCCTTTGACTACTGGGGCCAGGGAACCCTGGTCACCGTCTCCTCAG</t>
  </si>
  <si>
    <t>GGGLVQPGGSLRLSCTASGFTFSTYAMSWVRQAPGKGLEWVSTISGSGGSGSGGRTYYADSVKGRFTISRDNSKNTLYLQMNSLRAEDTAVYYCAKVGEYYDFWSGYSPFDYWGQGTLVT</t>
  </si>
  <si>
    <t>GGGGGAGGCTTGGTACAGCCTGGGGGGTCCCTGAGACTCTCCTGTGCAGCCTCTGGATTCACCTTTAGCACCTATGGCATGAGCTGGGTCCGCCAGGCTCCAGGGAAGGGGCTGGAGTGGGTCTCAGGTATTAGTGGTAGTGGTGGTATCACATACTACGCAGACTCCGTGAGGGGCCGGTTCACCATCTCCAGAGACAATTCCAAGAACACGCTGTATCTGCGAATGAACAGCCTGAGAGCCGAGGACACGGCCGTATATTACTGTGCGAAAGTGGGGGAGTATTACGATTTTTGGAGTGGTTATTCCCCCTTTGAATACTGGGGCCAGGGAACCCTGGTCACCGTCTCCTCAG</t>
  </si>
  <si>
    <t>GGGLVQPGGSLRLSCAASGFTFSTYGMSWVRQAPGKGLEWVSGISGSGGITYYADSVRGRFTISRDNSKNTLYLRMNSLRAEDTAVYYCAKVGEYYDFWSGYSPFEYWGQGTLVTVSS</t>
  </si>
  <si>
    <t>AKCGEYYDFWSGYSPFDY</t>
  </si>
  <si>
    <t>GCGAAATGCGGCGAGTATTACGATTTTTGGAGTGGTTATTCCCCCTTTGACTAC</t>
  </si>
  <si>
    <t>GGGGGAGGCTTGGTACAGCCTGGGGGGTCCCTGAGACTCTCCTGTGCAGCCTCTGGATTCACCTTTAGCACCTATGCCATGAGCTGGGTCCGCCAGGCTCCAGGGAAGGGGCTGGAGTGGGTCTCAGCTATTGTTGGTAGTGGTGGTAGCACATACTACGCAGACTCCGTGAAGGGCCGGTTCACCATCTCCAGAGACAATTCCAAGAACACCCTGTATCTGCAAATGAACAGCCTGAGAGCCGAGGACACGGCCGTATATTACTGTGCGAAATGCGGCGAGTATTACGATTTTTGGAGTGGTTATTCCCCCTTTGACTACTGGGGCCAGGGAACCCTGGTCACCGTCTCCTCAG</t>
  </si>
  <si>
    <t>GGGLVQPGGSLRLSCAASGFTFSTYAMSWVRQAPGKGLEWVSAIVGSGGSTYYADSVKGRFTISRDNSKNTLYLQMNSLRAEDTAVYYCAKCGEYYDFWSGYSPFDYWGQGTLVTVSS</t>
  </si>
  <si>
    <t>AAPGEYYDFWSGWAPLGH</t>
  </si>
  <si>
    <t>GCGGCCCCGGGCGAGTATTACGATTTTTGGAGTGGTTGGGCTCCCCTGGGCCAC</t>
  </si>
  <si>
    <t>GAGGTGCAGCTGTTGGAGTCTGGGGGAGGCTTGGTGCAGCCTGGGGGGTCCCTGAGACTCTCCTGTGCAGCCTCTGGATTCCCCTTTAGTAGTTATGCCATGAGCTGGGTCCGCCAGGCTCCAGGAAAGGGGCTGGAGTGGGTCTCAATTATTGTTGGCAGTGGTGGTATCACATACTACGCAGACTCCGTGAAGGGCCGGTTCACCATCTCCAGAGACAATTCCAAGAACACGCTGTCTCTGCAAATGAACAGCCTGAGAGCCGACGACACGGCCGTATATTACTGTGCGGCCCCGGGCGAGTATTACGATTTTTGGAGTGGTTGGGCTCCCCTGGGCCACTGGGGCCAGGGAACGCTGGTCACCGTCTCCTCAG</t>
  </si>
  <si>
    <t>EVQLLESGGGLVQPGGSLRLSCAASGFPFSSYAMSWVRQAPGKGLEWVSIIVGSGGITYYADSVKGRFTISRDNSKNTLSLQMNSLRADDTAVYYCAAPGEYYDFWSGWAPLGHWGQGTL</t>
  </si>
  <si>
    <t>AKAGEYYDFWSGYSPIDY</t>
  </si>
  <si>
    <t>GCGAAAGCCGGCGAGTATTACGATTTTTGGAGTGGTTATTCTCCCATTGACTAC</t>
  </si>
  <si>
    <t>GAGGTGCAGCTGTTGGAGTCTGGGGGAGGGTTGGTACAGCCTGGGGGGTCCCTGAGACTCTCCTGTACAGCCTCTGGATTCACCTTTAGCACCTATGGCATGAGCTGGGTCCGCCAGGCTCCAGGGAAGGGGCTGGAGTGGGTCTCAGGTATTGCCGGTAGTGGCGGTATCACATACTACGCAGACTCCGTGAAGGGCCGGTTCACCATCTCCAGAGACAATTCCAAGAACACGGTGTATCTGCAAATGAGTAGCCTGAGAGCCGAGGACACGGCCGTATATTACTGTGCGAAAGCCGGCGAGTATTACGATTTTTGGAGTGGTTATTCTCCCATTGACTACTGGGGCCAGGGAACGCTGGTCACCGTCTCCTCAG</t>
  </si>
  <si>
    <t>EVQLLESGGGLVQPGGSLRLSCTASGFTFSTYGMSWVRQAPGKGLEWVSGIAGSGGITYYADSVKGRFTISRDNSKNTVYLQMSSLRAEDTAVYYCAKAGEYYDFWSGYSPIDYWGQGTL</t>
  </si>
  <si>
    <t>AACGPYYDFWSGKSPWDS</t>
  </si>
  <si>
    <t>GCGGCTTGCGGGCCTTATTACGATTTCTGGAGTGGCAAATCTCCCTGGGACTCC</t>
  </si>
  <si>
    <t>GAGGTGCAACTGTTGGAGTCTGGGGGAGGCCTGGCACAGCCTGGGGGGTCCCTGAGACTCTCCTGTGCAGCCTCTGGATTCCCCTTTAGCAGCTTTGCCATGAGCTGGGTCCGCCAGTCTCCAGGGAAGGGGCTGGAGTGGGTCGCAACCATTACTGGTAGTCCTGCTATGACATTCCACTCAGGTTCCGTGAGGGGCCGATTCACCATCTCCAGAGACAGTTCCAAGAACAGACTATATCTGCAAATGAGCAGCCTGAGAGCCGAGGACACGGCCGTATATTTCTGTGCGGCTTGCGGGCCTTATTACGATTTCTGGAGTGGCAAATCTCCCTGGGACTCCTGGGGCCAGGGAACCCTGGTCACCGTCTCCTCAG</t>
  </si>
  <si>
    <t>EVQLLESGGGLAQPGGSLRLSCAASGFPFSSFAMSWVRQSPGKGLEWVATITGSPAMTFHSGSVRGRFTISRDSSKNRLYLQMSSLRAEDTAVYFCAACGPYYDFWSGKSPWDSWGQGTL</t>
  </si>
  <si>
    <t>AACGPYYDFWSGKSPWDY</t>
  </si>
  <si>
    <t>GCGGCTTGCGGGCCGTATTACGATTTTTGGAGTGGCAAATCTCCCTGGGACTAC</t>
  </si>
  <si>
    <t>GAGGTGCTGCTATTGGAGTCTGGGGGAGACTTGATACAGCCTGGGGGGTCCCTGAGACTCTCCTGTGCAGCCTCTGGATTCCCCTTTAGCCCCTATGCCATGAGTTGGGTCCGCCAGGCTCCAGGGAAGGGCCTGGAGTGGGTCTCAACTATTAGTGGTAGTGGTACTATCACATACTTCGCAGACTCCGTGAGGGGCCGGTTCACCATCTCCAGAGACAATTCCAAGAATACTCTGTATCTGCAAATGAGGAGCCTGAGAGCCGAGGACACGGCCGTATATTACTGTGCGGCTTGCGGGCCGTATTACGATTTTTGGAGTGGCAAATCTCCCTGGGACTACTGGGGCCAGGGAACGCTGGTCACCGTCTCCTCAG</t>
  </si>
  <si>
    <t>EVLLLESGGDLIQPGGSLRLSCAASGFPFSPYAMSWVRQAPGKGLEWVSTISGSGTITYFADSVRGRFTISRDNSKNTLYLQMRSLRAEDTAVYYCAACGPYYDFWSGKSPWDYWGQGTL</t>
  </si>
  <si>
    <t>AAPGEYYDFWSGRAPLAY</t>
  </si>
  <si>
    <t>GCGGCCCCGGGCGAGTATTATGATTTTTGGAGTGGTCGGGCTCCCCTGGCCTAC</t>
  </si>
  <si>
    <t>GAGGTGCAGCTGTTGGAGTCTGGGGGACGGTTGGTACAGCCTGGGGGGTCCCTGAGACTCTCCTGTGCAGCCTCTGGATTCCCCTTTAGCAGTTATGCCTTGACCTGGGTCCGCCAGGCTCCAGGGAGGGGGCTGGAGTGGGTCTCAGTTATTAGTGGTAGTGGGGGGGGTAGTATTATCACACACTACACAGACCCCGTGAAGGGCCGGTTCACCATCTCCAGAGACACTTCCAAGAACACTCTGTATCTGCAAATGAACAGCCTGAGAGCCGAGGACACGGCCGTATATTATTGTGCGGCCCCGGGCGAGTATTATGATTTTTGGAGTGGTCGGGCTCCCCTGGCCTACTGGGGCCAGGGAACGCTGGTCACCGTCTCCTCAG</t>
  </si>
  <si>
    <t>EVQLLESGGRLVQPGGSLRLSCAASGFPFSSYALTWVRQAPGRGLEWVSVISGSGGGSIITHYTDPVKGRFTISRDTSKNTLYLQMNSLRAEDTAVYYCAAPGEYYDFWSGRAPLAYWGQ</t>
  </si>
  <si>
    <t>ARDYFHSSGYLYFNAFDI</t>
  </si>
  <si>
    <t>GCGAGAGATTATTTTCACAGTAGTGGTTATTTGTACTTTAATGCTTTTGATATC</t>
  </si>
  <si>
    <t>EVQLMESGGGLVKPGGSLRLSCVASGFTFSGYSMNWVRQAPGKGLEWVSSITSGGSYTDYADSVKGRFTISRDNAKNSVYLQMNSLRAEDTAVYYCARDYFHSSGYLYFNAFDIWGQGTM</t>
  </si>
  <si>
    <t>AACGPYYDFWSGKSPWEY</t>
  </si>
  <si>
    <t>GCGGCTTGCGGGCCGTATTACGATTTTTGGAGTGGCAAATCTCCCTGGGAGTAC</t>
  </si>
  <si>
    <t>EVLLLESGGDLIQPGGSLRLSCAASGFIFSPYAMSWVRQAPGKGLEWVSTISGSGTLTYFADSVRGRFTISRDDSKNTLYLQMSSLRAEDTAVYYCAACGPYYDFWSGKSPWEYWGQGTL</t>
  </si>
  <si>
    <t>GCGGCCCCGGGCGAATATTACGATTTTTGGAGTGGGTGGGCTCCCCTGGGCCAC</t>
  </si>
  <si>
    <t>EVQLLESGGGLVQPGGSLRLSCAASGFPFSSYAMTWVRQAPGKGLECVSVIVGSGGIRHYADSVKGRFTISRDNSKNTLSLQMNSLRADDTAVYYCAAPGEYYDFWSGWAPLGHWGRGTL</t>
  </si>
  <si>
    <t>GGGGGAGGCTTGGTACAGCCTGGGGGGTCCCTGAGACTCTCCTGTGCAGCCTCTGGATTCACCTTTAGCATCTATGGCATGAGCTGGGTCCGCCAGGCTCCAGGGAAGGGGCTGGAGTGGGTCTCAGGTATAAGTGGTAGTGGTGGTACCACATACTACGCAGACTCCGTGAAGGGCCGGTTCACCATCTCCAGAGACAATTCCAAGAACACGCTGTATCTGCAAATGAACAGCCTGAGAGCCGAGGACACGGCCGTATATTACTGTGCGAAATGCGGCGAGTATTACGATTTTTGGAGTGGTTATTCCCCCTTTGACTACTGGGGCCAGGGAACCCTGGTCACCGTCTCCTCAG</t>
  </si>
  <si>
    <t>GGGLVQPGGSLRLSCAASGFTFSIYGMSWVRQAPGKGLEWVSGISGSGGTTYYADSVKGRFTISRDNSKNTLYLQMNSLRAEDTAVYYCAKCGEYYDFWSGYSPFDYWGQGTLVTVSS</t>
  </si>
  <si>
    <t>GCGGCCCCGGGCGAGTATTACGATTTTTGGAGTGGGTGGGCTCCCCTGGGCCAC</t>
  </si>
  <si>
    <t>EVQLLESGGGLVQPGGSLRLSCAASGFPFSSYAMTWVRQAPGKGLEWVSVIVGSGGIKHYADSVKGRFTISRDNSKNTMSLQMNSLRADDTAVYYCAAPGEYYDFWSGWAPLGHWGQGTL</t>
  </si>
  <si>
    <t>ARHGHNGMGV</t>
  </si>
  <si>
    <t>GCGAGACATGGACATAACGGTATGGGCGTC</t>
  </si>
  <si>
    <t>GGCGCAGGACTGTTGAAGCCTTCGGAGACCCTGTCCCTCACCTGCGCTGTCTATGGTGGGTCCTTCAGTGGCTACTACTGGAGCTGGGTCCGCCAGCCCCCAGGGAAGGGGCTGGAGTGGATTGGGGAAATCAATGATAGTGGAAGCACCAACTACATCCCGTCCCTCAAGAGTCGAGTCACCATATCAGTAGACACGTCCAAGAACCACCTCTCCCTGAGGCTGAGCTCTGTGACCGCCGCGGACACGGCTCTGTATTATTGTGCGAGACATGGACATAACGGTATGGGCGTCTGGGGCAAAGGGACCACGGTCACCGTCTCCTCAG</t>
  </si>
  <si>
    <t>GAGLLKPSETLSLTCAVYGGSFSGYYWSWVRQPPGKGLEWIGEINDSGSTNYIPSLKSRVTISVDTSKNHLSLRLSSVTAADTALYYCARHGHNGMGVWGKGTTVTVSS</t>
  </si>
  <si>
    <t>SRHGHNGMDV</t>
  </si>
  <si>
    <t>TCGAGACACGGTCATAACGGTATGGACGTC</t>
  </si>
  <si>
    <t>CAGGTGCAGCTCCAGCAATGGGGCGCAGGACTGTTGAAGCCTTCGGAGACCCTGTCCCTCACCTGCGCTGTCTATGGTGGGTCCTTCAGGGGTTACTACTGGAGCTGGATCCGTCAGCCCCCAGGGGAGGGGCTGGAGTGGATTGGGGAAATCAACGATAGTGGAAGCACCAAATATAACTCGTCCCTCAAGAGTCGAGTCAGGATATCACTAGACACGTCCAAGAACCAGATGTCCCTGAAACTGAGCTCTGTGACCGACGCGGACACGGCTGTGTTTTACTGTTCGAGACACGGTCATAACGGTATGGACGTCTGGGGCCAAGGGACCACGGTCACCGTCTCCTCAG</t>
  </si>
  <si>
    <t>QVQLQQWGAGLLKPSETLSLTCAVYGGSFRGYYWSWIRQPPGEGLEWIGEINDSGSTKYNSSLKSRVRISLDTSKNQMSLKLSSVTDADTAVFYCSRHGHNGMDVWGQGTTVTVSS</t>
  </si>
  <si>
    <t>ARHSHYGMDV</t>
  </si>
  <si>
    <t>IGHD4-11</t>
  </si>
  <si>
    <t>GCGCGACACAGTCATTACGGTATGGACGTC</t>
  </si>
  <si>
    <t>CAGGTGCAGCTACAGCAGTGGGGCGCAGGACTGTTGAAGCCTTCGGAGACCCTGTCCCTCACCTGCGCTGTCTATGGTGGGTCCTTCAGAGGTTACTACTGGAGCTGGATCCGCCAGCCCCCAGGGAAGGGGCTGGAGTGGATTGGGGAAATCAATGATAGTGGAAGTACCAAGTACATCCCGTCCCTCAAGAGTCGAGTCACCATATCATTAGACACGTCCAAGAACCAGTTCTCCCTGAAGCTGAGGTCGGTGACCGCCGCGGACACGGCTGTGTATTACTGTGCGCGACACAGTCATTACGGTATGGACGTCTGGGGCCAAGGGACCACGGTCACCGTCTCCTCAG</t>
  </si>
  <si>
    <t>QVQLQQWGAGLLKPSETLSLTCAVYGGSFRGYYWSWIRQPPGKGLEWIGEINDSGSTKYIPSLKSRVTISLDTSKNQFSLKLRSVTAADTAVYYCARHSHYGMDVWGQGTTVTVSS</t>
  </si>
  <si>
    <t>ARHSHDGMDV</t>
  </si>
  <si>
    <t>GCGAGACACTCCCACGACGGTATGGACGTC</t>
  </si>
  <si>
    <t>CAGGTGCAGCTACAGCAGTGGGGCGCAGGACTGTTGAAGCCTTCGGAGACCCTGTCCCTCACCTGCGCTGTCTATGGTAGGTCCTTCAGAGGTTACTACTGGAGTTGGATCCGCCAGCCCCCAGGGAAGGGGCTGGAGTGGATTGGAGAAATCAATGATAGTGGAAGCACCCAGTACAAACCGTCCCTCAAGAGTCGAGTCACCATATCACTAGACACGTCCAAGAACCAGTTCTCCCTGAACCTGACCTCTGTGACCGCCGCGGACACGGCTGTCTATTACTGTGCGAGACACTCCCACGACGGTATGGACGTCTGGGGCCAAGGGACCACGGTCACCGTCTCCTCAG</t>
  </si>
  <si>
    <t>QVQLQQWGAGLLKPSETLSLTCAVYGRSFRGYYWSWIRQPPGKGLEWIGEINDSGSTQYKPSLKSRVTISLDTSKNQFSLNLTSVTAADTAVYYCARHSHDGMDVWGQGTTVTVSS</t>
  </si>
  <si>
    <t>ARHGHTGMDV</t>
  </si>
  <si>
    <t>GCGAGACACGGCCACACCGGCATGGACGTC</t>
  </si>
  <si>
    <t>QVQLQQWGAGLLKPSETLSLTCAVYRGSFITYYWSWVRQPPGRGLEWIGEIYKDGSASYNPSLKNRVTISLDMSKNHFSLNLDSVTAADTAVYYCARHGHTGMDVWGQGTTVTVSS</t>
  </si>
  <si>
    <t>ARDLGMVYRYYFDY</t>
  </si>
  <si>
    <t>GCGAGAGATCTCGGAATGGTGTACAGATACTACTTTGACTAC</t>
  </si>
  <si>
    <t>GGAGCTGAGGTGAAGAGGCCTGGGGCCTCAGTGAGGGTCTCCTGCAAGGCTTCTGGTTACACCTTTACCAGATATGGCATCAACTGGGTGCGACAGGCCCCTGGACAAGGGCTTGAGTGGATGGGATGGATCAGCGCTTACAATGGTAACACAAACTATGCACAGAAGCTCCAGGGCAGAGTCACCATGACCACAGACACATCCACGAGCACAGCCTACATGGAGCTGAGGAGCCTGAGATCTGACGACACGGCCGTGTATTACTGTGCGAGAGATCTCGGAATGGTGTACAGATACTACTTTGACTACTGGGGCCAGGGAACCCTGGTCACCGTCTCCTCAG</t>
  </si>
  <si>
    <t>GAEVKRPGASVRVSCKASGYTFTRYGINWVRQAPGQGLEWMGWISAYNGNTNYAQKLQGRVTMTTDTSTSTAYMELRSLRSDDTAVYYCARDLGMVYRYYFDYWGQGTLVTVSS</t>
  </si>
  <si>
    <t>ARDYYHSSGYLYVNAFDI</t>
  </si>
  <si>
    <t>GCGAGAGACTACTATCATAGTAGTGGTTATCTCTACGTAAATGCTTTTGATATC</t>
  </si>
  <si>
    <t>EVQLVESGGGLVKPGGSLRLSCVASGFTFSSYSLNWVRQAPGKGLEWVSSITSRSSYTYYVDSVKGRFTISRDNTKNSLYLQMNSLRAEDTAVYYCARDYYHSSGYLYVNAFDIWGQGTM</t>
  </si>
  <si>
    <t>ARDLGMVGIYYVDY</t>
  </si>
  <si>
    <t>GCGAGAGATCTGGGAATGGTGGGGATCTACTACGTTGACTAC</t>
  </si>
  <si>
    <t>GGAGCTGAGGTGAAGAAGCCTGGGGCCTCAGTGAAGGTCTCCTGCAAGGCTTCTGGTTACACCTTTACCAGATATGGTATCAGCTGGGTGCGACAGGCCCCTGGACAAGGGCTTGAGTGGATGGGATGGATCAGCGCTTACAATGGTAACACAAACTATGCACAGAAGCTCCAGGGCAGAGTCACCATGACCACAGACACATCCACGAGCACAGCCTACATGGAGCTGAGGAGCCTGAGATCTGACGACACGGCCGTGTATTACTGTGCGAGAGATCTGGGAATGGTGGGGATCTACTACGTTGACTACTGGGGCCAGGGAACCCTGGTCACCGTCTCCTCAG</t>
  </si>
  <si>
    <t>GAEVKKPGASVKVSCKASGYTFTRYGISWVRQAPGQGLEWMGWISAYNGNTNYAQKLQGRVTMTTDTSTSTAYMELRSLRSDDTAVYYCARDLGMVGIYYVDYWGQGTLVTVSS</t>
  </si>
  <si>
    <t>ARDRGMVYAYYIDF</t>
  </si>
  <si>
    <t>GCGAGAGATCGAGGCATGGTGTATGCTTACTACATTGACTTC</t>
  </si>
  <si>
    <t>QVHLVQSGPEVKKPGASVKVSCQASGYTFSRFGINWVRQAPGQGLEWMGRVSAYNGDTNYAQKFQGRVSMTTDTSTSTAYMEVRSLRSDDTAVYYCARDRGMVYAYYIDFWGQGTLVTVS</t>
  </si>
  <si>
    <t>ARDRGMVYIYYLDY</t>
  </si>
  <si>
    <t>GCGCGAGATCGAGGCATGGTATATATTTACTACCTTGACTAC</t>
  </si>
  <si>
    <t>CAGGTTCAATTGGTGCAGTCTGGAGCTGAGGTGAAGAAGCCTGGGGCCTCAGTGAAGGTCTCCTGCAAGGCTTCGGGTTACGGCTTTACCAAGTTTGGTATCAACTGGGTGCGACAGGCCCCTGGACAAGGGCTTGAGTGGATGGGCCGGATCAGCGCCTACAATGGTGACACAAACTATGGACAGAACTTCCAGGGCAGAGTCACCATGACCACAGACACATCCACGAGCACAGCCTACATGGAACTGAGGAGCCTGAGATCTGACGACACGGCCGTGTATTACTGTGCGCGAGATCGAGGCATGGTATATATTTACTACCTTGACTACTGGGGCCAGGGAACCCCGGTCACCGTCTCCTCAG</t>
  </si>
  <si>
    <t>QVQLVQSGAEVKKPGASVKVSCKASGYGFTKFGINWVRQAPGQGLEWMGRISAYNGDTNYGQNFQGRVTMTTDTSTSTAYMELRSLRSDDTAVYYCARDRGMVYIYYLDYWGQGTPVTVS</t>
  </si>
  <si>
    <t>ARNFGMVKPAYLDY</t>
  </si>
  <si>
    <t>IGHD4/OR15-4a</t>
  </si>
  <si>
    <t>GCGAGAAACTTTGGTATGGTGAAACCGGCCTACCTAGACTAC</t>
  </si>
  <si>
    <t>QVQVVQSGAEVKKPGASVRVSCKASGYSFTRYGISWVRQAPGQGLEWMGWISGHNGDTKYAQKFQGRVTMTTDTSTATVHMELRSLSSDDTAVYYCARNFGMVKPAYLDYWGQGTLVTVS</t>
  </si>
  <si>
    <t>ARDAGMVRPYYFDY</t>
  </si>
  <si>
    <t>GCGAGAGACGCTGGTATGGTTAGACCATACTACTTTGACTAC</t>
  </si>
  <si>
    <t>QVQLVQSGAEVKKPGASVKVSCKASGYTFTRYGINWVRQAPGQGLEWMGWISAYNGHTSYAQKLQGRVTMTTDTSTSTAYMELSSLRSDDTAVYYCARDAGMVRPYYFDYWGQGTLVTVS</t>
  </si>
  <si>
    <t>AKDFDFWSGNHFDY</t>
  </si>
  <si>
    <t>GCGAAAGATTTCGATTTTTGGAGTGGTAACCACTTTGACTAC</t>
  </si>
  <si>
    <t>GGGGGAGGCTTGGTACAGCCTGGGGGGTCCCTGAGACTCTCCTGTGCAGCCTCTGGATTCACCTTTAGCAGCTATGCCATGGGCTGGGTCCGCCAGGCTCCAGGGAAGGGGCTGGAGTGGGTCTCAACTATTACTGGTAGTGGTGGTACCACATATAACGCAGACTCCGTGAAGGGCCGGTTCACCATCTCCAGAGACAATTCCAAGAACACGCTGTATCTGCAAATGAACAGCCTGAGAGCCGAGGACACGGCCGTATATTACTGTGCGAAAGATTTCGATTTTTGGAGTGGTAACCACTTTGACTACTGGGGCCAGGGAACCCTGGTCACCGTCTCCTCAG</t>
  </si>
  <si>
    <t>GGGLVQPGGSLRLSCAASGFTFSSYAMGWVRQAPGKGLEWVSTITGSGGTTYNADSVKGRFTISRDNSKNTLYLQMNSLRAEDTAVYYCAKDFDFWSGNHFDYWGQGTLVTVSS</t>
  </si>
  <si>
    <t>AKGNDFWSGLNFEY</t>
  </si>
  <si>
    <t>GCGAAGGGTAACGATTTTTGGAGTGGCCTGAATTTTGAGTAC</t>
  </si>
  <si>
    <t>GGGGGAGGCTTGGTACAGCCTGGGGGGTCCCTGAGACTCTCCTGTGCAGCCTCTGAATTCGCCTTTAGCTACTATGCCATGACCTGGGTCCGCCAGGCTCCAGGGAGGGGACTGGAGTGGGTCTCAAGTATCACTGGTAGTGGTGGTACTACATACTACGCAGACTCCGTGAAGGGCCGGTTCACCATCTCCAGAGACAATTCCAAGAACACGCTGTATCTGCAGATGAACAGTCTGAGAGCCGATGACACGGCCGTATATTACTGTGCGAAGGGTAACGATTTTTGGAGTGGCCTGAATTTTGAGTACTGGGGCCAGGGAACCCTGGTCACCGTCTCCTCAG</t>
  </si>
  <si>
    <t>GGGLVQPGGSLRLSCAASEFAFSYYAMTWVRQAPGRGLEWVSSITGSGGTTYYADSVKGRFTISRDNSKNTLYLQMNSLRADDTAVYYCAKGNDFWSGLNFEYWGQGTLVTVSS</t>
  </si>
  <si>
    <t>AKDSDFWGSPKFDY</t>
  </si>
  <si>
    <t>GCGAAAGATTCCGATTTTTGGGGTAGTCCAAAATTTGACTAC</t>
  </si>
  <si>
    <t>EVHLVESGGGLVQPGGSLRLSCAASGFAFNNYAMSWVRQAPGKGLEWVSGITGSGGTPYYADSVKGRFTISRDNSKNTLYLQMNSLRAEDTAVYYCAKDSDFWGSPKFDYWGQGTLVTVS</t>
  </si>
  <si>
    <t>AKEKDFWNGYYIDY</t>
  </si>
  <si>
    <t>GCGAAAGAGAAGGATTTTTGGAATGGTTATTATATCGACTAC</t>
  </si>
  <si>
    <t>EVQLLESGGGLAQPGGSLRLSCAASGFTFSSYGMSWVRQAPGKGLEWVSAFTGSGGTTYYADSVKGRFTISRDNSKNTVYLQMNSLRAEDTAVYYCAKEKDFWNGYYIDYWGQGTLVTVS</t>
  </si>
  <si>
    <t>AKNDDFWGGPTFDY</t>
  </si>
  <si>
    <t>GCGAAAAATGACGATTTCTGGGGTGGTCCGACCTTTGACTAC</t>
  </si>
  <si>
    <t>EVQLLESGGDLVQPGGSLRLSCTASGFTFKDFAMNWVRQAPGKGLEWVSGITGSGGTTYYADSVKGRFTSSRDNSKNTLDLQMNSLGVDDTAVYYCAKNDDFWGGPTFDYWGQGTLVTVS</t>
  </si>
  <si>
    <t>ARDYFHSSGYLYLNAFDI</t>
  </si>
  <si>
    <t>GCGAGAGACTACTTTCATAGTAGTGGTTATTTATACCTAAATGCTTTTGATATC</t>
  </si>
  <si>
    <t>EAQLVESGGGLVKPGGSLRLSCVASGFTFSTYSLNWVRQAPGKGLEWVASITSRGSYVYYADSAKGRFTISRDNTKNSMYLQMNSLRAEDTAVYYCARDYFHSSGYLYLNAFDIWGQGTM</t>
  </si>
  <si>
    <t>AKDDDFWSGPYFDY</t>
  </si>
  <si>
    <t>GCGAAGGATGACGATTTTTGGAGTGGCCCTTACTTTGACTAC</t>
  </si>
  <si>
    <t>EVQLLESGGGLVQPGGSLRLSCAASGFTFSSYAMNWVRQAPGKGLEWVSAISGSGGSTYYADSVKGRFSISRDNSKNTLYLQMNSLRAEDTAVYYCAKDDDFWSGPYFDYWGQGTLVTVS</t>
  </si>
  <si>
    <t>ARDFYDSTGYLYFNAFDI</t>
  </si>
  <si>
    <t>GCGAGAGATTTCTATGATAGTACTGGTTATTTGTACTTTAATGCTTTTGATATC</t>
  </si>
  <si>
    <t>EVQLVESGGGLVKPGGSLRLSCAASGFTFSTYSMNWVRQAPGKGLEWVSSISTGGNYIYYADSVKGRFTISRDNARNSLYLQMNSLRAEDTAVYYCARDFYDSTGYLYFNAFDIWGQGTM</t>
  </si>
  <si>
    <t>ARDYYHSSGYLYFNAFDI</t>
  </si>
  <si>
    <t>GCGAGAGACTACTATCATAGTAGTGGTTATCTCTACTTTAATGCTTTTGATATC</t>
  </si>
  <si>
    <t>AVQLVESGGGLVKPGGSLRLSCAASGFTFSTYSMNWVRQAPGKGLEWVSSISSSGRYIYYADSLKGRFTISRDNAKNSLYLQMNSLRAEDTAVYYCARDYYHSSGYLYFNAFDIWGQGTM</t>
  </si>
  <si>
    <t>ARDVTDSSGYLYLNAFDL</t>
  </si>
  <si>
    <t>GCGAGAGATGTTACTGATAGTAGTGGTTATCTCTACCTTAATGCTTTTGATCTC</t>
  </si>
  <si>
    <t>EVQLVESGGGLVKPGGSLRLSCAASGFTFSTYSMNWVRQAPGKGLEWVSSISTSSNYIYYADSVKGRFTISRDNAKNSLYLQMNSLRAEDTAVYYCARDVTDSSGYLYLNAFDLWGQGTT</t>
  </si>
  <si>
    <t>ARGIRGYSGYNFQFYGMDV</t>
  </si>
  <si>
    <t>GCGAGAGGCATACGAGGTTACAGTGGCTACAATTTTCAATTTTACGGTATGGACGTC</t>
  </si>
  <si>
    <t>CAGGTGCAACTGCAGGAGTCGGGCCCAGGACTGGTGAAGCCTTCGGAGACCCTGTCTCTCACCTGCACTGTCTCTGGTGGCTCCATCAGTTATTCCTACTGGACCTGGATCCGTCAGCCCCCAGGGAAGGGACTGGAATTCACTGGATATATCTATTACAGTGGGGGCAGTCACTACAACCCCTCCCTCAAGGGTCGAGCCACCATGTCAGTTGACACGTCCAAGAACCAGATCTCCCTGGAGCTGAGGTCTGTGACCACTGCGGACACAGCCGTGTATTACTGTGCGAGAGGCATACGAGGTTACAGTGGCTACAATTTTCAATTTTACGGTATGGACGTCTGGGGCCAAGGGACCACGGTCACCGTCTCCTCAG</t>
  </si>
  <si>
    <t>QVQLQESGPGLVKPSETLSLTCTVSGGSISYSYWTWIRQPPGKGLEFTGYIYYSGGSHYNPSLKGRATMSVDTSKNQISLELRSVTTADTAVYYCARGIRGYSGYNFQFYGMDVWGQGTT</t>
  </si>
  <si>
    <t>ARAPRGYNGRSYYYYAVDV</t>
  </si>
  <si>
    <t>GCGAGAGCCCCTCGGGGGTATAATGGCCGCTCTTATTACTACTACGCTGTGGACGTC</t>
  </si>
  <si>
    <t>CAGGTACACCTGCAGGAGTCGGGCCCAGGACTGGTGAAGCCTTCGGAGACCCTGTCCCTCACCTGCACTGTCTCTGGTGGCTCCCTAAGTACTTACTACTGGAACTGGATCCGGCAGCCCCCAGGGAAGGGACTGGAGTGGATTGCCTATCTCTATTACAGTGGGAGTACCCACTACAATGCCTCCCTCAAGAGTCGAGCCACCATGTCAGTGGACACGTCCAAGAACCAATTGTCCCTGAAGCTGACCTCTGTGACCGCGGCGGACACGGCCGTGTATTACTGTGCGAGAGCCCCTCGGGGGTATAATGGCCGCTCTTATTACTACTACGCTGTGGACGTCTGGGGCCAGGGGACCTCGGTCACCGTCTCCTCAG</t>
  </si>
  <si>
    <t>QVHLQESGPGLVKPSETLSLTCTVSGGSLSTYYWNWIRQPPGKGLEWIAYLYYSGSTHYNASLKSRATMSVDTSKNQLSLKLTSVTAADTAVYYCARAPRGYNGRSYYYYAVDVWGQGTS</t>
  </si>
  <si>
    <t>ARDVGTPNDY</t>
  </si>
  <si>
    <t>GCGAGAGATGTAGGCACACCAAATGACTAC</t>
  </si>
  <si>
    <t>CAGGTCCACCTGGTGCAGTCTGGGGCTGAGGTGAAGAAGCCTGGGTCCTCGGTGAAGGTCTCCTGCAAGGCTTCTGGAGGCACCTTCAACACCTACAGTATCAGTTGGGTGCGACAGGCCCCTGGACAAGGGCTTGAGTGGATGGGAAGGATCATCCCTAGCTTAGGAACACCAAACTACGCACAGAGGTTCCAGGGCAGAGTCACGATTACCGCGGACAAATCGACGCGCTCAGCCTACATGGAGTTGAGCAGCCTGAGATCTGAGGACACGGCCGTATATTATTGTGCGAGAGATGTAGGCACACCAAATGACTACTGGGGCCAGGGAACCCTGGTGACCGTCTCCTCAG</t>
  </si>
  <si>
    <t>QVHLVQSGAEVKKPGSSVKVSCKASGGTFNTYSISWVRQAPGQGLEWMGRIIPSLGTPNYAQRFQGRVTITADKSTRSAYMELSSLRSEDTAVYYCARDVGTPNDYWGQGTLVTVSS</t>
  </si>
  <si>
    <t>ARAPRGYNGQSYYYYGMDV</t>
  </si>
  <si>
    <t>GCGAGAGCCCCTCGGGGGTATAATGGCCAGTCTTATTATTATTATGGTATGGACGTC</t>
  </si>
  <si>
    <t>CAGGTGCAGCTGCAGGAGTCGGGCCCTGGGCTGGTGAAGCCTTCGGAGACCCTGTCCCTCACCTGCACTATCTCTGGTGGCTCCATGAGTACTTATTACTGGAACTGGATTCGGCAGTCCCCAGGGAAGGGACTGGAGTGGATTGGGTATATCTATTACAGTGGGAGCCCCAACTACAACCCCTCCCTCAAGAGTCGAGTCACCATATCAGTAGACACGTCCAAGAACCAGTTCTCCCTGAAGATGACCTCTGTGACCGCTGCGGACACGGCCGATTATTACTGTGCGAGAGCCCCTCGGGGGTATAATGGCCAGTCTTATTATTATTATGGTATGGACGTCTGGGGCCAGGGGACCACGGTCACCGTCTCCTCAG</t>
  </si>
  <si>
    <t>QVQLQESGPGLVKPSETLSLTCTISGGSMSTYYWNWIRQSPGKGLEWIGYIYYSGSPNYNPSLKSRVTISVDTSKNQFSLKMTSVTAADTADYYCARAPRGYNGQSYYYYGMDVWGQGTT</t>
  </si>
  <si>
    <t>ARAPRGYSGRSYYYYAIDV</t>
  </si>
  <si>
    <t>GCGAGAGCCCCTCGGGGGTACAGTGGCCGCTCTTACTACTACTACGCCATAGACGTC</t>
  </si>
  <si>
    <t>CAGGTACACCTACAGGAGTCGGGTCCAGGACTGGTGAAGCCTTCGGAGACCCTGTCCCTCACCTGCACTGTCTCTGGTGGCTCCTTGAGTACTTACTACTGGACCTGGATCCGGCAGTCCCCAGGGAAGGGACTGGAATACATTGGATATATCTATTATAGTGCGACCCCCAAGTACAACCCCTCCCTCATGAATCGAGCCACCATATCAGTAGACACGTCCAAGAACCAGTTGTCCCTGAAACTGAACTCTGTGACCGCTGCGGACACGGCCATCTATTACTGTGCGAGAGCCCCTCGGGGGTACAGTGGCCGCTCTTACTACTACTACGCCATAGACGTCTGGGGCCGAGGGACCACGGTCACCGTCTCTTCAG</t>
  </si>
  <si>
    <t>QVHLQESGPGLVKPSETLSLTCTVSGGSLSTYYWTWIRQSPGKGLEYIGYIYYSATPKYNPSLMNRATISVDTSKNQLSLKLNSVTAADTAIYYCARAPRGYSGRSYYYYAIDVWGRGTT</t>
  </si>
  <si>
    <t>ARAPRGYSGRSYYYYGIDV</t>
  </si>
  <si>
    <t>IGHD5-12</t>
  </si>
  <si>
    <t>GCGAGAGCCCCTCGGGGCTATAGTGGCCGGTCTTACTACTACTACGGTATCGACGTC</t>
  </si>
  <si>
    <t>QVHLQESGPGLVKPSETLSLTCTVSGGSLSTYYWTWIRQPPGKGLEWIGYIYYSGGAYYNTSLKSRVTISVDTPKNQVSLKLSSVASADTAVYYCARAPRGYSGRSYYYYGIDVWGQGTT</t>
  </si>
  <si>
    <t>VRAPRGYNGRSYYYYAMDV</t>
  </si>
  <si>
    <t>GTGAGAGCCCCTCGGGGGTATAATGGCCGCTCTTACTACTACTACGCTATGGACGTC</t>
  </si>
  <si>
    <t>QVQLQESGPGLVRPSETLSLTCSVSGGSMSTYYWTWIRQPPGKGLEWIGYIYYSGSANYNPSLRGRVTISVDTSKNQISLKLSSVTAADTAVYYCVRAPRGYNGRSYYYYAMDVWGQGTT</t>
  </si>
  <si>
    <t>ARAPRGYNGRSYYYYAMDV</t>
  </si>
  <si>
    <t>GCGAGAGCCCCACGGGGGTATAATGGCCGCTCTTACTACTACTACGCAATGGACGTC</t>
  </si>
  <si>
    <t>QVHLQESGPGLVKPSETLSLTCTVSGGSLSTYYWTWIRQPPGKGLEWIGYIYYSGGTYYNPSLKNRLSISVDTPKNQLSLKLSSVTAADTAVYYCARAPRGYNGRSYYYYAMDVWGQGTT</t>
  </si>
  <si>
    <t>ARDPRGYDGRSYYHYGMDV</t>
  </si>
  <si>
    <t>GCGAGAGACCCCCGGGGATATGATGGCCGCTCTTACTACCACTATGGGATGGACGTC</t>
  </si>
  <si>
    <t>QVHLQESGPGLVKPSETLSLTCTVSGGSLSTYYWAWVRQPPGKGLEWIGYIYYSGGSGYNPSLKSRVTMSVDTSKNLLSLKLTSVTAADTAVYYCARDPRGYDGRSYYHYGMDVWGQGTT</t>
  </si>
  <si>
    <t>ARAPRGYSSGWYYYYGMDV</t>
  </si>
  <si>
    <t>GCGAGAGCCCCCCGAGGGTATAGCAGTGGCTGGTATTACTACTACGGTATGGACGTC</t>
  </si>
  <si>
    <t>QVQLQESGPGLVKPSETLSLTCTVSGGSLSTYYWTWIRQPPGKGLEWIGYIYYSGSAKYNPSLKSRVTISVDTSKNQISLKLSSVTAADTANYYCARAPRGYSSGWYYYYGMDVWGQGTK</t>
  </si>
  <si>
    <t>ARGITMVRGEDWFDT</t>
  </si>
  <si>
    <t>GCGAGAGGCATCACTATGGTTCGGGGAGAGGACTGGTTCGACACC</t>
  </si>
  <si>
    <t>CAGGTTCAGTTGGTGCAGTCTGGAGCTGAGATGAAGAAGCCGGGGGCCTCAGTGAAGGTCTCCTGTAAGGCTTCCGGTTATATCTTTAGTAGGTATGGTATCAACTGGGTGCGACAGGCCCCTGGACAAGGGCTTGAGTGGATGGGATGGATCACCCCTTACAACGGTGACAGACACTATGGACAGAAGGTCCAGGGCAGAGTCACCATGACCACAGACACATCCACCAGTACAGCCTACATGGAGTTGAGGAGCCTGAGATCTGACGACACGGCCGTCTATTACTGTGCGAGAGGCATCACTATGGTTCGGGGAGAGGACTGGTTCGACACCTGGGGCCAGGGAACCCTGGTCACCGTCTCCTCAG</t>
  </si>
  <si>
    <t>QVQLVQSGAEMKKPGASVKVSCKASGYIFSRYGINWVRQAPGQGLEWMGWITPYNGDRHYGQKVQGRVTMTTDTSTSTAYMELRSLRSDDTAVYYCARGITMVRGEDWFDTWGQGTLVTV</t>
  </si>
  <si>
    <t>ARGITMVRGEDWFDP</t>
  </si>
  <si>
    <t>GCGAGAGGCATTACTATGGTTCGGGGAGAGGACTGGTTCGACCCC</t>
  </si>
  <si>
    <t>QVQLVQSGAEVKKPGASVKVSCKASGYTFTHYGFSWIRQAPGRGLEWMGWITPYNGDTKYAQKLQGRLTMTTDTSTTTAYMELRSLRPDDTAVYYCARGITMVRGEDWFDPWGQGTLVTV</t>
  </si>
  <si>
    <t>QVQLMQSGAEVKRPGSSVKVSCKTSGGTFGRFSINWVRQVPGQGLEWMGRIIPTLKMLNHAQKFQGRLTITADESTRTAFMELSSLRSEDTAIYFCALEMGTIDDNWGQGTLVTVSS</t>
  </si>
  <si>
    <t>ARGITMVRGEDWFDS</t>
  </si>
  <si>
    <t>GCGAGAGGCATTACTATGGTTCGGGGAGAGGACTGGTTCGACTCC</t>
  </si>
  <si>
    <t>QVQLVQSGAEVKKPGASVKISCKASGYTFSRYGINWVRQAPGQGLVWMGWISTYNGNTKYAQKFQGRVTVTTDTSTTTAYMELRNLRSDDTAVYYCARGITMVRGEDWFDSWGQGTLVTV</t>
  </si>
  <si>
    <t>ARGITMVRGLDWFDS</t>
  </si>
  <si>
    <t>GCGAGAGGGATTACTATGGTTCGGGGACTTGACTGGTTCGACTCC</t>
  </si>
  <si>
    <t>QTQLVQSGAEVKKPGASVKVSCKASGYSFTKYGIAWVRQAPGQGLEWMGWISGYNGDTKYSQKVQGRVTMTTDTSTNTAYMELRSLRSDDTAVYYCARGITMVRGLDWFDSWGQGTLVTV</t>
  </si>
  <si>
    <t>QVQLVQSGAEVKKPGASVKVSCKTSGYTFTRYGIAWVRQAPGQGLEWMGWITPYNGNTHYIQKLQGRVTMTTDTSTTTAYMELRSLRSDDTAFYYCARGITMVRGEDWFDPWGQGTLVTV</t>
  </si>
  <si>
    <t>ARGITMVRGLDWFDP</t>
  </si>
  <si>
    <t>GCGAGAGGGATTACTATGGTTCGGGGCCTGGACTGGTTCGACCCC</t>
  </si>
  <si>
    <t>QVQLVQSGAEVKKPGASVKVSCKASGYTFTKYGISWLRQAPGQGLEWMGWISTYNGDTNYAQKVQGRVTMTTDTSSTTAYMELRSLRSDDTAVYFCARGITMVRGLDWFDPWGQGTLVTV</t>
  </si>
  <si>
    <t>ARDLGMVVPYYFDY</t>
  </si>
  <si>
    <t>GCGAGAGATCTGGGTATGGTGGTACCCTACTACTTTGACTAC</t>
  </si>
  <si>
    <t>QVQLVQSGAEVKKPGASVKVSCKASGYTFTSYVISWVRQAPGQGLEWMGWISAYNGDTNYAQKLQGRVTMTTDTSTSTAYMELRSLRSDDTAVYYCARDLGMVVPYYFDYWGQGTLVTVS</t>
  </si>
  <si>
    <t>TRDLGMVNPYYFDF</t>
  </si>
  <si>
    <t>ACTAGAGATCTGGGGATGGTGAACCCCTACTATTTTGACTTC</t>
  </si>
  <si>
    <t>QVQLVQSGTEVKKPGASVRVSCKASGYTFTRYIIGWVRQAPGQGLEWMGWISGYNGGTEYAQKLQGRVTMTTDTSTSTAYMELRNLRSDDTAVYYCTRDLGMVNPYYFDFWGQGTLVTVS</t>
  </si>
  <si>
    <t>ARDLGMVSPYYFDY</t>
  </si>
  <si>
    <t>IGHD5/OR15-5a</t>
  </si>
  <si>
    <t>GCGAGAGACCTGGGTATGGTGTCTCCCTACTACTTTGACTAT</t>
  </si>
  <si>
    <t>QVQLVQSGAEVKKPGASVRVSCKTSGYIFTRYIITWVRQAPGQGLEWMGWISAYNGGTKYAQKFQGRVTMTTDTSTNTAYMDLRSLRSDDTAVYYCARDLGMVSPYYFDYWGQGSLVTVS</t>
  </si>
  <si>
    <t>CAGGTTCAGCTGGTGCAGTCTGGAGCTGAGGTGAAGAAGCCTGGGGCCTCAGTGAGGGTCTCCTGCAAGGCTTCTGGTTACATATTTACCAGATATATTATTACCTGGATACGACAGGCCCCTGGACAAGGGCTTGAGTGGATGGGGTGGATCAGCGCTTATAATGGTGGCACAAAATATGCACAGAAGTTCCAGGGCAGAGTCACCATGACCACAGACACATCCACGAGCACAGCCTACATGGACCTGAGGAGCCTGAGATCTGACGACACGGCCGTCTATTACTGTGCGAGAGACCTGGGTATGGTGTCTCCCTACTACTTTGACTATTGGGGCCAGGGAAGCCTGGTCACCGTCTCCTCAG</t>
  </si>
  <si>
    <t>QVQLVQSGAEVKKPGASVRVSCKASGYIFTRYIITWIRQAPGQGLEWMGWISAYNGGTKYAQKFQGRVTMTTDTSTSTAYMDLRSLRSDDTAVYYCARDLGMVSPYYFDYWGQGSLVTVS</t>
  </si>
  <si>
    <t>ARDLGMVKSYYFDY</t>
  </si>
  <si>
    <t>GCGAGAGATCTTGGGATGGTTAAGAGCTACTACTTTGACTAC</t>
  </si>
  <si>
    <t>RVQLVQSGPEVKKPGASVKVSCKASGYTFTNYGINWVRQAPGQGLEWMGWISAYNGNTNYTQNLQGRVTMTTDTSSSTAYMELRNLRSDDTAVYYCARDLGMVKSYYFDYWGQGTLVTVS</t>
  </si>
  <si>
    <t>ARAVFGSIAFDI</t>
  </si>
  <si>
    <t>GCAAGAGCAGTTTTTGGGAGTATTGCTTTTGATATC</t>
  </si>
  <si>
    <t>GAGGTACAATTGGTGGAGTCTGGGGGAGGCTTGGTACAGCCTGGGGGGTCCCTGAGACTCTCCTGTGTAGCCTCTGGATTCAGCTTCAGAAGCTACGACATGCACTGGGTCCGCCAAACTACAGGAAATGGTCTGGAGTGGGTCTCAGCTATTGGAACCGCTGGTGACACATACTATTCGGGCTCCGTGAAGGGCCGATTCACCATCTCCAGAGAAAATGCCAAGAACTCCTTGGATCTTCAAATGAGTAGCCTGGGAGGCGGGGACACGGCTGTCTATTACTGTGCAAGAGCAGTTTTTGGGAGTATTGCTTTTGATATCTGGGGCCGAGGGACAATGGTCACCGTCTCTTCAG</t>
  </si>
  <si>
    <t>EVQLVESGGGLVQPGGSLRLSCVASGFSFRSYDMHWVRQTTGNGLEWVSAIGTAGDTYYSGSVKGRFTISRENAKNSLDLQMSSLGGGDTAVYYCARAVFGSIAFDIWGRGTMVTVSS</t>
  </si>
  <si>
    <t>QVQLMQSGAEVKRPGSSVKVSCKTSGGTFSRFSINWVRQAPGQGLEWMGRIIPTLKMLNHAQKFQGRLTITADESTRTAFMELSSLRSEDTAIYFCALEMGTIDDNWGQGTLVTVSS</t>
  </si>
  <si>
    <t>ARAVFGQSAFDI</t>
  </si>
  <si>
    <t>GCAAGAGCCGTTTTCGGCCAAAGTGCTTTTGATATT</t>
  </si>
  <si>
    <t>EVQLVESGGGLVQPGGSLRLSCAASGFTFRIYDMHWVRQVTGKGLEWVSAIGTAGDRYYIGSVKGRFTISRENAKNSLYLQMDSLRAGDTAIYYCARAVFGQSAFDIWGQGTMVTVSS</t>
  </si>
  <si>
    <t>ARAILGMIAFDV</t>
  </si>
  <si>
    <t>GCAAGAGCGATTCTCGGAATGATCGCTTTTGATGTC</t>
  </si>
  <si>
    <t>EVQLVQSGGGLVQPGGSLRLSCAASGFTFKWYDLHWVRQTEGKSLEWVSAIGAAGDTYYAESVKGRFTISRENAKNSLYLQLSSLRAEDTAIYFCARAILGMIAFDVWGQGTMVTVSS</t>
  </si>
  <si>
    <t>ARAILGAIAFDV</t>
  </si>
  <si>
    <t>GCAAGAGCGATTCTAGGAGCGATCGCTTTTGATGTC</t>
  </si>
  <si>
    <t>EVQLVESGGGLVQPGGSLRLSCVASGFTFKWYDMHWVRQTEGKGLEWVSAIGAAGDTYYAESVKGRFTISRENAKNSLYLQVNSLRGGDTAVYYCARAILGAIAFDVWGQGTMVTVSS</t>
  </si>
  <si>
    <t>ARAVFGSSAFDI</t>
  </si>
  <si>
    <t>GCAAGAGCAGTGTTTGGTTCTAGTGCTTTTGATATC</t>
  </si>
  <si>
    <t>QVQLVQSGGGLVQPGGSLRLSCAASGFTFRSYDMHWVRQATGKGLEWVSAIGTAGDPYYPGSVKGRFTISRENAKNSLYLQMNSLRAEDTAVYYCARAVFGSSAFDIWGQGTMVTVSS</t>
  </si>
  <si>
    <t>IGHV3-53</t>
  </si>
  <si>
    <t>ASFRLPYYYGMDV</t>
  </si>
  <si>
    <t>GCGAGTTTTCGACTACCCTACTACTACGGTATGGACGTC</t>
  </si>
  <si>
    <t>GGAGGAGGCTTGATCCAGCCTGGGGGGTCCCTGAGACTCTCCTGTGCAGCCTCTGGGTTCACCGTCAGTAGCGAATACATGAGCTGGGTCCGCCAGGCTCCAGGGAAGGGGCTGGAGTGGGTCTCAGTTATTTATAGCGGTGGTAGCACATACTACGCAGACTCCGTGAAGGGCCGATTCACCATCTCCAGAGACAATTCCAAGAACACGCTGTATCTTCAAATGAACAGCCTGAGAGCCGAGGACACGGCCGTGTATTACTGTGCGAGTTTTCGACTACCCTACTACTACGGTATGGACGTCTGGGGCCAAGGGACCACGGTCACCGTCTCCTCAG</t>
  </si>
  <si>
    <t>GGGLIQPGGSLRLSCAASGFTVSSEYMSWVRQAPGKGLEWVSVIYSGGSTYYADSVKGRFTISRDNSKNTLYLQMNSLRAEDTAVYYCASFRLPYYYGMDVWGQGTTVTVSS</t>
  </si>
  <si>
    <t>AAVSGPYYYGMDV</t>
  </si>
  <si>
    <t>GCGGCCGTGAGCGGTCCCTATTATTACGGTATGGACGTC</t>
  </si>
  <si>
    <t>GAGGTGCAGCTGGTGGAGTCTGGAGGAGGCCTGATCCAGCCGGGGGGGTCCCTGAGACTCTCCTGTGCAGCCTCTGGATTCAGCGTCAGTTTTAATTACATGAGCTGGGTCCGCCAGGCTCCAGGGAAGGGGCTGGAGTGGGTCTCAGTTATTTATAGCGCTGGTCGCACGTTCTACGTAGACTCCGTGAGGGGCCGATTCACCATCTCCAGAGACGATTCCAAGAACACCCTGTATCTTCAAATGAACAGCCTGAGAGCCGATGACACGGCCGTGTATTACTGTGCGGCCGTGAGCGGTCCCTATTATTACGGTATGGACGTCTGGGGCCAAGGGACCACAGTCGCCGTCTCCTCAG</t>
  </si>
  <si>
    <t>EVQLVESGGGLIQPGGSLRLSCAASGFSVSFNYMSWVRQAPGKGLEWVSVIYSAGRTFYVDSVRGRFTISRDDSKNTLYLQMNSLRADDTAVYYCAAVSGPYYYGMDVWGQGTTVAVSS</t>
  </si>
  <si>
    <t>ASFGVAYYYGMDV</t>
  </si>
  <si>
    <t>GCGAGCTTTGGAGTGGCTTACTATTACGGTATGGACGTC</t>
  </si>
  <si>
    <t>GAGGCGCAGCTGGTGGAATTTGGAGGAGGCTTGATCCAGCCTGGGGGGTCCCTGAGACTCTCCTGTGTAGTCTCTGGGTTCACCGTCAGTAGCAACTACATGAGTTGGGTCCGCCAGGCTCCAGGGAAGGGGCTGGAGTGGGTCGCAGTTATTTATATCAGTGGCAGGACATACTACGCAGACTCCGTGAAGGGCCGATTCACCATCTCCAGAGACAGCTCCAAGAACACGCTGTATCTTCAAATGAACAGTCTGAGAGCCGAGGACACGGCCGTGTATTACTGTGCGAGCTTTGGAGTGGCTTACTATTACGGTATGGACGTCTGGGGCCAAGGGACCACGGTCACCGTCTCCTCAG</t>
  </si>
  <si>
    <t>EAQLVEFGGGLIQPGGSLRLSCVVSGFTVSSNYMSWVRQAPGKGLEWVAVIYISGRTYYADSVKGRFTISRDSSKNTLYLQMNSLRAEDTAVYYCASFGVAYYYGMDVWGQGTTVTVSS</t>
  </si>
  <si>
    <t>ASFTQAYFYGMDV</t>
  </si>
  <si>
    <t>GCCTCTTTTACTCAGGCCTACTTCTACGGTATGGACGTC</t>
  </si>
  <si>
    <t>EVQLVESGGGLIQPGGSLRLSCAASGFTVNFNYMSWVRQAPGKGLEWVSVIYSAGSTHYADSVKGRFIISRDNSRNTLYLQMNSLRAEDTAVYYCASFTQAYFYGMDVWGQGTTVTVSS</t>
  </si>
  <si>
    <t>AKDYDFWSGYRYFDN</t>
  </si>
  <si>
    <t>GCGAAAGATTACGATTTTTGGAGTGGTTATAGGTATTTTGACAAC</t>
  </si>
  <si>
    <t>EVQLLESGGGLVQPGGSLRLSCAASGFTFSSYAMSWVRQAPGKGLEWVSAITGSGGTPYYADSVKGRFTISRDNSKNTLYLHMNSLRAEDTAVYYCAKDYDFWSGYRYFDNWGQGTLVTV</t>
  </si>
  <si>
    <t>ATFPNPYYYGMDV</t>
  </si>
  <si>
    <t>GCGACATTCCCAAACCCGTACTACTACGGTATGGACGTC</t>
  </si>
  <si>
    <t>EVQLVESGGGLIQPGGSLRLSCAASGFTVSSSYMSWVRQAPGKGLEWVSVIYSAGSTYYADSVKGRFTISRDNSKNTLYLQMNSLRAEDTAVYYCATFPNPYYYGMDVWGQGTTVTVSS</t>
  </si>
  <si>
    <t>ARVASSAGTFYYGMDV</t>
  </si>
  <si>
    <t>GCGAGAGTCGCATCATCGGCTGGAACCTTCTACTACGGTATGGACGTC</t>
  </si>
  <si>
    <t>GGAGGAGGCTTGATCCAGCCTGGGGGGTCCCTGAGACTCTCCTGTGCAGCCTCTGGTTTCGCCGTCAGGAGCAACTACTTGAGCTGGGTCCGCCAGGCTCCTGGGAAGGGGCTGGAGTGGGTCTCACTTATTTATAGTGGTGGTCTCACAGCCTACGCAGACTCCGTGGAGGGCCGGTTCACCATCTCCAGAGACAATTCTAAGAACACACTATATCTTCAAATGAACAGCCTGAGAGTCGAGGACACGGCCCTATATTACTGTGCGAGAGTCGCATCATCGGCTGGAACCTTCTACTACGGTATGGACGTCTGGGGCCAAGGGACCACGGTCACCGTCTCCTCAG</t>
  </si>
  <si>
    <t>GGGLIQPGGSLRLSCAASGFAVRSNYLSWVRQAPGKGLEWVSLIYSGGLTAYADSVEGRFTISRDNSKNTLYLQMNSLRVEDTALYYCARVASSAGTFYYGMDVWGQGTTVTVSS</t>
  </si>
  <si>
    <t>VRVGSRAGTYYYGLDV</t>
  </si>
  <si>
    <t>GTGAGAGTAGGTAGTAGAGCAGGGACCTACTACTACGGTTTGGACGTC</t>
  </si>
  <si>
    <t>GGCGCACAACTGGTGGAGTCTGGAGGAGGTTTGATCCAGCCTGGGGGGTCCCTGAGACTCTCCTGTGCAGCCTCTGGGATCTCCGTCAGTAGCAACTACATGACCTGGGTCCGCCAGGCTCCAGGGAAGGGGCTGGAATGGGTCTCACTTATTTATGCCGCTGGTGCCACATTCTACGAAGATTCCGTGAAGGACCGATTCACCATCTCCAGAGACAATTCCAAGAACACACTGTATCTTCAAATGAACAGCCTAAGAGTCGAGGACACGGCCATTTATTACTGTGTGAGAGTAGGTAGTAGAGCAGGGACCTACTACTACGGTTTGGACGTCTGGGGCCAAGGGACCACGGTCACCGTCTCCTCAG</t>
  </si>
  <si>
    <t>GAQLVESGGGLIQPGGSLRLSCAASGISVSSNYMTWVRQAPGKGLEWVSLIYAAGATFYEDSVKDRFTISRDNSKNTLYLQMNSLRVEDTAIYYCVRVGSRAGTYYYGLDVWGQGTTVTV</t>
  </si>
  <si>
    <t>GAQLVESGGGLIQPGGSLRLSCAASGFSVSSNYMTWVRQAPGKGLEWVSLIYAAGATFYEDSVKDRFTISRDNSKNTLYLQMNSLRVDDTAIYYCVRVGSRAGTYYYGLDVWGQGTTVTV</t>
  </si>
  <si>
    <t>VRDVYYDALIADAFEI</t>
  </si>
  <si>
    <t>GTGAGAGATGTCTATTACGATGCCTTGATTGCGGATGCTTTTGAAATC</t>
  </si>
  <si>
    <t>GAGGCGCAGCTGGTGGAGTCTGGGGGAGGCTTGGTCCAGCCGGGGGGGTCCCTGAGACTCTCCTGTGCAGCCTCTGGATTCACCTTTAGTAGCTATTGGATGTCTTGGGTCCGCCAGGCTCCAGGGAAGGGGCTGGAGTGGGTGGCCAACATAAAGGAAGATGGAAGTGAGAAATACTTTGTGGACTCTGTGAAGGGCCGATTCACCATCTCCAGAGACAACGCCAAGAACTCACTGTTTCTGCAAATGAACAGCCTGAGAGCCGAGGACACGGCTGTCTATTACTGTGTGAGAGATGTCTATTACGATGCCTTGATTGCGGATGCTTTTGAAATCTGGGGCCAAGGGACGATGGTCACCGTCTCTTCAG</t>
  </si>
  <si>
    <t>EAQLVESGGGLVQPGGSLRLSCAASGFTFSSYWMSWVRQAPGKGLEWVANIKEDGSEKYFVDSVKGRFTISRDNAKNSLFLQMNSLRAEDTAVYYCVRDVYYDALIADAFEIWGQGTMVT</t>
  </si>
  <si>
    <t>VRDVPGDSILGDAFEI</t>
  </si>
  <si>
    <t>GTGCGAGATGTGCCTGGGGATTCCATTTTGGGGGATGCTTTCGAGATC</t>
  </si>
  <si>
    <t>EVQLVESGGGLVQPGGSLRLSCVGSGFTFRTYWMTWVRQAPGKGLEWVASIKEDGGEKYYVDSVKGRFTISRDNAKNSLYLQMNSLRGEDTAVYYCVRDVPGDSILGDAFEIWGQGTMVT</t>
  </si>
  <si>
    <t>EVQLVESGGGLVQPGGSLRLSCAASGFSFSSYWMSWVRQAPGKGLEWVANIKEDGSEKYFVDSVKGRFTISRDNAKNSLFLQMNSLRAEDTAVYYCVRDVYYDALIADAFEIWGQGTMVT</t>
  </si>
  <si>
    <t>ARDVPGDSLLGDAFAI</t>
  </si>
  <si>
    <t>GCGAGAGATGTCCCAGGGGATTCTCTACTGGGGGATGCTTTTGCTATC</t>
  </si>
  <si>
    <t>EVQLVESGGGLVQPGGSLRLSCAASGFTFSSYWMSWVRQSPGQGLEWVANIKEDGSQKYYMDSVKGRFTISRDNAKNSLYLQVESLRAEDTAVYYCARDVPGDSLLGDAFAIWGQGTRVT</t>
  </si>
  <si>
    <t>ARDVPGDTVLGDAFHI</t>
  </si>
  <si>
    <t>GCGAGAGATGTCCCAGGGGATACTGTTCTGGGGGATGCTTTTCATATC</t>
  </si>
  <si>
    <t>EVQLVESGGGLVQPGGSLRLSCAASGFTFSTYWMSWVRQAPGKGLEWVANIKEDGSEKYYVDSVKGRFTISRDNGKNSLYLQMNSLRAEETAVYYCARDVPGDTVLGDAFHIWGQGTMVT</t>
  </si>
  <si>
    <t>ARGRLGLAAFGAVTNNWFDP</t>
  </si>
  <si>
    <t>GCGAGAGGAAGACTTGGTCTTGCAGCTTTTGGAGCGGTTACTAACAACTGGTTCGACCCC</t>
  </si>
  <si>
    <t>QVQLQQWGAGLLKPSETLSLTCAVYGGSFNDYYWTWIRQPPGKGLEWIGEINHSGSTNYKPSLKSRLTISLDTSKNQFSLNLTSVTAADTAVYYCARGRLGLAAFGAVTNNWFDPWGQGT</t>
  </si>
  <si>
    <t>AKDSDFWSGSRHFDY</t>
  </si>
  <si>
    <t>GCGAAAGATTCCGATTTTTGGAGTGGTTCTAGGCATTTTGACTAC</t>
  </si>
  <si>
    <t>EVQLLESGGGLVQPGGSLRLSCAASGFTFTNYAMTWVRQAPGKGLEWVSSITGSGGTTYYADSLKGRFTISRDNSKDTLYLQMSSLRAADTAVYYCAKDSDFWSGSRHFDYWGQGTLVTV</t>
  </si>
  <si>
    <t>ARGRLGIPAFGVVTNNWFDP</t>
  </si>
  <si>
    <t>GCGAGAGGAAGACTTGGTATTCCAGCTTTTGGGGTGGTTACTAACAACTGGTTCGACCCC</t>
  </si>
  <si>
    <t>CAGGTGCAGCTACAACAGTGGGGCGCAGGACTGTTGAAGCCTTCGGAGACCCTGTCCCTCACCTGCGCTGTCTATGGTGGGTCCTTCAATGATTACTACTGGACCTGGATCCGCCAGCCCCCCGGGAAGGGGCTGGAGTGGATTGGGGAAATCAATCATAGTGGAAGCACCAGCTACAACCCGTCCCTCAAGAGTCGAGTCACCATATCAGTAGACACGTCCAAGAATCAGTTCTCCCTGAAGCTGACCTCTGTGACCGCCGCGGACACGGCTGTCTATTACTGTGCGAGAGGAAGACTTGGTATTCCAGCTTTTGGGGTGGTTACTAACAACTGGTTCGACCCCTGGGGCCAGGGAACCCTGGTCACCGTCTCCTCAG</t>
  </si>
  <si>
    <t>QVQLQQWGAGLLKPSETLSLTCAVYGGSFNDYYWTWIRQPPGKGLEWIGEINHSGSTSYNPSLKSRVTISVDTSKNQFSLKLTSVTAADTAVYYCARGRLGIPAFGVVTNNWFDPWGQGT</t>
  </si>
  <si>
    <t>ARGRLLVQGFGGSTNNWFDP</t>
  </si>
  <si>
    <t>GCGAGAGGCCGGCTGTTGGTCCAGGGGTTCGGGGGGTCAACTAACAACTGGTTCGACCCC</t>
  </si>
  <si>
    <t>QVQLQQWGAGLLKPSETLSLTCAVYGGSFSDYYWTWIRQPPGKGLEWIGENNPRGSSNYNPSLQSRVTISLDTSKNQFSLTMKSVTAADTALYYCARGRLLVQGFGGSTNNWFDPWGQGT</t>
  </si>
  <si>
    <t>ARIRLWFGIYMDV</t>
  </si>
  <si>
    <t>GCGAGAATAAGACTATGGTTCGGAATTTACATGGACGTC</t>
  </si>
  <si>
    <t>CAGGTGCAGCTACAGCAGTGGGGCGCACGACTGTTGAAGCCTTCGGAGACCCTGTCCCTCACCTGCGCTGTCCACGGTGGGCCCCTCAGTGGTTACTACTGGACCTGGATCCGCCAGACCCCAGGGAAGGGGCTGGAGTGGATTGGGGAAATCAGTCACACTGGAAGCACCAACTACAACCCGTCCCTCAAGAGTCGAGTCACCATATCAGTAGACACGTCCAAGAACCAGTTCTCCCTGAACCTGAACTCTGTGACCGCCGCGGACACGGCTGTATATTACTGTGCGAGAATAAGACTATGGTTCGGAATTTACATGGACGTCTGGGGCGAAGGGACCACGGTCACCGTCTCCTCAG</t>
  </si>
  <si>
    <t>QVQLQQWGARLLKPSETLSLTCAVHGGPLSGYYWTWIRQTPGKGLEWIGEISHTGSTNYNPSLKSRVTISVDTSKNQFSLNLNSVTAADTAVYYCARIRLWFGIYMDVWGEGTTVTVSS</t>
  </si>
  <si>
    <t>ARVSLYFGYYMDV</t>
  </si>
  <si>
    <t>GCGAGAGTATCACTATACTTCGGTTACTACATGGACGTC</t>
  </si>
  <si>
    <t>QVQLQQWGAGLLKPSETLSLTCAVYGGSFSGYYWSWIRQPPGKGLEWIGEISLSGSTNYNPSLKSRVTISVDTSKNQLSLKLSSVTAADTAVYYCARVSLYFGYYMDVWGKGTTVTVSS</t>
  </si>
  <si>
    <t>ARVSLFFGYYMDV</t>
  </si>
  <si>
    <t>GCGAGAGTTTCACTTTTTTTCGGTTACTACATGGACGTC</t>
  </si>
  <si>
    <t>QVQLVQWGAGLLKPSETLSLTCAVYGGSLSGYYWNWIRQPPGKGLEWIGEISPSGSTNYNPSLKSRVTTSVDTSRNQFSLKLTSVTAADTAVYYCARVSLFFGYYMDVWGKGTLVTVSS</t>
  </si>
  <si>
    <t>ARVISMILVGPFDY</t>
  </si>
  <si>
    <t>GCGAGAGTCATTAGTATGATATTGGTGGGCCCCTTTGACTAC</t>
  </si>
  <si>
    <t>GGAGCTGAGGTGAAGAAGCCTGGGGCCTCAGTGAAGGTCTCCTGCAAGGCTTCTGGTTACACCTTTAACAGATATGGTATCAGCTGGGTGCGACAGGCCCCTGGACAAGGGCTTGAGTGGATGGGATGGATCAGCGCTTATAATGGTAACACAAACTACGCACAGAAGTTCCAGGGCAGAGTCACCATGACCACAGACACATCCACGAGCACAGCCTATTTGGAGCTGAGGAGCCTGAGATCTGACGACACGGCCGTGTATTACTGTGCGAGAGTCATTAGTATGATATTGGTGGGCCCCTTTGACTACTGGGGCCAGGGAACCCTGGTCACCGTCTCCTCAG</t>
  </si>
  <si>
    <t>GAEVKKPGASVKVSCKASGYTFNRYGISWVRQAPGQGLEWMGWISAYNGNTNYAQKFQGRVTMTTDTSTSTAYLELRSLRSDDTAVYYCARVISMILVGPFDYWGQGTLVTVSS</t>
  </si>
  <si>
    <t>ARVISMVFVGPSDY</t>
  </si>
  <si>
    <t>GCGAGAGTTATCAGTATGGTATTTGTGGGTCCGTCTGACTAC</t>
  </si>
  <si>
    <t>QVQLVQSGPEVKKPGASVKVSCKTSGFTFTRYGISWVRQAPGQGLEWMGWISGYNGKTDYAQKFQGRVTLSTETSSSTAHMELRGLRSDDTAVYWCARVISMVFVGPSDYWGQGTLVTVS</t>
  </si>
  <si>
    <t>ARVISMIRGGWFDL</t>
  </si>
  <si>
    <t>GCGAGAGTTATCAGCATGATTCGGGGAGGCTGGTTCGACCTC</t>
  </si>
  <si>
    <t>CAGGCTCAGCTGGTGCAGTCTGGAGCTGAGGTGAAGAAGCCTGGGGCCTCAGTGAAGGTCTCCTGCAAGGCTTCTGGTTACACCTTTACCCACTATGGTATCGGCTGGGTGCGACAGGCCCCTGGACAAGGGCTTGAGTGGATGGGATGGATCAGCGCTTACAATGGTGACACAGACTATGCACAGAAGCTCCAGGGCAGAGTCACTATGACCACAGACACATCCACGACGACAGCCTACATGGACCTGAGGAGCCTGAGATCTGACGACACGGCCGTGTATTACTGTGCGAGAGTTATCAGCATGATTCGGGGAGGCTGGTTCGACCTCTGGGGCCTGGGAACCCTCGTCACCGTCTCCTCAG</t>
  </si>
  <si>
    <t>QAQLVQSGAEVKKPGASVKVSCKASGYTFTHYGIGWVRQAPGQGLEWMGWISAYNGDTDYAQKLQGRVTMTTDTSTTTAYMDLRSLRSDDTAVYYCARVISMIRGGWFDLWGLGTLVTVS</t>
  </si>
  <si>
    <t>ARVISMIRGGWLDT</t>
  </si>
  <si>
    <t>GCGAGAGTAATCAGTATGATTCGGGGAGGCTGGCTCGACACC</t>
  </si>
  <si>
    <t>CAGGTTCAACTGGTGCAGTCTGGAGGTGAGGTGAAGAAGCCTGGGGCCTCAGTGAAGGTCTCCTGCAAGGCTTCTGGTTACACCTTTACCAGATATGGTATCAGCTGGGTGCGACAGGCCCCTGGACAAGGGCTTGAGTGGATGGGATGGATCAGCGCTTACAATGGTGACACAGACTATGCACAGAGGTTCCAGGGCAGAGTCACCATGACCACAGAAACATCCACGAGCACAGCCTACATGGAGCTGAGGAGCCTGAGATCTGACGACACGGCCGTGTATTACTGTGCGAGAGTAATCAGTATGATTCGGGGAGGCTGGCTCGACACCTGGGGCCAGGGAACCCTGGTCACCGTCTCCTCAG</t>
  </si>
  <si>
    <t>QVQLVQSGGEVKKPGASVKVSCKASGYTFTRYGISWVRQAPGQGLEWMGWISAYNGDTDYAQRFQGRVTMTTETSTSTAYMELRSLRSDDTAVYYCARVISMIRGGWLDTWGQGTLVTVS</t>
  </si>
  <si>
    <t>ARVISMIRGGWFDF</t>
  </si>
  <si>
    <t>GCGAGAGTTATCAGTATGATTCGGGGAGGCTGGTTCGACTTC</t>
  </si>
  <si>
    <t>CAGGTTCAACTGGTGCAGTCTGGAGGTGCGGTGAAGAAGCCTGGGGCCTCAGTGAGGGTCTCCTGCAAGGCTTCTGGTTACACCTTCAGCAGATATGGTATCGGCTGGGTGCGACAGGCCCCTGGACAAGGGCTTGAGTGGATGGGATGGATCAGCCCTTACAATGGTGACACAGACTATGCTCAGAAGTTCCAGGACAGAGTCACCATGACTACAGACACATCCATGACCACAGCCTACATGGAACTGAGGAGCCTGAGATCTGACGACACGGCCATATATTATTGTGCGAGAGTTATCAGTATGATTCGGGGAGGCTGGTTCGACTTCTGGGGCCAGGGAATCCTGGTCACCGTCTCCTCAG</t>
  </si>
  <si>
    <t>QVQLVQSGGAVKKPGASVRVSCKASGYTFSRYGIGWVRQAPGQGLEWMGWISPYNGDTDYAQKFQDRVTMTTDTSMTTAYMELRSLRSDDTAIYYCARVISMIRGGWFDFWGQGILVTVS</t>
  </si>
  <si>
    <t>AKDYDFWSGSRHFDY</t>
  </si>
  <si>
    <t>GCGAAAGATTACGATTTTTGGAGTGGTTCCCGGCACTTTGACTAC</t>
  </si>
  <si>
    <t>EVQLLESGGGLVQPGGSLRLSCAASGFTFNSYAMNWVRQAPGKGLEWVSAISGSGGTTYYTDSVKGRFTISRDNSNNRLYLQMNSLRAEDTAVYYCAKDYDFWSGSRHFDYWGQGTLVTV</t>
  </si>
  <si>
    <t>CAGGTTCAGCTGGTGCAGTCTGGAGGTGAGGTGAAGAAGCCTGGGGCCTCAGTGAAGGTCTCCTGCAAGGCTTCTGGTTACACCTTTACCAGATATGGTATCGGCTGGGTGCGACAGGCCCCTGGACAAGGGCTTGAGTGGATGGGATGGATCAGCCCTTACAATGGTGACACAAACTATGCACAGAAGCTCCAGGGCAGAGTCACCATGACTACAGACACATCCACGAGCACAGCCTACATGGAGCTGAGGAGCCTGAGATCTGACGACACGGCCGTGTATTATTGTGCGAGAGTTATCAGTATGATTCGGGGAGGCTGGTTCGACTTCTGGGGCCAGGGAATCCTGGTCACCGTCTCCTCAG</t>
  </si>
  <si>
    <t>QVQLVQSGGEVKKPGASVKVSCKASGYTFTRYGIGWVRQAPGQGLEWMGWISPYNGDTNYAQKLQGRVTMTTDTSTSTAYMELRSLRSDDTAVYYCARVISMIRGGWFDFWGQGILVTVS</t>
  </si>
  <si>
    <t>CAGGTTCAGCTGGTGCAGTCTGGAGGTGAGGTGAAGAAGCCTGGGGCCTCAGTGAAGGTCTCCTGCAAGGCTTCTGGTTACACCTTTAGCAGATATGGTATCGGCTGGGTGCGACAGGCCCCTGGACAAGGGCTTGAGTGGATGGGATGGATCAGCCCTTACAATGGTGACACAGACTATGCTCAGAAGTTCCAGGGCAGAGTCACTATGACTACAGACACATCCACGACCACAGCCTACATGGAGCTGAGGAGCCTGAGATCTGACGACACGGCCGTGTATTATTGTGCGAGAGTTATCAGTATGATTCGGGGAGGCTGGTTCGACTTCTGGGGCCAGGGAATCCTGGTCACCGTCTCCTCAG</t>
  </si>
  <si>
    <t>QVQLVQSGGEVKKPGASVKVSCKASGYTFSRYGIGWVRQAPGQGLEWMGWISPYNGDTDYAQKFQGRVTMTTDTSTTTAYMELRSLRSDDTAVYYCARVISMIRGGWFDFWGQGILVTVS</t>
  </si>
  <si>
    <t>ARVISMIRGGWFDS</t>
  </si>
  <si>
    <t>GCGAGAGTAATCAGTATGATTCGGGGAGGCTGGTTCGACTCC</t>
  </si>
  <si>
    <t>QVHLVQSGAEVKKPGASLKVSCKASGYTFTHYGIAWVRQAPGQGLEWMGWISAYNGDTDYAQKFQGRVSMTADTSTNTAYMELRSLRSDDTAVYFCARVISMIRGGWFDSWGQGILVTVS</t>
  </si>
  <si>
    <t>GCGAGAGTGATCAGTATGATTCGGGGAGGCTGGTTCGACCTC</t>
  </si>
  <si>
    <t>CAGGCTCAGCTGGTGCAGTCTGGAGCTGAGGTGAAGAAGCCTGGGGCCTCAGTGCAGGTCTCCTGCACGGCTTCCGGTTACACCTTTACCCACTATGGTGTCGGCTGGGTGCGACAGGCCCCTGGACAAGGGCTTGAGTGGATGGGATGGATCAGCGCTTACAACGGTGACACAAACTATGCACAGAAGTTCCAGGGCAGAGTCACTATGACCACAGACACATCCACGAAGACAGTCTACATGGACCTGAGGAGCCTGAGATCTGACGACACGGCCGTGTATTACTGTGCGAGAGTGATCAGTATGATTCGGGGAGGCTGGTTCGACCTCTGGGGCCAGGGAACCCTGGTCACCGTCTCCTCAG</t>
  </si>
  <si>
    <t>QAQLVQSGAEVKKPGASVQVSCTASGYTFTHYGVGWVRQAPGQGLEWMGWISAYNGDTNYAQKFQGRVTMTTDTSTKTVYMDLRSLRSDDTAVYYCARVISMIRGGWFDLWGQGTLVTVS</t>
  </si>
  <si>
    <t>ARTISMILLGWFDI</t>
  </si>
  <si>
    <t>GCGAGGACTATTAGTATGATACTACTTGGCTGGTTCGATATC</t>
  </si>
  <si>
    <t>QVQLVQSGAEVKKPGASVKVSCKASGYTFTRYGIAWVRQAPGQGLEWMGWISAYNGDTKYAEKLHGRVILTTDTSTSTAYMELRSLTSDDTAVYYCARTISMILLGWFDIWGQGTLVTVS</t>
  </si>
  <si>
    <t>ARTITMILLGWFDP</t>
  </si>
  <si>
    <t>GCGAGAACAATTACTATGATCCTCCTCGGTTGGTTCGACCCC</t>
  </si>
  <si>
    <t>QVQLVQSGVEVKEPGASVRVSCKASGYTFTHYGITWVRQAPGQGLEWMGWISGYNGNTDYAQKFQGRITMTTDTSTSTAYMELGRLTSDDTAVYYCARTITMILLGWFDPWGQGTLVTVS</t>
  </si>
  <si>
    <t>TGQLEVGHYYYGMDV</t>
  </si>
  <si>
    <t>ACGGGGCAACTGGAAGTTGGGCACTACTACTACGGTATGGACGTC</t>
  </si>
  <si>
    <t>GAGGTGCAGCTGGTGGAGTCTGGGGGAGGCCTGGTCAAGCCTGGGGGGTCCCTGAGACTCTCCTGTGCAGCCTCTGGATTCACCTTCAATACCTATACCATGAACTGGGTCCGCCAGGCTCCAGGGAAGGGGCTGGAGTGGGTCTCATCCATCAGTATTAGTTCTAGAAAGAAATACTACACAGACTCAGTGAAGGGCCGATTCACCATCTCCAGAGACAACGCCAAGAACTCACTGTATCTGCAAATGAACAGCCTGAGAGCCGAGGACAGGGCTGTGTATTTCTGTACGGGGCAACTGGAAGTTGGGCACTACTACTACGGTATGGACGTCTGGGGCCAAGGGACGACGGTCACCGTCTCCTCAG</t>
  </si>
  <si>
    <t>EVQLVESGGGLVKPGGSLRLSCAASGFTFNTYTMNWVRQAPGKGLEWVSSISISSRKKYYTDSVKGRFTISRDNAKNSLYLQMNSLRAEDRAVYFCTGQLEVGHYYYGMDVWGQGTTVTV</t>
  </si>
  <si>
    <t>VRVLLVGAYYYGLDV</t>
  </si>
  <si>
    <t>GTGAGAGTTCTCTTAGTGGGAGCCTACTACTACGGTCTCGACGTC</t>
  </si>
  <si>
    <t>GAGGTGCAGCTGGTGGAGTCTGGGGGAGGCCTGGTCAAGCCTGGGAGGTCCCTGAGACTCTCCTGTACAGCCTCTGAATTCACCTTCAGTAACTTTAGGATGCACTGGGTCCGCCAGGCTCCAGGGAGGGGGCTGGAGTGGATCTCATCCATTAGTGCTGCTGGTACTTACATATACTACGCAGACTCAGTGAGGGGCCGCTTCACCATCTCCAGAGACAACGCCAAGAACTCACTGTATCTACAAATGAACAGCCTGAGAGCCGAGGACACGGCTGTTTATTACTGTGTGAGAGTTCTCTTAGTGGGAGCCTACTACTACGGTCTCGACGTCTGGGGCCAAGGGACCACGGTCACCGTCTCCTCAG</t>
  </si>
  <si>
    <t>EVQLVESGGGLVKPGRSLRLSCTASEFTFSNFRMHWVRQAPGRGLEWISSISAAGTYIYYADSVRGRFTISRDNAKNSLYLQMNSLRAEDTAVYYCVRVLLVGAYYYGLDVWGQGTTVTV</t>
  </si>
  <si>
    <t>ARVLEVGQYYYGMDV</t>
  </si>
  <si>
    <t>GCGCGGGTACTGGAAGTGGGCCAGTACTACTACGGTATGGACGTC</t>
  </si>
  <si>
    <t>GAGGTGCAGCTGGTGGAGTCTGGGGGAGGCCTGGTCAAGCCTGGGGGGTCCCTGAGACTCTCCTGTGCAGCCTCTGGATTCACCTTCAGTACCTATAGAATGAAGTGGGTCCGCCAGGCTCCAGGGAAGGGGCTGGAGTGGGTCTCATCCATTAGTAGTAGTAGTACTTACATATACTACGCAGACTCAGTGAAGGGCCGATTCACCATCTCCAGAGACAACGCCAAGAACTCACTGTCTCTGCAAATGAACAGCCTGCGCGCCGAGGACACGGCTATTTATTACTGTGCGCGGGTACTGGAAGTGGGCCAGTACTACTACGGTATGGACGTCTGGGGCCAAGGGACCACGGTCACCGTCTCCTCAG</t>
  </si>
  <si>
    <t>EVQLVESGGGLVKPGGSLRLSCAASGFTFSTYRMKWVRQAPGKGLEWVSSISSSSTYIYYADSVKGRFTISRDNAKNSLSLQMNSLRAEDTAIYYCARVLEVGQYYYGMDVWGQGTTVTV</t>
  </si>
  <si>
    <t>ARLLLVGAYYYGMDV</t>
  </si>
  <si>
    <t>GCGCGACTACTCTTAGTGGGAGCCTATTATTACGGAATGGACGTC</t>
  </si>
  <si>
    <t>EEQLVESGGGLVKPGGSLRLSCAASGFTLSNYRIHWVRQAPGKGLEWVSSISSGSTYRYYADSVKGRFTISRDNAKSSLYLEMTSLRAEDTAVYFCARLLLVGAYYYGMDVWGQGTTVTV</t>
  </si>
  <si>
    <t>light_v_gene</t>
  </si>
  <si>
    <t>light_j_gene</t>
  </si>
  <si>
    <t>light_cdr3_(aa)</t>
  </si>
  <si>
    <t>light_cdr3_aa_length</t>
  </si>
  <si>
    <t>light_percent_id</t>
  </si>
  <si>
    <t>light_mutations</t>
  </si>
  <si>
    <t>light_d_gene</t>
  </si>
  <si>
    <t>light_cdr3_(dna)</t>
  </si>
  <si>
    <t>light_nt_trimmed</t>
  </si>
  <si>
    <t>light_nt</t>
  </si>
  <si>
    <t>light_aa</t>
  </si>
  <si>
    <t>IGKV1-16</t>
  </si>
  <si>
    <t>IGKJ4</t>
  </si>
  <si>
    <t>QQYNSYPLT</t>
  </si>
  <si>
    <t>None</t>
  </si>
  <si>
    <t>CAACAGTATAATAGTTACCCGCTCACT</t>
  </si>
  <si>
    <t>CCATCCTCACTGTCTGCATCTGTAGGAGACAGAGTCACCATCACTTGTCGGGCGAGTCAGGGCATTAGCAATTATTTAGCCTGGTTTCAGCAGAAACCAGGGAAAGCCCCTAAGTCCCTGATCTATGCTGCATCCAGTTTGCAAAGTGGGGTCCCATCAAAGTTCAGCGGCAGTGGATCTGGGACAGATTTCACTCTCACCATCAGCAGCCTGCAGCCTGAGGATTTTGCAACTTATTACTGCCAACAGTATAATAGTTACCCGCTCACTTTCGGCGGAGGGACCAAGGTGGAGATCAAAC</t>
  </si>
  <si>
    <t>PSSLSASVGDRVTITCRASQGISNYLAWFQQKPGKAPKSLIYAASSLQSGVPSKFSGSGSGTDFTLTISSLQPEDFATYYCQQYNSYPLT</t>
  </si>
  <si>
    <t>IGKV4-1</t>
  </si>
  <si>
    <t>IGKJ2</t>
  </si>
  <si>
    <t>QQYYTTPYT</t>
  </si>
  <si>
    <t>CAGCAATATTATACTACTCCGTACACT</t>
  </si>
  <si>
    <t>GACATCGTGATGACCCAGTCTCCAGACTCCCTGCCTGTGTCTCTGGGCGAGAGGGCCACCATCAACTGCAAGTCCAGCCAGAGTGTTTTATATGGCTCCAACAATAAGAACTACTTAGCCTGGTACCAGCAGAAACCAGGACAGCCTCCTAAGTTGCTCATTTACTGGGCATCTACCCGGGAATCCGGGGTCCCTGACCGATTCAGTGGCAGCGGGTCTGGGACAGATTTCACTCTCACCATCAGCAGCCTGCAGGCTGAAGATGTGGCAGTTTATTACTGTCAGCAATATTATACTACTCCGTACACTTTTGGCCAGGGGACCAAGCTGGAGATCAAAC</t>
  </si>
  <si>
    <t>DIVMTQSPDSLPVSLGERATINCKSSQSVLYGSNNKNYLAWYQQKPGQPPKLLIYWASTRESGVPDRFSGSGSGTDFTLTISSLQAEDVAVYYCQQYYTTPYTFGQGTKLEIK</t>
  </si>
  <si>
    <t>IGKV2-28</t>
  </si>
  <si>
    <t>MQALQTHMYT</t>
  </si>
  <si>
    <t>ATGCAAGCTCTACAAACTCACATGTACACT</t>
  </si>
  <si>
    <t>GATATTGTGATGACTCAGTCTCCACTCTCCCTGCCCGTCACCCCTGGAGAGCCGGCCTCCATCTCCTGTAGGACTAGTCAGAGCCTCCTGGATAGAAATG---GATACAACTATTTGGATTGGTACCTGCAGAAGCCAGGGCAGCCTCCACAGCTCCTGATCTATTTGGGTTCTAATCGGGCCTCCGGGGTCCCTGACAGGTTCAGTGGCAGTGGATCAGGCACAGATTTTACACTGAAAATCAGCAGAGTGGAGGCTGAGGATGTTGGGGTTTATTACTGCATGCAAGCTCTACAAACTCACATGTACACTTTTGGCCAGGGGACCAAGCTGGAGATCAAA</t>
  </si>
  <si>
    <t>DIVMTQSPLSLPVTPGEPASISCRTSQSLLDRNGYNYLDWYLQKPGQPPQLLIYLGSNRASGVPDRFSGSGSGTDFTLKISRVEAEDVGVYYCMQALQTHMYTFGQGTKLEIK</t>
  </si>
  <si>
    <t>MQALQTPNT</t>
  </si>
  <si>
    <t>ATGCAAGCTCTACAAACTCCGAACACT</t>
  </si>
  <si>
    <t>DIVMTQSPLSLPVTPGEPASISCRSSQSLLHSNGYNYLDWYLQKPGQSPQLLIYLGSNRASGVPDRFSGSGSGTDFTLKISRVEAEDVGVYYCMQALQTPNTFGQGTKLEIK</t>
  </si>
  <si>
    <t>TIVMTQSPLSLFVTPGEPASISCRSSQSLLHSKGYNYLDWYLQKPGQSPLLLIYLGSNRASGVPDRFSGSGSGTDFTLKISRVEAEDVGVYYCMQALQTPNTFGQGTKLEIK</t>
  </si>
  <si>
    <t>MQALQTPYT</t>
  </si>
  <si>
    <t>ATGCAAGCTCTACAAACCCCGTACACT</t>
  </si>
  <si>
    <t>GATATTGTGATGACTCAGTCTCCACTCTCCCTGCCCGTCACCCCTGGAGAGCCGGCCTCCATCTCCTGCAGGTCTAGTCAGAGCCTCCTGGATAGTAATG---GATACAACTATTTGGAGTGGTACCTGCAGAAGCCAGGGCAGTCTCCACAGCTCCTGATCTATTTGGGTTCTAATCGGGCCTCCGGGGTCCCTGACAGGTTCAGTGGCAGTGGATCAGGCACAGATTTTACACTGAAAATCAGCAGAGTGGAGGCTGAGGATGTTGGGGTTTATTACTGCATGCAAGCTCTACAAACCCCGTACACTTTTGGCCAGGGGACCAAGCTGGAGATCAAA</t>
  </si>
  <si>
    <t>DIVMTQSPLSLPVTPGEPASISCRSSQSLLDSNGYNYLEWYLQKPGQSPQLLIYLGSNRASGVPDRFSGSGSGTDFTLKISRVEAEDVGVYYCMQALQTPYTFGQGTKLEIK</t>
  </si>
  <si>
    <t>ATGCAAGCTCTACAAACTCCGTACACT</t>
  </si>
  <si>
    <t>GATATTGTGATGACGCAGACTCCACTCTCCCTGCCCGTCACCCCTGGAGAGCCGGCCTCCATCTCCTGCAGGTCTAGTCAGAGCCTCCTGCATAGTTTTG---GATACAACTATTTGGATTGGTACCTGCAGAAGCCAGGGCAGTCTCCACAGCTCCTGATCTATTTGGGCTCTAATCGGGCCTCCGGGGTCCCTGACAGGTTCAGTGGCAGTGGATCAGGCACAGATTTTACACTGAAAATCAGCAGAGTGGAGGCTGAGGATGTTGGGGTTTATTACTGCATGCAAGCTCTACAAACTCCGTACACTTTTGGCCAGGGGACCAAGCTGGAGATCAAA</t>
  </si>
  <si>
    <t>DIVMTQTPLSLPVTPGEPASISCRSSQSLLHSFGYNYLDWYLQKPGQSPQLLIYLGSNRASGVPDRFSGSGSGTDFTLKISRVEAEDVGVYYCMQALQTPYTFGQGTKLEIK</t>
  </si>
  <si>
    <t>IGLV1-47</t>
  </si>
  <si>
    <t>IGLJ2</t>
  </si>
  <si>
    <t>AVWDDSLSGVV</t>
  </si>
  <si>
    <t>GCAGTATGGGATGACAGCCTGAGTGGTGTGGTA</t>
  </si>
  <si>
    <t>CCCTCAGCGTCTGGGACCCCCGGGCAGAGGGTCACCATCTCTTGTTCTGGAAGCAGCTCCAACATCGGAAGAAATTATGTATACTGGTACCAGCAGCTCCCAGGAACGGCCCCCAAACTCCTCATCTATAGGAATAATCAGCGGCCCTCAGGGGTCCCTGACCGATTCTCTGGCTCCAAGTCTGGAACCTCAGCCTCCCTGGCCATCAGTGGGCTCCGGTCCGAGGATGAGGCTGATTATTACTGTGCAGTATGGGATGACAGCCTGAGTGGTGTGGTATTCGGCGGAGGGACCAAGCTGACCGTCCTAG</t>
  </si>
  <si>
    <t>PSASGTPGQRVTISCSGSSSNIGRNYVYWYQQLPGTAPKLLIYRNNQRPSGVPDRFSGSKSGTSASLAISGLRSEDEADYYCAVWDDSLSGVVFGGGTKLTVL</t>
  </si>
  <si>
    <t>AAWDDSLSGVV</t>
  </si>
  <si>
    <t>GCAGCATGGGATGACAGCCTGAGTGGTGTGGTA</t>
  </si>
  <si>
    <t>SYELTQPPSASGTPGQRVTISCSGSSSNIGRNYVYWYQQLPGTAPKLLIYKNNQRPSGVPDRFSGSKSGTSASLAISGLRSEDEADYYCAAWDDSLSGVVFGGGTKVTVL</t>
  </si>
  <si>
    <t>IGLV3-25</t>
  </si>
  <si>
    <t>QSADSGGTYVI</t>
  </si>
  <si>
    <t>CAATCAGCAGACAGCGGTGGTACTTATGTGATA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</si>
  <si>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GGTGGTACTTATGTGATATTCGGCGGAGGGACCAAGCTGACCGTCCTAG</t>
  </si>
  <si>
    <t>SYELTQPPSVSVSPGQTARITCSGDALPKQYAYWYQQKPGQAPVLVIYKDSERPSGIPERFSGSSSGTTVTLTISGVQAEDEADYYCQSADSGGTYVIFGGGTKLTVL</t>
  </si>
  <si>
    <t>GACATCGTGATGACCCAGTCTCCAGACTCCCTGGCTGTGTCTCTGGGCGAGAGGGCCACCATCAACTGCAAGTCCAGTCAGAGTGTTTTATACAGCTCCAACAATAAGAACTACTTAGCTTGGTACCAGCAGAAACCACGACAGCCTCCTACACTGCTCATTTACTGGGCATCTACCCGGGAATCCGGGGTCCCTGACCGATTCAGTGGCAGCGGGTCTGGGACAGATTTCACTCTCACCATCAGCAGCCTGCAGGCTGATGATGTGGCGGTTTATTACTGTCAGCAATATTATACTACTCCGTACACTTTTGGCCAGGGGACCAAGCTGGAGATCAAAC</t>
  </si>
  <si>
    <t>DIVMTQSPDSLAVSLGERATINCKSSQSVLYSSNNKNYLAWYQQKPRQPPTLLIYWASTRESGVPDRFSGSGSGTDFTLTISSLQADDVAVYYCQQYYTTPYTFGQGTKLEIK</t>
  </si>
  <si>
    <t>QSADTSGTLVV</t>
  </si>
  <si>
    <t>CAATCAGCAGACACCAGTGGCACTCTTGTGGTA</t>
  </si>
  <si>
    <t>SYELTQSPSVSVSPGQTARITCSGDALTKQYASWYQRRSGRAPVLVIYRDSERPPGIPQRFSGSSPGTTVTLTISGVQAEDEADYYCQSADTSGTLVVFGGGTKLTVL</t>
  </si>
  <si>
    <t>IGKV3-15</t>
  </si>
  <si>
    <t>IGKJ1</t>
  </si>
  <si>
    <t>QQYENWPPWT</t>
  </si>
  <si>
    <t>CAGCAGTATGAAAACTGGCCTCCGTGGACG</t>
  </si>
  <si>
    <t>GAAATAGTGATGACGCAGTCTCCAGCCACCCTGTCTGTGTCTCCAGGGGAAAGAGCCACCCTCTCCTGCAGGGCCAGTCAGACTGTGAGCAGCAACTTAGCCTGGTACCAGCAGAAACCTGGCCAGGCTCCCAGGCTCCTCATTTATGATGCATCCACCAGGGCCACTGGTATCCCAGCCAGGTTCAGTGGCAGTGGGTCTGGGACAGAGTTCACTCTCACCATCAGCAGCCTGCAGTCTGAGGATTTTGCAGTTTATTACTGTCAGCAGTATGAAAACTGGCCTCCGTGGACGTTCGGCCAAGGGACCACGGTGGAAATCAAAC</t>
  </si>
  <si>
    <t>EIVMTQSPATLSVSPGERATLSCRASQTVSSNLAWYQQKPGQAPRLLIYDASTRATGIPARFSGSGSGTEFTLTISSLQSEDFAVYYCQQYENWPPWTFGQGTTVEIK</t>
  </si>
  <si>
    <t>QQYNRWPPWT</t>
  </si>
  <si>
    <t>CAGCAGTATAATAGGTGGCCTCCGTGGACG</t>
  </si>
  <si>
    <t>EIVMTQSPATLSVSPGERATLSCRASQSVSSNLAWYQQKPGQAPRLLIYGASTRATGIPARFSGSGSGTEFTLTISSLQSEDFAVYYCQQYNRWPPWTFGQGTKVEMK</t>
  </si>
  <si>
    <t>IGKJ3</t>
  </si>
  <si>
    <t>QQYNNWPPFT</t>
  </si>
  <si>
    <t>CAGCAGTATAATAACTGGCCTCCATTCACT</t>
  </si>
  <si>
    <t>CCAGCCACCCTGTCTGTGTCTCCAGGGGAAAGAGCCACCCTCTCCTGCAGGGCCAGTCAGAGTGTTGGCAGCAACTTAGCCTGGTACCAGCAGAAACCTGGCCAGGCTCCCAGGCTCCTCATCTATGGTGCATCCACCAGGGCCACTGGTATCCCAGCCAGGTTCAGTGGCAGTGGGTCTGGGACAGAGTTCACTCTCACCATCAGCAGCCTGCAGTCTGAAGATTTTGCAGTTTATTACTGTCAGCAGTATAATAACTGGCCTCCATTCACTTTCGGCCCTGGGACCAAAGTGGATATCAAAC</t>
  </si>
  <si>
    <t>PATLSVSPGERATLSCRASQSVGSNLAWYQQKPGQAPRLLIYGASTRATGIPARFSGSGSGTEFTLTISSLQSEDFAVYYCQQYNNWPPFTFGPGTKVDIK</t>
  </si>
  <si>
    <t>CCAGCCACCCTGTCTGTGTCTCCAGGGGAAAGAGCCACCCTCTCCTGCAGGGCCAGTCAGAGTGTTGGCAGCAACTTAGCCTGGTACCAGCAGAAAGTTGGCCAGGCTCCCAGGCTCCTCATCTATGGTGCATCCACCAGGGCCACTGGTATCCCAGCCAGGTTCAGTGGCATTGGGTCTGGGACAGAGTTCACTCTCACCATCAGCAGCCTGCAGTCTGAAGATTTTGCAGTTTATTACTGTCAGCAGTATAATAACTGGCCTCCATTCACTTTCGGCCCTGGGACCAAAGTGGATATCAAAC</t>
  </si>
  <si>
    <t>PATLSVSPGERATLSCRASQSVGSNLAWYQQKVGQAPRLLIYGASTRATGIPARFSGIGSGTEFTLTISSLQSEDFAVYYCQQYNNWPPFTFGPGTKVDIK</t>
  </si>
  <si>
    <t>CAGCAGTATAATAACTGGCCTCCTTTCACT</t>
  </si>
  <si>
    <t>CCAGCCACCCTGTCTGTGTCTCCAGGGGAGAGAGCCACCCTCTCCTGCAGGGCCAGTCAGAGTGTTGGCAGCAACTTAGCCTGGTACCAGCAGACACCTGGCCAGGCTCCCAGGCTCCTCATCTATGGTGCATCCACCAGGGCCACTGATATCCCAGCCAGGTTCAGTGGCAGTGGGTCTGGGACAGAGTTCACTCTCACCATCAGCAGCCTGCAGTCTGAAGATTTTGCAGTTTATTACTGTCAGCAGTATAATAACTGGCCTCCTTTCACTTTCGGCCCTGGGACCAAAGTGGATATCAAAC</t>
  </si>
  <si>
    <t>PATLSVSPGERATLSCRASQSVGSNLAWYQQTPGQAPRLLIYGASTRATDIPARFSGSGSGTEFTLTISSLQSEDFAVYYCQQYNNWPPFTFGPGTKVDIK</t>
  </si>
  <si>
    <t>QQYHNWPPLT</t>
  </si>
  <si>
    <t>CAGCAGTATCATAACTGGCCTCCGCTCACT</t>
  </si>
  <si>
    <t>CCAGCCACCCTGTCTGTGTCTCCAGGGGAAAGAGCCACCCTCTCCTGCAGGGCCAGTCAGAGTGTTAGCATCAACTTAGCCTGGTACCAGCAGAAACCTGGCCAGGCTCCCAGGCTCCTCATCTATGGTGCATCTACCAGGGCCACTGGTGTCCCAGCCAGGTTCAGTGGCAGTGGGTCTGGGACAGAGTTCACTCTCACCATCAGCAGCCTGCAGTCTGAAGATTTTGCAGTTTATTTCTGTCAGCAGTATCATAACTGGCCTCCGCTCACTTTCGGCGGAGGGACCAAGGTGGAAATCAAAC</t>
  </si>
  <si>
    <t>PATLSVSPGERATLSCRASQSVSINLAWYQQKPGQAPRLLIYGASTRATGVPARFSGSGSGTEFTLTISSLQSEDFAVYFCQQYHNWPPLTFGGGTKVEIK</t>
  </si>
  <si>
    <t>EIVMTQSPATPSVSPGERASLSCRASQSVSINLAWYQQKPGQAPRILIYGASTRATGIPARFSGSGSETEFTLTISSLQSEDFAVYYCQQYHNWPPLTFGGGTKVEIK</t>
  </si>
  <si>
    <t>IGKV1-39</t>
  </si>
  <si>
    <t>QQSYSIPYT</t>
  </si>
  <si>
    <t>CAACAGAGTTACAGTATCCCGTACACT</t>
  </si>
  <si>
    <t>DIQMTQSPSSLSASVGDRVTITCRASQSISKDLSWYQQKPGKAPKLLISAASSLQSGVPSRFSGSGSGTDYTLTISSLQPEDFATYYCQQSYSIPYTFGQGTKLEIK</t>
  </si>
  <si>
    <t>IGLV1-51</t>
  </si>
  <si>
    <t>IGLJ3</t>
  </si>
  <si>
    <t>GTWDISLSVGV</t>
  </si>
  <si>
    <t>GGAACATGGGATATCAGCCTCAGCGTTGGTGTG</t>
  </si>
  <si>
    <t>QSVLTQPPSVSAAPGQKVTISCSGSSSNIGNNYVSWYQQLPGTAPKLLIYDNNKRPSGIPDRFSGSKSGTSATLGITGLQTGDEADYYCGTWDISLSVGVFGGGTKLTVL</t>
  </si>
  <si>
    <t>QQYYTAPYT</t>
  </si>
  <si>
    <t>CAGCAATATTATACTGCTCCGTACACT</t>
  </si>
  <si>
    <t>GACATCGTGATGACCCAGTCTCCAGACTCCCTGGCTGTGTCTCTGGGCGAGAGGGCCACCATCAAGTGCAAGTCCAGCCAGAGTATTTTATACAACTCCAACAATAAGAACTACTTAGCTTGGTACCAGCATAAACCAGGACAGCCTCCTAAGCTCCTCATTTACTGGGCATCTACCCGGGAATCCGGGGTCCCTGACCGATTCAGTGGCAGCGGGTCTGGAACAGATTTCACTCTGACCATCACCAGCCTGCAGGCTGCAGATGTGGCAGTTTATTACTGTCAGCAATATTATACTGCTCCGTACACTTTTGGCCAGGGGACCAAGCTGGAGATCAAAC</t>
  </si>
  <si>
    <t>DIVMTQSPDSLAVSLGERATIKCKSSQSILYNSNNKNYLAWYQHKPGQPPKLLIYWASTRESGVPDRFSGSGSGTDFTLTITSLQAADVAVYYCQQYYTAPYTFGQGTKLEIK</t>
  </si>
  <si>
    <t>DIQMTQSPSSLSASVGDRVTITCRASQSIRIDLNWYQQKPGKAPKLLIYAASSLQSGVPSRFSGSGSGTDFTLTILSLQPEDFATYYCQQSYSIPYTFGQGTKLEIK</t>
  </si>
  <si>
    <t>DIQMTQSPSSLSASVGDRVTITCRASQRITIDLNWYQQKPGKAPKLLIYSASSLQSGVPSRFSGSGSGTDFTLTISSLQPEDFATYYCQQSYSIPYTFGQGTKLEIK</t>
  </si>
  <si>
    <t>QQTYSVPYT</t>
  </si>
  <si>
    <t>CAACAGACTTACAGTGTCCCGTATACT</t>
  </si>
  <si>
    <t>DIQMTQSPSSLSASVGDRVTITCRASQSISARLSWYQQKPGKAPKLLISASSSLQSAVPSRVSGSGSGTEFTLTISSLQPEDFATYYCQQTYSVPYTFGQGTKLEIK</t>
  </si>
  <si>
    <t>QQTHSVPYT</t>
  </si>
  <si>
    <t>CAACAAACTCACAGTGTCCCGTACACT</t>
  </si>
  <si>
    <t>DIQLTQFPSSLSASVGDRVVITCRASQSISSSLNWYQQKPGNAPQLLIYTVSSLYTGVPSRFSGSASGTDFTLTISSLRPEDFATYYCQQTHSVPYTFGQGTKLEIK</t>
  </si>
  <si>
    <t>QQSHSIPYT</t>
  </si>
  <si>
    <t>CAACAGAGTCACAGTATCCCGTACACT</t>
  </si>
  <si>
    <t>DIQMTQSPSSLSASVGDRVTITCRASQSISSYLIWYQQKPGKVPKVLIYGASSLQSGVPSRFSGSGSGTDFTLTISSLQPEDFATYYCQQSHSIPYTFGQGTKLEIK</t>
  </si>
  <si>
    <t>IGLV1-40</t>
  </si>
  <si>
    <t>QSYDSSLSGSV</t>
  </si>
  <si>
    <t>CAGTCCTATGACAGCAGCCTAAGTGGTTCGGTG</t>
  </si>
  <si>
    <t>CCCTCAGTGTCTGGGGCCCCAGGTCAGAGGGTCACCATCTCCTGCACTGGGAGCAGCTCCAACATCGGGGAAGGTTATGATGTACACTGGTACCAGCAGCTTCCAGGAACAGCCCCCAAACTGCTCATCTATGGTAACAGCCATCGGCCCTCAGGGGTCCCTGACCGATTCTCTGGCTCCAAGTCTGGCACCTCAGCCTCCCTGGCCATCACTGGGCTCCAGGCTGAGGATGAGGCTGATTATTACTGCCAGTCCTATGACAGCAGCCTAAGTGGTTCGGTGTTCGGCGGAGGGACCAAGCTGACCGTCCT</t>
  </si>
  <si>
    <t>PSVSGAPGQRVTISCTGSSSNIGEGYDVHWYQQLPGTAPKLLIYGNSHRPSGVPDRFSGSKSGTSASLAITGLQAEDEADYYCQSYDSSLSGSVFGGGTKLTVL</t>
  </si>
  <si>
    <t>QSYDSSMSGSV</t>
  </si>
  <si>
    <t>CAGTCTTATGACAGCAGTATGAGTGGTTCGGTG</t>
  </si>
  <si>
    <t>QSVLTQPPSVSGAPGQRVTISCTGSSSNIGAGYDVHWYQQLPGTAPKLLIYGNTNRPSGVPDRFSGSKSDTSASLAITGLQAADEADYYCQSYDSSMSGSVFGGGTKLTVL</t>
  </si>
  <si>
    <t>IGLV2-18</t>
  </si>
  <si>
    <t>IGLJ1</t>
  </si>
  <si>
    <t>SSYTSSATYV</t>
  </si>
  <si>
    <t>AGCTCATATACAAGCAGCGCCACTTATGTC</t>
  </si>
  <si>
    <t>QSALTQPPSVSGSPGQSVAISCTGTSSDVGSYNRVSWYQQSPGTAPKVMIYDVSNRPSGVPDRFSGSKSGDTASLTISGLQSEDEADYYCSSYTSSATYVFGTGTKVTVL</t>
  </si>
  <si>
    <t>SSFTSSNTYV</t>
  </si>
  <si>
    <t>AGCTCATTTACAAGCAGCAACACTTATGTC</t>
  </si>
  <si>
    <t>QSALTQPPSVSGSPGQSVTISCTGTSNDVGYHNRVSWYQQSPGTAPKVMIYDVSNRPSGVPDRFSGSKSGNTASLTISGLQAEDEADYYCSSFTSSNTYVFGTGTEVTVL</t>
  </si>
  <si>
    <t>IGLV3-19</t>
  </si>
  <si>
    <t>NSRSGNHLI</t>
  </si>
  <si>
    <t>AACTCCC------GCAGTGGGAACCATCTGATA</t>
  </si>
  <si>
    <t>TCTTCTGAGCTGACTCAGGACCCCGCTGTGTCTGTGGCCTTGGGACAGACAGTCAGGATCACATGCCAAGGAGACATCCTCAGAAGCTATTTTCCAACCTGGTACCAGCAGAGGCCAGGACAGGCCCCTATACTTATCATCTATGGTAATAATGACCGGCCCTCAGGGATCCCAGACCGATTCTCTGGCTCCAGCTCAGGAAACACAGCTTCCTTGACCATCATTGGGGCTCAGGCGGAAGATGAGGCTGACTATTTCTGTAACTCCC------GCAGTGGGAACCATCTGATATTCGGCGGAGGGACCAAACTGACCGTCCT</t>
  </si>
  <si>
    <t>SSELTQDPAVSVALGQTVRITCQGDILRSYFPTWYQQRPGQAPILIIYGNNDRPSGIPDRFSGSSSGNTASLTIIGAQAEDEADYFCNSRSGNHLIFGGGTKLTVL</t>
  </si>
  <si>
    <t>CAGCAATATTATACTACTCCGTATACT</t>
  </si>
  <si>
    <t>GACATCGTGATGACCCAGTCTCCAGACTCCCTGGCTGTGTCTCTGGGCGCGAGGGCCACCGTCAACTGCAAGTCCAGCCGAAGTCTTTTATACACTTCCAACAGTAGGAACTACTTAGCTTGGTACCAGCAGAAAGCAGGACAGCCTCCTAAAGTGCTCATTTACTGGGCATCTACCCGACAATCCGGGGTCCCTGACCGATTCAGTGGCAGCGGGTCTGGGACAGATTTCACTCTCACCATCAGCAGCCTGCAGGCTGAAGATGTGGCAGTTTATTACTGTCAGCAATATTATACTACTCCGTATACTTTTGGCCAGGGGACCAAGCTGGAGATCAAAC</t>
  </si>
  <si>
    <t>DIVMTQSPDSLAVSLGARATVNCKSSRSLLYTSNSRNYLAWYQQKAGQPPKVLIYWASTRQSGVPDRFSGSGSGTDFTLTISSLQAEDVAVYYCQQYYTTPYTFGQGTKLEIK</t>
  </si>
  <si>
    <t>NSRDSSGNHLV</t>
  </si>
  <si>
    <t>AACTCCCGGGACAGCAGTGGTAACCATCTGGTA</t>
  </si>
  <si>
    <t>SSELTQDPAVSVALGQTVRITCQGDSLRSYYAIWYQQKPGQAPVLVIYSNNNRPSGIPDRFSGSNSGNTASLTITGAQAEDEADYYCNSRDSSGNHLVFGGGTKLTVL</t>
  </si>
  <si>
    <t>AATTCCCGGGACAGCAGTGGTAACCATCTGGTT</t>
  </si>
  <si>
    <t>SSELTQDPAVSVALGQTVRITCQGDILRNYFPCWYQQKPGQAPVLVIYGNNDRPSGIPDRFSGSSSGNTASLTITWAQAEDEADYYCNSRDSSGNHLVFGGGTKLTVL</t>
  </si>
  <si>
    <t>IGLV2-14</t>
  </si>
  <si>
    <t>SSYRTRNTHVI</t>
  </si>
  <si>
    <t>AGCTCATATAGAACCAGAAACACTCACGTGATA</t>
  </si>
  <si>
    <t>QSALTQPASVSGSPGQSITISCTGTSSDVGGYNYVSWYQQYPGKAPKLVIYEVTNRPSGVSNRFSGSKSGNTASLTISGLRAEDEADYHCSSYRTRNTHVIFGGGTKLTVL</t>
  </si>
  <si>
    <t>SSYKTGSTPVV</t>
  </si>
  <si>
    <t>AGTTCATATAAAACCGGCAGCACCCCTGTGGTC</t>
  </si>
  <si>
    <t>QSALTQPASVSGSPGQSITISCTGTSSDVGGYNYVSWYQQYPGKAPKLMIYEVTSRPSGVSNRFSGSKSGNTASLTISGLQAEDEGDYYCSSYKTGSTPVVFGGGTKLTVL</t>
  </si>
  <si>
    <t>NSRDSSGDHLV</t>
  </si>
  <si>
    <t>AACTCCCGGGACAGCAGTGGTGACCATCTGGTA</t>
  </si>
  <si>
    <t>SSELTQDPAVSVALGQTVRITCQGDSLRTHYASWYQQKPRQAPVLVIYDKNERPSGIPDRFSGSRSGNTASLTITGAQAEDEADYYCNSRDSSGDHLVFGGGTKVTVL</t>
  </si>
  <si>
    <t>SSRDFSDDHLL</t>
  </si>
  <si>
    <t>AGCTCCCGGGACTTCAGTGATGACCATCTGCTC</t>
  </si>
  <si>
    <t>SSELTQDPAVSVALGQTVRITCQGDSLRNFYASWYQQKPGQAPILVIYDKSSRPSGIPDRFSGSSSGNTASLTITGAQAEDEADYYCSSRDFSDDHLLFGGGTKLTVL</t>
  </si>
  <si>
    <t>NSRDTTGNHVL</t>
  </si>
  <si>
    <t>AACTCCCGTGACACCACTGGTAACCATGTGCTA</t>
  </si>
  <si>
    <t>SSELTQDPFVSVALGQTVRITCQGDSLRTYYASWYQQKPGQAPLLVIYAKNNRPSGIPDRFSGSGSGNTASLTITGAQAEDEADYYCNSRDTTGNHVLFGGGTKLTVL</t>
  </si>
  <si>
    <t>NSRDSSGNHGV</t>
  </si>
  <si>
    <t>AACTCCCGGGACAGCAGTGGTAACCATGGGGTA</t>
  </si>
  <si>
    <t>SSELTQDPAVSVALGQTVRITCQGDSLRSYYATWYQQKPGQAPVLVIYGENNRPSGIPDRFSGSSSGNTASLTITGAQAEDEADYYCNSRDSSGNHGVFGGGTKLAVL</t>
  </si>
  <si>
    <t>MQGLQTPPVT</t>
  </si>
  <si>
    <t>ATGCAAGGTCTACAAACTCCTCCGGTCACC</t>
  </si>
  <si>
    <t>GACATTGTGATGACTCAGTCTCCACTCTCCCTGCCCGTCACTCCTGGAGAGCCAGCCTCCATGTCCTGCAGGGCTAGTCAGAGCCTCCTTCATAGTAACGG---ATACAACTATTTGGATTGGTACCTGCAGAAGCCAGGGCAGCCTCCACAACTCCTGATCTATTTGGGTTCTCATCGGGCCTCCGGGGTCCCTGACAGGTTCAGTGGCAGTGGATCAGGCACAGATTTTACACTGAAAATCAGCAGAGTGGAGGCCGAGGATGTTGGGGTTTATTACTGCATGCAAGGTCTACAAACTCCTCCGGTCACCTTCGGCGGAGGGACCAAGGTGGAGATCAAAC</t>
  </si>
  <si>
    <t>DIVMTQSPLSLPVTPGEPASMSCRASQSLLHSNGYNYLDWYLQKPGQPPQLLIYLGSHRASGVPDRFSGSGSGTDFTLKISRVEAEDVGVYYCMQGLQTPPVTFGGGTKVEIK</t>
  </si>
  <si>
    <t>ATGCAAGGTCTACAAACTCCTCCGGTCACT</t>
  </si>
  <si>
    <t>GATATTGTGATGACTCAGTCTCCACTCTCCCTGCCCGTCACCCCTGGAGAGCCGGCCTCCATCTCCTGCAGGTCTAGTCAGAGCCTCCTGCATAGTAATG---GATACAACTATTTGGATTGGTACCTGCAGAAGCCAGGGCAGTCTCCACAGCTCCTGATCTATTTGGGTTCTAATCGGGCCTCCGGGGTCCCTGACAGGTTCAGTGGCAGTGGATCAGGCACAGATTTTACACTGAAAATCAGCAGAGTGGAGGCTGAGGATGTTGGGGTTTATTACTGCATGCAAGGTCTACAAACTCCTCCGGTCACTTTCGGCGGAGGGACCAAGGTGGAGATCAAAC</t>
  </si>
  <si>
    <t>DIVMTQSPLSLPVTPGEPASISCRSSQSLLHSNGYNYLDWYLQKPGQSPQLLIYLGSNRASGVPDRFSGSGSGTDFTLKISRVEAEDVGVYYCMQGLQTPPVTFGGGTKVEIK</t>
  </si>
  <si>
    <t>QQYYTTPST</t>
  </si>
  <si>
    <t>CAGCAATATTATACTACTCCTTCCACT</t>
  </si>
  <si>
    <t>GACATCGTGATGACCCAGTCTCCAGACTCCCTGGCTGTGTCTCTGGGCGAGAGGGCCACCATCAACTGCAAGTCCAGCCAGAGTGTTTTATACAGCTCCAACAATAAGAACTACTTAGCTTGGTACCAGCAGAAACCAGGACAGCCTCCTAAGGTGCTCATTTACTGGGCATCTACCCGGGAATCCGGGGTCCCTGACCGATTCAGTGGCAGCGGGTCTGGGACAAATTTCACTCTCACCATCAGCAGCCTGCAGGCTGAAGATTTGGCAGTTTATTATTGTCAGCAATATTATACTACTCCTTCCACTTTTGGCCAGGGGACCAAGCTGCAGATCAAAC</t>
  </si>
  <si>
    <t>DIVMTQSPDSLAVSLGERATINCKSSQSVLYSSNNKNYLAWYQQKPGQPPKVLIYWASTRESGVPDRFSGSGSGTNFTLTISSLQAEDLAVYYCQQYYTTPSTFGQGTKLQIK</t>
  </si>
  <si>
    <t>MQALQTPPVT</t>
  </si>
  <si>
    <t>ATGCAAGCTCTACAAACTCCTCCGGTCACT</t>
  </si>
  <si>
    <t>GATATTGTGATGACTCAGTCTCCACTCTCCCTGCCCGTCACCCCTGGAGAGCCGGCCTCCATCTCCTGCAGGTCTAGTCAGAGCCTCCTGCATAGTAATG---GATACAACTATTTGGATTGGTACCTGCAGAAGCCAGGGCAGTCTCCACAGCTCCTGATCTATTTGGGTTCTAATCGGGCCTCCGGGGTCCCTGACAGGTTCAGTGGCAGTGGATCAGGCACAGATTTTACACTGAAAATCAGCAGAGTGGAGGCTGAGGATGTTGGGGTTTATTACTGCATGCAAGCTCTACAAACTCCTCCGGTCACTTTCGGCGGAGGGACCAAGGTGGAGATCAAA</t>
  </si>
  <si>
    <t>DIVMTQSPLSLPVTPGEPASISCRSSQSLLHSNGYNYLDWYLQKPGQSPQLLIYLGSNRASGVPDRFSGSGSGTDFTLKISRVEAEDVGVYYCMQALQTPPVTFGGGTKVEIK</t>
  </si>
  <si>
    <t>MQGLQTPLT</t>
  </si>
  <si>
    <t>ATGCAAGGTCTACAAACTCCGCTCACT</t>
  </si>
  <si>
    <t>GAAATTGTAATGACACAGTCTCCACTCTCCCTGCCCGTCACCCCTGGAGAGCCGGCCTCCATCTCCTGCAGGTCTAGTCAGAGCCTCCTGCATAGTAATC---GATACAACTATTTGGATTGGTACCTGCAGAAGCCAGGGCAGTCTCCACAGCTCCTGATTTATTTGGGTTCTAATCGGGCCTCCGGGGTCCCTGACAGGTTCAGTGGCAGTGGATCAGGCACAGATTTTACACTGAAAATCAGCAGAGTGGAGGCTGAGGATGTTGGGGTTTATTACTGCATGCAAGGTCTACAAACTCCGCTCACTTTCGGCGGAGGGACCAAGGTGGAAATCAAA</t>
  </si>
  <si>
    <t>EIVMTQSPLSLPVTPGEPASISCRSSQSLLHSNRYNYLDWYLQKPGQSPQLLIYLGSNRASGVPDRFSGSGSGTDFTLKISRVEAEDVGVYYCMQGLQTPLTFGGGTKVEIK</t>
  </si>
  <si>
    <t>GATATTGTGATGACCCAGACTCCACTCTCCCTGCCCGTCACCCCTGGAGAGCCGGCCTCCATCTCCTGCAGGTCTAGTCAGAGCCTCCTGCATAGTAATG---GATACAACTATTTGGATTGGTACCTGCAGAAGCCAGGGCAGTCTCCACAGCTCCTGATCTATTTGGGTTCTAATCGGGCCTCCGGGGTCCCTGACAGGTTCAGTGGCAGTGGATCAGGCACAGATTTTACACTGAAAATCAGCAGAGTGGAGGCTGAGGATGTTGGGGTTTATTACTGCATGCAAGGTCTACAAACTCCGCTCACTTTCGGCGGAGGGACCAAGGTGGAAATCAAA</t>
  </si>
  <si>
    <t>DIVMTQTPLSLPVTPGEPASISCRSSQSLLHSNGYNYLDWYLQKPGQSPQLLIYLGSNRASGVPDRFSGSGSGTDFTLKISRVEAEDVGVYYCMQGLQTPLTFGGGTKVEIK</t>
  </si>
  <si>
    <t>GACATCCAGTTGACCCAGTCTCCACTCTCCCTGCCCGTCACCCCTGGAGAGCCGGCCTCCATCTCCTGCAGGTCTAGTCAGAGCCTCCTGCATAGTAATG---GATACAACTATTTGGATTGGTACCTGCAGAAGCCAGGGCAGTCTCCACAGCTCCTGATCTATTTGGGTTCTAATCGGGCCTCCGGGGTCCCTGACAGGTTCAGTGGCAGTGGATCAGGCGCAGATTTTACACTGAAAATCAGCAGAGTGGAGGCTGAGGATGTTGGGGTTTATTACTGCATGCAAGGTCTACAAACTCCGCTCACTTTCGGCGGAGGGACCAAGGTGGAAATCAAA</t>
  </si>
  <si>
    <t>DIQLTQSPLSLPVTPGEPASISCRSSQSLLHSNGYNYLDWYLQKPGQSPQLLIYLGSNRASGVPDRFSGSGSGADFTLKISRVEAEDVGVYYCMQGLQTPLTFGGGTKVEIK</t>
  </si>
  <si>
    <t>GAAATTGTGATGACACAGTCTCCACTCTCCCTGCCCGTCACCCCTGGAGAGCCGGCCTCCATCTCCTGCAGGTCTAGTCAGAGCCTCCTGCATAGTAATC---GATACAACTATTTGGATTGGTACCTGCAGAAGCCAGGGCAGTCTCCACAGCTCCTGATTTATTTGGGTTCTAATCGGGCCTCCGGGGTCCCTGACAGGTTCAGTGGCAGTGGATCAGGCACAGATTTTACACTGAAAATCAGCAGAGTGGAGGCTGAGGATGTTGGGGTTTATTACTGCATGCAAGGTCTACAAACTCCGCTCACTTTCGGCGGAGGGACCAAGCTGGAGATCAAA</t>
  </si>
  <si>
    <t>EIVMTQSPLSLPVTPGEPASISCRSSQSLLHSNRYNYLDWYLQKPGQSPQLLIYLGSNRASGVPDRFSGSGSGTDFTLKISRVEAEDVGVYYCMQGLQTPLTFGGGTKLEIK</t>
  </si>
  <si>
    <t>GATATTGTGATGACTCAGTCTCCACTCTCCCTGCCCGTCACCCCTGGAGAGCCGGCCTCCATCTCCTGCAGGTCTAGTCAGAGCCTCCTGCATAGTAATC---GATACAACTATTTGGATTGGTACCTGCAGAAGCCAGGGCAGTCTCCACAGCTCCTGATTTATTTGGGTTCTAATCGGGCCTCCGGGGTCCCTGACAGGTTCAGTGGCAGTGGATCAGGCACAGATTTTACACTGAAAATCAGCAGAGTGGAGGCTGAGGATGTTGGGGTTTATTACTGCATGCAAGGTCTACAAACTCCGCTCACTTTCGGCGGAGGGACCAAGGTGGAGATCAAA</t>
  </si>
  <si>
    <t>DIVMTQSPLSLPVTPGEPASISCRSSQSLLHSNRYNYLDWYLQKPGQSPQLLIYLGSNRASGVPDRFSGSGSGTDFTLKISRVEAEDVGVYYCMQGLQTPLTFGGGTKVEIK</t>
  </si>
  <si>
    <t>QQYNTWPPLT</t>
  </si>
  <si>
    <t>CAGCAGTATAATACGTGGCCTCCGCTCACT</t>
  </si>
  <si>
    <t>EIVMTQSPATLSVSPGERATLSCRASQSISDNLAWYQQKPGQAPRLLIYGASTRATGTPARFSGSGSGTEFTLIISSLQSEDFAVYYCQQYNTWPPLTFGGGTKVEIK</t>
  </si>
  <si>
    <t>QQYYSTPYT</t>
  </si>
  <si>
    <t>CAGCAATATTATAGTACTCCTTACACT</t>
  </si>
  <si>
    <t>GACATCGTGATGACCCAGTCTCCAGACTCCCTGGCTGTGTCTCTGGGCGAGAGGGCCACCATCAACTGCAAGTCCAGTCGGAGTGTTTTATACA------ACAATAAGAACTACGTAACTTGGTACCAGCACAAACCAGGACAGCCTCCTAAAGTGCTCATTTACTGGGCATCTACCCGGGAATCCGGGGTCCCTGACCGATTCAGTGGCAGCGGGTCTGGGACAGATTTCACCCTCACCATCAACAACCTGCAGGCTGAAGATGTGGCAGTTTATTACTGTCAGCAATATTATAGTACTCCTTACACTTTTGGCCAGGGGACCAAGATGGACATCAA</t>
  </si>
  <si>
    <t>DIVMTQSPDSLAVSLGERATINCKSSRSVLYNNKNYVTWYQHKPGQPPKVLIYWASTRESGVPDRFSGSGSGTDFTLTINNLQAEDVAVYYCQQYYSTPYTFGQGTKMDI</t>
  </si>
  <si>
    <t>QQYNTWPPFT</t>
  </si>
  <si>
    <t>CAGCAGTATAATACCTGGCCTCCGTTCACT</t>
  </si>
  <si>
    <t>EIVMTQSPATLSVSPGERATLSCRASQSINNNLAWYQQKPGQAPRLLISDASTRATGVPARFSGSGSGTEFTLTISSLQSEDSAVYHCQQYNTWPPFTFGGGTKVEIK</t>
  </si>
  <si>
    <t>QQYDQWTPLT</t>
  </si>
  <si>
    <t>CAGCAGTATGATCAGTGGACTCCGCTCACT</t>
  </si>
  <si>
    <t>KIVMTQSPASLSVSPGERATLSCRASQSISSNLAWYQQKPGQAPRLLIYSVSTRATGIPARFSGSGSGAEFTLTISSLQSEDIAVYYCQQYDQWTPLTFGGGTKVEIK</t>
  </si>
  <si>
    <t>CAGCAGTATAATACCTGGCCTCCGCTCACT</t>
  </si>
  <si>
    <t>EIVMTQSPATLSVSPGERATLSCRASQGVNNNLAWYQQKPGQAPRLLIYGASTRATGIPARFSGSGSGTEFTLTISSLQSEDFAVYYCQQYNTWPPLTFGGGTKVEIK</t>
  </si>
  <si>
    <t>EIVLTQSPATLSVSPGERATLSCRASQSLNGNLAWYQQKPGQAPRLLMFATSTRATGIPARFSGSGSGTEFTLTISSLQSEDFGVYYCQQYNTWPPLTFGGGTKVEIK</t>
  </si>
  <si>
    <t>EIVMTQSPATLSVSPGERVTLSCRASQGVNNNLAWYQQKPGQAPRLLIYGASTRATGVPARFSGTGSGTEYTLTISSLQSEDFAVYFCQQYNTWPPLTFGGGTKVEIK</t>
  </si>
  <si>
    <t>QQYENWRPLS</t>
  </si>
  <si>
    <t>CAGCAGTATGAAAACTGGCGGCCGCTCTCT</t>
  </si>
  <si>
    <t>EIVMTQSPATLSVSPGERATLSCRASQSVSTNLAWYQQKPGQAPRLLIYGASTRATGIPARFSGSGSGTEFTLTISSLQSEDSAVYHCQQYENWRPLSFGGGTKVEIK</t>
  </si>
  <si>
    <t>EIVMTQSPASLSVSPGERATLSCRASQSISTNLAWYQLKPGQAPRLLIYGVSTRATGIPARFSGSGSGAEFTLTISSLQSEDIAVYYCQQYDQWTPLTFGGGTKVEIK</t>
  </si>
  <si>
    <t>QQYDSWTPLT</t>
  </si>
  <si>
    <t>CAACAGTATGATAGCTGGACTCCGCTCACT</t>
  </si>
  <si>
    <t>EIVMTQSPATLSVSPGERATLSCRASQYITSNLAWYQHKPGQAPRLLIYGASTRATGIPARFSGSGSGTEFTLTISSLQSEDFALYYCQQYDSWTPLTFGGGTKVEIK</t>
  </si>
  <si>
    <t>CAGCAATATTATACTACTCCTTACACT</t>
  </si>
  <si>
    <t>DIVMTQSADSLAVSLGERATINCKSSQSVLYSSNNKNYLAWYQQKPGQPPKVLIYWASTRESGVPDRFSGSGSGTDFTLTISSLQAEDVAVYYCQQYYTTPYTFGQGTKLEIK</t>
  </si>
  <si>
    <t>QQYNNWPPLS</t>
  </si>
  <si>
    <t>CAGCAGTATAATAACTGGCCTCCGCTCTCT</t>
  </si>
  <si>
    <t>EIVMTQSPATLSVSPGERATLSCRASQSVSSDLAWYQQKRGQAPRLLIYGTSTRATGVPARFSGSGSGTEFTLTISSLQFEDFAVYYCQQYNNWPPLSFGGGTKVEIK</t>
  </si>
  <si>
    <t>IGKV3-20</t>
  </si>
  <si>
    <t>QQFGSSPLT</t>
  </si>
  <si>
    <t>CAGCAGTTTGGTAGTTCACCACTCACT</t>
  </si>
  <si>
    <t>GAAATTGTGTTGACGCAGTCTCCAGGCACCCTGTCTTTGTCTCCGGGGGAAAGAGCCACCCTCTCCTGCAGGGCCAGTCAGAGTGTTGACAGCAGGTACTTAACCTGGTACCAGCAGAAACCTGGCCAGGCTCCCAGACTCCTCATGTATGGTACTTCCACCAGGGCCACTGGCATCCCAGACAGGTTCAGTGGCAGTGGGTCTGGGACAGACTTCACTCTCACCATCAGCAGACTGGACCCTGAAGATTTTGCAGTGTATTACTGTCAGCAGTTTGGTAGTTCACCACTCACTTTCGGCGGAGGGACCAAGGTGGAGATCAAAC</t>
  </si>
  <si>
    <t>EIVLTQSPGTLSLSPGERATLSCRASQSVDSRYLTWYQQKPGQAPRLLMYGTSTRATGIPDRFSGSGSGTDFTLTISRLDPEDFAVYYCQQFGSSPLTFGGGTKVEIK</t>
  </si>
  <si>
    <t>QQSGSSPLT</t>
  </si>
  <si>
    <t>CAGCAGTCTGGTAGCTCACCGCTCACT</t>
  </si>
  <si>
    <t>GAAAATGTGTTGACGCAGTCTCCAGGCACCCTGTCTTTGTCTCCAGGGCAAAGAGCCACCCTCTCCTGCAGGGCCAGTCAGAGTGTTGCCAGCAACTACTTAGCCTGGTACCAACAGAAACCTGGCCAGGCTCCCAGGCTCCTCATCTATGCTACATCCAGCAGGGCCACTGGCATCCCAGACAGGTTCAGTGGCAGTGGCTCTGGGACAGACTTCACTCTCACCATCAGCAGACTGGAGCCTGAAGACTTTGCAGTGTATTACTGTCAGCAGTCTGGTAGCTCACCGCTCACTTTCGGCGGGGGGACCAAGGTGGAGATCAAAC</t>
  </si>
  <si>
    <t>ENVLTQSPGTLSLSPGQRATLSCRASQSVASNYLAWYQQKPGQAPRLLIYATSSRATGIPDRFSGSGSGTDFTLTISRLEPEDFAVYYCQQSGSSPLTFGGGTKVEIK</t>
  </si>
  <si>
    <t>LQYGSSPRT</t>
  </si>
  <si>
    <t>CTGCAGTATGGTAGCTCACCTCGCACT</t>
  </si>
  <si>
    <t>GAAATTGTGTTGACGCAGTCTCCAGGCACCCTGTCTTTGCCTCCAGGGGAAAGAGCCACCCTCTCCTGCAGGGCCAGTCAGAGTGTTAACAGCGGCTACTTAGCCTGGTACCAGCAGAAACCTGGCCAGGCTCCCAGGCTCCTCATGTATGGTGCATCCAGCAGGGCCGCTGGCATCCCAGACAGGTTCAGTGGCAGTGGGTCTGGGACAGACTTCACTCTCACCATCAGCAGACTGGAGCCTGAAGACTTTGCAGTGTATTACTGTCTGCAGTATGGTAGCTCACCTCGCACTTTCGGCGGAGGGACCAAGGTGGAGATCAAAC</t>
  </si>
  <si>
    <t>EIVLTQSPGTLSLPPGERATLSCRASQSVNSGYLAWYQQKPGQAPRLLMYGASSRAAGIPDRFSGSGSGTDFTLTISRLEPEDFAVYYCLQYGSSPRTFGGGTKVEIK</t>
  </si>
  <si>
    <t>QQSGNSPLT</t>
  </si>
  <si>
    <t>CAGCAGTCTGGTAACTCACCGCTCACT</t>
  </si>
  <si>
    <t>GAAAATGTGTTGACGCAGTCTCCAGGCACCCTGTCTTTGTCTCCAGGGCAAAGAGCCACCCTCTCCTGCAGGGCCAGTCAGAGTGTTAGTAGCAACTACTTGGCCTGGTACCAGCAGAAACCTGGCCAGGCTCCCAGACTCCTCATCTATGCTACATCCAGCAGGGCCACTGGCATCCCAGACAGGTTCAGTGGCAGTGGGTCTGGGACAGACTTCACTCTCACCATCAACAGACTGGAGCCTGAAGACTTTGCAGTGTATTACTGTCAGCAGTCTGGTAACTCACCGCTCACTTTCGGCGGGGGGACCAAGGTGGAGATCAAAC</t>
  </si>
  <si>
    <t>ENVLTQSPGTLSLSPGQRATLSCRASQSVSSNYLAWYQQKPGQAPRLLIYATSSRATGIPDRFSGSGSGTDFTLTINRLEPEDFAVYYCQQSGNSPLTFGGGTKVEIK</t>
  </si>
  <si>
    <t>QQYGSSPLT</t>
  </si>
  <si>
    <t>CAGCAGTATGGCAGCTCACCACTCACT</t>
  </si>
  <si>
    <t>EIVLTQSPGTLSLSPGERATLSCRASQSVSSNYLAWYQQKPGQAPRLLIYDASRRAAGIPDRFSGSGSGTDFTLSISRLEPEDFAVYHCQQYGSSPLTFGGGTKVEIK</t>
  </si>
  <si>
    <t>CAGCAGTATGGTAGCTCACCACTCACT</t>
  </si>
  <si>
    <t>GAAATTGTGTTGACGCAGTCTCCAGGCACCCTGTCTTTGTCTCCAGGGGAAAGAGCCACCCTCTCCTGCAGGGCCAGTCAGAGTGTTGACAGCAGGTACTTAACCTGGTACCAGCAGAAACCTGGCCAGGCTCCCAGACTCCTCATGTATGGTACTTCCACCAGGGCCACTGGCATCCCAGACAGGTTCAGTGGCAGTGGGTCTGGGACAGACTTCACTCTCACCATCAGCAGACTGGACCCTGAAGATTTTGCAGTGTATTACTGTCAGCAGTATGGTAGCTCACCACTCACTTTCGGCGGAGGGACCAAGGTGGAGATCAAAC</t>
  </si>
  <si>
    <t>EIVLTQSPGTLSLSPGERATLSCRASQSVDSRYLTWYQQKPGQAPRLLMYGTSTRATGIPDRFSGSGSGTDFTLTISRLDPEDFAVYYCQQYGSSPLTFGGGTKVEIK</t>
  </si>
  <si>
    <t>CTGCAGTATGGAAGCTCACCTCGCACT</t>
  </si>
  <si>
    <t>DIVLTQSPGTLSLSPGESATLYCRASQSVNSNYLAWYQQKPGQAPRLLIYGASSRAAGIPDRFSASGSGTDFTLIISRLEPEDSAVYFCLQYGSSPRTFGGGTRVEIK</t>
  </si>
  <si>
    <t>HQYSSSPLT</t>
  </si>
  <si>
    <t>CACCAGTATAGTAGCTCACCGCTCACT</t>
  </si>
  <si>
    <t>EIVLTQSPGTLSLSPGERATLSCRSSQSVSSNSLAWYQQKPGQAPRLLIYGASSRAAGIPDRFSGSGSGTDFTLTISRLQPEDFAVFFCHQYSSSPLTFGGGTKVEIK</t>
  </si>
  <si>
    <t>DIVMTQSPDSLAVSLGERATINCKSSQSVLYNSNNKNYLVWYQQKPGQPPKVLIYWASTRESGVPDRFSGSGSGTDFTLTISSLQAEDVAVYYCQQYYTTPYTFGQGTKLEIK</t>
  </si>
  <si>
    <t>QQYNDWTPLT</t>
  </si>
  <si>
    <t>CAACAATATTACACTACTCCGTACACT</t>
  </si>
  <si>
    <t>DIVMTQSPDSLPVSLGERATINCKSSRSLLYSSNNKNYLAWYQQKPGQSPRLLLYWASTRESWVPDRFSGSGSGTDFTLTISSLQAEDVAIYYCQQYYTTPYTFGQGTRLEIK</t>
  </si>
  <si>
    <t>QQYKSYPLT</t>
  </si>
  <si>
    <t>CAACAGTATAAGAGTTATCCGCTCACT</t>
  </si>
  <si>
    <t>GACATCCAGATGACCCAGTCTCCATCCTCACTGTCTGCATCTGTAGGCGACAGAGTCACCATCACTTGTCGGGCGAGTCAGGACATTAGCGACTATTTAGCCTGGTTTCAGCAGAAACCAGGGAAAGCCCCTAAGCCCCTCATCTATGGCGCATCCCGTTTGCAAAGTGGGGTCCCATCAAAGTTCAGCGGCAGTGGATCTGGGACAGATTTCACTCTCACCATCACCAACCTGCAGCCTGGAGATTTTGCAACTTATTACTGCCAACAGTATAAGAGTTATCCGCTCACTTTCGGCGGAGGGACCGCGGTGGAGATCAAAC</t>
  </si>
  <si>
    <t>DIQMTQSPSSLSASVGDRVTITCRASQDISDYLAWFQQKPGKAPKPLIYGASRLQSGVPSKFSGSGSGTDFTLTITNLQPGDFATYYCQQYKSYPLTFGGGTAVEIK</t>
  </si>
  <si>
    <t>LHYNSYPLT</t>
  </si>
  <si>
    <t>CTACATTATAATAGTTACCCCCTCACT</t>
  </si>
  <si>
    <t>DIQMTQSPSSLSASVGDRVTITCRASQDISNYLAWFQQKPGRAPKSLIYAASSLQSGVPSKFSGSGSGTDFTLTISSLQPEDFATYYCLHYNSYPLTFGGGTKVEI</t>
  </si>
  <si>
    <t>LQYNSYPLT</t>
  </si>
  <si>
    <t>CTCCAGTACAATAGTTACCCCCTCACT</t>
  </si>
  <si>
    <t>DIQMTQSPSSLSASVGDRVTITCRASQGISNYLAWFQQQPGKAPKSLIYAASSLQSGVPSKFSGSGSGTDFTLTISSLQPEDFATYYCLQYNSYPLTFGGGTKVEIK</t>
  </si>
  <si>
    <t>DIQMTQSPSSLSASVGDRVTITCRASQGISNYLAWFQQKPGKAPKSLIYAASSLQSGVPSKFSGSGSGTDFTLTISSLQPEDSATYYCLHYNSYPLTFGGGTKVEIK</t>
  </si>
  <si>
    <t>CAACAGTATAATAGTTATCCGCTCACT</t>
  </si>
  <si>
    <t>DIQMTQSPSSLSASVGDRVTITCRASQGISNYLAWFQQKPGEAPKSLIYAASSLQSGVPSKFSGSGSGTDFTLTISNLQPEDFATYYCQQYNSYPLTFGGGTKVEIK</t>
  </si>
  <si>
    <t>QQYRNSVWT</t>
  </si>
  <si>
    <t>CAGCAGTATCGTAACTCAGTCTGGACG</t>
  </si>
  <si>
    <t>CCAGGCACCCTGTCTTTGTCTCCAGGGGAAAGAGCCACCCTCTCCTGCAGGGCCAGTCAGAGTGTTAGCAGCAACTACTTAGCCTGGTACCAGCAGAGACCTGGCCAGGCTCCCAGGCTCCTCATCTATGGTGCATCCAGCAGGGCCACTGGCATCCCAGACAGGTTCAGTGGCAGTGGGTCTGGGACAGACTTCACTCTCACCATCAGCAGACTGGAGCCTGAAGATTTTGCAGTGTATTACTGTCAGCAGTATCGTAACTCAGTCTGGACGTTCGGCCAAGGGACCAAGGTGGAAATCAAAC</t>
  </si>
  <si>
    <t>PGTLSLSPGERATLSCRASQSVSSNYLAWYQQRPGQAPRLLIYGASSRATGIPDRFSGSGSGTDFTLTISRLEPEDFAVYYCQQYRNSVWTFGQGTKVEIK</t>
  </si>
  <si>
    <t>QRYGSSLWT</t>
  </si>
  <si>
    <t>CAGCGATATGGTAGCTCACTCTGGACG</t>
  </si>
  <si>
    <t>GCAAATGTGTTGACGCAGTCTCCAGGCGCCCTGTCTTTGTCTCCAGGGGATAGAGCCACCCTCTCCTGCAGGGCCAGTCAGAGTGTTACCAGCAACTTCTTAGCCTGGTACCAGCAGAAACCTGGCCAGGCTCCCAGGCTCCTCATCTATGGTGCATCCAGCAGGGCCCCTGGCATCCCAGACAAGTTCACTGGCACTGGGTCTGGGACAGACTTCACTCTCACCATCAGCAGACTGGAGCCTGAAGATGTTGCAGTGTATTACTGTCAGCGATATGGTAGCTCACTCTGGACGTTCGGCCAAGGGACCAAGGTGGAAATCAAAC</t>
  </si>
  <si>
    <t>ANVLTQSPGALSLSPGDRATLSCRASQSVTSNFLAWYQQKPGQAPRLLIYGASSRAPGIPDKFTGTGSGTDFTLTISRLEPEDVAVYYCQRYGSSLWTFGQGTKVEIK</t>
  </si>
  <si>
    <t>CAACAATATTATACTACTCCGTACACT</t>
  </si>
  <si>
    <t>DIMMTQSPDSLAVSLGERATINCKSSQSVLYNSNNQNYLAWYQQKPGQPPKVLFYWASTRESGVPDRFSGSGSGTDFTLTISSLQAEDVAVYYCQQYYTTPYTFGQGTKLEIK</t>
  </si>
  <si>
    <t>QQYRSSLWT</t>
  </si>
  <si>
    <t>CAGCAGTATCGTAGCTCACTCTGGACG</t>
  </si>
  <si>
    <t>ENVLTQSPGTLSLSPGQRATLSCRASRSVTSNFLAWYQQKPGQAPRLLIYGASSRAPGISDRFSGSGSGTDFTLTISRLEPEDFAVYYCQQYRSSLWTFGQGTKVEIK</t>
  </si>
  <si>
    <t>EIVLTQSPGSLSLSPGERATLSCRASQRVTSSFLAWYQQKPGQPPRLLIYGASSRAAGIPDRFSGSGSGTDFTLTISRLEPEDFAVYYCQQYRSSLWTFGQGTKVEIK</t>
  </si>
  <si>
    <t>EIVLTQSPGTLSLSPGERATLSCRASQRVTSSFLAWYQQKPGQPPRLLIYGASSRAAGIPDRFSGSGSGTDFTLTISRLEPEDFAVYYCQQYRSSLWTFGQGTKVEIK</t>
  </si>
  <si>
    <t>QQSYKTPGT</t>
  </si>
  <si>
    <t>CAACAGAGTTACAAAACCCCTGGGACG</t>
  </si>
  <si>
    <t>GACATCCAGATGACCCAGTCTCCATCCTCCCTGTCTGCATCTGTAGGAGACAGAGTCACCATCACTTGCCGGGCAAGTCAGACCATTAGCAGCTTTTTAAATTGGTATCAGCAGAAACCAGGGAAAGCCCCTAAGGTCCTGATCTATGCTGCATCCAGTTTGCAAAGTGGGGTCCCATCAAGGTTCAGTGGCAGTGGATCTGGGACAGATTTCACTCTCACCATCACCAGTCTGCAACCTGAAGATTCTGCAACTTACTACTGTCAACAGAGTTACAAAACCCCTGGGACGTTCGGCCAAGGGACCAAGGTGGAAATCAAAC</t>
  </si>
  <si>
    <t>DIQMTQSPSSLSASVGDRVTITCRASQTISSFLNWYQQKPGKAPKVLIYAASSLQSGVPSRFSGSGSGTDFTLTITSLQPEDSATYYCQQSYKTPGTFGQGTKVEIK</t>
  </si>
  <si>
    <t>QQTYTSPWT</t>
  </si>
  <si>
    <t>CAACAGACTTACACTTCCCCGTGGACG</t>
  </si>
  <si>
    <t>GACATCCAGATGACCCAGTCTCCATCCTCCCTGTCTGCATCTGTAGGAGACACAGTCACCATCTCTTGCCGGGCAAGTCGGAGCGTTAGCAGGTTTTTAAATTGGTATCAGCAGAAACCAGGAAAAGCCCCTAAGGTCCTGATCTACGCTGCATCCACTTTGCAAAGTGGGCTGCCATCAAGGTTCAGTGGCGGTGGATCTGAGACAGATTTCACTCTCACCATCAATAGTCTGCAAGCTGAAGATTCTGCAACTTACTACTGTCAACAGACTTACACTTCCCCGTGGACGTTCGGCCGAGGGACCAAGGTGGAAGTCAAAC</t>
  </si>
  <si>
    <t>DIQMTQSPSSLSASVGDTVTISCRASRSVSRFLNWYQQKPGKAPKVLIYAASTLQSGLPSRFSGGGSETDFTLTINSLQAEDSATYYCQQTYTSPWTFGRGTKVEVK</t>
  </si>
  <si>
    <t>QQSYNTPGT</t>
  </si>
  <si>
    <t>CAACAGAGTTACAATACCCCTGGGACG</t>
  </si>
  <si>
    <t>DIQMAQSPTSLSASVGDRVTITCRASQTISSFLNWYQQKPGKAPNLLIYAASSLQSGVPSRFSGSGSGTDFTLTISSLQPEDFATYYCQQSYNTPGTFGQGTKVEIK</t>
  </si>
  <si>
    <t>DIQMTQSPSSLSASVGDTVTITCRASRSVSRFLNWYQQKPGKAPKVLIYAASTLQSGLPSRFSGGGSETDFTLTINSLQAEDSATYYCQQTYTSPWTFGRGTKVEVK</t>
  </si>
  <si>
    <t>QQTYSSPWT</t>
  </si>
  <si>
    <t>CAACAGACTTACAGTAGCCCCTGGACG</t>
  </si>
  <si>
    <t>DIQMTQSPSSLSASVGDRVTITCRASRSLSRFLNWYQQRPGKAPNLLIYAASTLQSGVPSRFGGSGSETDFTLTISSLQPEDFATYYCQQTYSSPWTFGQGTKLEIK</t>
  </si>
  <si>
    <t>QHYGSSRT</t>
  </si>
  <si>
    <t>CAGCACTATGGTAGCTCCCGGACG</t>
  </si>
  <si>
    <t>EIVLTQSPGTLSLSPGERATLSCRASQSVSNNYLAWYQQRPGQAPRLLIYGAFSRATGIPDRFSGSGSGTDFTLTISRLEPEDFAVYYCQHYGSSRTFGQGTKVDIK</t>
  </si>
  <si>
    <t>QQYGSSPGT</t>
  </si>
  <si>
    <t>CAGCAGTATGGTAGTTCACCGGGGACG</t>
  </si>
  <si>
    <t>EIVLTQSPGTLSLSPGERATLSCRASQSISSNYLAWYQQKPGQTPRLLIYGASSRATGIPDRFSGSGSGTDFTLTISRLEPEDFAVYYCQQYGSSPGTFGQGTKVEIK</t>
  </si>
  <si>
    <t>CAACAGTATAAGAGTTACCCTCTCACT</t>
  </si>
  <si>
    <t>GACATCCAGATGACCCAGTCTCCATCCTCACTGTCTGCATCTGTAGGAGACAGAGTCACCATCACTTGTCGGGCGAGTCAGGACATTAGCAATTATTTAGCCTGGTTTCAGCAGAAACCAGGGAAAGCCCCTAAGTCCCTGATCTATGCTGCATCCAGTTTGCAAAGTGGGGTCCCATCAAAGTTCAGCGGCAGTGGATCTGGGACAGATTTCACTCTCACCATCAGCAGCCTGCAGCCTGAAGATTTTGCAACCTATTACTGCCAACAGTATAAGAGTTACCCTCTCACTTTCGGCGGAGGGACCAAGGTGGAGATCAAAC</t>
  </si>
  <si>
    <t>DIQMTQSPSSLSASVGDRVTITCRASQDISNYLAWFQQKPGKAPKSLIYAASSLQSGVPSKFSGSGSGTDFTLTISSLQPEDFATYYCQQYKSYPLTFGGGTKVEIK</t>
  </si>
  <si>
    <t>DIVMTQSPDSLAVSLGERATIKCKSSQSVLYSSNNKNYLAWYQQKPGQPPNLLIYWASTRESGVPDRFSGSGSGTDFTLTISSLQAADVAVYYCQQYYTTPYTFGQGTKLEIK</t>
  </si>
  <si>
    <t>HQYGSSPT</t>
  </si>
  <si>
    <t>CATCAATATGGTAGCTCACCGACG</t>
  </si>
  <si>
    <t>GAAATTGTGTTGACGCAGTCTCCAGGCACCCTATCTTTGTCTCCAGGGGAAAGAGCCACCCTCTCCTGCAGGGCCAGTCAGAGTGTTAGCAGCAACTACTTAGCCTGGTACCAGCAAAAACCTGGCCAGGCTCCCAGGCTCCTCATCTATGGTGCATCCAGCAGGGCCACTGGCATCCCAGACAGGTTCAGTGGCAGTGGGTCTGGGACAGACTTCACTCTCACCATCAGCAGACTGGAGCCTGAAGATTTTGCTGTGTATTACTGTCATCAATATGGTAGCTCACCGACGTTCGGCCAAGGGACCAAGGTGGAAATCAAAC</t>
  </si>
  <si>
    <t>EIVLTQSPGTLSLSPGERATLSCRASQSVSSNYLAWYQQKPGQAPRLLIYGASSRATGIPDRFSGSGSGTDFTLTISRLEPEDFAVYYCHQYGSSPTFGQGTKVEIK</t>
  </si>
  <si>
    <t>QQYASSPT</t>
  </si>
  <si>
    <t>CAGCAGTATGCTTCCTCACCGACG</t>
  </si>
  <si>
    <t>EIVLTQSPGTLSLSPGERATLSCRASQSVSSSYLAWYQHKPGQAPWLLIYGASSRATGIPDRFSGSGSGTDFTLTITRLEPEDFAVYYCQQYASSPTFGQGTKVEIK</t>
  </si>
  <si>
    <t>IGKV1-12</t>
  </si>
  <si>
    <t>QQANSFPFT</t>
  </si>
  <si>
    <t>CAACAGGCTAACAGTTTCCCATTCACT</t>
  </si>
  <si>
    <t>CCATCTTCCGTGTCTGCATCTGTAGGAGACAGAGTCACCATCACTTGTCGGGCGAGTCAGGGTATTAGCTACTGGTTAGCCTGGTATCAGCAGAAACCAGGGAGAGCCCCTAAGCTCCTGATCTATGGTGCATCCAGTTTGCAAAGTGGGGTCCCATCAAGGTTCAGCGGCAGTGGATCTGGGACAGATTTCACTCTCACCATCAGCAGCCTGCAGCCTGAAGATTTTGCAACTTACTATTGTCAACAGGCTAACAGTTTCCCATTCACTTTCGGCCCTGGGACCAAAGTGGATATCAAAC</t>
  </si>
  <si>
    <t>PSSVSASVGDRVTITCRASQGISYWLAWYQQKPGRAPKLLIYGASSLQSGVPSRFSGSGSGTDFTLTISSLQPEDFATYYCQQANSFPFT</t>
  </si>
  <si>
    <t>QQAHSFPFS</t>
  </si>
  <si>
    <t>CAACAGGCTCACAGTTTCCCCTTCTCT</t>
  </si>
  <si>
    <t>GACATCCAGATGACCCAGTCTCCATCTTCCGTGTCTGCATCTGTAGGAGACAGAGTCACCATCACTTGTCGGGCGAGTCAGGGTATTAGCAGCTGGTTAGCCTGGTATCAGCAGAAACCAGGGAATGCCCCTGAGCTCCTGATCTATGCTGCATCCACTTTGCAAAGTGGGGTCCCATCAAGGTTCAGCGGCCGTGGCTCTGGGACAGAATTCACTCTCACCATCAGCAGCCTGCAGCCTGAAGATTTTGCAACTTACTATTGTCAACAGGCTCACAGTTTCCCCTTCTCTTTCGGCCCTGGGACCAAAGTGGATATCAA</t>
  </si>
  <si>
    <t>DIQMTQSPSSVSASVGDRVTITCRASQGISSWLAWYQQKPGNAPELLIYAASTLQSGVPSRFSGRGSGTEFTLTISSLQPEDFATYYCQQAHSFPFSFGPGTKVDI</t>
  </si>
  <si>
    <t>LQAHSFPLT</t>
  </si>
  <si>
    <t>CTACAGGCTCACAGTTTCCCTCTCACT</t>
  </si>
  <si>
    <t>DIQMTQSPSSVSASVGDRVTITCRASQGVSSWLAWYQQKPGKAPKLLIYAVSSLQSGVPSRFSGSGSGTEFTLTISNLQPEDFATYYCLQAHSFPLTFGPGTKLDIK</t>
  </si>
  <si>
    <t>QQAHTFPFT</t>
  </si>
  <si>
    <t>CAACAGGCTCACACTTTCCCTTTTACT</t>
  </si>
  <si>
    <t>DIQLTQSPSSVSASVGDRVTITCRASQDISSWLAWYHQTPGKAPKLLIYAASSLQSGVPSRFSGSGSGTDFTLTISSLQPEDFATYYCQQAHTFPFTFGPGTKVDIK</t>
  </si>
  <si>
    <t>IGLV2-8</t>
  </si>
  <si>
    <t>SSYAGVSDLV</t>
  </si>
  <si>
    <t>AGCTCATATGCAGGCGTCAGCGATTTGGTC</t>
  </si>
  <si>
    <t>CAGTCTGCCCTGACTCAGCCTCCGTCCGCGTCCGGGTCTCCTGGACAGTCAGTCACCATCTCCTGCACTGGAACCAGCGGTGACATTGGTGCTTATTACTATGTCTCCTGGTACCAACACCACCCAGGCAAAGCCCCCAAACTCATTCTTTATGAAGTCAATAAGCGGCCCTCAGGAGTCCCTGATCGCTTCTCTGGCTCCAAGTCTGACAGCACGGCCTCCCTGACCGTCTCTGGGCTCCAGCCTGAGGATGAGGCTCATTATTACTGCAGCTCATATGCAGGCGTCAGCGATTTGGTCTTCGGCGGAGGGACCAAGTTGACCGTCCTAG</t>
  </si>
  <si>
    <t>QSALTQPPSASGSPGQSVTISCTGTSGDIGAYYYVSWYQHHPGKAPKLILYEVNKRPSGVPDRFSGSKSDSTASLTVSGLQPEDEAHYYCSSYAGVSDLVFGGGTKLTVL</t>
  </si>
  <si>
    <t>SSYAGSNNFDVV</t>
  </si>
  <si>
    <t>AGCTCATATGCAGGCAGCAACAATTTCGATGTGGTA</t>
  </si>
  <si>
    <t>QSALTQPPSASGSPGQSVTISCTGTSSDVGAYNYVSWYQQHPGKAPKLMIYEVSKRPSGVPDRFSGSKSGNTASLTVSGLQAEDEADYYCSSYAGSNNFDVVFGGGTKLTVL</t>
  </si>
  <si>
    <t>QSALTQPPSASGSPGQSVTISCTGTSGDVGAYNYVSWYQHHPGKAPKLMIYEVNKRPSGVPDRFSGSKSDNTASLTVSGLQPEDEAHYYCSSYAGVSDLVFGGGTKLTVL</t>
  </si>
  <si>
    <t>IGLV1-44</t>
  </si>
  <si>
    <t>ATWDDTLNGYV</t>
  </si>
  <si>
    <t>GCAACATGGGATGACACCCTGAATGGTTATGTC</t>
  </si>
  <si>
    <t>CAGTCTGTACTGACTCAGCCACCCTCAACTTCTGGGACCCCCGGGCAGAGGGTCACCATCTCTTGTTCTGGAAGCAGCTCCAACATCGGAAGTAATCCTTTAAGCTGGTACCAGCAACTCCCAGGAACGGCCCCCAAACTCCTCATCTATAGTAATAGTCAGCGGCCCTCAGCGGTCCCTGACCGATTCTCTGGCTCCAAGTCTGGCGCCTCAGCCTCCCTGGCCATCAGTGGGCTCCAGTCTGAGGATGAGGCTGATTATTACTGTGCAACATGGGATGACACCCTGAATGGTTATGTCTTCGGAACTGGGACCAAGGTCACCGTCCT</t>
  </si>
  <si>
    <t>QSVLTQPPSTSGTPGQRVTISCSGSSSNIGSNPLSWYQQLPGTAPKLLIYSNSQRPSAVPDRFSGSKSGASASLAISGLQSEDEADYYCATWDDTLNGYVFGTGTKVTVL</t>
  </si>
  <si>
    <t>AAWDDSLNGYV</t>
  </si>
  <si>
    <t>GCAGCATGGGATGACAGCCTGAATGGTTATGTC</t>
  </si>
  <si>
    <t>CAGTCTGTGCTGACTCAGCCACCCTCAGCGTCTGGGACCCCCGGGCAGAGGGTCACCATCTCTTGTTCTGGAAGCAGGTCCAACATCGGAAGTAATACTGTAAACTGGTACCAGCAGCTCCCAGGAACGGCCCCCAAACTCCTCATCCATAGTAATAATCAGCGGCCCTCAGGGGTCCCTGACCGATTCTCTGGCTCCAAGTCTGGCACCTCAGCCTCCCTGGCCATCAGTGGGCTCCAGTCTGAGGATGAGGCTGATTATTACTGTGCAGCATGGGATGACAGCCTGAATGGTTATGTCTTCGGAACTGGGACCAAGGTCACCGTC</t>
  </si>
  <si>
    <t>QSVLTQPPSASGTPGQRVTISCSGSRSNIGSNTVNWYQQLPGTAPKLLIHSNNQRPSGVPDRFSGSKSGTSASLAISGLQSEDEADYYCAAWDDSLNGYVFGTGTKVTV</t>
  </si>
  <si>
    <t>AAWDDSLNAYV</t>
  </si>
  <si>
    <t>GCAGCATGGGATGACAGCCTGAATGCTTATGTC</t>
  </si>
  <si>
    <t>QSVLTQPPSAYGTPGQRVTISCSGSSSNIGSNTVNWYQQLPRTAPKLLIYSNNQRPSGVPDRFSGSKSGTSASLAISGLQSEDEADYYCAAWDDSLNAYVFGTATKVTVL</t>
  </si>
  <si>
    <t>CAGCAGTATGGTAGCTCACCTCTGACG</t>
  </si>
  <si>
    <t>CCAGGCACCCTGTCTCTGTCTCCAGGGGAAAGAGCCGCCCTCTCCTGCAGGGCCAGTCAGAGTGTTAGCGGCAACTACTTTGCCTGGTACCAGCAGAAATCTGGCCAGGCTCCCAGGCTCCTCATCTCTGCTGCATCCAGCAGGGCCACTGGCGTCCCAGACAGGTTCAGTGCCAGTGGGTCTGGGACAGACTTCACTCTCACCATCAGCAGACTGGAGCCTGAAGATTCTGCAGTGTATTATTGTCAGCAGTATGGTAGCTCACCTCTGACGTTCGGCCAAGGGACCAAGGTGGAGATCAAAC</t>
  </si>
  <si>
    <t>PGTLSLSPGERAALSCRASQSVSGNYFAWYQQKSGQAPRLLISAASSRATGVPDRFSASGSGTDFTLTISRLEPEDSAVYYCQQYGSSPLTFGQGTKVEIK</t>
  </si>
  <si>
    <t>QQYGSSPTT</t>
  </si>
  <si>
    <t>CAGCAGTATGGTAGCTCACCGACGACG</t>
  </si>
  <si>
    <t>EIVLTQSPDTLSLSPGERATLSCRASQSVSSSYLAWYQQRPGQAPRLLIYGTSSRATGIPDRFSGSGSGTDFTLIISRLEPEDSAVYYCQQYGSSPTTFGQGTKVEIK</t>
  </si>
  <si>
    <t>QQYGTSPLT</t>
  </si>
  <si>
    <t>CAGCAGTATGGAACCTCACCTCTGACG</t>
  </si>
  <si>
    <t>EVVLTQSPGTLSLSPGERATLSCRASQSVSSSNLAWYQQKPGQAPRLLIYGASSTATGIPDRFSGSGSGTDFTLTISRLEPEDLAVYYCQQYGTSPLTFGQGTKVEIK</t>
  </si>
  <si>
    <t>QQYNKSPPVT</t>
  </si>
  <si>
    <t>CAGCAGTATAATAAGTCGCCTCCAGTCACT</t>
  </si>
  <si>
    <t>EIVLTQSPATLSVSPGERATLSCRASQTVSSNLAWYQQKPGQAPRLLIYGASTRATGIPARFSGSGSGTEFTLTINSLQSEDFAVYYCQQYNKSPPVTFGQGTKLEIK</t>
  </si>
  <si>
    <t>QEYNKWPPVT</t>
  </si>
  <si>
    <t>CAGGAGTATAATAAGTGGCCTCCAGTCACT</t>
  </si>
  <si>
    <t>EIVMTQSPATLSVSPGERATLSCRASQSVSSNLAWYQQKPGRAPRLLIYGASTRATGIPARFSGSGSGTEFTLTISSLQSEDFAVYYCQEYNKWPPVTFGQGTKLEIK</t>
  </si>
  <si>
    <t>QQYKKWPYT</t>
  </si>
  <si>
    <t>CAGCAGTATAAGAAGTGGCCTTACACT</t>
  </si>
  <si>
    <t>EIVMTQSPAILSVSPGERATLSCRASQTVSSDLAWYQQKPGQAPRLLMYGTSTRATGIPARFSGSGFGTEFTLTISSLQSEDFAVYYCQQYKKWPYTFGQGTKVDIK</t>
  </si>
  <si>
    <t>QQAHSFPWT</t>
  </si>
  <si>
    <t>CAACAGGCTCACAGTTTCCCGTGGACG</t>
  </si>
  <si>
    <t>CCATCTTCCGTGTCTGCATCTGTAGGAGACAGAGTCACCATCACTTGTCGGGCGAGTCAGGGTATTAGCAGCTGGTTAGCCTGGTATCAGCAGAAACCAGGGAGAGCCCCTAAGCTCCTGATCTATGCTGCATCCAGTTTGCAAAGTGGGGTCCCATCAAGGTTCAGCGGCAGTGGATCTGGGACAGATTTCACTCTCACCATCAGCAACCTGCAGCCTGAAGATTTTGCAACTTACTATTGTCAACAGGCTCACAGTTTCCCGTGGACGTTCGGCCAAGGGACCAAGGTGGAAATCAAAC</t>
  </si>
  <si>
    <t>PSSVSASVGDRVTITCRASQGISSWLAWYQQKPGRAPKLLIYAASSLQSGVPSRFSGSGSGTDFTLTISNLQPEDFATYYCQQAHSFPWT</t>
  </si>
  <si>
    <t>CAACAGGCTCACAGTTTCCCCTGGACG</t>
  </si>
  <si>
    <t>DIQMTQSPSSVSASVGDRVTITCRASQGISSWLAWYQQKPGKAPRLLIYATSTLQSGVPSRFRGSGSGTDFTLTINSLQPEDFAIYYCQQAHSFPWTFGQGTKVDIK</t>
  </si>
  <si>
    <t>DIVMTQSPDSLAVSLGERATINCKSSQTILYSSNNKNYLAWYQQKPGQPPKLLIYWASARESGVPDRFSGSGSGTDFTLTISSLQAEDLAVYYCQQYYTTPYTFGQGTKLEMK</t>
  </si>
  <si>
    <t>PSSVSASVGDRVTITCRASQGISSWLAWYQQKPGKAPKLLIYAASSLQSGVPSRFSGSGSGTDFTLTISGLQPEDFASYYCQQAHSFPWT</t>
  </si>
  <si>
    <t>QQYGSSPPWT</t>
  </si>
  <si>
    <t>CAGCAGTATGGTAGCTCACCTCCCTGGACG</t>
  </si>
  <si>
    <t>CCAGGCACCCTGTCTTTGTCTCCAGGGGAAAGAGCCACCCTCTCCTGCAGGGCCAGTCAGAGTGTTAGCAGCAACTACTTAGCCTGGTACCAGAAGAAACCTGGCCAGGCTCCCAGGCTCCTCATCTATGGTGCATCCAGCAGGGCCACTGGCATCCCAGACAGGTTCAGTGGCAGTGGGTCTGGGACAGACTTCACTCTCACCATCAGCAGACTGGAGCCTGAAGATTTTGTAGTGTATTACTGTCAGCAGTATGGTAGCTCACCTCCCTGGACGTTCGGCCAAGGGACCAAGGTGGAAATCAAAC</t>
  </si>
  <si>
    <t>PGTLSLSPGERATLSCRASQSVSSNYLAWYQKKPGQAPRLLIYGASSRATGIPDRFSGSGSGTDFTLTISRLEPEDFVVYYCQQYGSSPPWTFGQGTKVEIK</t>
  </si>
  <si>
    <t>QQYTGSPPWT</t>
  </si>
  <si>
    <t>CAGCAATATACTGGCTCACCTCCGTGGACG</t>
  </si>
  <si>
    <t>GAAATTGTGTTGACGCAGTCTCCAGGCACCCTGTCTTTGTCTCCAGGGGAAAGAGCCACCCTCTCCTGCAGGGCCAGTCAGAGTGTTATCAGCAACTACTTAGCCTGGTTCCAGCAGAAACCTGGCCAGGCTCCCAGGCTCCTCATCTATAGTGCATCCAGCAGGGCCACTGGCATCCCAGACAGGTTCAGTGGCAGTGGGTCTGGGACAGACTTCACTCTCACCATCAGCAGACTGGAGCCTGAAGATTTTGCAGTGTATTACTGTCAGCAATATACTGGCTCACCTCCGTGGACGTTCGGCCAAGGGACCAAGGTGGAAATCAAAC</t>
  </si>
  <si>
    <t>EIVLTQSPGTLSLSPGERATLSCRASQSVISNYLAWFQQKPGQAPRLLIYSASSRATGIPDRFSGSGSGTDFTLTISRLEPEDFAVYYCQQYTGSPPWTFGQGTKVEIK</t>
  </si>
  <si>
    <t>EILLTQSPGTLSLSPGERATLSCRASQSVSSNYLAWFQQKPGQAPRLLIYGASSRATGIPDRFSGSGSGTDFTLTISRLEPEDFALYYCQQYGSSPPWTFGQGTKVEMK</t>
  </si>
  <si>
    <t>QQYNNWPPLT</t>
  </si>
  <si>
    <t>CAACAGTATAATAACTGGCCTCCGCTCACT</t>
  </si>
  <si>
    <t>EIVMTQSPATLSVSPGERATLSCRASQSVGYNLAWYQQKPGQAPRLLLYGASTRATDIPARFSGSGSGTEFTLTISSLQSEDFAVYYCQQYNNWPPLTFGGGTKVEI</t>
  </si>
  <si>
    <t>CAGCAGTATAATAACTGGCCTCCGCTCACT</t>
  </si>
  <si>
    <t>EIVMTQSPATLSVSPGERATLSCRASQSVGYNLAWYQQKPGQAPRLLIYGTSTRATGIPARFSGSGSGTEFTLTISSLQSEDFAVYYCQQYNNWPPLTFGGGTKVEIK</t>
  </si>
  <si>
    <t>CAGCAGTATAATAACTGGCCTCCGTTCACT</t>
  </si>
  <si>
    <t>EIVMTQSPATLSVSPGERATLSCRASQSVGYNLAWYQQKPGQAPRLLIYGSSTRATGIPARFSGSGSGTEFTLTISSLQSEDFAIYYCQQYNNWPPFTFGGGTKVEIK</t>
  </si>
  <si>
    <t>IGKJ5</t>
  </si>
  <si>
    <t>QQGHSFPPT</t>
  </si>
  <si>
    <t>CAACAGGGTCACAGTTTCCCTCCCACC</t>
  </si>
  <si>
    <t>DIQMTQSPSSVSASVGDRVTITCRASQDVSIWLAWYQQKPGKAPELLISAASTLQTGVPSRFSGSGSGTEFSLAISSLQPEDFATYYCQQGHSFPPTFGQGTRLEIK</t>
  </si>
  <si>
    <t>QQANSFPIT</t>
  </si>
  <si>
    <t>CAACAGGCTAACAGTTTCCCGATCACC</t>
  </si>
  <si>
    <t>DIEVTQSPSSVSASVGDRVTITCRASQDISYWLAWYQQKPGKAPNLLIYDASRLQSGVPSRFSGSGSGTHFTLTISSLQPEDFATYYCQQANSFPITFGQGTRLEIK</t>
  </si>
  <si>
    <t>CAGCAGTATTATACTACTCCGTACACT</t>
  </si>
  <si>
    <t>DIVMTQSPDSLAVSLGERATINCKSSRTVLYSSNKKSYLAWYQQKPGQPPKLLIYWASTRESGVPDRFRGSGSGTDFTLTISSLQAEDVAVYYCQQYYTTPYTFGQGTTLEIK</t>
  </si>
  <si>
    <t>QQSYRTPYT</t>
  </si>
  <si>
    <t>CAGCAGAGTTACAGAACGCCGTACACT</t>
  </si>
  <si>
    <t>GACATCCAGATGACCCAGTCTCCATCCTCCCTGTCTGCATCCGTAGGAGACAGAGTCACCCTCACTTGCCGGGCAAGTCGCAGCATTACTAACTATCTAAATTGGTATCAGCAGAAACCAGGGAAAGCCCCTAAGCTCCTGATCTATGCTGCATCCAGTTTGCAAAGTGGGGTCCCACCAAGGTTCAGTGGCAGTGGGTCTGAGACAGATTTCATTCTCACCATCAGCAGTCTGCAACCTGAAGATTTTGCAACTTACTACTGTCAGCAGAGTTACAGAACGCCGTACACTTTTGGCCAGGGGACCAAGCTGGAGATCAAAC</t>
  </si>
  <si>
    <t>DIQMTQSPSSLSASVGDRVTLTCRASRSITNYLNWYQQKPGKAPKLLIYAASSLQSGVPPRFSGSGSETDFILTISSLQPEDFATYYCQQSYRTPYTFGQGTKLEIK</t>
  </si>
  <si>
    <t>DIQMTQSPSSLSASVGDRVTLTCRASRSISNYLNWYQQKPGKAPKLLIYAASSLQSGVPPRFSGSGSETEFILTISSLQPEDFATYYCQQSYRTPYTFGQGTKLEIK</t>
  </si>
  <si>
    <t>QQSYSTPFT</t>
  </si>
  <si>
    <t>CAACAGAGTTACAGTACCCCCTTCACT</t>
  </si>
  <si>
    <t>DIQMTQSPSSLSASVGDRVTITCRASQSLSDYLNWYQHKVGTAPKLLIYGASGLQSGVPSRFSGSGSGTDFTLTISSLQPEDFATYYCQQSYSTPFTFGQGTRLEIK</t>
  </si>
  <si>
    <t>QQYGSSPPFT</t>
  </si>
  <si>
    <t>CAGCAGTATGGTAGCTCACCTCCATTCACT</t>
  </si>
  <si>
    <t>EIVLTQSPGTLSLSPGERATLSCRASQSVRSNYLAWYQQKPGQAPRLLIYGASSRATGIPDRFSGSGSGTDFALSISRLDPEDFAVYYCQQYGSSPPFTFGPGTKVDLK</t>
  </si>
  <si>
    <t>QQYGSSAFT</t>
  </si>
  <si>
    <t>CAGCAGTATGGTAGTTCAGCATTCACT</t>
  </si>
  <si>
    <t>EIVLTQSPGTLSLSPGERATLSCRASQSVSSNYLAWYQQKPGQAPRLLIYGASSRATGIPDRFSGSGSGTDFTLTISRLEPEDFAVYYCQQYGSSAFTFGPGTKVDIK</t>
  </si>
  <si>
    <t>IGKV2-40</t>
  </si>
  <si>
    <t>MQRIDFPWT</t>
  </si>
  <si>
    <t>ATGCAACGTATAGATTTTCCGTGGACG</t>
  </si>
  <si>
    <t>DIVMTQTPLSLPVTPGEPASISCRSSQSLLDSDDGNTYLDWFLQKPGQSPQLLIYALSYRASGVPDRFSGSGSGTDFTLKISRVEAEDVGVYYCMQRIDFPWTFGQGTKVEIK</t>
  </si>
  <si>
    <t>MQRLEFPWT</t>
  </si>
  <si>
    <t>ATGCAACGTTTAGAGTTTCCTTGGACG</t>
  </si>
  <si>
    <t>EIVMTQSPLSLPVTPGEPASISCRSSQSLLDSDDGNTYLDWYLQKPGQSPQLLIYTLSYRASGVPDRFSGSGSGTDFTLKISRVEAEDVGVYYCMQRLEFPWTFGQGTKLEIK</t>
  </si>
  <si>
    <t>DIQMTQSPSSVSASVGDRVTITCRASQGISSWLAWYQQKPGKAPKLLIYAASSLQSGVPSRFSGSGSGTDFTLTISSLQPEDFATYYCQQAHSFPWTFGQGTKVEIK</t>
  </si>
  <si>
    <t>CAACAGGCTCACAGCTTCCCGTGGACG</t>
  </si>
  <si>
    <t>DIQMTQSPSSVSASVGDRVTITCRASQDISYWLAWYQRKPGKAPKLLIYATASLQTGVPSRFSGSRSGTDFTLTISSLQPEDFATYFCQQAHSFPWTFGQGTKVEIK</t>
  </si>
  <si>
    <t>QQYNERPT</t>
  </si>
  <si>
    <t>CAGCAGTATAATGAAAGGCCGACG</t>
  </si>
  <si>
    <t>GAAATAGTGATGACGCAGTCTCCAGCCACCCTGTCTGTGTCTCCAGGGGAAAGAGCCACCCTCTCCTGCAGGGCCAGTCAGAGTGTTAGTAACAAACTGGCCTGGTACCAGCACAAACCTGGCCAGGCTCCCAGGCTCCTCATCTTTGGTGCATCCACCAGGCCCACTGGTATCCCAGCCAGGTTCAGTGGCAGTGGGTCTGGGACTGACTTCAGTCTCACCATCAGCAGCCTGCAGTCTGAAGATTTTGCAGTTTATTACTGTCAGCAGTATAATGAAAGGCCGACGTTCGGTCAAGGGACCAAGGTGGAAATCAAAC</t>
  </si>
  <si>
    <t>EIVMTQSPATLSVSPGERATLSCRASQSVSNKLAWYQHKPGQAPRLLIFGASTRPTGIPARFSGSGSGTDFSLTISSLQSEDFAVYYCQQYNERPTFGQGTKVEIK</t>
  </si>
  <si>
    <t>DIVMTQSPDSLAVSLGERATINCKSSQSVLYSSNNKNYLAWYQQKPGQPPKVLIYWASTRESGVPDRFSGSGSGTDFTLTISSLQAEDVAVYYCQQYYTTPYTFGQGTKLEIK</t>
  </si>
  <si>
    <t>LQYNNSPRT</t>
  </si>
  <si>
    <t>CTTCAGTATAATAACTCGCCAAGGACG</t>
  </si>
  <si>
    <t>EIVLTQSPATLSVSPGERATLSCRASQSLGSNLAWYQHKPGQAPRLLIYGASTRATVVPARFSGSGSGTEFTLTISSLQSEDFAVYYCLQYNNSPRTFGQGTKVEIK</t>
  </si>
  <si>
    <t>QSYDSGLSGVL</t>
  </si>
  <si>
    <t>CAGTCCTATGACAGCGGCCTGAGTGGTGTGCTA</t>
  </si>
  <si>
    <t>QSVLTQPPSVSGAPGQRVTISCTGSSSNIGAGYDVHWYQLLPGTAPKLLIYDDSDRPSGVPDRFSGSKSGTSASLAITGLQAEDEADYYCQSYDSGLSGVLFGGGTKLTVL</t>
  </si>
  <si>
    <t>QSYDSSLSDAVV</t>
  </si>
  <si>
    <t>CAGTCCTATGACAGTAGCCTGAGTGATGCGGTGGTA</t>
  </si>
  <si>
    <t>QSVLTQPPSVSGAPGQRVTISCTGSSSNIGAGYDVHWYQHLPGAAPKLLIYGDGSRPSGVPDRFSASKSGTSASLAITGLQAEDEADYYCQSYDSSLSDAVVFGGGTKLTVL</t>
  </si>
  <si>
    <t>QQYNKWPQT</t>
  </si>
  <si>
    <t>CAGCAGTATAATAAGTGGCCTCAGACG</t>
  </si>
  <si>
    <t>GAAATAGTGATGACGCAGTCTCCAGCCACCCTGTCTGTGTCTCCAGGGGAAAAAGCCACCCTCTCCTGCAGGGCCAGTCAGAGTGTTAGGAGCAACTTAGCCTGGTACCAGCAGAAACCTGGCCAGGCTCCCAGGCTCCTCATCTATGGTGCATCCACCAGGGCCACTGGTATCCCAGCCAGGTTCAGTGGCAGTGGGTCTGGGACAGAGTTCACGCTCACCATCAGCAGCCTGCAGTCTGAAGATTTTGCAGTTTATCACTGTCAGCAGTATAATAAGTGGCCTCAGACGTTCGGCCAAGGGACCAAGGTGGAAGTCAAAC</t>
  </si>
  <si>
    <t>EIVMTQSPATLSVSPGEKATLSCRASQSVRSNLAWYQQKPGQAPRLLIYGASTRATGIPARFSGSGSGTEFTLTISSLQSEDFAVYHCQQYNKWPQTFGQGTKVEVK</t>
  </si>
  <si>
    <t>QQYNNRPPWT</t>
  </si>
  <si>
    <t>CAGCAGTATAATAACCGGCCTCCGTGGACG</t>
  </si>
  <si>
    <t>ETTLTQSPATLSVSPGERATLSCRASQSVRSNLAWYQQKPGQAPRLLIYGASTRATGIPARFSGSGSGTEFTLTISSLQSEDFAVYYCQQYNNRPPWTFGQGTKVEIK</t>
  </si>
  <si>
    <t>GTWDSSLSAGV</t>
  </si>
  <si>
    <t>GGAACATGGGATAGCAGCCTGAGTGCTGGGGTG</t>
  </si>
  <si>
    <t>CCCTCAGTGTCTGCGGCCCCAGGACAGAAGGTCACCATCTCCTGCTCTGGAAGCAGCTCCAACATTGGGAATAATTTTGTATCCTGGTACCGGCAGCTCCCAGGAACAGCCCCCAAACTCCTCATTTATGACAATAATAAGCGACCCTCAGGGATTCCTGACCGATTCTCTGGCTCCAAGTCTGGCGCGTCAGCCACCCTGGGCATCACCGGACTCCAGACTGGGGACGAGGCCGATTATTACTGCGGAACATGGGATAGCAGCCTGAGTGCTGGGGTGTTCGGCGGAGGGACCAAGCTGACCGTCCTAG</t>
  </si>
  <si>
    <t>PSVSAAPGQKVTISCSGSSSNIGNNFVSWYRQLPGTAPKLLIYDNNKRPSGIPDRFSGSKSGASATLGITGLQTGDEADYYCGTWDSSLSAGVFGGGTKLTVL</t>
  </si>
  <si>
    <t>GTWDSSLSGWV</t>
  </si>
  <si>
    <t>GGAACATGGGATAGCAGCCTGAGTGGGTGGGTG</t>
  </si>
  <si>
    <t>QSVLTQPPSVSAAPGQKVTISCSGSSSNIGNNYVSWYQQLPGTAPKLLIYDNNKRPSGIPDRFSGSKSGTSATLGITGLQTGDEADYYCGTWDSSLSGWVFGGGTKLTVL</t>
  </si>
  <si>
    <t>TSWDVSLTGRV</t>
  </si>
  <si>
    <t>ACATCATGGGATGTCAGCCTCACTGGTCGTGTG</t>
  </si>
  <si>
    <t>CAGTCTGTGCTGACTCAGCCACCCTCAGCGTCTGGGACCCCCGGGCAGAGGGTCACCATTTTTTGTTCTGGAAGTCAGTCCAACATCGGAGGTCATCATGTAAACTGGTACCATCAGTTCCCAGGGACGGCCCCCAGACTCCTCATTTATGAGGATAATCAGCGGCCCTCAGGGGTCCCTGACCGATTCTCTGCCTCCAAGTCTGGCACCTCAGCCTCCCTGGCCATCAGTGGCCTCCAGTCTGAAGATGAGGGTGACTATTACTGCACATCATGGGATGTCAGCCTCACTGGTCGTGTGTTCGGCGGAGGGACCACGCTGACCGTC</t>
  </si>
  <si>
    <t>QSVLTQPPSASGTPGQRVTIFCSGSQSNIGGHHVNWYHQFPGTAPRLLIYEDNQRPSGVPDRFSASKSGTSASLAISGLQSEDEGDYYCTSWDVSLTGRVFGGGTTLTV</t>
  </si>
  <si>
    <t>AAWDDSLTGRV</t>
  </si>
  <si>
    <t>GCAGCATGGGATGACAGCCTGACTGGTCGGGTG</t>
  </si>
  <si>
    <t>QSVLTQPPSASGTPGQRVTISCSGSSSNIGSYTVNWYQQLPGTAPKLLIYRNDQRPSGVPERFSGSKSGTSASLAISGLQSEDEADYYCAAWDDSLTGRVFGGGTKLTVL</t>
  </si>
  <si>
    <t>IGKV1-27</t>
  </si>
  <si>
    <t>QNYNSAPIT</t>
  </si>
  <si>
    <t>CAAAACTATAACAGTGCCCCGATCACC</t>
  </si>
  <si>
    <t>DIQMTQSPSSLSASVGDRVTITCRASQGISHYLAWYQQRPGKVPNLLIYAASTLQSGVPSRFSGSGSGTDFTLTINSLQPEDVATYYCQNYNSAPITFGQGTRLEIK</t>
  </si>
  <si>
    <t>DIVMTQSPDSLAVSLGERATINCKSSQSVLYSSNNKNYLAWYQQKPGQPPKLLIYWASTRESGVPDRFSGSGSGTDFTLTISSLQAEDVAVYYCQQYYTTPYTFGQGTKLEIK</t>
  </si>
  <si>
    <t>QKYNSAPPT</t>
  </si>
  <si>
    <t>CAAAAGTATAACAGTGCCCCCCCCACC</t>
  </si>
  <si>
    <t>DIQMTQSPSSLSASVGDRVTITCRASQGISNYLAWYQQKPGKVPKLLIYAASTLQSGVPSRFSGSGSGTDFTLTISSLQPEDVATYYCQKYNSAPPTFGQGTRLEIK</t>
  </si>
  <si>
    <t>QQYNNWPPYT</t>
  </si>
  <si>
    <t>CAGCAGTATAATAACTGGCCTCCGTACACT</t>
  </si>
  <si>
    <t>CCAGCCACCCTGTCTGTGTCTCCAGGGGAAAGAGCCACCCTCTCCTGCAGGGCCAGTCAGAGTATTAGCAGCAACTTAGCCTGGTACCAGCAGAAACCTGGCCAGGCTCCCAGGCTCCTCATCTATGGTGCATCCACCAGGGCCACTGATATCCCAGCCAGGTTCAGTGGCAGTGGGTCTGGGACAGAGTTCACTCTCACCATCACCAGCCTGCAGTCTGAAGATTTTGCAGTTTATTACTGTCAGCAGTATAATAACTGGCCTCCGTACACTTTTGGCCAGGGGACCAAGGTGGAGATCAAAC</t>
  </si>
  <si>
    <t>PATLSVSPGERATLSCRASQSISSNLAWYQQKPGQAPRLLIYGASTRATDIPARFSGSGSGTEFTLTITSLQSEDFAVYYCQQYNNWPPYTFGQGTKVEIK</t>
  </si>
  <si>
    <t>EIVMTQSPATLSVSPGERATLSCRASQSVSSNLAWYQQKPGQAPRLLIYGAFTRATGIPARFSGSGSGTEFTLTISSLQSEDFAVYYCQQYNNWPPYTFGQGTKLEIK</t>
  </si>
  <si>
    <t>GAAATAGTGATGACGCAGTCTCCAGCCACCCTGTCTGTGTCTCCAGGAGAAAGAGCCACCCTCTCCTGCAGGGCCAGTCAGAGTGTTGGCAGCAACGTAGCCTGGTACCAGCAGAAACCTGGCCAGGCTCCCAGGCTCCTCATCTATGGTTCATCCACCAGGGCCACTGGTATCCCAGCCAGGTTCAGTGGCAGTGGGTCTGGGACAGAGTTCACTCTCACCATCAGCAGCCTGCAGTCTGAAGATTTTGTAGTTTATTACTGTCAGCAGTATAATAACTGGCCTCCGCTCACTTTCGGCGGAGGGACCAAGGTGGAGATCAAAC</t>
  </si>
  <si>
    <t>EIVMTQSPATLSVSPGERATLSCRASQSVGSNVAWYQQKPGQAPRLLIYGSSTRATGIPARFSGSGSGTEFTLTISSLQSEDFVVYYCQQYNNWPPLTFGGGTKVEIK</t>
  </si>
  <si>
    <t>EIVMTQSPATLSVSPGEGATLSCRASQSVGSNLAWYQQKPGQAPRLLIYGASTRATGIPARFSGSGSGTEFTLTISSLQSEDFAVYYCQQYNNWPPLTFGGGTKVEIK</t>
  </si>
  <si>
    <t>SSYTISSTWV</t>
  </si>
  <si>
    <t>AGCTCATATACAATCAGCAGCACTTGGGTG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</si>
  <si>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TCAGCAGCACTTGGGTGTTCGGCGGAGGGACCAAGCTGACCGTCCTAG</t>
  </si>
  <si>
    <t>QSALTQPASVSGSPGQSITISCTGTSSDVGGYNYVSWYQQHPGKAPKLMIYEVSNRPSGVSNRFSGSKSGNTASLTISGLQAEDEADYYCSSYTISSTWVFGGGTKLTVL</t>
  </si>
  <si>
    <t>SSYASSRTSWV</t>
  </si>
  <si>
    <t>AGCTCATATGCAAGCAGCAGGACTTCTTGGGTG</t>
  </si>
  <si>
    <t>QSALTQPASVSGSPGQSITISCTGTSSDVGDYNYVSWYQQHPGKAPKLLIFDVSNRPSGVSNRFSGSKSGNTASLTISGLQAEDEADYYCSSYASSRTSWVFGGGTKLTV</t>
  </si>
  <si>
    <t>QSYDSSLSGPVV</t>
  </si>
  <si>
    <t>CAGTCCTATGACAGCAGCCTGAGTGGTCCTGTGGTC</t>
  </si>
  <si>
    <t>CCCTCAGTGTCTGGGGCCCCAGGGCAGAGGGTCACCATCTCCTGCACTGGGAGCAGCTCCAACATCGGGGCAGGTTATGATGTACACTGGTACCAGCAGCTTCCAGGAACAGCCCCCAAACTCCTCATCTATGGTAACAGCAATCGGCCCTCAGGGGTCCCTGACCGATTCTCTGGCTCCAAGTCTGGCTCCTCAGCCTCCCTGGCCATCACTGGGCTCCAGGCTGAGGATGAGGCTGATTATTACTGCCAGTCCTATGACAGCAGCCTGAGTGGTCCTGTGGTCTTCGGCGGAGGGACCAAGCTGACCGTCCTAG</t>
  </si>
  <si>
    <t>PSVSGAPGQRVTISCTGSSSNIGAGYDVHWYQQLPGTAPKLLIYGNSNRPSGVPDRFSGSKSGSSASLAITGLQAEDEADYYCQSYDSSLSGPVVFGGGTKLTVL</t>
  </si>
  <si>
    <t>QSYDSSLRNV</t>
  </si>
  <si>
    <t>CAGTCCTATGACAGCAGTCTGAGAAATGTT</t>
  </si>
  <si>
    <t>CAGTCTGTGCTGACGCAGCCGCCCTCAGTGTCTGGGGCCCCAGGGCAGAGGGTCACCATCTCCTGCACTGGGAGCGGCTCCAACATCGGGGCAGGTTATGATGTACACTGGTACCAGCAGTTTCCAGGAAGAGCCCCCAAACTTCTCATCTATGGTAACGTCAATCGGCCCTCAGGGGTCCCTGACCGATTCTCTGCCTCCAAGTCTGGCACCTCAGCCTCCCTGGCCATCACTGGGCTCCAGGCTGACGATGAGGCTGATTATTTCTGCCAGTCCTATGACAGCAGTCTGAGAAATGTTTTCGGCGGAGGGACCAAGCTGACCGTCCTAG</t>
  </si>
  <si>
    <t>QSVLTQPPSVSGAPGQRVTISCTGSGSNIGAGYDVHWYQQFPGRAPKLLIYGNVNRPSGVPDRFSASKSGTSASLAITGLQADDEADYFCQSYDSSLRNVFGGGTKLTVL</t>
  </si>
  <si>
    <t>DIVMTQSPDSLAVSLGERATINCKSSQSVLYNSNNKNYLVWYQQKPGQPPKVLVYWASTRESGVPDRFSGSGSGTDFTLTISSLQAEDVAVYYCQQYYTTPYTFGQGTKLEIK</t>
  </si>
  <si>
    <t>SSYTSINTRI</t>
  </si>
  <si>
    <t>AGCTCATATACAAGCATCAACACTCGGATC</t>
  </si>
  <si>
    <t>QSALTQPASVSGSPGQSITISCTGTSSDVGGYNYVSWYQHHPGKAPKLMIYDVSNRPSGVSNRFSGSKSDNTASLTISGLQAEDEADYYCSSYTSINTRIFGTGTKVTVL</t>
  </si>
  <si>
    <t>SSYTSTSTLV</t>
  </si>
  <si>
    <t>TCCTCATATACAAGCACCAGCACTCTCGTC</t>
  </si>
  <si>
    <t>QSALTQPASVSGSPGQSITISCTGATSDIGNYNYVSWHQQHPGKAPKLMIYDVSNRPSGVSNRFSGSKSGNTASLTISGLQAEDEADYYCSSYTSTSTLVFGTGTKVTVL</t>
  </si>
  <si>
    <t>HQYNDWPRYT</t>
  </si>
  <si>
    <t>CACCAGTATAATGACTGGCCTCGGTACACT</t>
  </si>
  <si>
    <t>EIVMTQSPATLYVSPGESATLSCRASQSVSSSLAWYQQKPGQAPRLLIHGVSTRATGIPARFRGSGSGTEFTLTISSLQSEDFAVYYCHQYNDWPRYTFGQGTKLEIK</t>
  </si>
  <si>
    <t>QQYYKWPLYT</t>
  </si>
  <si>
    <t>CAGCAGTATTATAAGTGGCCCCTGTACACT</t>
  </si>
  <si>
    <t>EIVMTQSPATLSVSPGERATLSCRASQSISSNLAWYQQKPGQAPRLLIYYASTRATGIPARFSGSGSGTEFTLTISSLQSEDFAVYYCQQYYKWPLYTFGQGTKLEIK</t>
  </si>
  <si>
    <t>IGKV3D-15</t>
  </si>
  <si>
    <t>CAACAGTATAATGACTGGACTCCGCTCACT</t>
  </si>
  <si>
    <t>EIVMTQSPATLSVSPGDRATVSCRASQYIMNNLAWYQQKPGQAPRLLIYGASTRATGIPARFSGSGSGTEFTLTISSLQSEDSAVYYCQQYNDWTPLTFGGGTKVEI</t>
  </si>
  <si>
    <t>EIVMTQSPATLSVSPGERATLSCRASQSVSSNLAWYQQKPGQAPRLLIYGASTRATGIPARFSGSGSGTEFTLTISSLQSEDFAVYYCQQYNNWPPLTFGGGTKVEIK</t>
  </si>
  <si>
    <t>QQSYSTPLT</t>
  </si>
  <si>
    <t>CAGCAGTATTATAGTACTCCGTACACT</t>
  </si>
  <si>
    <t>DIQLTQSPDSLAVSLGERATINCKSSQSVLYSSNNKNYLAWYKQKPGQPPKLLIYWASTRESGVPDRFSGSGSGTDFTLTISSLQAEDVAVYYCQQYYSTPYTFGQGTKVDIK</t>
  </si>
  <si>
    <t>IGLV7-43</t>
  </si>
  <si>
    <t>LLYYGGAQLV</t>
  </si>
  <si>
    <t>CTGCTCTACTATGGTGGTGCTCAGCTGGTT</t>
  </si>
  <si>
    <t>QTVVTQEPSLTVSPGGTVTLTCASSTGAVTTDYYPNWFQQRPGQPPRALIYGTTNKHSWTPARFSGSLLGGKAALTLSGVQPEDEADYYCLLYYGGAQLVFGGGTKLTVL</t>
  </si>
  <si>
    <t>LLYYGGSLV</t>
  </si>
  <si>
    <t>CTGCTCTACTATGGTGGTTCCTTGGTA</t>
  </si>
  <si>
    <t>QTVVTQEPSLTVSPGGTVTLTCASSTGAVTSGYHPNWFQHKPGQAPRALIYSTSNKHSWTPARFSGSLLGGNAALTLSGALPEDEAEYYCLLYYGGSLVFGGGTKLTVL</t>
  </si>
  <si>
    <t>QQYHRSPVT</t>
  </si>
  <si>
    <t>CAGCAGTATCATAGGTCACCCGTGACG</t>
  </si>
  <si>
    <t>GATGTTGTGTTGACGCAGTCTCCAGGCACCCTGTCTTTGTCTCCAGGGGAAAGAGCCACCCTCTCCTGCAGGGCCAGTCAGAGTATTGGCAGCTTCTACTTAGCCTGGTACCAGCAGAAACCTGGCCAGCCTCCCAGGCTCCTCATCTCTGGTGCATCCACCAGGGCCACTGCCATCCCAGACAGGTTCAGTGGCAGTGGGTCTGGGACAGACTTCACTCTCACCATCAGCAGACTGGAGCCTGAAGATTTTGCAGTGTATTACTGTCAGCAGTATCATAGGTCACCCGTGACGTTCGGCCAAGGGACCAAGGTGGAAATCAAAC</t>
  </si>
  <si>
    <t>DVVLTQSPGTLSLSPGERATLSCRASQSIGSFYLAWYQQKPGQPPRLLISGASTRATAIPDRFSGSGSGTDFTLTISRLEPEDFAVYYCQQYHRSPVTFGQGTKVEIK</t>
  </si>
  <si>
    <t>HQYGVSPWT</t>
  </si>
  <si>
    <t>CACCAGTATGGTGTCTCACCGTGGACG</t>
  </si>
  <si>
    <t>DIQLTQSPGTLSLSPGERATLSCRASQRVSSSSLAWYQQKPGQAPRLLISGASSRATGIPDRFSGSGSGTDFTLTISRLEPEDFAVYYCHQYGVSPWTFGQGTKVEIK</t>
  </si>
  <si>
    <t>QQGYTTPFT</t>
  </si>
  <si>
    <t>CAACAGGGTTACACTACCCCGTTCACT</t>
  </si>
  <si>
    <t>DIQMTQSPSSLSASVGDRVTITCRASQSIDTYLNWYQQKPGKAPKVLIYAASSLQSGVPSRFSGSGSGTDFTLTISSLQPEDFATYYCQQGYTTPFTFGQGTKLDIK</t>
  </si>
  <si>
    <t>QQSDSTQPYT</t>
  </si>
  <si>
    <t>CAACAGAGTGACAGTACCCAACCGTACACC</t>
  </si>
  <si>
    <t>DIQMTQSPSSLSASVGDRVTITCRASESISSHLNWYQQKPGKAPKVLIYAASSLHSGVPSRFSGRGSGTDFTLTITSLQPEDFATYYCQQSDSTQPYTFGQGTKLEIK</t>
  </si>
  <si>
    <t>DIVMTQSPDSLAVSLGERATINCKSSQSVLYSSNNKNYLAWYQQKPGQPPKLLIYWASTRESGVPDRFSGSGSGTDFTLTISSLQAEDVAVYYCQQYYTTPYTFGQGTKVEIK</t>
  </si>
  <si>
    <t>QQSYSSLYT</t>
  </si>
  <si>
    <t>CAACAGAGTTACAGTTCCCTCTACACT</t>
  </si>
  <si>
    <t>DIQMTQSPSSLPASVGDRVTISCRASQTISNFLSWYQQKPGKAPKLLIYTASSLGSGVPSRFSGSGSGTDFTLTISSLQPEDFATYYCQQSYSSLYTFGQGTKVVIK</t>
  </si>
  <si>
    <t>QQSYSNLYT</t>
  </si>
  <si>
    <t>CAACAGAGTTACAGTAACTTGTACACT</t>
  </si>
  <si>
    <t>EIVLTQSPSSLSASVGDRVTITCRASQSISSSLNWYQQKPGKAPKLLIFGASSLHTGVPSRFSGSGSGTDFTLTIRSLQPDDCATYYCQQSYSNLYTFGQGTKLEIK</t>
  </si>
  <si>
    <t>QLYGSSPWT</t>
  </si>
  <si>
    <t>CAGCTGTATGGTAGCTCACCGTGGACG</t>
  </si>
  <si>
    <t>PGTLSLSPGERATLSCRASQSVSSSYLAWYQQKPGQAPRLLIYGAFNRATGIPDRFSGSGSGTDFTLTISRLEPEDFAVYYCQLYGSSPWTFGQGTKVEIK</t>
  </si>
  <si>
    <t>QSSDSSGTYVV</t>
  </si>
  <si>
    <t>CAATCATCAGACAGCAGTGGTACTTATGTGGTA</t>
  </si>
  <si>
    <t>CCCTCGGTGTCAGTGTCCCCAGGACAGACGGCCAGGATCACCTGCTCTGGAGATGCATTGCCAAAGCAATATGCTTATTGGTACCAGCAGAAGCCAGGCCAGGCCCCTGTGCCGGTGATATATAAAGACAGTGAGAGGCCCTCAGGGATCCCTGAGCGATTCTCTGGCTCCAGCTCAGGGACAACAGTCACGTTGACCATCAGTGGAGTCCAGGCAGAAGACGAGGCTGACTATTACTGTCAATCATCAGACAGCAGTGGTACTTATGTGGTATTCGGCGGAGGGACCAAGCTGACCGTCCTAG</t>
  </si>
  <si>
    <t>PSVSVSPGQTARITCSGDALPKQYAYWYQQKPGQAPVPVIYKDSERPSGIPERFSGSSSGTTVTLTISGVQAEDEADYYCQSSDSSGTYVVFGGGTKLTVL</t>
  </si>
  <si>
    <t>QQYNKWPPWT</t>
  </si>
  <si>
    <t>CAGCAGTATAATAAGTGGCCTCCGTGGACG</t>
  </si>
  <si>
    <t>GAAATAGTGATGACGCAGTCCCCAGCCACCCTGTCTGTGTCTCCAGGGGACAGAGCCACCCTCTCCTGCAGGGCCAGTCAGAGTGTTAGCAGCAACTTAGCCTGGTACCAGCAGAAACCTGGCCAGGCTCCCAGGCTCCTCATCTATGGTGCATCCACCAGGGCCACTGGTATCCCAGCCAGGTTCAGTGGCAGTGGGTCTGGGACAGAGTTCACTCTCACCATCAGCAGCCTGCAGTCTGAAGATTCTGCAGTTTATTACTGTCAGCAGTATAATAAGTGGCCTCCGTGGACGTTCGGCCAAGGGACCAAGGTGGAAATCAAAC</t>
  </si>
  <si>
    <t>EIVMTQSPATLSVSPGDRATLSCRASQSVSSNLAWYQQKPGQAPRLLIYGASTRATGIPARFSGSGSGTEFTLTISSLQSEDSAVYYCQQYNKWPPWTFGQGTKVEIK</t>
  </si>
  <si>
    <t>QSSDSSATYVV</t>
  </si>
  <si>
    <t>CAATCATCAGACAGCAGTGCTACTTATGTGGTA</t>
  </si>
  <si>
    <t>SYELTQPPSVSVSPGQTTRITCSGDALPKQYAYWYQQKPGQAPVLVIYKDSERPSGIPERFSGSSSGTTVTLTISGVQAEDEADYYCQSSDSSATYVVFGGGTKLTVL</t>
  </si>
  <si>
    <t>QSSDSSSTYVV</t>
  </si>
  <si>
    <t>CAATCATCGGACAGCAGTAGTACTTATGTGGTA</t>
  </si>
  <si>
    <t>QSALTQPPSVSVSPGQTARITCSGDALPKLFAYWYQQKPGQAPVLVIYKDSERPSGIPDRFSGSSSGATVTLTISGVQAEDEADYYCQSSDSSSTYVVFGGGTKLTVL</t>
  </si>
  <si>
    <t>QQYNNWPRYT</t>
  </si>
  <si>
    <t>CAGCAGTATAATAACTGGCCTCGGTACACT</t>
  </si>
  <si>
    <t>GAAATAGTGATGACGCAGTCTCCAGCCACCCTGTCTGTGTCTCCAGGGGACAGAGCCACCCTCTCCTGCAGGGCCAGTCAGAGTGTTAACAGCAACTTAGCCTGGTACCAGCAGAAACCTGGCCAGGCTCCCAGGCTCCTCATCTATGGTCCATCCACCAGGGCCACTGGTGTCCCAGCCAGGTTCAGTGGCAGTGGGTCTGGGACAGAGTTCACTCTCACCATCAGCAGCCTGCAGTCTGAAGATTTTGCAGTTTATTACTGTCAGCAGTATAATAACTGGCCTCGGTACACTTTTGGCCAGGGGACCAAACTGGAGATCAAAC</t>
  </si>
  <si>
    <t>EIVMTQSPATLSVSPGDRATLSCRASQSVNSNLAWYQQKPGQAPRLLIYGPSTRATGVPARFSGSGSGTEFTLTISSLQSEDFAVYYCQQYNNWPRYTFGQGTKLEIK</t>
  </si>
  <si>
    <t>GAAATATTGATGACGCAGTCTCCAGCCACCCTGTCTGTGTCTCCAGGGGAAAGAGCCACCCTCTCCTGCAGGGCCAGTCAGAGTGTTAGCAGCAACTTAGCCTGGTACCAGCAGAAACCTGGCCAGGCTCCCAGGCTCCTCATCTATGGTGCATCCACCAGGGCCACTGGTATCCCAGCCAGGTTCAGTGGCAGTGGGTCTGGGACAGAGTTCACTCTCACCATCAGCAGCCTGCAGTCCGAAGATTTTGCACTTTATTACTGTCAGCAGTATAATAACTGGCCTCGGTACACTTTTGGCCAGGGGACCAGGCTGGAGATCAAAC</t>
  </si>
  <si>
    <t>EILMTQSPATLSVSPGERATLSCRASQSVSSNLAWYQQKPGQAPRLLIYGASTRATGIPARFSGSGSGTEFTLTISSLQSEDFALYYCQQYNNWPRYTFGQGTRLEIK</t>
  </si>
  <si>
    <t>QQYNNWPPMYT</t>
  </si>
  <si>
    <t>CAGCAGTATAATAACTGGCCTCCCATGTACACT</t>
  </si>
  <si>
    <t>EIVMTQSPATLSVSPGERATLSCRASQSVSSNLAWYQQKPGQAPRLLIYGASTRATGIPARFSGSGSGTEFTLTISSLQSEDFAVYYCQQYNNWPPMYTFGQGTKLEIK</t>
  </si>
  <si>
    <t>HQYHNWPFYT</t>
  </si>
  <si>
    <t>CATCAGTATCATAACTGGCCTTTCTACACT</t>
  </si>
  <si>
    <t>EIVMTQSPATLSVSPGERATLSCRASQSVSSNVAWYQQRPGQAPRLLISYASTRASGIPARFSGSGSGTEFTLTISSLQSEDFAVYYCHQYHNWPFYTFGQGTKLEIK</t>
  </si>
  <si>
    <t>QQYNAWPLYT</t>
  </si>
  <si>
    <t>CAGCAGTATAATGCCTGGCCTCTGTACACT</t>
  </si>
  <si>
    <t>EIVMTQSPATLSVSPGEKATLSCRASQSVGSSLAWYQQKPGQAPRLLLYYASTRATGVPARFSGSGSGTEFTLTISSLQSEDFAVYYCQQYNAWPLYTFGQGTKLEIK</t>
  </si>
  <si>
    <t>QQYNIWPWT</t>
  </si>
  <si>
    <t>CAGCAGTATAATATCTGGCCGTGGACG</t>
  </si>
  <si>
    <t>EIVMTQSPATLSVSPGERATLSCRASQSISSNLAWYQQKPGQAPRLLIYGASTRPTDIPATDIPARFSGSGSGTEFTLTITSLQSEDVAVYFCQQYNIWPWTFGQGTKVEIK</t>
  </si>
  <si>
    <t>QQYNDWPWT</t>
  </si>
  <si>
    <t>CAGCAGTATAATGACTGGCCCTGGACG</t>
  </si>
  <si>
    <t>EIVMTQSPATLSVSPGERATLSCRASQSVSSNLAWFQQKPGQAPRLLIYGASTGVTGIPAKFSGSGSGTEFTLTIGSLQSEDFAVYYCQQYNDWPWTFGQGTKVEIK</t>
  </si>
  <si>
    <t>QQYNKWPWT</t>
  </si>
  <si>
    <t>CAGCAGTATAATAAATGGCCGTGGACG</t>
  </si>
  <si>
    <t>EIVMTQSPATLSVSPGERATLSCRASQSVTSNLAWFQQQPGQAPRLLIYGASTRATGIPARFSGSGSGTEFTLTISSLQSEDLAVYYCQQYNKWPWTFGQGTKVEIK</t>
  </si>
  <si>
    <t>QQYSSYPLT</t>
  </si>
  <si>
    <t>CAACAGTATAGTAGTTACCCTCTCACT</t>
  </si>
  <si>
    <t>DIQMTQSPSSLSASVGDRVTITCRASQDISNYLAWFQQKPGKAPKSLIYAASRLKSGVPSKFSGSGSGTDFTLTISSLQPEDVATYYCQQYSSYPLTFGGGTKVEI</t>
  </si>
  <si>
    <t>QQYHNRPPWT</t>
  </si>
  <si>
    <t>CAGCAGTATCATAATCGGCCTCCGTGGACG</t>
  </si>
  <si>
    <t>GAAATAGTGATGACGCAGTCTCCAGCCACCCTGTCTGTGTCTCCAGGGGAAAGAGCCACCCTCTCCTGCAGGGCCAGTCAGAGTGTTAGCATCAACGTAGCCTGGTACCAGCAGAAACCTGGCCAGGCTCCCAGGCTCCTCATCTATGGTGCATCCACCAGGGCCACTGGTTTCCCAGCCAGGTTCAGTGGCAGTGGGTCTGGGACAGAGTTCACTCTCACCATCAGCAGCCTGCAGTCTGAAGATTTTGCAGTTTATTACTGTCAGCAGTATCATAATCGGCCTCCGTGGACGTTCGGCCAAGGGACCAAGGTGGAAATCAAAC</t>
  </si>
  <si>
    <t>EIVMTQSPATLSVSPGERATLSCRASQSVSINVAWYQQKPGQAPRLLIYGASTRATGFPARFSGSGSGTEFTLTISSLQSEDFAVYYCQQYHNRPPWTFGQGTKVEIK</t>
  </si>
  <si>
    <t>QQYNNWPWT</t>
  </si>
  <si>
    <t>CAGCAGTATAATAACTGGCCTTGGACG</t>
  </si>
  <si>
    <t>EIVMTQSPATLSVSPGERATLSCRASQSVSSNLAWYQQKPGQAPRLLIYGASTRATGIPARFSGSGSGTEFTLTISSLQSEDFAVYYCQQYNNWPWTFGQGTKVEIK</t>
  </si>
  <si>
    <t>CAGCAGTATAATATCTGGCCTTGGACG</t>
  </si>
  <si>
    <t>EIVMTQSPATLSVSPGQRATLSCRASQSVGTNLAWFQQKPGQAPRLLIYGESTRATDIPARFSGSGSGTDFTLTITSLQSEDFAVYYCQQYNIWPWTFGQGTKVEIK</t>
  </si>
  <si>
    <t>QQYGSSPWT</t>
  </si>
  <si>
    <t>CAGCAGTATGGTAGCTCACCGTGGACG</t>
  </si>
  <si>
    <t>CCAGGCACCCTGTCTTTGTCTCCAGGGGAAAGAGCCACCCTCTCCTGCAGGGCCAGTCAGAGTGTTAGCAGCAGCTACTTAGCCTGGTACCAGCAGAAACCTGGCCAGGCTCCCAGGCTCCTCATCTATGGTGCATTTAGCAGGGCCACTGGCATCCCAGACAGGTTCAGTGGCAGTGGGTCTGGGACAGACTTCACTCTCACCATCAGCAGACTGGAGCCTGAAGATTTTGCAGTGTATTACTGTCAGCAGTATGGTAGCTCACCGTGGACGTTCGGCCAAGGGACCAAGGTGGAGATCAAAC</t>
  </si>
  <si>
    <t>PGTLSLSPGERATLSCRASQSVSSSYLAWYQQKPGQAPRLLIYGAFSRATGIPDRFSGSGSGTDFTLTISRLEPEDFAVYYCQQYGSSPWTFGQGTKVEIK</t>
  </si>
  <si>
    <t>CCAGGCACCCTGTCTTTGTCTCCAGGGGAAAGAGCCACCCTCTCCTGCAGGGCCAGTCAGAGTGTTAGCAGCAGCTACTTAGCCTGGTACCAGCAGAAACCTGGCCAGGCTCCCAGGCTCCTCATCTATGGTGCATTTAACAGGGCCACTGGCATCCCAGACAGGTTCAGTGGCAGTGGGTCTGGGACAGACTTCACTCTCACCATCAGCAGACTGGAGCCTGAAGATTTTGCAGTGTATTACTGTCAGCTGTATGGTAGCTCACCGTGGACGTTCGGCCAAGGGACCAAGGTGGAAATCAAAC</t>
  </si>
  <si>
    <t>QQYGSSPKT</t>
  </si>
  <si>
    <t>CAGCAGTATGGTAGCTCACCTAAGACG</t>
  </si>
  <si>
    <t>CCAGGCACCCTGTCTTTGTCTCCAGGGGAAAGAGCCACCCTCTCCTGCAGGGCCAGTCAGAGTGTTAGCAGCAGCTACTTAGCCTGGTACCAGCAGAAACCTGGCCAGGCTCCCAGGCTCCTCATCTATGGTGCATTTAGCAGGGCCACTGGCATCCCAGACAGGTTCAGTGGCAGTGGGTCTGGGACAGACTTCACTCTCACCATCAGCAGACTGGAGCCTGAAGATTTTGCAGTGTATTACTGTCAGCAGTATGGTAGCTCACCTAAGACGTTCGGCCAAGGGACCAAGGTGGAAATCAAAC</t>
  </si>
  <si>
    <t>PGTLSLSPGERATLSCRASQSVSSSYLAWYQQKPGQAPRLLIYGAFSRATGIPDRFSGSGSGTDFTLTISRLEPEDFAVYYCQQYGSSPKTFGQGTKVEIK</t>
  </si>
  <si>
    <t>QHYGSSPWT</t>
  </si>
  <si>
    <t>CAGCACTATGGTAGCTCACCGTGGACG</t>
  </si>
  <si>
    <t>GAAATTGTGTTGACGCAGTCTCCAGGCACCCTGTCTTTGTCTCCAGGGGAAAGAGCCACCCTCTCCTGCAGGGCCAGTCAGAGTGTTAGCAGCAACTACTTAGCCTGGTACCAGCAGCAACCTGGCCAGGCTCCCAGGCTCCTCATCTATGGTGCATCCAACAGGGTCACTGGCATCCCAGACAGGTTCAGTGGCAGTGGGTCTGGGACAGACTTCACTCTCACCATCAGCAGACTGGAGCCTGAAGATTTTGCAGTGTATTACTGTCAGCACTATGGTAGCTCACCGTGGACGTTCGGCCAAGGGGCCAAGGTGGAAATCAAAC</t>
  </si>
  <si>
    <t>EIVLTQSPGTLSLSPGERATLSCRASQSVSSNYLAWYQQQPGQAPRLLIYGASNRVTGIPDRFSGSGSGTDFTLTISRLEPEDFAVYYCQHYGSSPWTFGQGAKVEIK</t>
  </si>
  <si>
    <t>QQYGRSPT</t>
  </si>
  <si>
    <t>CAGCAGTATGGTAGGTCACCGACG</t>
  </si>
  <si>
    <t>GAAATTGTGTTGACGCAGTCTCCAGGCACCCTGTCTTTGTCTCCAGGGGAAAGAGCCACCCTCTCTTGCAGGGCCAGTCAGAGTCTTAGCAGCAGCTACTTAGCCTGGTACCAGCAGAAACCTGGCCAGGCTCCCAGGCTCCTCATCTATGGTGCATTCAGCAGGGCCACTGGCATCCCAGACAGGTTCAGTGGTAGTGGGTCTGGGACAGACTTCACTCTCACCATCAGCAGACTGGAGCCTGAAGATTTTGCAGTGTATTACTGTCAGCAGTATGGTAGGTCACCGACGTTCGGCCAAGGGACCAAGGTGGAAATCAAAC</t>
  </si>
  <si>
    <t>EIVLTQSPGTLSLSPGERATLSCRASQSLSSSYLAWYQQKPGQAPRLLIYGAFSRATGIPDRFSGSGSGTDFTLTISRLEPEDFAVYYCQQYGRSPTFGQGTKVEIK</t>
  </si>
  <si>
    <t>QQYETSSS</t>
  </si>
  <si>
    <t>CAGCAATATGAAACTTCTTCGTCG</t>
  </si>
  <si>
    <t>EIVLTQSPGILSLSPGDGATLSCRASQSVGSNYLAWYQKKPGQAPRLLIYGTLNRATGTPDRFGGSGSGTDFTLTISRLEPEDFAVYYCQQYETSSSFGQGTKVEIK</t>
  </si>
  <si>
    <t>QQYGSSPS</t>
  </si>
  <si>
    <t>CAGCAGTATGGTAGCTCACCGTCG</t>
  </si>
  <si>
    <t>GAAATTGTGTTGACGCAGTCTCCAGGCACCCTGTCTTTGTCTCCAGGGGAAAGAGCCACCCTCTCCTGCAGGGCCAGTCAGAGTGTTAGCAGCAGCTCCTTAGCCTGGTACCAGCACAAACCTGGCCAGGCTCCCAGGCTCCTCATCTATGGTGCATTCAACAGGGCCACTGGCATCCCAGACAGGTTCAGTGGCAGTGGGTCTGGGACAGACTTCACTCTCACCATCAGCAGACTGGAGCCTGAAGATTTTGCAGTGTATTACTGTCAGCAGTATGGTAGCTCACCGTCGTTCGGCCAAGGGACCAAGGTGGAAATCAAAC</t>
  </si>
  <si>
    <t>EIVLTQSPGTLSLSPGERATLSCRASQSVSSSSLAWYQHKPGQAPRLLIYGAFNRATGIPDRFSGSGSGTDFTLTISRLEPEDFAVYYCQQYGSSPSFGQGTKVEIK</t>
  </si>
  <si>
    <t>QHYAGSPWT</t>
  </si>
  <si>
    <t>CAGCATTATGCTGGCTCACCGTGGACG</t>
  </si>
  <si>
    <t>GAAATTGTGTTGACGCAGTCTCCAGGCACCCTGTCTTTGTCTCCAGGGGAAAGAGTCACCCTCTCCTGCAGGGCCAGTCAGAGTGTTAGAAGCGACTACTTAGCCTGGTACCAGCAGAAACCTGGCCAGTCTCCCAGACTCCTCATCTATGGTGCATCCAACAGGGCCACTGGCATCTCGGACAGGTTCAGTGGCAGTGGGTCTGGGACAGACTTCACTCTCACCATCGGCAGTCTGGAGCCTGAAGATTTTGCAGTGTATTACTGTCAGCATTATGCTGGCTCACCGTGGACGTTCGGCCAAGGGACCAAGGTGGAAATCAA</t>
  </si>
  <si>
    <t>EIVLTQSPGTLSLSPGERVTLSCRASQSVRSDYLAWYQQKPGQSPRLLIYGASNRATGISDRFSGSGSGTDFTLTIGSLEPEDFAVYYCQHYAGSPWTFGQGTKVEI</t>
  </si>
  <si>
    <t>QQYHKRPPWT</t>
  </si>
  <si>
    <t>CAACAGTATCATAAGAGGCCTCCGTGGACG</t>
  </si>
  <si>
    <t>EIVMTQSPATLSVSPGERATLSCRTSQSVSTNLAWYQQKPGQAPRLLIYGASTRATGIPARFSGSGSGTEFTLTISSLQSEDFGVYHCQQYHKRPPWTFGQGTKVEIK</t>
  </si>
  <si>
    <t>QQYGTSPS</t>
  </si>
  <si>
    <t>CAGCAGTATGGCACCTCACCGTCG</t>
  </si>
  <si>
    <t>EIVLTQSPGTLSLSPGERATLSCRASQSVSSSYLAWYQHKPGQAPRLLMYGAFNRATGIPDRFSGSGSGTDFTLTISRLEPEDFAVYYCQQYGTSPSFGQGTKVEIK</t>
  </si>
  <si>
    <t>EIVLTQSPGTLSLSPGERATLSCRASQTVSTNYLGWYQQKPGQAPRLLIYGTFNRATGIPDRFSGSGSGTDFTLTISRLEPEDFAVYYCQQYGSSPWTFGQGTKVEIK</t>
  </si>
  <si>
    <t>CCAGGCACCCTGTCTTTGTCTCCAGGGGAAAGAGCCACCCTCTCCTGCAGGGCCAGTCAGAGTGTTAGCAGCAGCTACTTAGCCTGGTACCAGCAGAAACCTGGCCAGGCTCCCAGGCTCCTCATCTATGGTGCATCCACCAGGGCCACTGGCATCCCAGACAGGTTCAGTGGCAGTGGGTCTGGGACAGACTTCACTCTCACCATCAGCAGACTGGAGCCTGAAGATTTTGCAGTGTATTTCTGTCAGCAGTATGGTAGCTCACCTAAGACGTTCGGCCAAGGGACCAAGGTGGAGATCAAAC</t>
  </si>
  <si>
    <t>PGTLSLSPGERATLSCRASQSVSSSYLAWYQQKPGQAPRLLIYGASTRATGIPDRFSGSGSGTDFTLTISRLEPEDFAVYFCQQYGSSPKTFGQGTKVEIK</t>
  </si>
  <si>
    <t>EIVLTQSPGTLSLSPGERAALFCRASQTVSTNYLAWYQQKPGQAPRLLIYGAFNRAAGIPDRFSGSGSGTDFTLTISRLEPEDFAVYYCQQYGSSPWTFGQGTKVEIK</t>
  </si>
  <si>
    <t>MQALQTPLT</t>
  </si>
  <si>
    <t>ATGCAAGCTCTACAAACTCCGCTCACT</t>
  </si>
  <si>
    <t>CCACTCTCCCTGCCCGTCATACCTGGAGAGCCGGCCTCCATCTCCTGCAGGTCTAGTCAGAGCCTCCTACATAGTAATGGATACAAGTATTTGGATTGGTACCTGCAGAAGCCAGGGCAGTCTCCACAGCTCCTGATCTATTTGGGTTCTAATCGGGCCTCCGGGGTCCCTGACAGGTTCAGTGGCAGTGGATCAGGCACAGATTTTACACTGAAAATCAGCAGAGTGGAGGCTGAGGATGTTGGGGTTTATTACTGCATGCAAGCTCTACAAACTCCGCTCACTTTCGGCGGAGGGACCAAGGTGGAAATCAAAC</t>
  </si>
  <si>
    <t>PLSLPVIPGEPASISCRSSQSLLHSNGYKYLDWYLQKPGQSPQLLIYLGSNRASGVPDRFSGSGSGTDFTLKISRVEAEDVGVYYCMQALQTPLTFGGGTKVEIK</t>
  </si>
  <si>
    <t>ATGCAAGCTCTACAAACTCCCCTCACT</t>
  </si>
  <si>
    <t>GATATTGTAATGACTCAGTCTCCACTCTCCCTGCCCGTCACCCCTGGAGAGCCGGCCTCCATCTCCTGCAGGTCTAGTCAGAGCCTCCTGCATAGTAATG---GAAACAACTATTTGGATTGGTACCTGCAGAAGCCAGGGCAGTCTCCACAACTCCTGATCTATTTGGGTTCTAACCGGGCCTCCGGGGTCCCTGACAGGTTCAGTGGCAGTGGATCAGGCACAGATTTTACACTGAAGATCAGCAGAGTGGAGCCTGAGGATGTTGGGGTTTATTACTGCATGCAAGCTCTACAAACTCCCCTCACTTTCGGCGGAGGGACCAAGGTGGAGATCAAAC</t>
  </si>
  <si>
    <t>DIVMTQSPLSLPVTPGEPASISCRSSQSLLHSNGNNYLDWYLQKPGQSPQLLIYLGSNRASGVPDRFSGSGSGTDFTLKISRVEPEDVGVYYCMQALQTPLTFGGGTKVEIK</t>
  </si>
  <si>
    <t>MQALQPPLT</t>
  </si>
  <si>
    <t>ATGCAAGCTCTACAACCTCCCCTCACT</t>
  </si>
  <si>
    <t>GATATTGTGATGACTCAGTCTCCACTCTCCCTGCCCGTCACCCCTGGAGAGCCGGCCTCCATCTCCTGCAGGTCTAGTCAGAGCCTCCTTCATAGTAATG---GAAACAACTATTTGGATTGGTACCTGCAGAAGCCAGGGCAGTCTCCACAGCTCCTGATGTCCTTGGGTTCTAATCGGGCCTCCGGGGTCCCTGACAGGTTCAGTGGCAGTGGATCAGGCACAGATTTTACACTGAAAATCAGCAGAGTGGAGGCTGAGGATGTTGGGGTTTACTACTGCATGCAAGCTCTACAACCTCCCCTCACTTTCGGCGGAGGGACCAAGGTGGAGATCAAAC</t>
  </si>
  <si>
    <t>DIVMTQSPLSLPVTPGEPASISCRSSQSLLHSNGNNYLDWYLQKPGQSPQLLMSLGSNRASGVPDRFSGSGSGTDFTLKISRVEAEDVGVYYCMQALQPPLTFGGGTKVEIK</t>
  </si>
  <si>
    <t>MQALQTPLA</t>
  </si>
  <si>
    <t>ATGCAAGCTCTACAAACTCCTCTAGCT</t>
  </si>
  <si>
    <t>GATATTGTGATGACTCAGTCTCCACTCTCCCTGCCCGTCACCCCTGGAGAGCCGGCCTCCATCTCCTGCAGGTCTAGTCAGAGCCTCCTGCATAGTAATGGAAACAACTATTTGGATTGGTACCTGCAGAGGCCAGGGCAGTCTCCACAACTGCTGATGTATTTAGTTTCTAAACGGGCTTCCGGGGTCCCTGACAGGTTCAGTGGCAGTGGATCAGGCACAGATTTTACACTGAAAATCAGCAGAGTGGAGGCTGAGGATGTTGGGGTTTATTACTGCATGCAAGCTCTACAAACTCCTCTAGCTTTCGGCGGAGGGACCAAGGTGGAGATCAAAC</t>
  </si>
  <si>
    <t>DIVMTQSPLSLPVTPGEPASISCRSSQSLLHSNGNNYLDWYLQRPGQSPQLLMYLVSKRASGVPDRFSGSGSGTDFTLKISRVEAEDVGVYYCMQALQTPLAFGGGTKVEIK</t>
  </si>
  <si>
    <t>GATATTGTGATGACTCAGTCGCCACTCTCCCTGCCCGTCACTCCTGGAGAGCCGGCCTCCATCTCCTGCAGGTCTAGTCAGAGTCTCCTGCACAGTAATG---GAAACAACTATTTGGATTGGTACCTGCAGAAGCCAGGGCAGTCTCCACAGCTCCTGATCTATTTGGGCTCTAATCGGGCCTCCGGGGTCCCTGACAGGATCAGTGGCGGTGGATCAGGCACAGATTTTACACTAACGATCAGCAGAGTGGAGGCTGAGGATGTTGGGGTTTATTACTGCATGCAAGCTCTACAAACTCCGCTCACTTTCGGCGGAGGGACCAAGGTGGAGATCAAA</t>
  </si>
  <si>
    <t>DIVMTQSPLSLPVTPGEPASISCRSSQSLLHSNGNNYLDWYLQKPGQSPQLLIYLGSNRASGVPDRISGGGSGTDFTLTISRVEAEDVGVYYCMQALQTPLTFGGGTKVEIK</t>
  </si>
  <si>
    <t>HQYVSSPLT</t>
  </si>
  <si>
    <t>CATCAGTATGTTAGCTCACCCTTGACG</t>
  </si>
  <si>
    <t>CCAGGCACCCTGTCTTTGTCTCCAGGGGAAAGAGCCACCCTCTCCTGCAGGGCCAGTCAGAGTGTTAGCAGCAGCTACTTAGCCTGGTACCAGCAGAAACCTGGCCAGGCTCCCAGGCTCCTCATCTATGGTGCATCCAGCAGGGCCACTGGCATCCCAGACAGGTTCAGTGGCAGTGGGTCTGGGACAGACTTCACTCTCACCATCAGCAGACTGGAGCCTGAAGATTTTGCAGTGTATTACTGTCATCAGTATGTTAGCTCACCCTTGACGTTCGGCCAAGGGACCAAGGTGGAAATCAAAC</t>
  </si>
  <si>
    <t>PGTLSLSPGERATLSCRASQSVSSSYLAWYQQKPGQAPRLLIYGASSRATGIPDRFSGSGSGTDFTLTISRLEPEDFAVYYCHQYVSSPLTFGQGTKVEIK</t>
  </si>
  <si>
    <t>QHYNNRPPWT</t>
  </si>
  <si>
    <t>CAACACTATAACAACCGGCCTCCGTGGACG</t>
  </si>
  <si>
    <t>EIVMTQSPATLSVSPGERATLSCRASQSVSSNLAWYQQKPGQAPRLLIYGASTRATDIPARFSGSGSGTEFTLTISSLQSEDFAVYYCQHYNNRPPWTFGQGTKVEIK</t>
  </si>
  <si>
    <t>QQYGSSPRT</t>
  </si>
  <si>
    <t>CAGCAGTATGGTAGCTCACCTCGCACG</t>
  </si>
  <si>
    <t>CCAGGCACCCTGTCTTTGTCTCCAGGGGAAAGAGCCACCCTCTCCTGCAGGGCCAGTCAGAGTGTTAGCAGCAGCTACTTAGCCTGGTACCAGCAGAAACCTGGCCAGGCTCCCAGGCTCCTCATCTATGGTGCATCCAGCAGGGCCACTGGCATCCCAGACAGGTTCAGTGGCAGTGGGTCTGGGACAGACTTCACTCTCACCATCAGCAGACTGGAGCCTGAAGATTTTGCAGTGTATTACTGTCAGCAGTATGGTAGCTCACCTCGCACGTTCGGCCAAGGGACCAAGGTGGAAATCAAAC</t>
  </si>
  <si>
    <t>PGTLSLSPGERATLSCRASQSVSSSYLAWYQQKPGQAPRLLIYGASSRATGIPDRFSGSGSGTDFTLTISRLEPEDFAVYYCQQYGSSPRTFGQGTKVEIK</t>
  </si>
  <si>
    <t>QQYGSLPQT</t>
  </si>
  <si>
    <t>CAGCAGTATGGTAGTTTACCTCAGACG</t>
  </si>
  <si>
    <t>ENVLTQSPGTLSLSPGERATLSCRASQSVTSSYLAWYQQKPGQAPRLLIYGASSRATGIPDRFSGSGSGTDFTLTISRLEPEDFAVYYCQQYGSLPQTFGQGTKVEIK</t>
  </si>
  <si>
    <t>GAAATTGTGTTGACGCAGTCTCCAGTCACCCTGTCTTTGTCTCCAGGGGAAAGAGCCACCCTCTCCTGTAGGGCCAGTCAGAGTGTCAGCAGCAGCTACCTAGCCTGGTATCAGCAGAAACCTGGCCAGGCTCCCAGGCTCCTCATCTATGGTGCATCCAGCAGGGCCACTGGCATCCCAGACAGGTTCAGTGGCAGTGAGTCTGGGACAGACTTCACTCTCACCATCAGCAGACTGGAGCCTGAAGATTTTGCAGTATATTTCTGTCAGCAGTATGGTAGCTCACCTCTGACGTTCGGCCAAGGGACCACGGTGGAAATCAAAC</t>
  </si>
  <si>
    <t>EIVLTQSPVTLSLSPGERATLSCRASQSVSSSYLAWYQQKPGQAPRLLIYGASSRATGIPDRFSGSESGTDFTLTISRLEPEDFAVYFCQQYGSSPLTFGQGTTVEIK</t>
  </si>
  <si>
    <t>QQYGTSPEWA</t>
  </si>
  <si>
    <t>CAGCAGTATGGGACGTCACCGGAGTGGGCC</t>
  </si>
  <si>
    <t>QIVLTQSPGTLSLSPGERAALSCRASQSVSSAFLAWYQQRPGQAPRLLIYGSSIRATGIPDRFSGSGSGTDFTLIINRLEPEDVGVYYCQQYGTSPEWAFGQGTKVEIK</t>
  </si>
  <si>
    <t>CAGCAGTATGGTAGCTCACCTCGGACG</t>
  </si>
  <si>
    <t>EIVLTQSPGTLSLSPGERATLSCRASQSVSSSYLAWCQQKPGQAPRLLIYGASSRATGIPDRFSGSGSGTDFTLTISRLEPEDFAVYYCQQYGSSPRTFGQGTKVEIK</t>
  </si>
  <si>
    <t>GTWDFSLSGWV</t>
  </si>
  <si>
    <t>GGAACATGGGATTTCAGCCTGAGTGGTTGGGTG</t>
  </si>
  <si>
    <t>CCCTCAGTGTCTGCGGCCCCAGGACAGAAGGTCACCATCTCCTGCTCTGGAAGCAGCTCCAACATTGGGAATAATTATGTATCCTGGTACCAGCAGCTCCCAGGAACAGCCCCCAAACTCTTCATTTATGACAATAATAAGCGACCCTCAGGGATTCCTGACCGATTCTCTGGCTCCAAGTCTGGCACGTCAGCCACCCTGGGCATCACCGGACTCCAGACTGGGGACGAGGCCGATTATTACTGCGGAACATGGGATTTCAGCCTGAGTGGTTGGGTGTTCGGCGGAGGGACCAAGCTGACCGTCCTAG</t>
  </si>
  <si>
    <t>PSVSAAPGQKVTISCSGSSSNIGNNYVSWYQQLPGTAPKLFIYDNNKRPSGIPDRFSGSKSGTSATLGITGLQTGDEADYYCGTWDFSLSGWVFGGGTKLTVL</t>
  </si>
  <si>
    <t>GTWDIFLNTGV</t>
  </si>
  <si>
    <t>GGAACATGGGATATCTTCCTGAATACTGGGGTG</t>
  </si>
  <si>
    <t>CCCTCAGTGTCTGCGGCCCCAGGACAGAAGGTCACCATCTCCTGCTCTGGAAGCACCTCCAACATTGGAAATAATTATGTATCCTGGTACCAACAACTCCCAGGAACAGCCCCCAAACTCCTCATTTATGACAATGATAAGCGACCCTCAGGGATTCCTGAGCGATTCTCTGGCTCCAAGTCTGGCACGTCAGCCACCCTGGGCATCACCGGACTCCAGACTGGGGACGAGGCCGATTATTACTGCGGAACATGGGATATCTTCCTGAATACTGGGGTGTTCGGCGGAGGGACCAAGCTGACCGTCCTAG</t>
  </si>
  <si>
    <t>PSVSAAPGQKVTISCSGSTSNIGNNYVSWYQQLPGTAPKLLIYDNDKRPSGIPERFSGSKSGTSATLGITGLQTGDEADYYCGTWDIFLNTGVFGGGTKLTVL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</si>
  <si>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TCAGCCTCAGCGTTGGTGTGTTCGGCGGAGGGACCAAGCTGACCGTCCTAG</t>
  </si>
  <si>
    <t>GTWDISLNAWV</t>
  </si>
  <si>
    <t>GGAACATGGGATATCAGCCTGAATGCTTGGGTG</t>
  </si>
  <si>
    <t>QSVVTQPPSVSAAPGQKVTISCSGSTSNIGNNYISWYQQFPGTAPKLLIYDNNKRPSGIPDRFSGSKSGTSATLGITGLQTGDEADYYCGTWDISLNAWVFGGGTKLTVL</t>
  </si>
  <si>
    <t>GTWDITLSEGV</t>
  </si>
  <si>
    <t>GGAACATGGGATATCACCCTGAGTGAGGGGGTG</t>
  </si>
  <si>
    <t>QSVLTQPPSVSAAPGQKVTISCSGISSNIGNNYVSWYQQLPGTAPKLLIYDNNKRPSGIPDRFSASKSGTSATLGITGLQTGDEADYYCGTWDITLSEGVFGGGTKLTVL</t>
  </si>
  <si>
    <t>CAGCAATATCATAATAGGCCTCCGTGGACG</t>
  </si>
  <si>
    <t>EIVMTQSPATLSVSPGEGATLSCRASQSVSTNLAWYQQKPGQAPRLLIYGASIRATGIPARFSGSGSGTEFTLTISSLQSEDFAVYHCQQYHNRPPWTFGQGTKVEIK</t>
  </si>
  <si>
    <t>GSWDSSLSTGV</t>
  </si>
  <si>
    <t>GGATCATGGGATAGCAGCCTGAGTACTGGGGTG</t>
  </si>
  <si>
    <t>QSVLTQPPSVSAAPGQKVTISCSGSSSNIGYNYVSWYQQLPGTAPKLLIYENNKRPSGIPDRFSGSKSGTSATLGITGLQTGDEADYYCGSWDSSLSTGVFGGGTKLTVL</t>
  </si>
  <si>
    <t>EIVMTQSPATLSVSPGERATLSCRASQSVSSNLAWYQQKPGQAPRLLIYGASTRATGIPARFSASGSGTEFTLTISSLQSEDFAVYYCQQYNKWPPWTFGQGTKVEIK</t>
  </si>
  <si>
    <t>CAGCAGTATAATAACAGGCCTCCGTGGACG</t>
  </si>
  <si>
    <t>EIVMTQSPATLSVSPGERATLSCRASQSVSINLAWYQQKPGQAPRLLIYGASTRATGIPVRFSGSGSGTEFTLTISSLQSEDFAIYYCQQYNNRPPWTFGQGTKVEIK</t>
  </si>
  <si>
    <t>CAGCAATATAATAACAGGCCTCCGTGGACG</t>
  </si>
  <si>
    <t>EIVMTQSPATLSVSPGERATLSCRASQSVSINLAWYQQKPGQAPRLLMYGASTRATGIPVRFSGSGSGTEFTLTISSLQSEDFAIYYCQQYNNRPPWTFGQGTKVEIK</t>
  </si>
  <si>
    <t>DIVMTQSPATLSVSPGERATLSCRASQSVSSNLAWYQQKPGQAPRLLIYGASTRATGIPARFSGSGSGTEFTLTISSLQSEDFAVYYCQQYNKWPPWTFGQGTKVEIK</t>
  </si>
  <si>
    <t>IGLV3-1</t>
  </si>
  <si>
    <t>QAWDSNVVV</t>
  </si>
  <si>
    <t>CAGGCGTGGGACAGCAATGTTGTGGTA</t>
  </si>
  <si>
    <t>TCCTATGGGCTGACTCAGCCACCCTCAGTGTCCGTGTCCCCAGGACAGACAGCCACCATCACCTGCTCTGGCGATAATTTGGGGGATAAATATGTTTCTTGGTATCAGCAGAAGCCAGGCCAGTCCCCTGTCCTGGTCATCTATGAAGATAACAAGCGACCCTCAGGGATCCCTGGCCGATTCTCTGGCTCCAACTCTGGGAACACAGCCACTCTGACCGTCACCGGGACCCAGCCTATGGATGACGCTGACTATTACTGTCAGGCGTGGGACAGCAATGTTGTGGTATTCGGCGGAGGGACCAAATTGACCGTCCTAG</t>
  </si>
  <si>
    <t>SYGLTQPPSVSVSPGQTATITCSGDNLGDKYVSWYQQKPGQSPVLVIYEDNKRPSGIPGRFSGSNSGNTATLTVTGTQPMDDADYYCQAWDSNVVVFGGGTKLTVL</t>
  </si>
  <si>
    <t>QAWDSNTVV</t>
  </si>
  <si>
    <t>CAGGCGTGGGACAGCAACACTGTGGTA</t>
  </si>
  <si>
    <t>TCCTTTGCACTGACTCAGCCACCGTCTGTGTCCGTGTCACCAGGACAGACAGCCACCATCTCCTGCTCTGGAGATAAATTGGGGGATAAGTATGTTGCCTGGTATCAGCAGAGGCCAGGCCAGTCCCCTATATTAGTCATCTCTCTAGATAATAGGCGGTCCTCAGGGATCCCTGGGCGATTCTTTGGCTCCAACTCTGGGAACACAGCCACTCTGACCATCAGCGGGACCCAGGCTATGGATGAGGCTGACTATTACTGTCAGGCGTGGGACAGCAACACTGTGGTATTCGGCGGAGGGACCAAGCTGACCGTCCTAG</t>
  </si>
  <si>
    <t>SFALTQPPSVSVSPGQTATISCSGDKLGDKYVAWYQQRPGQSPILVISLDNRRSSGIPGRFFGSNSGNTATLTISGTQAMDEADYYCQAWDSNTVVFGGGTKLTVL</t>
  </si>
  <si>
    <t>CAACAGTATAAAAGTTACCCTCTCACT</t>
  </si>
  <si>
    <t>GACATCCAGATGACCCAGTCTCCATCCTCACTGTCTGCATCTGTAGGAGACAGAGTCACCATCACTTGTCGGGCGAGTCAGGGCATTAGTAATTATTTAGCCTGGTTTCAGCAGAAACCAGGGAAAGCCCCTAAGTCCCTGATCTATGCTGCATCCAGTTTGCAAAGTGGTGTCCCATCAAAGTTCATCGGCAGTGGATCTGGGACAGATTTCACTCTCACCATCACCAGCCTGCAGCCTGAGGATTTTGCAACTTATTTCTGCCAACAGTATAAAAGTTACCCTCTCACTTTCGGCGGAGGGACCAAGGTGGAGATCAAAC</t>
  </si>
  <si>
    <t>DIQMTQSPSSLSASVGDRVTITCRASQGISNYLAWFQQKPGKAPKSLIYAASSLQSGVPSKFIGSGSGTDFTLTITSLQPEDFATYFCQQYKSYPLTFGGGTKVEIK</t>
  </si>
  <si>
    <t>QMWDSRNVV</t>
  </si>
  <si>
    <t>CAGATGTGGGACAGCAGAAATGTGGTA</t>
  </si>
  <si>
    <t>SYELTQPPSVSVPPGQTASITCSGEKLGDEYVWWYQKKPGQSPVVVILQDNKRPSGIPERFSGSNSGNTATLTISGTQAMDEADYYCQMWDSRNVVFGGGTKLTVL</t>
  </si>
  <si>
    <t>QTWDNDIVF</t>
  </si>
  <si>
    <t>CAGACGTGGGACAATGACATTGTGTTC</t>
  </si>
  <si>
    <t>TCCTATGAACTGACTCAGCCACCCTCAGTGTCCGTGTCCCCGGGACAGACAGCCAGCATCACCTGCTCTGGAGATGAATTGGGAGATGAATATGTTTCCTGGTATCAACAGAGGCCAGGCCAGTCCCCTGTCCTGGTCATCTCTCGAGATAACAAGCGGCACTCAGGGATCCCTGAGCGATTCTCTGGCTCCAACTCTGGGAACACAGCCACTCTGACCATCAGGGGGACCCAGGCTTTGGATGAGGCTGACTATTACTGTCAGACGTGGGACAATGACATTGTGTTCTTCGGCGGTGGGACCAAGTTGACCGTCCTAG</t>
  </si>
  <si>
    <t>SYELTQPPSVSVSPGQTASITCSGDELGDEYVSWYQQRPGQSPVLVISRDNKRHSGIPERFSGSNSGNTATLTIRGTQALDEADYYCQTWDNDIVFFGGGTKLTVL</t>
  </si>
  <si>
    <t>QVWDNYSVV</t>
  </si>
  <si>
    <t>CAGGTGTGGGACAACTACTCTGTGGTC</t>
  </si>
  <si>
    <t>SYELTQPPSVSVSPGQTASITCSGDKLGDKYVCWYQQKPGQSPVLVISQDNDRPSGIPGRFFGSNSGNTATLTISGTQPMDEADYYCQVWDNYSVVFGGGTKLTVL</t>
  </si>
  <si>
    <t>QAWVSSAVI</t>
  </si>
  <si>
    <t>CAGGCGTGGGTTAGCAGCGCTGTGATA</t>
  </si>
  <si>
    <t>SYELTQPPSVSVSPGQTASITCSGDKLGDEYVCWYQQKPGQSPVLVISQDNRRPSGIPGRFSGSNSGNTATLTISGTQAMDEADYYCQAWVSSAVIFGGGTKLTVL</t>
  </si>
  <si>
    <t>QAWDSNTVL</t>
  </si>
  <si>
    <t>CAGGCGTGGGACAGCAACACTGTGCTA</t>
  </si>
  <si>
    <t>SYELTQPPSVSVSPGQTASITCSGDKLGDTYACWYQQKPGQSPVLVISQDYKRPSGIPARFSGSNSGNTATLTISGTQSMDEADYYCQAWDSNTVLFGGGTKLTVL</t>
  </si>
  <si>
    <t>QAWVDNGAV</t>
  </si>
  <si>
    <t>CAGGCGTGGGTCGATAACGGTGCGGTT</t>
  </si>
  <si>
    <t>SYDLTQPPSVSVSPGQTAIITCSGHKLGDEYVSWYQQRSGQSPVLVISRDNKRPSGIPGRFSGSNSGNTATLTISGTQTVDEADYYCQAWVDNGAVFGGGTKLTVL</t>
  </si>
  <si>
    <t>QAWDSSTAVV</t>
  </si>
  <si>
    <t>CAGGCGTGGGACAGCAGCACTGCCGTGGTC</t>
  </si>
  <si>
    <t>SYELTQPPSVSVSPGQTASITCSGDKLGDEYVSWYQQKPGQSPVLVISRDTRRSSGIPERFSGSNSGNTATLTISGTQAMDEADYYCQAWDSSTAVVFGGGTKLTVL</t>
  </si>
  <si>
    <t>QQYNNRPLT</t>
  </si>
  <si>
    <t>CAGCAGTATAATAATAGGCCTCTCACT</t>
  </si>
  <si>
    <t>GAAATAGTGATGACGCAGTCTCCAGCCACCCTGTCTGTGTCTCCAGGGGAAAGAGCCACCCTCTCCTGCAGGGCCAGTCAGAGTATCAGTAGCAACTTAGCCTGGTACCAGCAGAAACCTGGCCAGGCTCCCAGGCTCCTCATCTCTGGTGCATCCACCAGGGCCACTGGTGTCACCGCCAGGTTCAGTGGCAGTGGGTCTGGGACAGAGTTCACTCTCACCATCAGCAGCCTGCAGTCTGAAGATGTTGCAGTTTATTACTGTCAGCAGTATAATAATAGGCCTCTCACTTTCGGCGGAGGGACCAAGGTGGAGATCAAAC</t>
  </si>
  <si>
    <t>EIVMTQSPATLSVSPGERATLSCRASQSISSNLAWYQQKPGQAPRLLISGASTRATGVTARFSGSGSGTEFTLTISSLQSEDVAVYYCQQYNNRPLTFGGGTKVEIK</t>
  </si>
  <si>
    <t>QQYSNWPLT</t>
  </si>
  <si>
    <t>CAGCAGTATAGTAACTGGCCTCTCACT</t>
  </si>
  <si>
    <t>EIVMTQSPATLSVSPGERATLSCRASQTVRSNLAWYQQRPGQAPRLLISGASTRATGIPARFSGSGSGTEFTLTISSLQSEDSAVYYCQQYSNWPLTFGGGTKVEIK</t>
  </si>
  <si>
    <t>DIQMTQSPSSLSASVGERVTITCRASQDISNYLAWFQQKPGKAPKSLIYAASRLKSGVPSKFSGSGSGTDFTLTISSLQPEDVATYYCQQYSSYPLTFGGGTKVEI</t>
  </si>
  <si>
    <t>QQYSGWPLT</t>
  </si>
  <si>
    <t>CAGCAGTATAGTGGCTGGCCTCTCACT</t>
  </si>
  <si>
    <t>EIVMTQSPATLSVSPGERATLSCRASQSISSNLAWYQQKPGQPPRLLIDGASTRATGIPARFSGSGSGTEFSLTISSLQSEDFAVYYCQQYSGWPLTFGGGTKVEIK</t>
  </si>
  <si>
    <t>QQYNNWPLT</t>
  </si>
  <si>
    <t>CAGCAGTATAATAACTGGCCGCTCACT</t>
  </si>
  <si>
    <t>EIVMTQSPATLSVSPGERATLSCRASQSISSNLAWYQQRPGQAPRLLISGASIRATGIPARFSGSGSGTEFTLTISSLQSEDFAVYYCQQYNNWPLTFGGGTKVEIK</t>
  </si>
  <si>
    <t>CAGCAGTATAATAACTGGCCTCTCACT</t>
  </si>
  <si>
    <t>EIVMTQSPATLSVSPGERATLSCRASQSVSSNLAWYQQKPGQAPRLLFSGASTRATGIPARFSGSGSGTEFTLTISSLQSEDFAVYYCQQYNNWPLTFGGGTKVEIK</t>
  </si>
  <si>
    <t>QQYKNWPLT</t>
  </si>
  <si>
    <t>CAGCAGTATAAAAACTGGCCTCTCACT</t>
  </si>
  <si>
    <t>EIVMTQSPATLSVSPGERATLSCRASQNISSNLAWYQQKPGRAPRLLIDGASTRATGIPARFSGSGSGTEFTLSISSLQSEDSTVYYCQQYKNWPLTFGGGTKVEIK</t>
  </si>
  <si>
    <t>CAGCAGTATGGTAGCTCACCTCGCACT</t>
  </si>
  <si>
    <t>EIVLTQSPGTLSLSPGERATLSCRASQSVSSSYLAWYQQKPGQAPRLLIYGASSRATGIPDRFSGSGSGTDFTLTISRLEPEDFAVYYCQQYGSSPRTFGQGTKLEIK</t>
  </si>
  <si>
    <t>HQYRSSPRT</t>
  </si>
  <si>
    <t>CATCAGTATCGTAGTTCACCTCGCACT</t>
  </si>
  <si>
    <t>EIVLTQSPGTLSLSPGERATLSCRASQSVSGNYLAWYQQKPGQVPRLLIYGASSRATGIPDRFSGSGSGTDFSLTISRLEAEDFAVYYCHQYRSSPRTFGQGTKLEIK</t>
  </si>
  <si>
    <t>HQYGSSPNT</t>
  </si>
  <si>
    <t>CACCAGTATGGTAGCTCTCCCAACACT</t>
  </si>
  <si>
    <t>EIVLTQSPGTLSLSPGESATLSCRASQSVINTYLAWHQQRPGQAPRLLIYGASNRATGVPDRFSGSGSGTDYTLTITRLEPEDFAVYYCHQYGSSPNTFGQGTKLEIK</t>
  </si>
  <si>
    <t>GAAATTGTGTTGACGCAGTCTCCAGGCACCCTGTCTTTGTCTCCAGGAGAAAGCGCCACCCTCTCCTGCAGGGCCAGTCAGAATGTTATCAACACCTACTTAGCCTGGCACCAGCAGAGACCTGGCCAGGCTCCCAGGCTCCTCATCTATGGTGCATCCAACAGGGCCACTGGCGTCCCAGACAGGTTTAGTGGCAGTGGGTCTGGGACAGACTACACTCTCACCATCACCAGACTGGAGCCTGAAGATTTTGCAGTGTATTACTGTCACCAGTATGGTAGCTCTCCCAACACTTTTGGCCAGGGGACCAAGCTGGAGATCAAAC</t>
  </si>
  <si>
    <t>EIVLTQSPGTLSLSPGESATLSCRASQNVINTYLAWHQQRPGQAPRLLIYGASNRATGVPDRFSGSGSGTDYTLTITRLEPEDFAVYYCHQYGSSPNTFGQGTKLEIK</t>
  </si>
  <si>
    <t>CAGCAGTATGGTAGCTCACCTCGAACT</t>
  </si>
  <si>
    <t>QQYGSSPPT</t>
  </si>
  <si>
    <t>CAACAGTATGGTAGTTCACCGCCCACT</t>
  </si>
  <si>
    <t>GAAATTGTGTTGACGCAGTCTCCAGGCACCCTGTCTTTGTCTCCAGGGGAAAGAGCCACCCTCTCCTGCAGGGCCAGTCAGAGTGTTAGCA---GCTACTTAGCCTGGTACCAGCAGAGACCTGGCCAGGCTCCCAGGCTCCTCATTCATGATGCATCCAGGAGGGCCGCTGGCATCCCAGACAGGTTCAGTGGCAGTGGGTCTGGGACAGACTTCACTCTCACCATCAGCAGACTGGAGCCTGAAGATTTGGCAGTGTTTTACTGTCAACAGTATGGTAGTTCACCGCCCACTTTCGGCGGAGGGACCAAGGTGGAGATCAAAC</t>
  </si>
  <si>
    <t>EIVLTQSPGTLSLSPGERATLSCRASQSVSSYLAWYQQRPGQAPRLLIHDASRRAAGIPDRFSGSGSGTDFTLTISRLEPEDLAVFYCQQYGSSPPTFGGGTKVEIK</t>
  </si>
  <si>
    <t>CAACAGTATAATAGTTACCCTCTCACT</t>
  </si>
  <si>
    <t>DIQMTQSPSSLSASVRDRVTITCRASQDISNYLAWFQQKPGKAPKSLIYAASRLKSGVPSKFSGSGSGTDFTLTISNLQPEDVATYYCQQYNSYPLTFGGGTKVEIK</t>
  </si>
  <si>
    <t>QQYGGSPLT</t>
  </si>
  <si>
    <t>CAGCAGTATGGTGGCTCACCGCTCACT</t>
  </si>
  <si>
    <t>EIVLTQSPGTLSLSPGERATLSCRASQSVDSRYLVWYQQKPGQAPRLLISGASSRAAGIPDRFSVSGSGTDFTLTISRLEPEDFAVYYCQQYGGSPLTFGGGTKVEIK</t>
  </si>
  <si>
    <t>QQYATSPLT</t>
  </si>
  <si>
    <t>CAGCAGTATGCTACCTCACCGCTCACT</t>
  </si>
  <si>
    <t>EIVLAQSPGTLSLPSGERATLSCRASQSLSSTSLAWYQQKPGQAPRLLIYDASNRAIGIPDRFSGSGSGTDFTLTISRLEPDDFAVYFCQQYATSPLTFGGGTKVEIK</t>
  </si>
  <si>
    <t>CAGCAGTATGGTACCTCACCGCTCACT</t>
  </si>
  <si>
    <t>EIVLAQSPGTLSLSPGERATLSCRASQSVSSTSLAWYQQKPGQAPRLLIYDASNRATGIPDRFSGSGSGTDFTLTISRLEPDDFAVYFCQQYGTSPLTFGGGTKVEIK</t>
  </si>
  <si>
    <t>CAGCAGTATGGTAGCTCACCCCTCACT</t>
  </si>
  <si>
    <t>ETTLTQSPGTLSLSPGERATLSCRASQSVSSSYLAWYQQKPGQAPRLLINGASSRATGIPDRFSGSGSGTDFTLTISRLEPEDFAVYYCQQYGSSPLTFGGGTKVEIK</t>
  </si>
  <si>
    <t>QKYNSAPLT</t>
  </si>
  <si>
    <t>CAAAAGTATAACAGTGCCCCGCTCACT</t>
  </si>
  <si>
    <t>CCATCCTCCCTGTCTGCATCTGTGGGAGACAGAGTCACCATCACTTGCCGGGCGAGTCAGGGCATTAGCAATTATTTAGCCTGGTATCAGCAGAAACCAGGGAAAGTTCCTAAGCTCCTGATCTATGTTGCATCCACTTTGCAATCAGGGGTCCCATCTCGGTTCAGTGGCAGTGGATCTGGGACAGATTTCACTCTCACCATCAGCAGCCTGCAGCCTGAAGATGTTGCAACTTATTATTGTCAAAAGTATAACAGTGCCCCGCTCACTTTCGGCGGAGGGACCAAGGTGGAGATCAAAC</t>
  </si>
  <si>
    <t>PSSLSASVGDRVTITCRASQGISNYLAWYQQKPGKVPKLLIYVASTLQSGVPSRFSGSGSGTDFTLTISSLQPEDVATYYCQKYNSAPLT</t>
  </si>
  <si>
    <t>QKYDSAPLT</t>
  </si>
  <si>
    <t>CAAAAGTATGACAGTGCCCCGCTCACT</t>
  </si>
  <si>
    <t>GACATCCAGATGACCCAGTCTCCATCCTCCCTGTCTGCATCTGTGGGAGACAGAGTCACCATCACTTGCCGGGCGAGTCAGGACATTAGGAATTATTTAGCCTGGTTTCAGCAGAAACCAGGAAAAGTTCCTAAGCTCCTGATCTATGTTGCATCCACTTTGCAATCAGGGGTCCCATCTCGGTTCAGTGGCAGTGGATCTGGGACAGATTTCACTCTCACCATCAGCAGCCTGCAGCCTGAAGATGTTGCAACTTATTACTGTCAAAAGTATGACAGTGCCCCGCTCACTTTCGGCGGAGGGACCAAGGTGGAGATCAAAC</t>
  </si>
  <si>
    <t>DIQMTQSPSSLSASVGDRVTITCRASQDIRNYLAWFQQKPGKVPKLLIYVASTLQSGVPSRFSGSGSGTDFTLTISSLQPEDVATYYCQKYDSAPLTFGGGTKVEIK</t>
  </si>
  <si>
    <t>CAAAAGTATGACAGTGCCCCCCTCACT</t>
  </si>
  <si>
    <t>GACATCCAGATGACCCAGTCTCCATCCTCCCTGTCTGCATCTGTAGGAGACAGAGTCACCATCACTTGCCGGGCGAGTCAGGGCATTAACAATTATTTAGCCTGGTATCAGCAGAAACCAGGGAAAGTTCCTAGGCTCCTGATCTATACTGCATCCACTTTGCAATCAGGGGTCCCATCTCGGTTCAGTGGCAATGGATCTGGGACAGATTTCACTCTCTCCATCAGCGGCCTGCAGCCTGAAGATGTTGCAACTTATTTCTGTCAAAAGTATGACAGTGCCCCCCTCACTTTCGGCGGAGGGACCAAGGTGGAGATCA</t>
  </si>
  <si>
    <t>DIQMTQSPSSLSASVGDRVTITCRASQGINNYLAWYQQKPGKVPRLLIYTASTLQSGVPSRFSGNGSGTDFTLSISGLQPEDVATYFCQKYDSAPLTFGGGTKVEI</t>
  </si>
  <si>
    <t>CAAAAGTATAACAGTGCCCCTCTCACT</t>
  </si>
  <si>
    <t>GACATCCAGATGACCCAGTCTCCATCCTCCCTGTCTGCATCTGTAGGAGACAGAGTCACCATCACTTGCCGGGCGAGTCAGGACATTAACAATTATTTAGCCTGGTTTCAGCAGAGACCAGGGAAAGTTCCTAAGATCCTGATCTATGCTGCATCCACTTTGCAATCAGGGGTGCCATCGCGGTTCAGTGGCAGTGGATCTGGGACAGATTTCACTCTCACCATCAGCAGCCTGCAGCCTGAGGATGTTGCAACTTATTACTGTCAAAAGTATAACAGTGCCCCTCTCACTTTCGGCGGAGGGACCAAGGTGGAGCTCA</t>
  </si>
  <si>
    <t>DIQMTQSPSSLSASVGDRVTITCRASQDINNYLAWFQQRPGKVPKILIYAASTLQSGVPSRFSGSGSGTDFTLTISSLQPEDVATYYCQKYNSAPLTFGGGTKVEL</t>
  </si>
  <si>
    <t>GTWDFSLSAGV</t>
  </si>
  <si>
    <t>GGAACATGGGATTTCAGCCTGAGTGCTGGGGTG</t>
  </si>
  <si>
    <t>QSVLTQPPSVSAAPGQKVTISCSGSSSNIGNNYVSWYQQLPGTAPKLLIYDNNKRPSGIPDRFSGSKSGTSATLGITGLQTGDEADYYCGTWDFSLSAGVFGGGTKLTVL</t>
  </si>
  <si>
    <t>DIQLTQSPSSLSASVGDRVTITCRAAQGISNFLAWYQQKPGKVPKLLIYTASTLRSGVPSRFGGSGSGTDFTLTISSLQPEDVATYYCQKYNSAPLTFGGGTKVEIK</t>
  </si>
  <si>
    <t>MQALQTPSWT</t>
  </si>
  <si>
    <t>ATGCAAGCTCTACAAACTCCCTCGTGGACG</t>
  </si>
  <si>
    <t>CCACGCTCCCTGTCCGTCACCCCTGGAGAGCCGGCCTCCATCTCCTGCAGGTCTAGTCAGAGCCTCCTGCATAGAAATGGATATAACTATTTGGATTGGTATCTGCAGAAGCCAGGGCAGTCTCCACAGCTCCTGATCTATTTGGGTTCTAATCGGGCCTCCGGGGTCCCTGACAGGTTCAGTGGCAGTGGATCAGGCACAGATTTTACACTGAAAATCAGCAGAGTGGAGGCTGAAGATGTTGGGGTTTATTACTGCATGCAAGCTCTACAAACTCCCTCGTGGACGTTCGGCCAAGGGACCAAGGTGGAAATCAAAC</t>
  </si>
  <si>
    <t>PRSLSVTPGEPASISCRSSQSLLHRNGYNYLDWYLQKPGQSPQLLIYLGSNRASGVPDRFSGSGSGTDFTLKISRVEAEDVGVYYCMQALQTPSWTFGQGTKVEIK</t>
  </si>
  <si>
    <t>MQGLHMPWT</t>
  </si>
  <si>
    <t>ATGCAAGGTCTACACATGCCGTGGACG</t>
  </si>
  <si>
    <t>AATATTGTGTTGACTCAGTCTCCACTCTCCCTGCCCGTCACCCCTGGAGAGCCGGCCGCCATCTCCTGCAGGTCTAGTCAGAGCCTCCTACAAAGTTATA---GATACAATTATTTGGATTGGTACCTGCAGAAGCCAGGGCAGTCTCCACAGCTCCTGATCTATTTGGCTTCTAATCGGGCCTCCGGGGTCCCTGACAGGTTCAGTGGCAGTGGATCAGGCACAAATTTTACACTGAAAATCAGTAGAGTGGAGGCTGAGGATGTTGGAATTTATTACTGCATGCAAGGTCTACACATGCCGTGGACGTTCGGCCAAGGGACCAAGGTGGAAATGAAAC</t>
  </si>
  <si>
    <t>NIVLTQSPLSLPVTPGEPAAISCRSSQSLLQSYRYNYLDWYLQKPGQSPQLLIYLASNRASGVPDRFSGSGSGTNFTLKISRVEAEDVGIYYCMQGLHMPWTFGQGTKVEMK</t>
  </si>
  <si>
    <t>MQSLHMPWT</t>
  </si>
  <si>
    <t>ATGCAAAGTCTACACATGCCGTGGACG</t>
  </si>
  <si>
    <t>AATATTGTGCTGACTCAGTCTCCACTCTCCCTGCCCGTCACCCCTGGAGAGCCGGCCGCCATCTCCTGCAGGTCTAGTCAGAGCCTCCTACAAAGTTATA---GATACAATTATTTGGATTGGTACCTGCAGAAGCCAGGGCAGTCTCCACAGCTCCTGATCTATTTGGGTTCTAATCGGGCCTCCGGGGTCCCTGACAGGTTCAGTGGCAGTGGATCAGGCACAAATTTTACACTGAAAATCAGTAGAGTGGAGGCTGAGGATGTTGGAATTTATTACTGCATGCAAAGTCTACACATGCCGTGGACGTTCGGCCAAGGGACCAAGGTGGAAATGAAA</t>
  </si>
  <si>
    <t>NIVLTQSPLSLPVTPGEPAAISCRSSQSLLQSYRYNYLDWYLQKPGQSPQLLIYLGSNRASGVPDRFSGSGSGTNFTLKISRVEAEDVGIYYCMQSLHMPWTFGQGTKVEMK</t>
  </si>
  <si>
    <t>QQYHTWPPYT</t>
  </si>
  <si>
    <t>CAGCAGTACCATACCTGGCCTCCGTACACT</t>
  </si>
  <si>
    <t>GAAATAGTGATGACGCAGTCTCCAGCCACCCTGTCTGTGTCTCCAGGGGAAAGAGCCACCCTCTCCTGCAGGGCCAGTCAGAGTATTAGCAGCAGCTTAGCCTGGTATCAGCAAAAACCTGGCCAGGCTCCCAGGCTCCTCATCTCCGGTGCATCCGCCAGGGCCACTGGTGTCCCGGCCAGGTTCAGTGGCAGTGGGTCTGGGACAGAGTTCACTCTCACCATCAGCAGCCTGCAGTCTGAGGATTTTGCAGTTTATTTCTGTCAGCAGTACCATACCTGGCCTCCGTACACTTTTGGCCAGGGGACCAAGCTGGAAATCAAAC</t>
  </si>
  <si>
    <t>EIVMTQSPATLSVSPGERATLSCRASQSISSSLAWYQQKPGQAPRLLISGASARATGVPARFSGSGSGTEFTLTISSLQSEDFAVYFCQQYHTWPPYTFGQGTKLEIK</t>
  </si>
  <si>
    <t>HQYYNWPRGT</t>
  </si>
  <si>
    <t>CACCAGTATTACAACTGGCCTCGAGGGACT</t>
  </si>
  <si>
    <t>EIVMTQSPATLSVSPGERATLSCRASQSVSSNLAWYQQKPGQAPRLLISYASTRATGIPARFSGSGSGTEFTLTISSLQSEDFAVYYCHQYYNWPRGTFGQGTKLEIK</t>
  </si>
  <si>
    <t>CAGCAGTATCATACCTGGCCTCCGTACACT</t>
  </si>
  <si>
    <t>EIVMTQSPATLSVSPGERATLSCRASQSVSSSLAWYQQKPGQAPRLLIYGASTRATGVPARFSGSGSGTEFTLTISSLQSEDFAVYFCQQYHTWPPYTFGQGTKLEIK</t>
  </si>
  <si>
    <t>QQYNNWPFYT</t>
  </si>
  <si>
    <t>CAGCAGTATAACAACTGGCCTTTCTACACT</t>
  </si>
  <si>
    <t>EILMTQSPATLSVSPGERATLSCRASQSLSSSLAWYQQKPGQAPRLLIYGASTRATGIPARFSGSGSGTEFTLTISNLQSEDFAVYYCQQYNNWPFYTFGQGTKLEIK</t>
  </si>
  <si>
    <t>QQYNNWPLYT</t>
  </si>
  <si>
    <t>CAGCAGTATAATAACTGGCCTCTCTACACT</t>
  </si>
  <si>
    <t>EIVMTQSPATLSVSPGERATLSCRASQSVSSNLAWYQQKVGQAPRLLIYGASTRATGIPARFSGSGSGTEFTLTISSLQSEDFAVYYCQQYNNWPLYTFGQGTKLEIK</t>
  </si>
  <si>
    <t>CAACAGAGTTACAGTACCCCGCTCACT</t>
  </si>
  <si>
    <t>GACATCCAGATGACCCAGTCTCCATCCTCCCTGTCTGCTTCTGTTGGAGACAGAGTCACCATCACTTGCCGGGCAAGTCAGAGCATTAGCAGGTATTTAAATTGGTATCAGCAAAAACCAGGGAAAGCCCCTAACCTCCTCATCTATACTGCATCCAGTTTGCAAAGTGGGGTCCCATCAAGGTTCAGTGGCAGTGGATCTGGGACAGATTTCACTCTCACCATCAGCAGTCTCCAACCTCAAGATTTTGCAACTTACTACTGTCAACAGAGTTACAGTACCCCGCTCACTTTCGGCGGAGGGACCAAGGTGGAGATCAAAC</t>
  </si>
  <si>
    <t>DIQMTQSPSSLSASVGDRVTITCRASQSISRYLNWYQQKPGKAPNLLIYTASSLQSGVPSRFSGSGSGTDFTLTISSLQPQDFATYYCQQSYSTPLTFGGGTKVEIK</t>
  </si>
  <si>
    <t>GTWDFRLSGGV</t>
  </si>
  <si>
    <t>GGAACATGGGATTTCAGGCTGAGTGGTGGGGTG</t>
  </si>
  <si>
    <t>QSVLTQPPSVSAAPGQRVTISCSGSTSNIGNNYVSWYQQLPGTAPKLLIYDNNKRPSGIPDRFSGSKSGTSATLGITGLQTGDEADYYCGTWDFRLSGGVFGGGTKLTVL</t>
  </si>
  <si>
    <t>QQSHSTPLT</t>
  </si>
  <si>
    <t>CAACAGAGTCACAGTACCCCGCTCACT</t>
  </si>
  <si>
    <t>GACATCCAGATGACCCAGTCTCCATCCTCCCTGTCTGCATCTGTAGGAGACAGAGTCACCATCACTTGCCGGGCAAGTCAGAGCATCAACACCTATTTAAATTGGTATCAGCAGAAACCAGGGAAAGCCCCTAACCTCCTGATCTATACTGCATCCAGATTACACACCGGGGTCTCATCAAGGTTCAGTGGCAGTGGATCTGGGACAGAGTTCACTCTCACCATCAGCAGTCTGCGACCTGAGGATTTTGCAACTTACTACTGTCAACAGAGTCACAGTACCCCGCTCACTTTCGGCGGAGGGACCAAGGTGGAGGTCAAAC</t>
  </si>
  <si>
    <t>DIQMTQSPSSLSASVGDRVTITCRASQSINTYLNWYQQKPGKAPNLLIYTASRLHTGVSSRFSGSGSGTEFTLTISSLRPEDFATYYCQQSHSTPLTFGGGTKVEVK</t>
  </si>
  <si>
    <t>QQSYSIPLT</t>
  </si>
  <si>
    <t>CAACAGAGTTACAGTATCCCGCTCACT</t>
  </si>
  <si>
    <t>DIQMTQSPSSLSASIGDRVTITCRAGQNINSYLNWYQQKPGKAPKLLISVASSLQSGVPSRFSGSGSGTDFTLTISSLQPEDFATYYCQQSYSIPLTFGGGTKLEIK</t>
  </si>
  <si>
    <t>QHYGSSPLVT</t>
  </si>
  <si>
    <t>CAACACTATGGGAGCTCACCTCTCGTCACT</t>
  </si>
  <si>
    <t>GAAATTGTGTTGACGCAGTCTCCAGGCACCCTGTCTTTGTCTCCAGGGGAAAGAGCCACCCTCTCCTGCAGGGCCAGTCAGAGTATTAGTAGCAACTACTTAGCCTGGTACCAGCAGATACCTGGCCAGGCTCCCAGGCTCCTCATCTATGCTACATCCACCAGGGCCACTGGCATCCCAGACAGGTTCAGTGGCAGTGGGTCTGGGACAGACTTCACTCTCACCATCAGCAGACTGGAGCCTGGAGATTTTGTAGTTTATTACTGTCAACACTATGGGAGCTCACCTCTCGTCACTTTCGGCGGAGGGACCAAGGTGGAGATCAAAC</t>
  </si>
  <si>
    <t>EIVLTQSPGTLSLSPGERATLSCRASQSISSNYLAWYQQIPGQAPRLLIYATSTRATGIPDRFSGSGSGTDFTLTISRLEPGDFVVYYCQHYGSSPLVTFGGGTKVEIK</t>
  </si>
  <si>
    <t>QQYGSSSLVT</t>
  </si>
  <si>
    <t>CAGCAGTATGGTAGCTCATCCCTGGTCACT</t>
  </si>
  <si>
    <t>EIVLTQSPGTLSLSPGERATLSCRASQSVSSSYLTWYQQKPGQAPRLLIYGASSRATGIPDRFSGSGSGTDFTLAISRLEPEDFAVYYCQQYGSSSLVTFGGGTKVEIK</t>
  </si>
  <si>
    <t>QHYGRSSLVT</t>
  </si>
  <si>
    <t>CAACACTATGGTAGGTCATCCCTGGTCACT</t>
  </si>
  <si>
    <t>QIVMTQSPGTLSLSXGXRATLSCRASQSIGSSYLAWYQQKPGQAPRLLIYGASSRATGIPDRFSGSGSGTDFTLTISTLEPEDFAVYYCQHYGRSSLVTFGGGTKVEIK</t>
  </si>
  <si>
    <t>QQYGNSPLT</t>
  </si>
  <si>
    <t>CAGCAGTATGGTAACTCACCGCTCACT</t>
  </si>
  <si>
    <t>PGTLSLSPGERVTLSCRASQSVSSSYLAWYQQKPGQAPRLLIYGASSRATGIPDRFSGSGSGTDFTLTISRLEPEDFAVYYCQQYGNSPLTFGGGTKVEIK</t>
  </si>
  <si>
    <t>CAGCAGTATGGTAGTTCACCTCCCACT</t>
  </si>
  <si>
    <t>EILLTQSPGTLSLSPGERATLSCRTSQTIPNNFLAWYQQKPGQAPRLLIHPASIRATGTPDRFSGTGSGTDFTLTISRLEPEDFAVYYCQQYGSSPPTFGGGTKVEIK</t>
  </si>
  <si>
    <t>QQYGSSPFT</t>
  </si>
  <si>
    <t>CAGCAGTATGGTAGTTCACCATTCACT</t>
  </si>
  <si>
    <t>GAAATTGTGTTGACGCAGTCTCCAGGCACCCTGTCTTTGTCTCCAGGGGAAAGAGCCACCCTCTCCTGCAGGGCCAGTCAGAGTGTTGGAAGCGGCTACTTAGCCTGGTACCAGCAGAAACCTGGCCAGGCTCCCAGGCTCCTCATTTATGGTGCATCCAGCAGGGCCACTGGCATCCCAGACAGGTTCAGTGGCAGTGGGTCTGGGACAGACTTCACTCTCACCATCAGCAGACTGGAGCCTGAAGATTTTGCAGTGTATTACTGTCAGCAGTATGGTAGTTCACCATTCACTTTCGGCCCTGGGACCAAAGTGGATATCAAAC</t>
  </si>
  <si>
    <t>EIVLTQSPGTLSLSPGERATLSCRASQSVGSGYLAWYQQKPGQAPRLLIYGASSRATGIPDRFSGSGSGTDFTLTISRLEPEDFAVYYCQQYGSSPFTFGPGTKVDIK</t>
  </si>
  <si>
    <t>CAGCAGTATGGTAGCTCACCATTCACT</t>
  </si>
  <si>
    <t>GAAATTGTGTTGACGCAGTCTCCAGGCACACTGTCTTTGTCTCCAGGGGAAAGAGCCACCCTCTCCTGCAGGGCCAGTCAGAGTGTTAGCAGCAGCTACTTAGCCTGGTACCAGCAGAAACCTGGCCGGGCTCCCAGGCTCCTCATCTATGATGCATCCAACAGGGCCACTGGCATCCCAGACAGGTTCAGTGGCAGTGGGTCTGGGACAGACTTCACTCTCACCATCACCAGACTGGAGCCTGAAGATTTTGCAGTGTATTACTGTCAGCAGTATGGTAGCTCACCATTCACTTTCGGCCCTGGGACCAAAGTGGATATCAAAC</t>
  </si>
  <si>
    <t>EIVLTQSPGTLSLSPGERATLSCRASQSVSSSYLAWYQQKPGRAPRLLIYDASNRATGIPDRFSGSGSGTDFTLTITRLEPEDFAVYYCQQYGSSPFTFGPGTKVDIK</t>
  </si>
  <si>
    <t>QQYANSPFT</t>
  </si>
  <si>
    <t>CAGCAGTATGCTAACTCACCGTTCACT</t>
  </si>
  <si>
    <t>GAGATTGTGTTGACGCAGTCTCCAGGCACCCTGTCTTTGTCTCCAGGGGAAACTGCCGCCCTCTCCTGCAGGGCCAGTCAGAGTATTACTAGCAACTACATAGCCTGGTACCAGCACCGACCTGGCCAGGCTCCCAGGCTCCTCATCTATGGTGCATCCAGCAGGGCCACTGGCATCCCAGACAGGTTCAGTGGCAGTGGGTCTGGGACAGACTTCAGTCTCACCATCAACAGACTGGCGCCTGAAGATTTTGCAGTTTATTACTGTCAGCAGTATGCTAACTCACCGTTCACTTTCGGCCCTGGGACCAAAGTGGATCTCAAAC</t>
  </si>
  <si>
    <t>EIVLTQSPGTLSLSPGETAALSCRASQSITSNYIAWYQHRPGQAPRLLIYGASSRATGIPDRFSGSGSGTDFSLTINRLAPEDFAVYYCQQYANSPFTFGPGTKVDLK</t>
  </si>
  <si>
    <t>QSVLTQPPSVSAAPGQKVTISCSGSSSNIGNNYVSWYQQLPGTAPKLLIYDNNKRPSGIPDRFSGSKSGTSATLGITGLQTGDEADYYCGTWDSSLSAGVFGGGTKLTVL</t>
  </si>
  <si>
    <t>GAAATTGTGTTGACGCAGTCTCCAGGCACCCTGTCTTTGTCTCCAGGGGAAAGTGCCGCCCTCTCCTGCAGGGCCAGTCAGAGTGTTAGTAGCAGCTACATAGCCTGGTACCAGCAGAGACCTGGCCAGGCTCCCAGGCTCCTCATCTATGGTGCATCCAGCAGGGCCACTGGCATCCCAGACAGGTTCAGTGGCAGTGGGTCTGGGACAGACTTCAGTCTCACCATCAGCAGACTGGAGCCTGAAGATTTTGCAGTGTATTACTGTCAGCAGTATGGTAGCTCACCATTCACTTTCGGCCCTGGGACCAAAGTGGATATCAAAC</t>
  </si>
  <si>
    <t>EIVLTQSPGTLSLSPGESAALSCRASQSVSSSYIAWYQQRPGQAPRLLIYGASSRATGIPDRFSGSGSGTDFSLTISRLEPEDFAVYYCQQYGSSPFTFGPGTKVDIK</t>
  </si>
  <si>
    <t>QQYGNSPFT</t>
  </si>
  <si>
    <t>CAGCAGTATGGTAACTCACCATTCACT</t>
  </si>
  <si>
    <t>GAAATTGTGTTGACGCAGTCTCCAGGCACCCTGTCTTTGTCTCCAGGGGAAACTGCCGCCCTCTCCTGCAGGGCCAGTCAGAGTGTTACGAGCAACTACATAGCCTGGTACCAGCAGAGACCTGGCCAGGCTCCCAGGCTCCTCATCTATGGTGCATCCAGCAGGGCCACTGGCATCCCAGACAGGTTCAGTGGCAGTGGGTCTGGGACAGACTTCAGTCTCACCATCAGCAGACTGGAGCCTGAAGATTTTGCAGTTTATTACTGTCAGCAGTATGGTAACTCACCATTCACTTTCGGCCCTGGGACCAAAGTGGATATCAAAC</t>
  </si>
  <si>
    <t>EIVLTQSPGTLSLSPGETAALSCRASQSVTSNYIAWYQQRPGQAPRLLIYGASSRATGIPDRFSGSGSGTDFSLTISRLEPEDFAVYYCQQYGNSPFTFGPGTKVDIK</t>
  </si>
  <si>
    <t>QQYLTSPFT</t>
  </si>
  <si>
    <t>CAACAGTATCTTACCTCACCATTCACT</t>
  </si>
  <si>
    <t>GAAATTGTGTTGACGCAGTCTCCAGGCACCCTGTCTTTGTCTCCAGGGGAAAGAGCCACCCTCTCCTGCAGGGCCAGTCAGAGTGTTAGGAGCAACTACTTAGCCTGGTACCAGCAGAAACCTGGCCGGGCTCCCAGGCTCCTCATCCATGGTGCATCCAATAGGGCCACTGGCATCCCAGACAGGTTCAGTGGCAGTGGGTCTGGGACAGACTTCACTCTCACCATCAGCAGACTGGAGCCTGAAGATTTTGCAGTTTATTACTGTCAACAGTATCTTACCTCACCATTCACTTTCGGCCCTGGGACCAAGGTGGATATCAAAC</t>
  </si>
  <si>
    <t>EIVLTQSPGTLSLSPGERATLSCRASQSVRSNYLAWYQQKPGRAPRLLIHGASNRATGIPDRFSGSGSGTDFTLTISRLEPEDFAVYYCQQYLTSPFTFGPGTKVDIK</t>
  </si>
  <si>
    <t>QQYDSSPFA</t>
  </si>
  <si>
    <t>CAGCAGTATGATAGTTCACCATTCGCT</t>
  </si>
  <si>
    <t>GAAATTGTGTTGACGCAGTCTCCAGGCACCCTGTCTTTGTCTCCAGGGGAAAGAGCCACCCTCTCCTGCAGGGCCAGTCAGAGTGTTGGAAGCGGCTATTTAGCCTGGTACCAGCAGAAACCTGGCCAGGCTCCCAGGCTCCTCATTTATGGTGCATCCAGCAGGGCCACTGGCATCCCAGACAGGTTCAGTGGCAGTGGGTCTGGGACAGACTTCACTCTCACCATCAGCAGACTGGAGCCTGAAGACTTTGCAGTGTATTACTGTCAGCAGTATGATAGTTCACCATTCGCTTTCGGCCCTGGGACCAAAGTGGATATCAAAC</t>
  </si>
  <si>
    <t>EIVLTQSPGTLSLSPGERATLSCRASQSVGSGYLAWYQQKPGQAPRLLIYGASSRATGIPDRFSGSGSGTDFTLTISRLEPEDFAVYYCQQYDSSPFAFGPGTKVDIK</t>
  </si>
  <si>
    <t>QQYGSSVT</t>
  </si>
  <si>
    <t>CAGCAGTATGGTAGCTCAGTCACT</t>
  </si>
  <si>
    <t>EIVLTQSPGTLSLSSGERATLSCRASQSVASNYLAWYQQKPGQAPRLLISDASSRATGIPDRFSGSGSGTDFTLTISRLEPEDFAVYYCQQYGSSVTFGPGTKVDIK</t>
  </si>
  <si>
    <t>CAGCAGTATGGTACTTCACCCCTCACT</t>
  </si>
  <si>
    <t>EIVLTQSPGTLSLSPGERATLSCRASQSVSSNYLAWYQQKPGQAPRLLISGASNRATGLPDGFSGSGSGTDFTLTISRLEPEDFAVFFCQQYGTSPLTFGPGTKVDIK</t>
  </si>
  <si>
    <t>MQALQTPYA</t>
  </si>
  <si>
    <t>ATGCAAGCTCTACAAACGCCGTACGCT</t>
  </si>
  <si>
    <t>GATATTGTGATGACTCAGTCTCCACTCTCCCTGCCCGTCACCCCTGGAGAGCCGGCCTCCATCTCCTGCAGGTCTAGTCAGAGCCTCCTGCATAGTATTG---GATTCCACTATTTGGATTGGTACCTGCAGAAGCCAGGGCAGTCTCCAAAGCTCCTGATCTATTTGGGTTCTAATCGGGCCTCCGGGGTCCCTGACAGGTTCAGTGGCAGTGGTTCAGGCACAGATTTTACATTGAAAATCAGCAGAGTGGAGGCTGAGGATGTTGGGGTTTATTACTGCATGCAAGCTCTACAAACGCCGTACGCTTTTGGCCAGGGGACCAAGCTGGAGATCAAAC</t>
  </si>
  <si>
    <t>DIVMTQSPLSLPVTPGEPASISCRSSQSLLHSIGFHYLDWYLQKPGQSPKLLIYLGSNRASGVPDRFSGSGSGTDFTLKISRVEAEDVGVYYCMQALQTPYAFGQGTKLEIK</t>
  </si>
  <si>
    <t>MQALQTSMYT</t>
  </si>
  <si>
    <t>ATGCAAGCTCTACAAACTTCCATGTACACT</t>
  </si>
  <si>
    <t>GATATTGTGATGACTCAGTCTCCACTCTCCCTGCCCGTCACCCCTGGAGAGCCGGCCTCCATCTCCTGCAGGTCTAGTCAGAGCCTCCTGGATAGTAATG---GATACAACTATTTGGATTGGTACGTGCAGAAGCCAGGGCAGTCTCCACAGCTCCTGATCTATTTGGGTTCTAATCGGGCCTCCGGGGTCCCTGCCAGGTTCAGTGGCAGTGGATCAGGCACAGATTTTATACTGAACATCAGCAGAGTGGAGGCTGACGATGTTGGGGTTTATTACTGCATGCAAGCTCTACAAACTTCCATGTACACTTTTGGCCAGGGGACCAAGCTGGAGATCAAAC</t>
  </si>
  <si>
    <t>DIVMTQSPLSLPVTPGEPASISCRSSQSLLDSNGYNYLDWYVQKPGQSPQLLIYLGSNRASGVPARFSGSGSGTDFILNISRVEADDVGVYYCMQALQTSMYTFGQGTKLEIK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</si>
  <si>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AACACTTTTGGCCAGGGGACCAAGCTGGAAATCAAAC</t>
  </si>
  <si>
    <t>MQALQTPMYT</t>
  </si>
  <si>
    <t>ATGCAAGCTCTACAAACTCCCATGTACACT</t>
  </si>
  <si>
    <t>GATATTGTGATGACTCAGTCTCCACTCTCCCTGACCGTCACCCCTGGAGAGCCGGCCTCCATCTCCTGCAGGGCTAGTCAGAGCCTCCTGGATAGTAACG---GATTCAACTATTTGGATTGGTACCTGCAGAAGCCAGGGCAGTCTCCACAGCTCCTGATCTATTTGGGTTCTAATCGGGCCTCCGGGGTCCCTGACAGGTTCAGTGGCAGTGGATCAGGCACAGATTTTACACTGAAAATCACCACAGTGGAGGCTGAGGATGTTGGGGTTTATTACTGCATGCAAGCTCTACAAACTCCCATGTACACTTTTGGCCAGGGGACCAAGCTGGAGATCAAA</t>
  </si>
  <si>
    <t>DIVMTQSPLSLTVTPGEPASISCRASQSLLDSNGFNYLDWYLQKPGQSPQLLIYLGSNRASGVPDRFSGSGSGTDFTLKITTVEAEDVGVYYCMQALQTPMYTFGQGTKLEIK</t>
  </si>
  <si>
    <t>Name</t>
  </si>
  <si>
    <t>Concentration</t>
  </si>
  <si>
    <t>Enhancer?</t>
  </si>
  <si>
    <t>EBOV</t>
  </si>
  <si>
    <t>BDBV</t>
  </si>
  <si>
    <t>SUDV</t>
  </si>
  <si>
    <t>MARV</t>
  </si>
  <si>
    <t>sGP ELISA1</t>
  </si>
  <si>
    <t>sGP ELISA2</t>
  </si>
  <si>
    <t>intact</t>
  </si>
  <si>
    <t>cleaved</t>
  </si>
  <si>
    <t>Neutralization 1</t>
  </si>
  <si>
    <t>Neutralization 2</t>
  </si>
  <si>
    <t>Intact ELISA</t>
  </si>
  <si>
    <t>Intact</t>
  </si>
  <si>
    <t>Cleaved</t>
  </si>
  <si>
    <t>no match</t>
  </si>
  <si>
    <t xml:space="preserve"> No</t>
  </si>
  <si>
    <t>Non-cryptic</t>
  </si>
  <si>
    <t>Yes</t>
  </si>
  <si>
    <t>enhancer</t>
  </si>
  <si>
    <t>EBOV840</t>
  </si>
  <si>
    <t>EBOV835</t>
  </si>
  <si>
    <t>ehancer</t>
  </si>
  <si>
    <t>GCAAAAGATAACTTAGGCGGCGCTTTTTGGAGTGCTTATCTTGACTCC</t>
  </si>
  <si>
    <t>EVLLVESGGVVVQPGGSLRLSCAASGFIFDDYTMHWVRQAPGKGLEWVSLITWDGENTYYGDSVKGRFTTSRDNSKNSLYLQMNSLTTEDTAVYYCAKDNLGGAFWSAYLDSWGQGTLVT</t>
  </si>
  <si>
    <t>DIQMTQSPSSLSASVGDRVTITCRASQSISARLSWYQQKPGKAPKLLISASSTLQSAVPSRVSGSGSGTEFTLTISSLQPEDFATYYCQQTYSVPYTFGQGTNLEIK</t>
  </si>
  <si>
    <t>170_EBOV-688</t>
  </si>
  <si>
    <t xml:space="preserve">Old </t>
  </si>
  <si>
    <t>IGHV1-46_IGHJ3_13_5_IGLV3-25_IGLJ2_37</t>
  </si>
  <si>
    <t>IGHV3-23_IGHJ4_18_44_IGKV3-20_IGKJ1_18</t>
  </si>
  <si>
    <t>IGHV3-30_IGHJ4_17_50_IGKV3-15_IGKJ3_16</t>
  </si>
  <si>
    <t>IGHV3-48_IGHJ4_17_68_IGLV1-40_IGLJ2_24</t>
  </si>
  <si>
    <t>IGHV1-18_IGHJ4_14_65_IGKV3-20_IGKJ1_18</t>
  </si>
  <si>
    <t>IGHV3-23_IGHJ4_13_51_IGLV1-47_IGLJ2_28</t>
  </si>
  <si>
    <t>IGHV4-34_IGHJ6_10_59_IGKV2-28_IGKJ4_12</t>
  </si>
  <si>
    <t>IGHV3-13_IGHJ4_10_2_IGKV3-20_IGKJ1_18</t>
  </si>
  <si>
    <t>IGHV3-21_IGHJ6_17_29_IGLV1-51_IGLJ3_29</t>
  </si>
  <si>
    <t>IGHV1-18_IGHJ4_14_64_IGKV3-20_IGKJ4_21</t>
  </si>
  <si>
    <t>IGHV3-30_IGHJ6_17_20_IGKV1-12_IGKJ3_2</t>
  </si>
  <si>
    <t>IGHV3-48_IGHJ4_17_68_IGLV1-40_IGLJ3_25</t>
  </si>
  <si>
    <t>IGHV3-30_IGHJ4_15_32_IGKV3-15_IGKJ2_15</t>
  </si>
  <si>
    <t>IGHV3-43_IGHJ6_17_46_IGKV1-12_IGKJ1_1</t>
  </si>
  <si>
    <t>IGHV1-69_IGHJ4_10_60_IGKV1-16_IGKJ4_4</t>
  </si>
  <si>
    <t>IGHV3-23_IGHJ4_14_48_IGLV1-51_IGLJ3_29</t>
  </si>
  <si>
    <t>IGHV3-53_IGHJ6_13_6_IGKV1-27_IGKJ4_5</t>
  </si>
  <si>
    <t>IGHV3-33_IGHJ4_16_24_IGKV3-15_IGKJ4_17</t>
  </si>
  <si>
    <t>IGHV3-13_IGHJ4_12_17_IGKV3-20_IGKJ1_18</t>
  </si>
  <si>
    <t>IGHV3-53_IGHJ6_16_1_IGKV2-28_IGKJ1_10</t>
  </si>
  <si>
    <t>IGHV3-66_IGHJ6_12_31_IGKV3-20_IGKJ1_18</t>
  </si>
  <si>
    <t>IGHV4-34_IGHJ4_15_28_IGKV2-28_IGKJ4_12</t>
  </si>
  <si>
    <t>IGHV3-21_IGHJ3_18_61_IGKV3-15_IGKJ1_14</t>
  </si>
  <si>
    <t>IGHV3-9_IGHJ4_13_36_IGLV3-19_IGLJ2_36</t>
  </si>
  <si>
    <t>IGHV3-21_IGHJ6_15_39_IGKV2-28_IGKJ2_11</t>
  </si>
  <si>
    <t>IGHV1-2_IGHJ5_17_40_IGKV4-1_IGKJ2_23</t>
  </si>
  <si>
    <t>IGHV3-13_IGHJ3_12_23_IGKV3-20_IGKJ4_21</t>
  </si>
  <si>
    <t>IGHV1-18_IGHJ4_14_65_IGKV3-20_IGKJ2_19</t>
  </si>
  <si>
    <t>IGHV1-18_IGHJ5_14_22_IGKV3-20_IGKJ3_20</t>
  </si>
  <si>
    <t>IGHV1-18_IGHJ6_14_4_IGKV3-20_IGKJ1_18</t>
  </si>
  <si>
    <t>IGHV3-7_IGHJ3_16_35_IGKV3-15_IGKJ2_15</t>
  </si>
  <si>
    <t>IGHV4-59_IGHJ6_19_21_IGLV3-1_IGLJ2_35</t>
  </si>
  <si>
    <t>IGHV3-15_IGHJ6_10_16_IGLV1-40_IGLJ2_24</t>
  </si>
  <si>
    <t>IGHV1-18_IGHJ5_15_25_IGKV3-15_IGKJ4_17</t>
  </si>
  <si>
    <t>IGHV3-13_IGHJ4_12_17_IGKV3-20_IGKJ4_21</t>
  </si>
  <si>
    <t>IGHV4-39_IGHJ5_16_12_IGKV1-39_IGKJ2_8</t>
  </si>
  <si>
    <t>IGHV4-30-4_IGHJ6_20_42_IGLV7-43_IGLJ2_38</t>
  </si>
  <si>
    <t>IGHV3-7_IGHJ6_19_41_IGKV3-15_IGKJ4_17</t>
  </si>
  <si>
    <t>IGHV3-7_IGHJ6_19_8_IGKV3-15_IGKJ4_17</t>
  </si>
  <si>
    <t>IGHV4-59_IGHJ6_22_11_IGLV3-19_IGLJ2_36</t>
  </si>
  <si>
    <t>IGHV3-43_IGHJ4_16_26_IGKV1-39_IGKJ2_8</t>
  </si>
  <si>
    <t>IGHV4-59_IGHJ6_19_18_IGLV3-19_IGLJ2_36</t>
  </si>
  <si>
    <t>IGHV3-23_IGHJ4_15_49_IGLV1-51_IGLJ3_29</t>
  </si>
  <si>
    <t>IGHV3-7_IGHJ6_20_10_IGKV3-15_IGKJ4_17</t>
  </si>
  <si>
    <t>IGHV1-69_IGHJ5_17_55_IGLV1-44_IGLJ1_26</t>
  </si>
  <si>
    <t>IGHV3-23_IGHJ6_14_0_IGLV1-44_IGLJ3_27</t>
  </si>
  <si>
    <t>IGHV1-46_IGHJ4_13_19_IGKV2-40_IGKJ1_13</t>
  </si>
  <si>
    <t>IGHV3-7_IGHJ6_18_66_IGKV3D-15_IGKJ4_22</t>
  </si>
  <si>
    <t>IGHV1-69_IGHJ4_13_57_IGKV1-16_IGKJ4_4</t>
  </si>
  <si>
    <t>IGHV3-48_IGHJ6_18_53_IGKV1-39_IGKJ1_7</t>
  </si>
  <si>
    <t>IGHV3-21_IGHJ3_18_61_IGKV3-15_IGKJ2_15</t>
  </si>
  <si>
    <t>IGHV4-59_IGHJ5_19_38_IGKV1-39_IGKJ2_8</t>
  </si>
  <si>
    <t>IGHV4-59_IGHJ4_20_7_IGKV1-39_IGKJ2_8</t>
  </si>
  <si>
    <t>IGHV1-8_IGHJ6_14_3_IGKV1-12_IGKJ1_1</t>
  </si>
  <si>
    <t>IGHV4-39_IGHJ5_17_15_IGKV1-12_IGKJ5_3</t>
  </si>
  <si>
    <t>IGHV1-18_IGHJ4_14_65_IGKV3-20_IGKJ3_20</t>
  </si>
  <si>
    <t>IGHV1-2_IGHJ3_17_34_IGLV2-8_IGLJ2_34</t>
  </si>
  <si>
    <t>IGHV3-49_IGHJ6_24_33_IGLV2-14_IGLJ1_30</t>
  </si>
  <si>
    <t>IGHV3-48_IGHJ4_12_9_IGLV2-14_IGLJ3_32</t>
  </si>
  <si>
    <t>IGHV3-7_IGHJ4_17_54_IGKV3-15_IGKJ4_17</t>
  </si>
  <si>
    <t>IGHV3-23_IGHJ5_14_56_IGKV3-15_IGKJ1_14</t>
  </si>
  <si>
    <t>IGHV3-7_IGHJ4_17_67_IGKV3-15_IGKJ2_15</t>
  </si>
  <si>
    <t>IGHV4-34_IGHJ5_20_45_IGKV1-39_IGKJ4_9</t>
  </si>
  <si>
    <t>IGHV3-13_IGHJ4_12_17_IGKV3-15_IGKJ1_14</t>
  </si>
  <si>
    <t>IGHV3-43_IGHJ4_17_27_IGKV3-15_IGKJ4_17</t>
  </si>
  <si>
    <t>IGHV3-30_IGHJ4_15_52_IGKV1-27_IGKJ5_6</t>
  </si>
  <si>
    <t>IGHV3-21_IGHJ3_16_63_IGKV3-15_IGKJ1_14</t>
  </si>
  <si>
    <t>IGHV4-34_IGHJ5_19_14_IGKV3-20_IGKJ1_18</t>
  </si>
  <si>
    <t>IGHV3-7_IGHJ6_16_37_IGKV3-15_IGKJ2_15</t>
  </si>
  <si>
    <t>IGHV3-23_IGHJ4_16_43_IGLV3-25_IGLJ2_37</t>
  </si>
  <si>
    <t>IGHV4-34_IGHJ6_13_58_IGKV3-20_IGKJ4_21</t>
  </si>
  <si>
    <t>IGHV3-21_IGHJ3_18_70_IGKV3-15_IGKJ2_15</t>
  </si>
  <si>
    <t>IGHV4-39_IGHJ4_6_62_IGKV3-15_IGKJ1_14</t>
  </si>
  <si>
    <t>IGHV3-74_IGHJ4_10_47_IGLV2-18_IGLJ1_33</t>
  </si>
  <si>
    <t>IGHV4-59_IGHJ4_10_30_IGLV2-14_IGLJ2_31</t>
  </si>
  <si>
    <t>mongo_id</t>
  </si>
  <si>
    <t>count</t>
  </si>
  <si>
    <t xml:space="preserve"> </t>
  </si>
  <si>
    <t>HC</t>
  </si>
  <si>
    <t>LC</t>
  </si>
  <si>
    <t>IGHV1-46_IGHJ3_13_43_IGLV3-25_IGLJ2_37</t>
  </si>
  <si>
    <t>IGHV3-23_IGHJ4_18_2_IGKV3-20_IGKJ1_18</t>
  </si>
  <si>
    <t>IGHV3-30_IGHJ4_17_47_IGKV3-15_IGKJ3_16</t>
  </si>
  <si>
    <t>IGHV3-48_IGHJ4_17_35_IGLV1-40_IGLJ2_24</t>
  </si>
  <si>
    <t>IGHV1-18_IGHJ4_14_44_IGKV3-20_IGKJ1_18</t>
  </si>
  <si>
    <t>IGHV3-23_IGHJ4_13_53_IGLV1-47_IGLJ2_28</t>
  </si>
  <si>
    <t>IGHV4-34_IGHJ6_10_63_IGKV2-28_IGKJ4_12</t>
  </si>
  <si>
    <t>IGHV3-13_IGHJ4_10_101_IGKV3-20_IGKJ1_18</t>
  </si>
  <si>
    <t>IGHV3-21_IGHJ6_17_107_IGLV1-51_IGLJ3_29</t>
  </si>
  <si>
    <t>IGHV1-18_IGHJ4_14_70_IGKV3-20_IGKJ4_21</t>
  </si>
  <si>
    <t>IGHV3-30_IGHJ6_17_34_IGKV1-12_IGKJ3_2</t>
  </si>
  <si>
    <t>IGHV3-48_IGHJ4_17_56_IGLV1-40_IGLJ3_25</t>
  </si>
  <si>
    <t>IGHV3-30_IGHJ4_15_50_IGKV3-15_IGKJ2_15</t>
  </si>
  <si>
    <t>IGHV3-43_IGHJ6_17_32_IGKV1-12_IGKJ1_1</t>
  </si>
  <si>
    <t>IGHV1-69_IGHJ4_10_61_IGKV1-16_IGKJ4_4</t>
  </si>
  <si>
    <t>IGHV3-23_IGHJ4_14_37_IGLV1-51_IGLJ3_29</t>
  </si>
  <si>
    <t>IGHV3-53_IGHJ6_13_52_IGKV1-27_IGKJ4_5</t>
  </si>
  <si>
    <t>IGHV3-33_IGHJ4_16_21_IGKV3-15_IGKJ4_17</t>
  </si>
  <si>
    <t>IGHV3-13_IGHJ4_12_19_IGKV3-20_IGKJ1_18</t>
  </si>
  <si>
    <t>IGHV3-53_IGHJ6_16_45_IGKV2-28_IGKJ1_10</t>
  </si>
  <si>
    <t>IGHV3-66_IGHJ6_12_33_IGKV3-20_IGKJ1_18</t>
  </si>
  <si>
    <t>IGHV4-34_IGHJ4_15_30_IGKV2-28_IGKJ4_12</t>
  </si>
  <si>
    <t>IGHV1-18_IGHJ4_14_69_IGKV3-20_IGKJ1_18</t>
  </si>
  <si>
    <t>IGHV3-21_IGHJ3_18_67_IGKV3-15_IGKJ1_14</t>
  </si>
  <si>
    <t>IGHV3-9_IGHJ4_13_51_IGLV3-19_IGLJ2_36</t>
  </si>
  <si>
    <t>IGHV3-21_IGHJ6_15_4_IGKV2-28_IGKJ2_11</t>
  </si>
  <si>
    <t>IGHV1-2_IGHJ5_17_41_IGKV4-1_IGKJ2_23</t>
  </si>
  <si>
    <t>IGHV3-13_IGHJ3_12_25_IGKV3-20_IGKJ4_21</t>
  </si>
  <si>
    <t>IGHV1-18_IGHJ4_14_44_IGKV3-20_IGKJ2_19</t>
  </si>
  <si>
    <t>IGHV1-18_IGHJ5_14_27_IGKV3-20_IGKJ3_20</t>
  </si>
  <si>
    <t>IGHV3-23_IGHJ4_18_1_IGKV3-20_IGKJ1_18</t>
  </si>
  <si>
    <t>IGHV1-18_IGHJ6_14_54_IGKV3-20_IGKJ1_18</t>
  </si>
  <si>
    <t>IGHV3-7_IGHJ3_16_66_IGKV3-15_IGKJ2_15</t>
  </si>
  <si>
    <t>IGHV3-21_IGHJ6_17_94_IGLV1-51_IGLJ3_29</t>
  </si>
  <si>
    <t>IGHV4-59_IGHJ6_19_24_IGLV3-1_IGLJ2_35</t>
  </si>
  <si>
    <t>IGHV3-21_IGHJ6_15_3_IGKV2-28_IGKJ2_11</t>
  </si>
  <si>
    <t>IGHV3-13_IGHJ3_12_26_IGKV3-20_IGKJ4_21</t>
  </si>
  <si>
    <t>IGHV3-13_IGHJ4_10_6_IGKV3-20_IGKJ1_18</t>
  </si>
  <si>
    <t>IGHV3-15_IGHJ6_10_82_IGLV1-40_IGLJ2_24</t>
  </si>
  <si>
    <t>IGHV1-18_IGHJ5_15_22_IGKV3-15_IGKJ4_17</t>
  </si>
  <si>
    <t>IGHV3-13_IGHJ4_12_9_IGKV3-20_IGKJ4_21</t>
  </si>
  <si>
    <t>IGHV4-39_IGHJ5_16_113_IGKV1-39_IGKJ2_8</t>
  </si>
  <si>
    <t>IGHV1-69_IGHJ4_10_64_IGKV1-16_IGKJ4_4</t>
  </si>
  <si>
    <t>IGHV3-23_IGHJ4_18_0_IGKV3-20_IGKJ1_18</t>
  </si>
  <si>
    <t>IGHV4-30-4_IGHJ6_20_48_IGLV7-43_IGLJ2_38</t>
  </si>
  <si>
    <t>IGHV3-7_IGHJ6_19_16_IGKV3-15_IGKJ4_17</t>
  </si>
  <si>
    <t>IGHV3-7_IGHJ6_19_12_IGKV3-15_IGKJ4_17</t>
  </si>
  <si>
    <t>IGHV4-59_IGHJ6_22_18_IGLV3-19_IGLJ2_36</t>
  </si>
  <si>
    <t>IGHV3-43_IGHJ4_16_40_IGKV1-39_IGKJ2_8</t>
  </si>
  <si>
    <t>IGHV4-59_IGHJ6_19_95_IGLV3-19_IGLJ2_36</t>
  </si>
  <si>
    <t>IGHV3-43_IGHJ4_16_29_IGKV1-39_IGKJ2_8</t>
  </si>
  <si>
    <t>IGHV3-23_IGHJ4_15_46_IGLV1-51_IGLJ3_29</t>
  </si>
  <si>
    <t>IGHV3-13_IGHJ4_12_9_IGKV3-20_IGKJ1_18</t>
  </si>
  <si>
    <t>IGHV3-13_IGHJ4_12_19_IGKV3-20_IGKJ4_21</t>
  </si>
  <si>
    <t>IGHV1-69_IGHJ5_17_60_IGLV1-44_IGLJ1_26</t>
  </si>
  <si>
    <t>IGHV3-23_IGHJ6_14_85_IGLV1-44_IGLJ3_27</t>
  </si>
  <si>
    <t>IGHV1-46_IGHJ4_13_90_IGKV2-40_IGKJ1_13</t>
  </si>
  <si>
    <t>IGHV3-30_IGHJ6_17_23_IGKV1-12_IGKJ3_2</t>
  </si>
  <si>
    <t>IGHV3-7_IGHJ6_18_10_IGKV3D-15_IGKJ4_22</t>
  </si>
  <si>
    <t>IGHV1-69_IGHJ4_13_62_IGKV1-16_IGKJ4_4</t>
  </si>
  <si>
    <t>IGHV3-48_IGHJ6_18_71_IGKV1-39_IGKJ1_7</t>
  </si>
  <si>
    <t>IGHV3-21_IGHJ3_18_67_IGKV3-15_IGKJ2_15</t>
  </si>
  <si>
    <t>IGHV4-59_IGHJ5_19_5_IGKV1-39_IGKJ2_8</t>
  </si>
  <si>
    <t>IGHV4-59_IGHJ4_20_15_IGKV1-39_IGKJ2_8</t>
  </si>
  <si>
    <t>IGHV1-8_IGHJ6_14_96_IGKV1-12_IGKJ1_1</t>
  </si>
  <si>
    <t>IGHV3-7_IGHJ6_19_14_IGKV3-15_IGKJ4_17</t>
  </si>
  <si>
    <t>IGHV1-18_IGHJ4_14_11_IGKV3-20_IGKJ1_18</t>
  </si>
  <si>
    <t>IGHV4-39_IGHJ5_17_75_IGKV1-12_IGKJ5_3</t>
  </si>
  <si>
    <t>IGHV1-18_IGHJ4_14_69_IGKV3-20_IGKJ3_20</t>
  </si>
  <si>
    <t>IGHV3-43_IGHJ6_17_97_IGKV1-12_IGKJ1_1</t>
  </si>
  <si>
    <t>IGHV3-48_IGHJ6_18_58_IGKV1-39_IGKJ1_7</t>
  </si>
  <si>
    <t>IGHV1-2_IGHJ3_17_7_IGLV2-8_IGLJ2_34</t>
  </si>
  <si>
    <t>IGHV3-49_IGHJ6_24_76_IGLV2-14_IGLJ1_30</t>
  </si>
  <si>
    <t>IGHV3-7_IGHJ6_19_13_IGKV3-15_IGKJ4_17</t>
  </si>
  <si>
    <t>IGHV3-7_IGHJ3_16_65_IGKV3-15_IGKJ2_15</t>
  </si>
  <si>
    <t>IGHV3-7_IGHJ6_19_118_IGKV3-15_IGKJ4_17</t>
  </si>
  <si>
    <t>IGHV3-48_IGHJ4_12_78_IGLV2-14_IGLJ3_32</t>
  </si>
  <si>
    <t>IGHV3-7_IGHJ4_17_72_IGKV3-15_IGKJ4_17</t>
  </si>
  <si>
    <t>IGHV4-59_IGHJ6_19_91_IGLV3-1_IGLJ2_35</t>
  </si>
  <si>
    <t>IGHV3-23_IGHJ5_14_57_IGKV3-15_IGKJ1_14</t>
  </si>
  <si>
    <t>IGHV1-18_IGHJ5_14_28_IGKV3-20_IGKJ3_20</t>
  </si>
  <si>
    <t>IGHV3-7_IGHJ4_17_36_IGKV3-15_IGKJ2_15</t>
  </si>
  <si>
    <t>IGHV4-34_IGHJ5_20_55_IGKV1-39_IGKJ4_9</t>
  </si>
  <si>
    <t>IGHV3-13_IGHJ4_12_39_IGKV3-15_IGKJ1_14</t>
  </si>
  <si>
    <t>IGHV3-43_IGHJ4_17_103_IGKV3-15_IGKJ4_17</t>
  </si>
  <si>
    <t>IGHV3-30_IGHJ4_15_74_IGKV1-27_IGKJ5_6</t>
  </si>
  <si>
    <t>IGHV3-13_IGHJ4_12_39_IGKV3-20_IGKJ4_21</t>
  </si>
  <si>
    <t>IGHV3-21_IGHJ3_16_105_IGKV3-15_IGKJ1_14</t>
  </si>
  <si>
    <t>IGHV4-34_IGHJ5_19_104_IGKV3-20_IGKJ1_18</t>
  </si>
  <si>
    <t>IGHV3-7_IGHJ4_17_79_IGKV3-15_IGKJ2_15</t>
  </si>
  <si>
    <t>IGHV3-7_IGHJ6_16_100_IGKV3-15_IGKJ2_15</t>
  </si>
  <si>
    <t>IGHV3-53_IGHJ6_13_73_IGKV1-27_IGKJ4_5</t>
  </si>
  <si>
    <t>IGHV3-23_IGHJ4_16_8_IGLV3-25_IGLJ2_37</t>
  </si>
  <si>
    <t>IGHV4-34_IGHJ6_13_59_IGKV3-20_IGKJ4_21</t>
  </si>
  <si>
    <t>IGHV1-2_IGHJ5_17_42_IGKV4-1_IGKJ2_23</t>
  </si>
  <si>
    <t>IGHV3-21_IGHJ3_18_106_IGKV3-15_IGKJ2_15</t>
  </si>
  <si>
    <t>IGHV4-34_IGHJ4_15_31_IGKV2-28_IGKJ4_12</t>
  </si>
  <si>
    <t>IGHV1-46_IGHJ4_13_81_IGKV2-40_IGKJ1_13</t>
  </si>
  <si>
    <t>IGHV3-30_IGHJ4_15_87_IGKV1-27_IGKJ5_6</t>
  </si>
  <si>
    <t>IGHV4-34_IGHJ5_19_86_IGKV3-20_IGKJ1_18</t>
  </si>
  <si>
    <t>IGHV1-69_IGHJ5_17_83_IGLV1-44_IGLJ1_26</t>
  </si>
  <si>
    <t>IGHV3-48_IGHJ6_18_111_IGKV1-39_IGKJ1_7</t>
  </si>
  <si>
    <t>IGHV3-21_IGHJ3_16_109_IGKV3-15_IGKJ1_14</t>
  </si>
  <si>
    <t>IGHV3-23_IGHJ4_14_89_IGLV1-51_IGLJ3_29</t>
  </si>
  <si>
    <t>IGHV3-13_IGHJ4_12_9_IGKV3-15_IGKJ1_14</t>
  </si>
  <si>
    <t>IGHV1-18_IGHJ4_14_11_IGKV3-20_IGKJ3_20</t>
  </si>
  <si>
    <t>IGHV3-43_IGHJ4_16_38_IGKV1-39_IGKJ2_8</t>
  </si>
  <si>
    <t>IGHV3-7_IGHJ4_17_93_IGKV3-15_IGKJ2_15</t>
  </si>
  <si>
    <t>IGHV4-39_IGHJ5_17_20_IGKV1-12_IGKJ5_3</t>
  </si>
  <si>
    <t>IGHV4-39_IGHJ4_6_68_IGKV3-15_IGKJ1_14</t>
  </si>
  <si>
    <t>IGHV4-59_IGHJ4_20_98_IGKV1-39_IGKJ2_8</t>
  </si>
  <si>
    <t>IGHV1-8_IGHJ6_14_119_IGKV1-12_IGKJ1_1</t>
  </si>
  <si>
    <t>IGHV4-34_IGHJ5_20_112_IGKV1-39_IGKJ4_9</t>
  </si>
  <si>
    <t>IGHV4-59_IGHJ6_19_108_IGLV3-19_IGLJ2_36</t>
  </si>
  <si>
    <t>IGHV4-39_IGHJ5_16_110_IGKV1-39_IGKJ2_8</t>
  </si>
  <si>
    <t>IGHV3-43_IGHJ4_17_114_IGKV3-15_IGKJ4_17</t>
  </si>
  <si>
    <t>IGHV3-7_IGHJ4_17_80_IGKV3-15_IGKJ4_17</t>
  </si>
  <si>
    <t>IGHV3-49_IGHJ6_24_116_IGLV2-14_IGLJ1_30</t>
  </si>
  <si>
    <t>IGHV3-48_IGHJ4_12_120_IGLV2-14_IGLJ3_32</t>
  </si>
  <si>
    <t>IGHV3-7_IGHJ6_16_121_IGKV3-15_IGKJ2_15</t>
  </si>
  <si>
    <t>IGHV3-23_IGHJ6_14_84_IGLV1-44_IGLJ3_27</t>
  </si>
  <si>
    <t>IGHV3-74_IGHJ4_10_49_IGLV2-18_IGLJ1_33</t>
  </si>
  <si>
    <t>IGHV3-15_IGHJ6_10_99_IGLV1-40_IGLJ2_24</t>
  </si>
  <si>
    <t>IGHV4-59_IGHJ4_10_115_IGLV2-14_IGLJ2_31</t>
  </si>
  <si>
    <t>IGHV4-59_IGHJ4_10_77_IGLV2-14_IGLJ2_31</t>
  </si>
  <si>
    <t>IGHV3-23_IGHJ4_18_37_IGKV3-20_IGKJ1_18</t>
  </si>
  <si>
    <t>IGHV3-30_IGHJ4_17_39_IGKV3-15_IGKJ3_16</t>
  </si>
  <si>
    <t>IGHV3-48_IGHJ4_17_45_IGLV1-40_IGLJ2_24</t>
  </si>
  <si>
    <t>IGHV1-18_IGHJ4_14_33_IGKV3-20_IGKJ1_18</t>
  </si>
  <si>
    <t>IGHV3-23_IGHJ4_13_12_IGLV1-47_IGLJ2_28</t>
  </si>
  <si>
    <t>IGHV4-34_IGHJ6_10_16_IGKV2-28_IGKJ4_12</t>
  </si>
  <si>
    <t>IGHV3-13_IGHJ4_10_91_IGKV3-20_IGKJ1_18</t>
  </si>
  <si>
    <t>IGHV3-21_IGHJ6_17_75_IGLV1-51_IGLJ3_29</t>
  </si>
  <si>
    <t>IGHV1-18_IGHJ4_14_31_IGKV3-20_IGKJ4_21</t>
  </si>
  <si>
    <t>IGHV3-30_IGHJ6_17_112_IGKV1-12_IGKJ3_2</t>
  </si>
  <si>
    <t>IGHV3-48_IGHJ4_17_82_IGLV1-40_IGLJ3_25</t>
  </si>
  <si>
    <t>IGHV3-30_IGHJ4_15_174_IGKV3-15_IGKJ2_15</t>
  </si>
  <si>
    <t>IGHV3-43_IGHJ6_17_109_IGKV1-12_IGKJ1_1</t>
  </si>
  <si>
    <t>IGHV1-69_IGHJ4_10_26_IGKV1-16_IGKJ4_4</t>
  </si>
  <si>
    <t>IGHV3-23_IGHJ4_14_103_IGLV1-51_IGLJ3_29</t>
  </si>
  <si>
    <t>IGHV3-33_IGHJ4_16_113_IGKV3-15_IGKJ4_17</t>
  </si>
  <si>
    <t>IGHV3-13_IGHJ4_12_4_IGKV3-20_IGKJ1_18</t>
  </si>
  <si>
    <t>IGHV3-30_IGHJ4_17_68_IGKV3-15_IGKJ3_16</t>
  </si>
  <si>
    <t>IGHV3-53_IGHJ6_16_73_IGKV2-28_IGKJ1_10</t>
  </si>
  <si>
    <t>IGHV3-66_IGHJ6_12_14_IGKV3-20_IGKJ1_18</t>
  </si>
  <si>
    <t>IGHV4-34_IGHJ4_15_59_IGKV2-28_IGKJ4_12</t>
  </si>
  <si>
    <t>IGHV1-18_IGHJ4_14_22_IGKV3-20_IGKJ1_18</t>
  </si>
  <si>
    <t>IGHV3-21_IGHJ3_18_25_IGKV3-15_IGKJ1_14</t>
  </si>
  <si>
    <t>IGHV3-9_IGHJ4_13_133_IGLV3-19_IGLJ2_36</t>
  </si>
  <si>
    <t>IGHV3-21_IGHJ6_15_1_IGKV2-28_IGKJ2_11</t>
  </si>
  <si>
    <t>IGHV1-2_IGHJ5_17_35_IGKV4-1_IGKJ2_23</t>
  </si>
  <si>
    <t>IGHV3-13_IGHJ3_12_147_IGKV3-20_IGKJ4_21</t>
  </si>
  <si>
    <t>IGHV1-18_IGHJ4_14_23_IGKV3-20_IGKJ2_19</t>
  </si>
  <si>
    <t>IGHV1-18_IGHJ5_14_145_IGKV3-20_IGKJ3_20</t>
  </si>
  <si>
    <t>IGHV3-23_IGHJ4_18_40_IGKV3-20_IGKJ1_18</t>
  </si>
  <si>
    <t>IGHV1-18_IGHJ6_14_151_IGKV3-20_IGKJ1_18</t>
  </si>
  <si>
    <t>IGHV1-18_IGHJ4_14_160_IGKV3-20_IGKJ2_19</t>
  </si>
  <si>
    <t>IGHV3-7_IGHJ3_16_161_IGKV3-15_IGKJ2_15</t>
  </si>
  <si>
    <t>IGHV3-21_IGHJ6_17_163_IGLV1-51_IGLJ3_29</t>
  </si>
  <si>
    <t>IGHV4-59_IGHJ6_19_15_IGLV3-1_IGLJ2_35</t>
  </si>
  <si>
    <t>IGHV3-21_IGHJ6_15_36_IGKV2-28_IGKJ2_11</t>
  </si>
  <si>
    <t>IGHV3-53_IGHJ6_13_164_IGKV1-27_IGKJ4_5</t>
  </si>
  <si>
    <t>IGHV3-13_IGHJ3_12_19_IGKV3-20_IGKJ4_21</t>
  </si>
  <si>
    <t>IGHV3-13_IGHJ4_10_41_IGKV3-20_IGKJ1_18</t>
  </si>
  <si>
    <t>IGHV3-15_IGHJ6_10_159_IGLV1-40_IGLJ2_24</t>
  </si>
  <si>
    <t>IGHV1-18_IGHJ5_15_20_IGKV3-15_IGKJ4_17</t>
  </si>
  <si>
    <t>IGHV3-13_IGHJ4_12_7_IGKV3-20_IGKJ4_21</t>
  </si>
  <si>
    <t>IGHV4-39_IGHJ5_16_170_IGKV1-39_IGKJ2_8</t>
  </si>
  <si>
    <t>IGHV3-21_IGHJ3_18_38_IGKV3-15_IGKJ1_14</t>
  </si>
  <si>
    <t>IGHV1-69_IGHJ4_10_27_IGKV1-16_IGKJ4_4</t>
  </si>
  <si>
    <t>IGHV3-23_IGHJ4_18_30_IGKV3-20_IGKJ1_18</t>
  </si>
  <si>
    <t>IGHV1-18_IGHJ6_14_32_IGKV3-20_IGKJ1_18</t>
  </si>
  <si>
    <t>IGHV4-30-4_IGHJ6_20_166_IGLV7-43_IGLJ2_38</t>
  </si>
  <si>
    <t>IGHV3-48_IGHJ4_17_154_IGLV1-40_IGLJ3_25</t>
  </si>
  <si>
    <t>IGHV3-7_IGHJ6_19_54_IGKV3-15_IGKJ4_17</t>
  </si>
  <si>
    <t>IGHV3-7_IGHJ6_19_53_IGKV3-15_IGKJ4_17</t>
  </si>
  <si>
    <t>IGHV4-59_IGHJ6_22_56_IGLV3-19_IGLJ2_36</t>
  </si>
  <si>
    <t>IGHV4-59_IGHJ6_19_165_IGLV3-19_IGLJ2_36</t>
  </si>
  <si>
    <t>IGHV3-7_IGHJ6_19_148_IGKV3-15_IGKJ4_17</t>
  </si>
  <si>
    <t>IGHV3-43_IGHJ4_16_60_IGKV1-39_IGKJ2_8</t>
  </si>
  <si>
    <t>IGHV3-23_IGHJ4_15_2_IGLV1-51_IGLJ3_29</t>
  </si>
  <si>
    <t>IGHV3-53_IGHJ6_16_0_IGKV2-28_IGKJ1_10</t>
  </si>
  <si>
    <t>IGHV3-13_IGHJ4_12_114_IGKV3-20_IGKJ1_18</t>
  </si>
  <si>
    <t>IGHV3-13_IGHJ4_12_34_IGKV3-20_IGKJ4_21</t>
  </si>
  <si>
    <t>IGHV1-69_IGHJ5_17_117_IGLV1-44_IGLJ1_26</t>
  </si>
  <si>
    <t>IGHV3-23_IGHJ6_14_126_IGLV1-44_IGLJ3_27</t>
  </si>
  <si>
    <t>IGHV1-46_IGHJ4_13_125_IGKV2-40_IGKJ1_13</t>
  </si>
  <si>
    <t>IGHV3-30_IGHJ6_17_127_IGKV1-12_IGKJ3_2</t>
  </si>
  <si>
    <t>IGHV3-21_IGHJ6_15_129_IGKV2-28_IGKJ2_11</t>
  </si>
  <si>
    <t>IGHV3-7_IGHJ6_18_131_IGKV3D-15_IGKJ4_22</t>
  </si>
  <si>
    <t>IGHV3-30_IGHJ4_15_130_IGKV3-15_IGKJ2_15</t>
  </si>
  <si>
    <t>IGHV1-69_IGHJ4_13_51_IGKV1-16_IGKJ4_4</t>
  </si>
  <si>
    <t>IGHV3-48_IGHJ6_18_47_IGKV1-39_IGKJ1_7</t>
  </si>
  <si>
    <t>IGHV3-21_IGHJ3_18_25_IGKV3-15_IGKJ2_15</t>
  </si>
  <si>
    <t>IGHV4-59_IGHJ5_19_85_IGKV1-39_IGKJ2_8</t>
  </si>
  <si>
    <t>IGHV4-59_IGHJ4_20_55_IGKV1-39_IGKJ2_8</t>
  </si>
  <si>
    <t>IGHV1-8_IGHJ6_14_98_IGKV1-12_IGKJ1_1</t>
  </si>
  <si>
    <t>IGHV3-7_IGHJ6_19_99_IGKV3-15_IGKJ4_17</t>
  </si>
  <si>
    <t>IGHV1-18_IGHJ4_14_152_IGKV3-20_IGKJ1_18</t>
  </si>
  <si>
    <t>IGHV4-39_IGHJ5_17_153_IGKV1-12_IGKJ5_3</t>
  </si>
  <si>
    <t>IGHV1-18_IGHJ4_14_22_IGKV3-20_IGKJ3_20</t>
  </si>
  <si>
    <t>IGHV3-43_IGHJ6_17_69_IGKV1-12_IGKJ1_1</t>
  </si>
  <si>
    <t>IGHV3-48_IGHJ6_18_50_IGKV1-39_IGKJ1_7</t>
  </si>
  <si>
    <t>IGHV1-2_IGHJ3_17_13_IGLV2-8_IGLJ2_34</t>
  </si>
  <si>
    <t>IGHV3-49_IGHJ6_24_66_IGLV2-14_IGLJ1_30</t>
  </si>
  <si>
    <t>IGHV3-7_IGHJ6_19_120_IGKV3-15_IGKJ4_17</t>
  </si>
  <si>
    <t>IGHV3-7_IGHJ3_16_28_IGKV3-15_IGKJ2_15</t>
  </si>
  <si>
    <t>IGHV3-7_IGHJ6_19_155_IGKV3-15_IGKJ4_17</t>
  </si>
  <si>
    <t>IGHV3-53_IGHJ6_13_140_IGKV1-27_IGKJ4_5</t>
  </si>
  <si>
    <t>IGHV3-13_IGHJ3_12_18_IGKV3-20_IGKJ4_21</t>
  </si>
  <si>
    <t>IGHV3-48_IGHJ4_12_135_IGLV2-14_IGLJ3_32</t>
  </si>
  <si>
    <t>IGHV1-69_IGHJ5_17_89_IGLV1-44_IGLJ1_26</t>
  </si>
  <si>
    <t>IGHV3-7_IGHJ4_17_124_IGKV3-15_IGKJ4_17</t>
  </si>
  <si>
    <t>IGHV4-59_IGHJ6_19_104_IGLV3-1_IGLJ2_35</t>
  </si>
  <si>
    <t>IGHV3-23_IGHJ5_14_49_IGKV3-15_IGKJ1_14</t>
  </si>
  <si>
    <t>IGHV1-18_IGHJ5_14_21_IGKV3-20_IGKJ3_20</t>
  </si>
  <si>
    <t>IGHV1-69_IGHJ4_13_100_IGKV1-16_IGKJ4_4</t>
  </si>
  <si>
    <t>IGHV3-7_IGHJ4_17_48_IGKV3-15_IGKJ2_15</t>
  </si>
  <si>
    <t>IGHV4-34_IGHJ5_20_10_IGKV1-39_IGKJ4_9</t>
  </si>
  <si>
    <t>IGHV3-13_IGHJ4_12_134_IGKV3-15_IGKJ1_14</t>
  </si>
  <si>
    <t>IGHV3-43_IGHJ4_17_138_IGKV3-15_IGKJ4_17</t>
  </si>
  <si>
    <t>IGHV3-21_IGHJ6_15_137_IGKV2-28_IGKJ2_11</t>
  </si>
  <si>
    <t>IGHV3-13_IGHJ4_12_3_IGKV3-20_IGKJ4_21</t>
  </si>
  <si>
    <t>IGHV3-30_IGHJ4_15_118_IGKV1-27_IGKJ5_6</t>
  </si>
  <si>
    <t>IGHV3-13_IGHJ4_12_5_IGKV3-20_IGKJ4_21</t>
  </si>
  <si>
    <t>IGHV4-34_IGHJ5_19_96_IGKV3-20_IGKJ1_18</t>
  </si>
  <si>
    <t>IGHV1-2_IGHJ5_17_108_IGKV4-1_IGKJ2_23</t>
  </si>
  <si>
    <t>IGHV3-7_IGHJ4_17_102_IGKV3-15_IGKJ2_15</t>
  </si>
  <si>
    <t>IGHV3-7_IGHJ6_16_101_IGKV3-15_IGKJ2_15</t>
  </si>
  <si>
    <t>IGHV3-23_IGHJ4_14_11_IGLV1-51_IGLJ3_29</t>
  </si>
  <si>
    <t>IGHV3-53_IGHJ6_13_86_IGKV1-27_IGKJ4_5</t>
  </si>
  <si>
    <t>IGHV3-23_IGHJ4_16_74_IGLV3-25_IGLJ2_37</t>
  </si>
  <si>
    <t>IGHV1-69_IGHJ4_10_72_IGKV1-16_IGKJ4_4</t>
  </si>
  <si>
    <t>IGHV4-34_IGHJ6_10_17_IGKV2-28_IGKJ4_12</t>
  </si>
  <si>
    <t>IGHV3-66_IGHJ6_12_62_IGKV3-20_IGKJ1_18</t>
  </si>
  <si>
    <t>IGHV4-34_IGHJ6_13_88_IGKV3-20_IGKJ4_21</t>
  </si>
  <si>
    <t>IGHV3-30_IGHJ6_17_168_IGKV1-12_IGKJ3_2</t>
  </si>
  <si>
    <t>IGHV3-23_IGHJ4_14_8_IGLV1-51_IGLJ3_29</t>
  </si>
  <si>
    <t>IGHV3-21_IGHJ3_18_107_IGKV3-15_IGKJ2_15</t>
  </si>
  <si>
    <t>IGHV4-34_IGHJ4_15_46_IGKV2-28_IGKJ4_12</t>
  </si>
  <si>
    <t>IGHV1-46_IGHJ4_13_156_IGKV2-40_IGKJ1_13</t>
  </si>
  <si>
    <t>IGHV3-30_IGHJ4_15_169_IGKV1-27_IGKJ5_6</t>
  </si>
  <si>
    <t>IGHV4-34_IGHJ5_19_123_IGKV3-20_IGKJ1_18</t>
  </si>
  <si>
    <t>IGHV1-69_IGHJ5_17_93_IGLV1-44_IGLJ1_26</t>
  </si>
  <si>
    <t>IGHV3-48_IGHJ6_18_77_IGKV1-39_IGKJ1_7</t>
  </si>
  <si>
    <t>IGHV3-21_IGHJ3_16_76_IGKV3-15_IGKJ1_14</t>
  </si>
  <si>
    <t>IGHV4-59_IGHJ5_19_65_IGKV1-39_IGKJ2_8</t>
  </si>
  <si>
    <t>IGHV4-34_IGHJ6_13_52_IGKV3-20_IGKJ4_21</t>
  </si>
  <si>
    <t>IGHV3-21_IGHJ6_15_81_IGKV2-28_IGKJ2_11</t>
  </si>
  <si>
    <t>IGHV3-23_IGHJ4_14_92_IGLV1-51_IGLJ3_29</t>
  </si>
  <si>
    <t>IGHV3-33_IGHJ4_16_97_IGKV3-15_IGKJ4_17</t>
  </si>
  <si>
    <t>IGHV3-7_IGHJ6_18_67_IGKV3D-15_IGKJ4_22</t>
  </si>
  <si>
    <t>IGHV3-43_IGHJ6_17_110_IGKV1-12_IGKJ1_1</t>
  </si>
  <si>
    <t>IGHV3-13_IGHJ4_12_7_IGKV3-15_IGKJ1_14</t>
  </si>
  <si>
    <t>IGHV1-18_IGHJ4_14_139_IGKV3-20_IGKJ3_20</t>
  </si>
  <si>
    <t>IGHV3-43_IGHJ4_16_119_IGKV1-39_IGKJ2_8</t>
  </si>
  <si>
    <t>IGHV3-7_IGHJ4_17_128_IGKV3-15_IGKJ2_15</t>
  </si>
  <si>
    <t>IGHV4-39_IGHJ5_17_58_IGKV1-12_IGKJ5_3</t>
  </si>
  <si>
    <t>IGHV4-39_IGHJ4_6_90_IGKV3-15_IGKJ1_14</t>
  </si>
  <si>
    <t>IGHV3-7_IGHJ6_19_106_IGKV3-15_IGKJ4_17</t>
  </si>
  <si>
    <t>IGHV3-7_IGHJ3_16_44_IGKV3-15_IGKJ2_15</t>
  </si>
  <si>
    <t>IGHV4-59_IGHJ4_20_70_IGKV1-39_IGKJ2_8</t>
  </si>
  <si>
    <t>IGHV1-8_IGHJ6_14_116_IGKV1-12_IGKJ1_1</t>
  </si>
  <si>
    <t>IGHV4-34_IGHJ5_20_78_IGKV1-39_IGKJ4_9</t>
  </si>
  <si>
    <t>IGHV4-59_IGHJ6_19_141_IGLV3-19_IGLJ2_36</t>
  </si>
  <si>
    <t>IGHV3-7_IGHJ4_17_115_IGKV3-15_IGKJ2_15</t>
  </si>
  <si>
    <t>IGHV3-7_IGHJ4_17_149_IGKV3-15_IGKJ4_17</t>
  </si>
  <si>
    <t>IGHV1-69_IGHJ4_13_172_IGKV1-16_IGKJ4_4</t>
  </si>
  <si>
    <t>IGHV3-30_IGHJ6_17_157_IGKV1-12_IGKJ3_2</t>
  </si>
  <si>
    <t>IGHV3-9_IGHJ4_13_111_IGLV3-19_IGLJ2_36</t>
  </si>
  <si>
    <t>IGHV4-39_IGHJ5_16_142_IGKV1-39_IGKJ2_8</t>
  </si>
  <si>
    <t>IGHV3-43_IGHJ4_17_171_IGKV3-15_IGKJ4_17</t>
  </si>
  <si>
    <t>IGHV3-7_IGHJ4_17_121_IGKV3-15_IGKJ4_17</t>
  </si>
  <si>
    <t>IGHV4-30-4_IGHJ6_20_94_IGLV7-43_IGLJ2_38</t>
  </si>
  <si>
    <t>IGHV3-43_IGHJ4_16_64_IGKV1-39_IGKJ2_8</t>
  </si>
  <si>
    <t>IGHV3-49_IGHJ6_24_173_IGLV2-14_IGLJ1_30</t>
  </si>
  <si>
    <t>IGHV3-48_IGHJ4_12_83_IGLV2-14_IGLJ3_32</t>
  </si>
  <si>
    <t>IGHV3-7_IGHJ6_16_84_IGKV3-15_IGKJ2_15</t>
  </si>
  <si>
    <t>IGHV1-18_IGHJ4_14_33_IGKV3-20_IGKJ2_19</t>
  </si>
  <si>
    <t>IGHV3-7_IGHJ6_19_144_IGKV3-15_IGKJ4_17</t>
  </si>
  <si>
    <t>IGHV1-18_IGHJ4_14_79_IGKV3-20_IGKJ1_18</t>
  </si>
  <si>
    <t>IGHV1-2_IGHJ3_17_63_IGLV2-8_IGLJ2_34</t>
  </si>
  <si>
    <t>IGHV3-23_IGHJ6_14_122_IGLV1-44_IGLJ3_27</t>
  </si>
  <si>
    <t>IGHV3-74_IGHJ4_10_9_IGLV2-18_IGLJ1_33</t>
  </si>
  <si>
    <t>IGHV3-15_IGHJ6_10_132_IGLV1-40_IGLJ2_24</t>
  </si>
  <si>
    <t>IGHV3-23_IGHJ4_16_71_IGLV3-25_IGLJ2_37</t>
  </si>
  <si>
    <t>IGHV4-39_IGHJ4_6_24_IGKV3-15_IGKJ1_14</t>
  </si>
  <si>
    <t>IGHV4-39_IGHJ4_6_87_IGKV3-15_IGKJ1_14</t>
  </si>
  <si>
    <t>IGHV3-13_IGHJ4_12_146_IGKV3-20_IGKJ4_21</t>
  </si>
  <si>
    <t>IGHV1-18_IGHJ5_14_143_IGKV3-20_IGKJ3_20</t>
  </si>
  <si>
    <t>IGHV4-59_IGHJ4_10_80_IGLV2-14_IGLJ2_31</t>
  </si>
  <si>
    <t>IGHV4-59_IGHJ4_10_61_IGLV2-14_IGLJ2_31</t>
  </si>
  <si>
    <t>IGHV4-59_IGHJ6_19_158_IGLV3-1_IGLJ2_35</t>
  </si>
  <si>
    <t>x_x_EBOV-VSV-3T0135</t>
  </si>
  <si>
    <t>x_x_EBOV-VSV-4T0770</t>
  </si>
  <si>
    <t>x_x_EBOV-VSV-5T0378</t>
  </si>
  <si>
    <t>cluster_id 60%</t>
  </si>
  <si>
    <t>cluster_id 70%</t>
  </si>
  <si>
    <t>cluster_id 80%</t>
  </si>
  <si>
    <t>--</t>
  </si>
  <si>
    <t>y</t>
  </si>
  <si>
    <t>IGHV4-39_IGHJ5_16_235_IGKV1-39_IGKJ2_32</t>
  </si>
  <si>
    <t>NA</t>
  </si>
  <si>
    <t>IGHV4-39_IGHJ5_16_235</t>
  </si>
  <si>
    <t>IGKV1-39_IGKJ2_32</t>
  </si>
  <si>
    <t>10x</t>
  </si>
  <si>
    <t>5dcc52c8287dc47a36d88b17</t>
  </si>
  <si>
    <t>CAGCTGCAGCTGCAGGAGTCGGGCCCAGGACTGGTGGAGCCTTCGGAGACCCTGTCCCTCACCTGCACTGTCTCTGGTGGCTCCATCAACAATAATAATTACAACTGGGTCTGGATCCGCCAGCCCCCCGGGAAGGGGCTGGAATGGATTGGGACTACCCTTTTTAGTGGGAGTACCTACTATAATCCGTCCCTCAGGAGTCGCGTCATCATATCCGTAGACATATCCAAGAACCAGATCTCCCTGAACCTGAACTCTGTGACCGCCGCAGACACGGCTGTGTATTTCTGTGCGAGACACATCGAGCTTCGGGGAAGAAACTACAACTGGTTCGACCCCTGGGGCCAGGGAACCCTGGTCACCGTCTCCTCAG</t>
  </si>
  <si>
    <t>GACATCCAGATGACGCAGTCTCCATCCTCCCTGTCTGCATCTGTAGGCGACAGAGTCACCATCACTTGCCGGGCAAGTCAGGACATTAGCAGCTATTTAAATTGGTATCGACAGAAATCAGGGAAAGCCCCTGAGCTCCTGATCTATGCTGCATCCAGTTTGCAAAGTGGGGTCCCATCAAGGTTCAGGGGCAGTGGATCTGGGACAGATTTCACTCTCACCATCAGCAGTCTGCAACCTGAAGATTTTGCAACTTACTACTGTCAACAGAGTTACAGTACCCCGTACATTTTTGGCCAGGGGACCAGGCTGGAGTTCAAAC</t>
  </si>
  <si>
    <t>sGP</t>
  </si>
  <si>
    <t>Neutralization</t>
  </si>
  <si>
    <t>Sequence Information</t>
  </si>
  <si>
    <t xml:space="preserve">Donor </t>
  </si>
  <si>
    <t>EVD 9</t>
  </si>
  <si>
    <t>Nigeria</t>
  </si>
  <si>
    <t>VSV 4</t>
  </si>
  <si>
    <t>VSV 5</t>
  </si>
  <si>
    <t>EVD 5</t>
  </si>
  <si>
    <t>Nebraska</t>
  </si>
  <si>
    <t>EVD 2</t>
  </si>
  <si>
    <t>ChAD</t>
  </si>
  <si>
    <t>VSV 1</t>
  </si>
  <si>
    <t>EVD 15</t>
  </si>
  <si>
    <t>NIgeria</t>
  </si>
  <si>
    <t>EVD5</t>
  </si>
  <si>
    <t>ChAd 56</t>
  </si>
  <si>
    <t>ChAd 66</t>
  </si>
  <si>
    <t>VSV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</si>
</sst>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2"/>
      <color rgb="FF82C2FF"/>
      <name val="Calibri"/>
      <family val="2"/>
      <scheme val="minor"/>
    </font>
    <font>
      <sz val="12"/>
      <color rgb="FFC2BFF2"/>
      <name val="Calibri"/>
      <family val="2"/>
      <scheme val="minor"/>
    </font>
    <font>
      <sz val="12"/>
      <color rgb="FF92D14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85C2"/>
        <bgColor rgb="FF000000"/>
      </patternFill>
    </fill>
    <fill>
      <patternFill patternType="solid">
        <fgColor rgb="FFE8F3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EB2DB"/>
        <bgColor rgb="FF000000"/>
      </patternFill>
    </fill>
    <fill>
      <patternFill patternType="solid">
        <fgColor rgb="FFD8E9F9"/>
        <bgColor rgb="FF000000"/>
      </patternFill>
    </fill>
    <fill>
      <patternFill patternType="solid">
        <fgColor rgb="FF247CBD"/>
        <bgColor rgb="FF000000"/>
      </patternFill>
    </fill>
    <fill>
      <patternFill patternType="solid">
        <fgColor rgb="FF5197CC"/>
        <bgColor rgb="FF000000"/>
      </patternFill>
    </fill>
    <fill>
      <patternFill patternType="solid">
        <fgColor rgb="FFC9E0F4"/>
        <bgColor rgb="FF000000"/>
      </patternFill>
    </fill>
    <fill>
      <patternFill patternType="solid">
        <fgColor rgb="FF428EC7"/>
        <bgColor rgb="FF000000"/>
      </patternFill>
    </fill>
    <fill>
      <patternFill patternType="solid">
        <fgColor rgb="FFBAD7EF"/>
        <bgColor rgb="FF000000"/>
      </patternFill>
    </fill>
    <fill>
      <patternFill patternType="solid">
        <fgColor rgb="FF60A0D1"/>
        <bgColor rgb="FF000000"/>
      </patternFill>
    </fill>
    <fill>
      <patternFill patternType="solid">
        <fgColor rgb="FF6FA9D6"/>
        <bgColor rgb="FF000000"/>
      </patternFill>
    </fill>
    <fill>
      <patternFill patternType="solid">
        <fgColor rgb="FF8DBCE0"/>
        <bgColor rgb="FF000000"/>
      </patternFill>
    </fill>
    <fill>
      <patternFill patternType="solid">
        <fgColor rgb="FFABCEEA"/>
        <bgColor rgb="FF000000"/>
      </patternFill>
    </fill>
    <fill>
      <patternFill patternType="solid">
        <fgColor rgb="FF9CC5E5"/>
        <bgColor rgb="FF000000"/>
      </patternFill>
    </fill>
    <fill>
      <patternFill patternType="solid">
        <fgColor rgb="FFE8F3FF"/>
        <bgColor indexed="64"/>
      </patternFill>
    </fill>
    <fill>
      <patternFill patternType="solid">
        <fgColor rgb="FFFFC9DD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0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/>
    <xf numFmtId="0" fontId="1" fillId="0" borderId="2" xfId="0" applyFont="1" applyBorder="1" applyProtection="1">
      <protection locked="0"/>
    </xf>
    <xf numFmtId="0" fontId="2" fillId="2" borderId="3" xfId="0" applyFont="1" applyFill="1" applyBorder="1"/>
    <xf numFmtId="0" fontId="1" fillId="0" borderId="4" xfId="0" applyFont="1" applyBorder="1" applyProtection="1">
      <protection locked="0"/>
    </xf>
    <xf numFmtId="0" fontId="0" fillId="2" borderId="3" xfId="0" applyFill="1" applyBorder="1"/>
    <xf numFmtId="0" fontId="0" fillId="2" borderId="5" xfId="0" applyFill="1" applyBorder="1"/>
    <xf numFmtId="0" fontId="1" fillId="0" borderId="6" xfId="0" applyFont="1" applyBorder="1" applyProtection="1">
      <protection locked="0"/>
    </xf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2" fillId="3" borderId="7" xfId="0" applyFont="1" applyFill="1" applyBorder="1"/>
    <xf numFmtId="0" fontId="2" fillId="3" borderId="0" xfId="0" applyFont="1" applyFill="1"/>
    <xf numFmtId="0" fontId="0" fillId="2" borderId="1" xfId="0" applyFill="1" applyBorder="1"/>
    <xf numFmtId="0" fontId="1" fillId="0" borderId="9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2" fillId="3" borderId="8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2" borderId="14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3" borderId="0" xfId="0" applyFill="1" applyBorder="1"/>
    <xf numFmtId="0" fontId="0" fillId="2" borderId="0" xfId="0" applyFill="1"/>
    <xf numFmtId="0" fontId="2" fillId="3" borderId="0" xfId="0" applyFont="1" applyFill="1" applyBorder="1"/>
    <xf numFmtId="0" fontId="0" fillId="3" borderId="1" xfId="0" applyFill="1" applyBorder="1"/>
    <xf numFmtId="0" fontId="3" fillId="0" borderId="7" xfId="0" applyFont="1" applyBorder="1"/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4" fillId="0" borderId="8" xfId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1" fontId="3" fillId="0" borderId="7" xfId="0" applyNumberFormat="1" applyFont="1" applyBorder="1"/>
    <xf numFmtId="0" fontId="4" fillId="0" borderId="7" xfId="1" applyFont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Border="1"/>
    <xf numFmtId="0" fontId="4" fillId="0" borderId="0" xfId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3" borderId="0" xfId="0" quotePrefix="1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wrapText="1"/>
    </xf>
    <xf numFmtId="0" fontId="3" fillId="0" borderId="0" xfId="0" applyFont="1" applyBorder="1" applyProtection="1">
      <protection locked="0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7" borderId="0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4" fillId="13" borderId="0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center" vertical="center" wrapText="1"/>
    </xf>
    <xf numFmtId="0" fontId="4" fillId="9" borderId="0" xfId="1" applyFont="1" applyFill="1" applyBorder="1" applyAlignment="1">
      <alignment horizontal="center" vertical="center" wrapText="1"/>
    </xf>
    <xf numFmtId="0" fontId="4" fillId="11" borderId="0" xfId="1" applyFont="1" applyFill="1" applyBorder="1" applyAlignment="1">
      <alignment horizontal="center" vertical="center" wrapText="1"/>
    </xf>
    <xf numFmtId="0" fontId="4" fillId="5" borderId="0" xfId="1" applyFont="1" applyFill="1" applyBorder="1" applyAlignment="1">
      <alignment horizontal="center" vertical="center" wrapText="1"/>
    </xf>
    <xf numFmtId="0" fontId="4" fillId="8" borderId="0" xfId="1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horizontal="center" vertical="center" wrapText="1"/>
    </xf>
    <xf numFmtId="0" fontId="4" fillId="16" borderId="0" xfId="0" applyFont="1" applyFill="1" applyBorder="1" applyAlignment="1">
      <alignment horizontal="center" vertical="center" wrapText="1"/>
    </xf>
    <xf numFmtId="0" fontId="4" fillId="17" borderId="0" xfId="0" applyFont="1" applyFill="1" applyBorder="1" applyAlignment="1">
      <alignment horizontal="center" vertical="center" wrapText="1"/>
    </xf>
    <xf numFmtId="0" fontId="4" fillId="18" borderId="0" xfId="0" applyFont="1" applyFill="1" applyBorder="1" applyAlignment="1">
      <alignment horizontal="center" vertical="center" wrapText="1"/>
    </xf>
    <xf numFmtId="0" fontId="4" fillId="16" borderId="0" xfId="1" applyFont="1" applyFill="1" applyBorder="1" applyAlignment="1">
      <alignment horizontal="center" vertical="center" wrapText="1"/>
    </xf>
    <xf numFmtId="0" fontId="4" fillId="13" borderId="0" xfId="1" applyFont="1" applyFill="1" applyBorder="1" applyAlignment="1">
      <alignment horizontal="center" vertical="center" wrapText="1"/>
    </xf>
    <xf numFmtId="0" fontId="4" fillId="4" borderId="0" xfId="1" applyFont="1" applyFill="1" applyBorder="1" applyAlignment="1">
      <alignment horizontal="center" vertical="center" wrapText="1"/>
    </xf>
    <xf numFmtId="0" fontId="4" fillId="18" borderId="0" xfId="1" applyFont="1" applyFill="1" applyBorder="1" applyAlignment="1">
      <alignment horizontal="center" vertical="center" wrapText="1"/>
    </xf>
    <xf numFmtId="0" fontId="0" fillId="0" borderId="0" xfId="0" applyBorder="1" applyProtection="1">
      <protection locked="0"/>
    </xf>
    <xf numFmtId="11" fontId="0" fillId="0" borderId="0" xfId="0" applyNumberFormat="1" applyBorder="1"/>
    <xf numFmtId="0" fontId="4" fillId="19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17" borderId="0" xfId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Protection="1">
      <protection locked="0"/>
    </xf>
    <xf numFmtId="0" fontId="0" fillId="0" borderId="7" xfId="0" applyBorder="1"/>
    <xf numFmtId="0" fontId="1" fillId="0" borderId="7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0" fillId="0" borderId="0" xfId="0" applyFill="1" applyBorder="1"/>
    <xf numFmtId="0" fontId="4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5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13" borderId="8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9" borderId="8" xfId="1" applyFont="1" applyFill="1" applyBorder="1" applyAlignment="1">
      <alignment horizontal="center" vertical="center" wrapText="1"/>
    </xf>
    <xf numFmtId="0" fontId="4" fillId="5" borderId="8" xfId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9" borderId="7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0" fillId="0" borderId="7" xfId="0" applyFill="1" applyBorder="1"/>
    <xf numFmtId="0" fontId="0" fillId="0" borderId="8" xfId="0" applyFill="1" applyBorder="1"/>
    <xf numFmtId="0" fontId="4" fillId="4" borderId="7" xfId="1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Protection="1">
      <protection locked="0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0" fillId="0" borderId="7" xfId="0" applyFont="1" applyFill="1" applyBorder="1"/>
    <xf numFmtId="0" fontId="0" fillId="0" borderId="0" xfId="0" applyFont="1" applyFill="1" applyBorder="1"/>
    <xf numFmtId="0" fontId="0" fillId="0" borderId="8" xfId="0" applyFont="1" applyFill="1" applyBorder="1"/>
    <xf numFmtId="0" fontId="4" fillId="17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/>
    <xf numFmtId="2" fontId="1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2" fontId="0" fillId="0" borderId="15" xfId="0" applyNumberForma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20" borderId="16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2" fontId="1" fillId="0" borderId="16" xfId="0" applyNumberFormat="1" applyFon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0" fontId="9" fillId="0" borderId="0" xfId="0" applyFont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0" xfId="0" applyFont="1"/>
    <xf numFmtId="0" fontId="4" fillId="9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0" fontId="4" fillId="14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1" applyFont="1" applyFill="1" applyAlignment="1">
      <alignment horizontal="center" vertical="center" wrapText="1"/>
    </xf>
    <xf numFmtId="0" fontId="4" fillId="1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8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11" borderId="0" xfId="1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16" borderId="0" xfId="1" applyFont="1" applyFill="1" applyAlignment="1">
      <alignment horizontal="center" vertical="center" wrapText="1"/>
    </xf>
    <xf numFmtId="0" fontId="4" fillId="18" borderId="0" xfId="1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0" fillId="0" borderId="0" xfId="0" applyProtection="1">
      <protection locked="0"/>
    </xf>
    <xf numFmtId="11" fontId="0" fillId="0" borderId="0" xfId="0" applyNumberFormat="1"/>
    <xf numFmtId="0" fontId="4" fillId="19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17" borderId="0" xfId="0" applyFont="1" applyFill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4" fillId="17" borderId="0" xfId="1" applyFont="1" applyFill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</cellXfs>
  <cellStyles count="2">
    <cellStyle name="Normal" xfId="0" builtinId="0"/>
    <cellStyle name="Normal 2" xfId="1" xr:uid="{7013FC87-2254-2349-ADFE-9CC73032F975}"/>
  </cellStyles>
  <dxfs count="23">
    <dxf>
      <font>
        <color rgb="FF006100"/>
      </font>
      <fill>
        <patternFill>
          <bgColor rgb="FFC6EFCE"/>
        </patternFill>
      </fill>
    </dxf>
    <dxf>
      <fill>
        <patternFill>
          <bgColor rgb="FFEED5AF"/>
        </patternFill>
      </fill>
    </dxf>
    <dxf>
      <fill>
        <patternFill>
          <bgColor rgb="FFA5DFE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82C2FF"/>
        </patternFill>
      </fill>
    </dxf>
    <dxf>
      <fill>
        <patternFill>
          <bgColor rgb="FFC2BFF1"/>
        </patternFill>
      </fill>
    </dxf>
    <dxf>
      <fill>
        <patternFill>
          <bgColor rgb="FF00B0F0"/>
        </patternFill>
      </fill>
    </dxf>
    <dxf>
      <fill>
        <patternFill>
          <bgColor rgb="FF99D8EB"/>
        </patternFill>
      </fill>
    </dxf>
    <dxf>
      <fill>
        <patternFill>
          <bgColor rgb="FFF0D5BB"/>
        </patternFill>
      </fill>
    </dxf>
    <dxf>
      <fill>
        <patternFill>
          <bgColor rgb="FFD7ECA4"/>
        </patternFill>
      </fill>
    </dxf>
    <dxf>
      <fill>
        <patternFill>
          <bgColor rgb="FFE7E6E6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1E4B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A5DFE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EED5AF"/>
        </patternFill>
      </fill>
    </dxf>
    <dxf>
      <fill>
        <patternFill>
          <bgColor rgb="FFA5DFE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9DD"/>
      <color rgb="FF92D14F"/>
      <color rgb="FFC2BFF2"/>
      <color rgb="FF82C2FF"/>
      <color rgb="FF679B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52C6-8068-6D44-BF7D-59A9F00578CB}">
  <dimension ref="A1:BC301"/>
  <sheetViews>
    <sheetView tabSelected="1" workbookViewId="0">
      <selection activeCell="H17" sqref="H17"/>
    </sheetView>
  </sheetViews>
  <sheetFormatPr baseColWidth="10" defaultRowHeight="16"/>
  <cols>
    <col min="1" max="2" width="10.83203125" style="150"/>
    <col min="3" max="3" width="22.5" customWidth="1"/>
    <col min="4" max="4" width="9.1640625" customWidth="1"/>
    <col min="5" max="5" width="5.83203125" customWidth="1"/>
    <col min="8" max="8" width="23.33203125" customWidth="1"/>
    <col min="11" max="11" width="17.33203125" customWidth="1"/>
    <col min="13" max="13" width="40.83203125" customWidth="1"/>
    <col min="14" max="14" width="20.6640625" customWidth="1"/>
    <col min="17" max="17" width="41.83203125" customWidth="1"/>
    <col min="18" max="18" width="20.5" customWidth="1"/>
    <col min="21" max="21" width="40.5" customWidth="1"/>
    <col min="22" max="22" width="20.1640625" customWidth="1"/>
    <col min="24" max="29" width="0" hidden="1" customWidth="1"/>
    <col min="30" max="30" width="14.1640625" hidden="1" customWidth="1"/>
    <col min="49" max="49" width="11.5" customWidth="1"/>
  </cols>
  <sheetData>
    <row r="1" spans="1:55" ht="21">
      <c r="F1" s="167" t="s">
        <v>3691</v>
      </c>
      <c r="G1" s="167"/>
      <c r="H1" s="167"/>
      <c r="I1" s="167"/>
      <c r="J1" s="167"/>
      <c r="K1" s="167"/>
    </row>
    <row r="2" spans="1:55" ht="35" thickBot="1">
      <c r="A2" s="143" t="s">
        <v>352</v>
      </c>
      <c r="B2" s="143"/>
      <c r="C2" s="2"/>
      <c r="D2" s="2" t="s">
        <v>3692</v>
      </c>
      <c r="E2" s="2"/>
      <c r="F2" t="s">
        <v>1401</v>
      </c>
      <c r="G2" t="s">
        <v>1402</v>
      </c>
      <c r="H2" t="s">
        <v>1403</v>
      </c>
      <c r="I2" t="s">
        <v>2392</v>
      </c>
      <c r="J2" t="s">
        <v>2393</v>
      </c>
      <c r="K2" t="s">
        <v>2394</v>
      </c>
      <c r="M2" t="s">
        <v>3676</v>
      </c>
      <c r="N2" t="s">
        <v>3375</v>
      </c>
      <c r="O2" t="s">
        <v>3376</v>
      </c>
      <c r="Q2" t="s">
        <v>3677</v>
      </c>
      <c r="R2" t="s">
        <v>3375</v>
      </c>
      <c r="S2" t="s">
        <v>3376</v>
      </c>
      <c r="U2" t="s">
        <v>3678</v>
      </c>
      <c r="V2" t="s">
        <v>3375</v>
      </c>
      <c r="W2" t="s">
        <v>3376</v>
      </c>
      <c r="Y2" t="s">
        <v>1404</v>
      </c>
      <c r="Z2" t="s">
        <v>1405</v>
      </c>
      <c r="AA2" t="s">
        <v>1406</v>
      </c>
      <c r="AB2" t="s">
        <v>2395</v>
      </c>
      <c r="AC2" t="s">
        <v>2396</v>
      </c>
      <c r="AD2" t="s">
        <v>2397</v>
      </c>
      <c r="AF2" t="s">
        <v>3271</v>
      </c>
      <c r="AG2" t="s">
        <v>3272</v>
      </c>
      <c r="AH2" t="s">
        <v>3274</v>
      </c>
      <c r="AI2" t="s">
        <v>3275</v>
      </c>
      <c r="AJ2" t="s">
        <v>3276</v>
      </c>
      <c r="AK2" t="s">
        <v>3277</v>
      </c>
      <c r="AM2" t="s">
        <v>3278</v>
      </c>
      <c r="AN2" t="s">
        <v>3279</v>
      </c>
      <c r="AP2" t="s">
        <v>3280</v>
      </c>
      <c r="AQ2" t="s">
        <v>3281</v>
      </c>
      <c r="AV2" t="s">
        <v>3282</v>
      </c>
      <c r="AW2" t="s">
        <v>3283</v>
      </c>
      <c r="AY2" s="1" t="s">
        <v>3378</v>
      </c>
      <c r="AZ2" s="1" t="s">
        <v>3379</v>
      </c>
      <c r="BA2" t="s">
        <v>1411</v>
      </c>
      <c r="BB2" t="s">
        <v>2402</v>
      </c>
    </row>
    <row r="3" spans="1:55">
      <c r="A3" s="144">
        <v>6.01</v>
      </c>
      <c r="B3" s="206">
        <v>6.01</v>
      </c>
      <c r="C3" s="81" t="s">
        <v>347</v>
      </c>
      <c r="D3" s="81" t="s">
        <v>3693</v>
      </c>
      <c r="E3" s="81"/>
      <c r="F3" s="81" t="s">
        <v>1452</v>
      </c>
      <c r="G3" s="81" t="s">
        <v>1413</v>
      </c>
      <c r="H3" s="81" t="s">
        <v>2157</v>
      </c>
      <c r="I3" s="81" t="s">
        <v>2479</v>
      </c>
      <c r="J3" s="81" t="s">
        <v>2480</v>
      </c>
      <c r="K3" s="81" t="s">
        <v>3052</v>
      </c>
      <c r="L3" s="81"/>
      <c r="M3" s="81" t="s">
        <v>3315</v>
      </c>
      <c r="N3" s="81" t="s">
        <v>347</v>
      </c>
      <c r="O3" s="81">
        <v>6</v>
      </c>
      <c r="P3" s="81"/>
      <c r="Q3" s="81" t="s">
        <v>3395</v>
      </c>
      <c r="R3" s="81" t="s">
        <v>347</v>
      </c>
      <c r="S3" s="81">
        <v>5</v>
      </c>
      <c r="T3" s="81"/>
      <c r="U3" s="81" t="s">
        <v>3617</v>
      </c>
      <c r="V3" s="81" t="s">
        <v>347</v>
      </c>
      <c r="W3" s="81">
        <v>2</v>
      </c>
      <c r="X3" s="81"/>
      <c r="Y3" s="81">
        <v>14</v>
      </c>
      <c r="Z3" s="81">
        <v>94.1</v>
      </c>
      <c r="AA3" s="81">
        <v>16</v>
      </c>
      <c r="AB3" s="81">
        <v>11</v>
      </c>
      <c r="AC3" s="81">
        <v>96</v>
      </c>
      <c r="AD3" s="81">
        <v>11</v>
      </c>
      <c r="AE3" s="81"/>
      <c r="AF3" s="83" t="s">
        <v>347</v>
      </c>
      <c r="AG3" s="33">
        <v>0.2883</v>
      </c>
      <c r="AH3" s="100">
        <v>3.637</v>
      </c>
      <c r="AI3" s="106">
        <v>1.4750000000000001</v>
      </c>
      <c r="AJ3" s="100">
        <v>3.5880000000000001</v>
      </c>
      <c r="AK3" s="87">
        <v>0.253</v>
      </c>
      <c r="AL3" s="34"/>
      <c r="AM3" s="100">
        <v>3.5169999999999999</v>
      </c>
      <c r="AN3" s="105">
        <v>2.327</v>
      </c>
      <c r="AO3" s="34"/>
      <c r="AP3" s="33">
        <v>108159</v>
      </c>
      <c r="AQ3" s="33">
        <v>3204</v>
      </c>
      <c r="AR3" s="88">
        <v>1</v>
      </c>
      <c r="AS3" s="88">
        <v>0</v>
      </c>
      <c r="AT3" s="89" t="s">
        <v>3285</v>
      </c>
      <c r="AU3" s="33"/>
      <c r="AV3" s="33">
        <v>-1.5900000000000001E-2</v>
      </c>
      <c r="AW3" s="33">
        <v>-8.2000000000000007E-3</v>
      </c>
      <c r="AX3" s="81"/>
      <c r="AY3" s="81" t="s">
        <v>881</v>
      </c>
      <c r="AZ3" s="81" t="s">
        <v>882</v>
      </c>
      <c r="BA3" s="81" t="s">
        <v>2160</v>
      </c>
      <c r="BB3" s="81" t="s">
        <v>3055</v>
      </c>
      <c r="BC3" s="81"/>
    </row>
    <row r="4" spans="1:55">
      <c r="A4" s="145">
        <v>6.01</v>
      </c>
      <c r="B4" s="207"/>
      <c r="C4" t="s">
        <v>348</v>
      </c>
      <c r="D4" t="s">
        <v>3694</v>
      </c>
      <c r="F4" t="s">
        <v>1452</v>
      </c>
      <c r="G4" t="s">
        <v>1413</v>
      </c>
      <c r="H4" t="s">
        <v>2161</v>
      </c>
      <c r="I4" t="s">
        <v>2479</v>
      </c>
      <c r="J4" t="s">
        <v>2480</v>
      </c>
      <c r="K4" t="s">
        <v>2481</v>
      </c>
      <c r="M4" t="s">
        <v>3315</v>
      </c>
      <c r="N4" t="s">
        <v>348</v>
      </c>
      <c r="O4">
        <v>6</v>
      </c>
      <c r="Q4" t="s">
        <v>3395</v>
      </c>
      <c r="R4" t="s">
        <v>348</v>
      </c>
      <c r="S4">
        <v>5</v>
      </c>
      <c r="U4" t="s">
        <v>3609</v>
      </c>
      <c r="V4" t="s">
        <v>348</v>
      </c>
      <c r="W4">
        <v>2</v>
      </c>
      <c r="Y4">
        <v>14</v>
      </c>
      <c r="Z4">
        <v>96.6</v>
      </c>
      <c r="AA4">
        <v>10</v>
      </c>
      <c r="AB4">
        <v>11</v>
      </c>
      <c r="AC4">
        <v>98.6</v>
      </c>
      <c r="AD4">
        <v>4</v>
      </c>
      <c r="AF4" s="170" t="s">
        <v>348</v>
      </c>
      <c r="AG4" s="171">
        <v>0.44059999999999999</v>
      </c>
      <c r="AH4" s="172">
        <v>3.548</v>
      </c>
      <c r="AI4" s="173">
        <v>0.16700000000000001</v>
      </c>
      <c r="AJ4" s="172">
        <v>3.5739999999999998</v>
      </c>
      <c r="AK4" s="173">
        <v>0.214</v>
      </c>
      <c r="AL4" s="174"/>
      <c r="AM4" s="172">
        <v>3.5259999999999998</v>
      </c>
      <c r="AN4" s="172">
        <v>2.427</v>
      </c>
      <c r="AO4" s="174"/>
      <c r="AP4" s="171">
        <v>78459.5</v>
      </c>
      <c r="AQ4" s="171">
        <v>2238</v>
      </c>
      <c r="AR4" s="175">
        <v>1</v>
      </c>
      <c r="AS4" s="175">
        <v>0</v>
      </c>
      <c r="AT4" s="176" t="s">
        <v>3285</v>
      </c>
      <c r="AU4" s="171"/>
      <c r="AV4" s="171">
        <v>-3.5000000000000001E-3</v>
      </c>
      <c r="AW4" s="171">
        <v>-4.5999999999999999E-3</v>
      </c>
      <c r="AY4" t="s">
        <v>827</v>
      </c>
      <c r="AZ4" t="s">
        <v>828</v>
      </c>
      <c r="BA4" t="s">
        <v>2163</v>
      </c>
      <c r="BB4" t="s">
        <v>2483</v>
      </c>
    </row>
    <row r="5" spans="1:55">
      <c r="A5" s="145">
        <v>6.01</v>
      </c>
      <c r="B5" s="207"/>
      <c r="C5" t="s">
        <v>350</v>
      </c>
      <c r="D5" t="s">
        <v>3695</v>
      </c>
      <c r="F5" t="s">
        <v>1452</v>
      </c>
      <c r="G5" t="s">
        <v>1413</v>
      </c>
      <c r="H5" t="s">
        <v>2167</v>
      </c>
      <c r="I5" t="s">
        <v>2479</v>
      </c>
      <c r="J5" t="s">
        <v>2480</v>
      </c>
      <c r="K5" t="s">
        <v>3060</v>
      </c>
      <c r="M5" t="s">
        <v>3315</v>
      </c>
      <c r="N5" t="s">
        <v>350</v>
      </c>
      <c r="O5">
        <v>6</v>
      </c>
      <c r="Q5" t="s">
        <v>3395</v>
      </c>
      <c r="R5" t="s">
        <v>350</v>
      </c>
      <c r="S5">
        <v>5</v>
      </c>
      <c r="U5" t="s">
        <v>3609</v>
      </c>
      <c r="V5" t="s">
        <v>350</v>
      </c>
      <c r="W5">
        <v>2</v>
      </c>
      <c r="Y5">
        <v>14</v>
      </c>
      <c r="Z5">
        <v>92.2</v>
      </c>
      <c r="AA5">
        <v>23</v>
      </c>
      <c r="AB5">
        <v>11</v>
      </c>
      <c r="AC5">
        <v>97.3</v>
      </c>
      <c r="AD5">
        <v>8</v>
      </c>
      <c r="AF5" s="170" t="s">
        <v>350</v>
      </c>
      <c r="AG5" s="171">
        <v>0.33360000000000001</v>
      </c>
      <c r="AH5" s="172">
        <v>3.6190000000000002</v>
      </c>
      <c r="AI5" s="173">
        <v>0.16400000000000001</v>
      </c>
      <c r="AJ5" s="172">
        <v>3.6240000000000001</v>
      </c>
      <c r="AK5" s="173">
        <v>0.27600000000000002</v>
      </c>
      <c r="AL5" s="174"/>
      <c r="AM5" s="172">
        <v>3.5630000000000002</v>
      </c>
      <c r="AN5" s="172">
        <v>2.4169999999999998</v>
      </c>
      <c r="AO5" s="174"/>
      <c r="AP5" s="171">
        <v>23008</v>
      </c>
      <c r="AQ5" s="171">
        <v>1800</v>
      </c>
      <c r="AR5" s="175">
        <v>1</v>
      </c>
      <c r="AS5" s="175">
        <v>0</v>
      </c>
      <c r="AT5" s="176" t="s">
        <v>3285</v>
      </c>
      <c r="AU5" s="171"/>
      <c r="AV5" s="171">
        <v>-8.43E-2</v>
      </c>
      <c r="AW5" s="171">
        <v>-7.0000000000000007E-2</v>
      </c>
      <c r="AY5" t="s">
        <v>1000</v>
      </c>
      <c r="AZ5" t="s">
        <v>1001</v>
      </c>
      <c r="BA5" t="s">
        <v>2169</v>
      </c>
      <c r="BB5" t="s">
        <v>3062</v>
      </c>
    </row>
    <row r="6" spans="1:55">
      <c r="A6" s="145">
        <v>6.01</v>
      </c>
      <c r="B6" s="207"/>
      <c r="C6" t="s">
        <v>351</v>
      </c>
      <c r="D6" t="s">
        <v>3696</v>
      </c>
      <c r="F6" t="s">
        <v>1452</v>
      </c>
      <c r="G6" t="s">
        <v>1413</v>
      </c>
      <c r="H6" t="s">
        <v>2173</v>
      </c>
      <c r="I6" t="s">
        <v>2479</v>
      </c>
      <c r="J6" t="s">
        <v>2480</v>
      </c>
      <c r="K6" t="s">
        <v>3065</v>
      </c>
      <c r="M6" t="s">
        <v>3315</v>
      </c>
      <c r="N6" t="s">
        <v>351</v>
      </c>
      <c r="O6">
        <v>6</v>
      </c>
      <c r="Q6" t="s">
        <v>3395</v>
      </c>
      <c r="R6" t="s">
        <v>351</v>
      </c>
      <c r="S6">
        <v>5</v>
      </c>
      <c r="U6" t="s">
        <v>3617</v>
      </c>
      <c r="V6" t="s">
        <v>351</v>
      </c>
      <c r="W6">
        <v>2</v>
      </c>
      <c r="Y6">
        <v>14</v>
      </c>
      <c r="Z6">
        <v>98.6</v>
      </c>
      <c r="AA6">
        <v>4</v>
      </c>
      <c r="AB6">
        <v>11</v>
      </c>
      <c r="AC6">
        <v>98.6</v>
      </c>
      <c r="AD6">
        <v>4</v>
      </c>
      <c r="AF6" s="170" t="s">
        <v>351</v>
      </c>
      <c r="AG6" s="171">
        <v>0.54830000000000001</v>
      </c>
      <c r="AH6" s="172">
        <v>3.5529999999999999</v>
      </c>
      <c r="AI6" s="173">
        <v>0.14799999999999999</v>
      </c>
      <c r="AJ6" s="172">
        <v>3.62</v>
      </c>
      <c r="AK6" s="173">
        <v>0.14699999999999999</v>
      </c>
      <c r="AL6" s="174"/>
      <c r="AM6" s="172">
        <v>3.569</v>
      </c>
      <c r="AN6" s="177">
        <v>2.3220000000000001</v>
      </c>
      <c r="AO6" s="174"/>
      <c r="AP6" s="171">
        <v>14361</v>
      </c>
      <c r="AQ6" s="171">
        <v>1753</v>
      </c>
      <c r="AR6" s="175">
        <v>1</v>
      </c>
      <c r="AS6" s="175">
        <v>0</v>
      </c>
      <c r="AT6" s="176" t="s">
        <v>3285</v>
      </c>
      <c r="AU6" s="171"/>
      <c r="AV6" s="171">
        <v>-7.8899999999999998E-2</v>
      </c>
      <c r="AW6" s="171">
        <v>-7.85E-2</v>
      </c>
      <c r="AY6" t="s">
        <v>1008</v>
      </c>
      <c r="AZ6" t="s">
        <v>1009</v>
      </c>
      <c r="BA6" t="s">
        <v>2175</v>
      </c>
      <c r="BB6" t="s">
        <v>3067</v>
      </c>
    </row>
    <row r="7" spans="1:55">
      <c r="A7" s="145">
        <v>6.01</v>
      </c>
      <c r="B7" s="207"/>
      <c r="C7" t="s">
        <v>346</v>
      </c>
      <c r="D7" t="s">
        <v>3697</v>
      </c>
      <c r="F7" t="s">
        <v>1452</v>
      </c>
      <c r="G7" t="s">
        <v>1413</v>
      </c>
      <c r="H7" t="s">
        <v>2153</v>
      </c>
      <c r="I7" t="s">
        <v>2479</v>
      </c>
      <c r="J7" t="s">
        <v>2480</v>
      </c>
      <c r="K7" t="s">
        <v>3048</v>
      </c>
      <c r="M7" t="s">
        <v>3315</v>
      </c>
      <c r="N7" t="s">
        <v>346</v>
      </c>
      <c r="O7">
        <v>6</v>
      </c>
      <c r="Q7" t="s">
        <v>3395</v>
      </c>
      <c r="R7" t="s">
        <v>346</v>
      </c>
      <c r="S7">
        <v>5</v>
      </c>
      <c r="U7" t="s">
        <v>3519</v>
      </c>
      <c r="V7" t="s">
        <v>346</v>
      </c>
      <c r="W7">
        <v>1</v>
      </c>
      <c r="Y7">
        <v>14</v>
      </c>
      <c r="Z7">
        <v>97.8</v>
      </c>
      <c r="AA7">
        <v>6</v>
      </c>
      <c r="AB7">
        <v>11</v>
      </c>
      <c r="AC7">
        <v>98.9</v>
      </c>
      <c r="AD7">
        <v>3</v>
      </c>
      <c r="AF7" s="170" t="s">
        <v>346</v>
      </c>
      <c r="AG7" s="171">
        <v>0.25519999999999998</v>
      </c>
      <c r="AH7" s="172">
        <v>3.6320000000000001</v>
      </c>
      <c r="AI7" s="173">
        <v>0.13100000000000001</v>
      </c>
      <c r="AJ7" s="172">
        <v>3.5710000000000002</v>
      </c>
      <c r="AK7" s="173">
        <v>0.16500000000000001</v>
      </c>
      <c r="AL7" s="174"/>
      <c r="AM7" s="172">
        <v>3.5089999999999999</v>
      </c>
      <c r="AN7" s="172">
        <v>2.5129999999999999</v>
      </c>
      <c r="AO7" s="174"/>
      <c r="AP7" s="171">
        <v>113860</v>
      </c>
      <c r="AQ7" s="171">
        <v>2786</v>
      </c>
      <c r="AR7" s="175">
        <v>1</v>
      </c>
      <c r="AS7" s="175">
        <v>0</v>
      </c>
      <c r="AT7" s="176" t="s">
        <v>3285</v>
      </c>
      <c r="AU7" s="171"/>
      <c r="AV7" s="171">
        <v>-1.7600000000000001E-2</v>
      </c>
      <c r="AW7" s="171">
        <v>-1.83E-2</v>
      </c>
      <c r="AY7" t="s">
        <v>915</v>
      </c>
      <c r="AZ7" t="s">
        <v>916</v>
      </c>
      <c r="BA7" t="s">
        <v>2156</v>
      </c>
      <c r="BB7" t="s">
        <v>3051</v>
      </c>
    </row>
    <row r="8" spans="1:55" ht="17" thickBot="1">
      <c r="A8" s="146">
        <v>6.01</v>
      </c>
      <c r="B8" s="208"/>
      <c r="C8" s="40" t="s">
        <v>349</v>
      </c>
      <c r="D8" s="40" t="s">
        <v>3698</v>
      </c>
      <c r="E8" s="40"/>
      <c r="F8" s="40" t="s">
        <v>1452</v>
      </c>
      <c r="G8" s="40" t="s">
        <v>1413</v>
      </c>
      <c r="H8" s="40" t="s">
        <v>2164</v>
      </c>
      <c r="I8" s="40" t="s">
        <v>2479</v>
      </c>
      <c r="J8" s="40" t="s">
        <v>2480</v>
      </c>
      <c r="K8" s="40" t="s">
        <v>3057</v>
      </c>
      <c r="L8" s="40"/>
      <c r="M8" s="40" t="s">
        <v>3315</v>
      </c>
      <c r="N8" s="40" t="s">
        <v>349</v>
      </c>
      <c r="O8" s="40">
        <v>6</v>
      </c>
      <c r="P8" s="40"/>
      <c r="Q8" s="40" t="s">
        <v>3483</v>
      </c>
      <c r="R8" s="40" t="s">
        <v>349</v>
      </c>
      <c r="S8" s="40">
        <v>1</v>
      </c>
      <c r="T8" s="40"/>
      <c r="U8" s="40" t="s">
        <v>3629</v>
      </c>
      <c r="V8" s="40" t="s">
        <v>349</v>
      </c>
      <c r="W8" s="40">
        <v>1</v>
      </c>
      <c r="X8" s="40"/>
      <c r="Y8" s="40">
        <v>14</v>
      </c>
      <c r="Z8" s="40">
        <v>96.6</v>
      </c>
      <c r="AA8" s="40">
        <v>10</v>
      </c>
      <c r="AB8" s="40">
        <v>11</v>
      </c>
      <c r="AC8" s="40">
        <v>96.9</v>
      </c>
      <c r="AD8" s="40">
        <v>9</v>
      </c>
      <c r="AE8" s="40"/>
      <c r="AF8" s="85" t="s">
        <v>349</v>
      </c>
      <c r="AG8" s="35">
        <v>0.35449999999999998</v>
      </c>
      <c r="AH8" s="102">
        <v>3.6280000000000001</v>
      </c>
      <c r="AI8" s="102">
        <v>3.4969999999999999</v>
      </c>
      <c r="AJ8" s="102">
        <v>3.677</v>
      </c>
      <c r="AK8" s="90">
        <v>0.22800000000000001</v>
      </c>
      <c r="AL8" s="37"/>
      <c r="AM8" s="102">
        <v>3.6059999999999999</v>
      </c>
      <c r="AN8" s="110">
        <v>2.339</v>
      </c>
      <c r="AO8" s="37"/>
      <c r="AP8" s="35">
        <v>54197.5</v>
      </c>
      <c r="AQ8" s="35">
        <v>2283.5</v>
      </c>
      <c r="AR8" s="93">
        <v>1</v>
      </c>
      <c r="AS8" s="93">
        <v>0</v>
      </c>
      <c r="AT8" s="94" t="s">
        <v>3285</v>
      </c>
      <c r="AU8" s="35"/>
      <c r="AV8" s="35">
        <v>-0.1246</v>
      </c>
      <c r="AW8" s="35">
        <v>-7.3099999999999998E-2</v>
      </c>
      <c r="AX8" s="40"/>
      <c r="AY8" s="40" t="s">
        <v>975</v>
      </c>
      <c r="AZ8" s="40" t="s">
        <v>976</v>
      </c>
      <c r="BA8" s="40" t="s">
        <v>2166</v>
      </c>
      <c r="BB8" s="40" t="s">
        <v>3059</v>
      </c>
      <c r="BC8" s="40"/>
    </row>
    <row r="9" spans="1:55" ht="17" thickBot="1">
      <c r="A9" s="143"/>
      <c r="B9" s="143"/>
      <c r="C9" s="2"/>
      <c r="D9" s="2"/>
      <c r="E9" s="2"/>
      <c r="AY9" s="1"/>
      <c r="AZ9" s="1"/>
    </row>
    <row r="10" spans="1:55">
      <c r="A10" s="168">
        <v>4.01</v>
      </c>
      <c r="B10" s="206">
        <v>4.01</v>
      </c>
      <c r="C10" s="81" t="s">
        <v>339</v>
      </c>
      <c r="D10" s="81" t="s">
        <v>3699</v>
      </c>
      <c r="E10" s="81"/>
      <c r="F10" s="81" t="s">
        <v>1729</v>
      </c>
      <c r="G10" s="81" t="s">
        <v>1413</v>
      </c>
      <c r="H10" s="81" t="s">
        <v>2128</v>
      </c>
      <c r="I10" s="81" t="s">
        <v>2603</v>
      </c>
      <c r="J10" s="81" t="s">
        <v>2452</v>
      </c>
      <c r="K10" s="81" t="s">
        <v>3027</v>
      </c>
      <c r="L10" s="81"/>
      <c r="M10" s="81" t="s">
        <v>3304</v>
      </c>
      <c r="N10" s="81" t="s">
        <v>339</v>
      </c>
      <c r="O10" s="81">
        <v>6</v>
      </c>
      <c r="P10" s="81"/>
      <c r="Q10" s="81" t="s">
        <v>3384</v>
      </c>
      <c r="R10" s="81" t="s">
        <v>339</v>
      </c>
      <c r="S10" s="81">
        <v>2</v>
      </c>
      <c r="T10" s="81"/>
      <c r="U10" s="81" t="s">
        <v>3508</v>
      </c>
      <c r="V10" s="81" t="s">
        <v>339</v>
      </c>
      <c r="W10" s="81">
        <v>2</v>
      </c>
      <c r="X10" s="81"/>
      <c r="Y10" s="81">
        <v>14</v>
      </c>
      <c r="Z10" s="81">
        <v>98.2</v>
      </c>
      <c r="AA10" s="81">
        <v>5</v>
      </c>
      <c r="AB10" s="81">
        <v>9</v>
      </c>
      <c r="AC10" s="81">
        <v>99.2</v>
      </c>
      <c r="AD10" s="81">
        <v>2</v>
      </c>
      <c r="AE10" s="81"/>
      <c r="AF10" s="83" t="s">
        <v>339</v>
      </c>
      <c r="AG10" s="33">
        <v>0.23480000000000001</v>
      </c>
      <c r="AH10" s="100">
        <v>3.577</v>
      </c>
      <c r="AI10" s="100">
        <v>3.5470000000000002</v>
      </c>
      <c r="AJ10" s="100">
        <v>3.6059999999999999</v>
      </c>
      <c r="AK10" s="87">
        <v>0.30399999999999999</v>
      </c>
      <c r="AL10" s="34"/>
      <c r="AM10" s="87">
        <v>9.5000000000000001E-2</v>
      </c>
      <c r="AN10" s="87">
        <v>8.6999999999999994E-2</v>
      </c>
      <c r="AO10" s="34"/>
      <c r="AP10" s="33">
        <v>71944</v>
      </c>
      <c r="AQ10" s="33">
        <v>1806</v>
      </c>
      <c r="AR10" s="88">
        <v>1</v>
      </c>
      <c r="AS10" s="88">
        <v>0</v>
      </c>
      <c r="AT10" s="89" t="s">
        <v>3285</v>
      </c>
      <c r="AU10" s="33"/>
      <c r="AV10" s="33">
        <v>1.0631999999999999</v>
      </c>
      <c r="AW10" s="33">
        <v>2.12E-2</v>
      </c>
      <c r="AX10" s="81"/>
      <c r="AY10" s="81" t="s">
        <v>893</v>
      </c>
      <c r="AZ10" s="81" t="s">
        <v>894</v>
      </c>
      <c r="BA10" s="81" t="s">
        <v>2131</v>
      </c>
      <c r="BB10" s="81" t="s">
        <v>3030</v>
      </c>
      <c r="BC10" s="81"/>
    </row>
    <row r="11" spans="1:55">
      <c r="A11" s="169">
        <v>4.01</v>
      </c>
      <c r="B11" s="207"/>
      <c r="C11" t="s">
        <v>340</v>
      </c>
      <c r="D11" t="s">
        <v>3697</v>
      </c>
      <c r="F11" t="s">
        <v>1729</v>
      </c>
      <c r="G11" t="s">
        <v>1413</v>
      </c>
      <c r="H11" t="s">
        <v>2135</v>
      </c>
      <c r="I11" t="s">
        <v>2603</v>
      </c>
      <c r="J11" t="s">
        <v>2452</v>
      </c>
      <c r="K11" t="s">
        <v>3034</v>
      </c>
      <c r="M11" t="s">
        <v>3304</v>
      </c>
      <c r="N11" t="s">
        <v>340</v>
      </c>
      <c r="O11">
        <v>6</v>
      </c>
      <c r="Q11" t="s">
        <v>3384</v>
      </c>
      <c r="R11" t="s">
        <v>340</v>
      </c>
      <c r="S11">
        <v>2</v>
      </c>
      <c r="U11" t="s">
        <v>3508</v>
      </c>
      <c r="V11" t="s">
        <v>340</v>
      </c>
      <c r="W11">
        <v>2</v>
      </c>
      <c r="Y11">
        <v>14</v>
      </c>
      <c r="Z11">
        <v>99.6</v>
      </c>
      <c r="AA11">
        <v>1</v>
      </c>
      <c r="AB11">
        <v>9</v>
      </c>
      <c r="AC11">
        <v>100</v>
      </c>
      <c r="AD11">
        <v>0</v>
      </c>
      <c r="AF11" s="170" t="s">
        <v>340</v>
      </c>
      <c r="AG11" s="171">
        <v>0.40239999999999998</v>
      </c>
      <c r="AH11" s="179">
        <v>2.5960000000000001</v>
      </c>
      <c r="AI11" s="180">
        <v>2.6629999999999998</v>
      </c>
      <c r="AJ11" s="172">
        <v>3.5289999999999999</v>
      </c>
      <c r="AK11" s="173">
        <v>0.14299999999999999</v>
      </c>
      <c r="AL11" s="174"/>
      <c r="AM11" s="173">
        <v>9.6000000000000002E-2</v>
      </c>
      <c r="AN11" s="173">
        <v>0.09</v>
      </c>
      <c r="AO11" s="174"/>
      <c r="AP11" s="171">
        <v>65649</v>
      </c>
      <c r="AQ11" s="171">
        <v>2161</v>
      </c>
      <c r="AR11" s="175">
        <v>1</v>
      </c>
      <c r="AS11" s="175">
        <v>0</v>
      </c>
      <c r="AT11" s="176" t="s">
        <v>3285</v>
      </c>
      <c r="AU11" s="171"/>
      <c r="AV11" s="171">
        <v>-1.9699999999999999E-2</v>
      </c>
      <c r="AW11" s="171">
        <v>-1.9800000000000002E-2</v>
      </c>
      <c r="AY11" t="s">
        <v>917</v>
      </c>
      <c r="AZ11" t="s">
        <v>918</v>
      </c>
      <c r="BA11" t="s">
        <v>2138</v>
      </c>
      <c r="BB11" t="s">
        <v>3037</v>
      </c>
    </row>
    <row r="12" spans="1:55">
      <c r="A12" s="169">
        <v>4.01</v>
      </c>
      <c r="B12" s="207"/>
      <c r="C12" t="s">
        <v>341</v>
      </c>
      <c r="D12" t="s">
        <v>3694</v>
      </c>
      <c r="F12" t="s">
        <v>1729</v>
      </c>
      <c r="G12" t="s">
        <v>1413</v>
      </c>
      <c r="H12" t="s">
        <v>2139</v>
      </c>
      <c r="I12" t="s">
        <v>2603</v>
      </c>
      <c r="J12" t="s">
        <v>2452</v>
      </c>
      <c r="K12" t="s">
        <v>3038</v>
      </c>
      <c r="M12" t="s">
        <v>3304</v>
      </c>
      <c r="N12" t="s">
        <v>341</v>
      </c>
      <c r="O12">
        <v>6</v>
      </c>
      <c r="Q12" t="s">
        <v>3402</v>
      </c>
      <c r="R12" t="s">
        <v>341</v>
      </c>
      <c r="S12">
        <v>2</v>
      </c>
      <c r="U12" t="s">
        <v>3526</v>
      </c>
      <c r="V12" t="s">
        <v>341</v>
      </c>
      <c r="W12">
        <v>2</v>
      </c>
      <c r="Y12">
        <v>14</v>
      </c>
      <c r="Z12">
        <v>93.6</v>
      </c>
      <c r="AA12">
        <v>19</v>
      </c>
      <c r="AB12">
        <v>9</v>
      </c>
      <c r="AC12">
        <v>97.6</v>
      </c>
      <c r="AD12">
        <v>7</v>
      </c>
      <c r="AF12" s="170" t="s">
        <v>341</v>
      </c>
      <c r="AG12" s="171">
        <v>0.3906</v>
      </c>
      <c r="AH12" s="172">
        <v>3.6150000000000002</v>
      </c>
      <c r="AI12" s="172">
        <v>3.6139999999999999</v>
      </c>
      <c r="AJ12" s="172">
        <v>3.59</v>
      </c>
      <c r="AK12" s="181">
        <v>0.66</v>
      </c>
      <c r="AL12" s="174"/>
      <c r="AM12" s="173">
        <v>0.11</v>
      </c>
      <c r="AN12" s="173">
        <v>8.8999999999999996E-2</v>
      </c>
      <c r="AO12" s="174"/>
      <c r="AP12" s="171">
        <v>15723</v>
      </c>
      <c r="AQ12" s="171">
        <v>1694</v>
      </c>
      <c r="AR12" s="175">
        <v>1</v>
      </c>
      <c r="AS12" s="175">
        <v>0</v>
      </c>
      <c r="AT12" s="176" t="s">
        <v>3285</v>
      </c>
      <c r="AU12" s="171"/>
      <c r="AV12" s="171">
        <v>-6.2600000000000003E-2</v>
      </c>
      <c r="AW12" s="171">
        <v>0.1108</v>
      </c>
      <c r="AY12" t="s">
        <v>507</v>
      </c>
      <c r="AZ12" t="s">
        <v>508</v>
      </c>
      <c r="BA12" t="s">
        <v>2141</v>
      </c>
      <c r="BB12" t="s">
        <v>3040</v>
      </c>
    </row>
    <row r="13" spans="1:55">
      <c r="A13" s="169">
        <v>4.01</v>
      </c>
      <c r="B13" s="207"/>
      <c r="C13" t="s">
        <v>342</v>
      </c>
      <c r="D13" t="s">
        <v>3694</v>
      </c>
      <c r="F13" t="s">
        <v>1729</v>
      </c>
      <c r="G13" t="s">
        <v>1413</v>
      </c>
      <c r="H13" t="s">
        <v>2142</v>
      </c>
      <c r="I13" t="s">
        <v>2603</v>
      </c>
      <c r="J13" t="s">
        <v>2452</v>
      </c>
      <c r="K13" t="s">
        <v>2620</v>
      </c>
      <c r="M13" t="s">
        <v>3304</v>
      </c>
      <c r="N13" t="s">
        <v>342</v>
      </c>
      <c r="O13">
        <v>6</v>
      </c>
      <c r="Q13" t="s">
        <v>3402</v>
      </c>
      <c r="R13" t="s">
        <v>342</v>
      </c>
      <c r="S13">
        <v>2</v>
      </c>
      <c r="U13" t="s">
        <v>3526</v>
      </c>
      <c r="V13" t="s">
        <v>342</v>
      </c>
      <c r="W13">
        <v>2</v>
      </c>
      <c r="Y13">
        <v>14</v>
      </c>
      <c r="Z13">
        <v>93.9</v>
      </c>
      <c r="AA13">
        <v>18</v>
      </c>
      <c r="AB13">
        <v>9</v>
      </c>
      <c r="AC13">
        <v>97.2</v>
      </c>
      <c r="AD13">
        <v>8</v>
      </c>
      <c r="AF13" s="170" t="s">
        <v>342</v>
      </c>
      <c r="AG13" s="171">
        <v>0.47960000000000003</v>
      </c>
      <c r="AH13" s="172">
        <v>3.61</v>
      </c>
      <c r="AI13" s="172">
        <v>3.581</v>
      </c>
      <c r="AJ13" s="172">
        <v>3.6389999999999998</v>
      </c>
      <c r="AK13" s="182">
        <v>0.40200000000000002</v>
      </c>
      <c r="AL13" s="174"/>
      <c r="AM13" s="173">
        <v>0.11600000000000001</v>
      </c>
      <c r="AN13" s="173">
        <v>8.8999999999999996E-2</v>
      </c>
      <c r="AO13" s="174"/>
      <c r="AP13" s="171">
        <v>12655.5</v>
      </c>
      <c r="AQ13" s="171">
        <v>1855.5</v>
      </c>
      <c r="AR13" s="175">
        <v>1</v>
      </c>
      <c r="AS13" s="175">
        <v>0</v>
      </c>
      <c r="AT13" s="176" t="s">
        <v>3285</v>
      </c>
      <c r="AU13" s="171"/>
      <c r="AV13" s="171">
        <v>-7.3700000000000002E-2</v>
      </c>
      <c r="AW13" s="171">
        <v>-6.8400000000000002E-2</v>
      </c>
      <c r="AY13" t="s">
        <v>871</v>
      </c>
      <c r="AZ13" t="s">
        <v>872</v>
      </c>
      <c r="BA13" t="s">
        <v>2145</v>
      </c>
      <c r="BB13" t="s">
        <v>3042</v>
      </c>
    </row>
    <row r="14" spans="1:55">
      <c r="A14" s="169">
        <v>4.01</v>
      </c>
      <c r="B14" s="207"/>
      <c r="C14" t="s">
        <v>343</v>
      </c>
      <c r="D14" t="s">
        <v>3694</v>
      </c>
      <c r="F14" t="s">
        <v>1729</v>
      </c>
      <c r="G14" t="s">
        <v>1413</v>
      </c>
      <c r="H14" t="s">
        <v>2146</v>
      </c>
      <c r="I14" t="s">
        <v>2603</v>
      </c>
      <c r="J14" t="s">
        <v>2452</v>
      </c>
      <c r="K14" t="s">
        <v>3043</v>
      </c>
      <c r="M14" t="s">
        <v>3304</v>
      </c>
      <c r="N14" t="s">
        <v>343</v>
      </c>
      <c r="O14">
        <v>6</v>
      </c>
      <c r="Q14" t="s">
        <v>3446</v>
      </c>
      <c r="R14" t="s">
        <v>343</v>
      </c>
      <c r="S14">
        <v>2</v>
      </c>
      <c r="U14" t="s">
        <v>3578</v>
      </c>
      <c r="V14" t="s">
        <v>343</v>
      </c>
      <c r="W14">
        <v>1</v>
      </c>
      <c r="Y14">
        <v>14</v>
      </c>
      <c r="Z14">
        <v>92.5</v>
      </c>
      <c r="AA14">
        <v>22</v>
      </c>
      <c r="AB14">
        <v>10</v>
      </c>
      <c r="AC14">
        <v>93.7</v>
      </c>
      <c r="AD14">
        <v>18</v>
      </c>
      <c r="AF14" s="170" t="s">
        <v>343</v>
      </c>
      <c r="AG14" s="171">
        <v>0.29899999999999999</v>
      </c>
      <c r="AH14" s="183">
        <v>3.5619999999999998</v>
      </c>
      <c r="AI14" s="183">
        <v>3.5139999999999998</v>
      </c>
      <c r="AJ14" s="183">
        <v>3.577</v>
      </c>
      <c r="AK14" s="184">
        <v>0.89600000000000002</v>
      </c>
      <c r="AL14" s="185"/>
      <c r="AM14" s="173">
        <v>0.12</v>
      </c>
      <c r="AN14" s="173">
        <v>9.6000000000000002E-2</v>
      </c>
      <c r="AO14" s="174"/>
      <c r="AP14" s="171">
        <v>12691</v>
      </c>
      <c r="AQ14" s="171">
        <v>2543</v>
      </c>
      <c r="AR14" s="175">
        <v>1</v>
      </c>
      <c r="AS14" s="175">
        <v>0</v>
      </c>
      <c r="AT14" s="176" t="s">
        <v>3285</v>
      </c>
      <c r="AU14" s="171"/>
      <c r="AV14" s="171">
        <v>-9.1200000000000003E-2</v>
      </c>
      <c r="AW14" s="171">
        <v>-0.1197</v>
      </c>
      <c r="AY14" t="s">
        <v>680</v>
      </c>
      <c r="AZ14" t="s">
        <v>681</v>
      </c>
      <c r="BA14" t="s">
        <v>2149</v>
      </c>
      <c r="BB14" t="s">
        <v>3045</v>
      </c>
    </row>
    <row r="15" spans="1:55" ht="17" thickBot="1">
      <c r="A15" s="178">
        <v>4.01</v>
      </c>
      <c r="B15" s="208"/>
      <c r="C15" s="40" t="s">
        <v>344</v>
      </c>
      <c r="D15" s="40" t="s">
        <v>3693</v>
      </c>
      <c r="E15" s="40"/>
      <c r="F15" s="40" t="s">
        <v>1729</v>
      </c>
      <c r="G15" s="40" t="s">
        <v>1413</v>
      </c>
      <c r="H15" s="40" t="s">
        <v>2150</v>
      </c>
      <c r="I15" s="40" t="s">
        <v>2603</v>
      </c>
      <c r="J15" s="40" t="s">
        <v>2452</v>
      </c>
      <c r="K15" s="40" t="s">
        <v>3034</v>
      </c>
      <c r="L15" s="40"/>
      <c r="M15" s="40" t="s">
        <v>3304</v>
      </c>
      <c r="N15" s="40" t="s">
        <v>344</v>
      </c>
      <c r="O15" s="40">
        <v>6</v>
      </c>
      <c r="P15" s="40"/>
      <c r="Q15" s="40" t="s">
        <v>3446</v>
      </c>
      <c r="R15" s="40" t="s">
        <v>344</v>
      </c>
      <c r="S15" s="40">
        <v>2</v>
      </c>
      <c r="T15" s="40"/>
      <c r="U15" s="40" t="s">
        <v>3660</v>
      </c>
      <c r="V15" s="40" t="s">
        <v>344</v>
      </c>
      <c r="W15" s="40">
        <v>1</v>
      </c>
      <c r="X15" s="40"/>
      <c r="Y15" s="40">
        <v>14</v>
      </c>
      <c r="Z15" s="40">
        <v>97.3</v>
      </c>
      <c r="AA15" s="40">
        <v>8</v>
      </c>
      <c r="AB15" s="40">
        <v>9</v>
      </c>
      <c r="AC15" s="40">
        <v>99.3</v>
      </c>
      <c r="AD15" s="40">
        <v>2</v>
      </c>
      <c r="AE15" s="40"/>
      <c r="AF15" s="85" t="s">
        <v>345</v>
      </c>
      <c r="AG15" s="35">
        <v>0.27310000000000001</v>
      </c>
      <c r="AH15" s="102">
        <v>3.5579999999999998</v>
      </c>
      <c r="AI15" s="102">
        <v>3.5110000000000001</v>
      </c>
      <c r="AJ15" s="102">
        <v>3.5640000000000001</v>
      </c>
      <c r="AK15" s="90">
        <v>0.19800000000000001</v>
      </c>
      <c r="AL15" s="37"/>
      <c r="AM15" s="90">
        <v>0.12</v>
      </c>
      <c r="AN15" s="90">
        <v>0.17699999999999999</v>
      </c>
      <c r="AO15" s="37"/>
      <c r="AP15" s="35">
        <v>22326</v>
      </c>
      <c r="AQ15" s="35">
        <v>1727</v>
      </c>
      <c r="AR15" s="93">
        <v>1</v>
      </c>
      <c r="AS15" s="93">
        <v>0</v>
      </c>
      <c r="AT15" s="94" t="s">
        <v>3285</v>
      </c>
      <c r="AU15" s="35"/>
      <c r="AV15" s="35">
        <v>-7.5300000000000006E-2</v>
      </c>
      <c r="AW15" s="35">
        <v>-3.8199999999999998E-2</v>
      </c>
      <c r="AX15" s="40"/>
      <c r="AY15" s="40" t="s">
        <v>1095</v>
      </c>
      <c r="AZ15" s="40" t="s">
        <v>1096</v>
      </c>
      <c r="BA15" s="40" t="s">
        <v>2152</v>
      </c>
      <c r="BB15" s="40" t="s">
        <v>3047</v>
      </c>
      <c r="BC15" s="40"/>
    </row>
    <row r="16" spans="1:55" ht="17" thickBot="1">
      <c r="A16" s="143"/>
      <c r="B16" s="143"/>
      <c r="C16" s="2"/>
      <c r="D16" s="2"/>
      <c r="E16" s="2"/>
      <c r="AY16" s="1"/>
      <c r="AZ16" s="1"/>
    </row>
    <row r="17" spans="1:55">
      <c r="A17" s="168">
        <v>3.01</v>
      </c>
      <c r="B17" s="206">
        <v>3.01</v>
      </c>
      <c r="C17" s="81" t="s">
        <v>303</v>
      </c>
      <c r="D17" s="81" t="s">
        <v>3699</v>
      </c>
      <c r="E17" s="81"/>
      <c r="F17" s="81" t="s">
        <v>1869</v>
      </c>
      <c r="G17" s="81" t="s">
        <v>1767</v>
      </c>
      <c r="H17" s="81" t="s">
        <v>2015</v>
      </c>
      <c r="I17" s="81" t="s">
        <v>2441</v>
      </c>
      <c r="J17" s="81" t="s">
        <v>2433</v>
      </c>
      <c r="K17" s="81" t="s">
        <v>2922</v>
      </c>
      <c r="L17" s="81"/>
      <c r="M17" s="81" t="s">
        <v>3300</v>
      </c>
      <c r="N17" s="81" t="s">
        <v>303</v>
      </c>
      <c r="O17" s="81">
        <v>3</v>
      </c>
      <c r="P17" s="81"/>
      <c r="Q17" s="81" t="s">
        <v>3380</v>
      </c>
      <c r="R17" s="81" t="s">
        <v>303</v>
      </c>
      <c r="S17" s="81">
        <v>3</v>
      </c>
      <c r="T17" s="81"/>
      <c r="U17" s="81" t="s">
        <v>3380</v>
      </c>
      <c r="V17" s="81" t="s">
        <v>303</v>
      </c>
      <c r="W17" s="81">
        <v>3</v>
      </c>
      <c r="X17" s="81"/>
      <c r="Y17" s="81">
        <v>13</v>
      </c>
      <c r="Z17" s="81">
        <v>100</v>
      </c>
      <c r="AA17" s="81">
        <v>0</v>
      </c>
      <c r="AB17" s="81">
        <v>11</v>
      </c>
      <c r="AC17" s="81">
        <v>98.9</v>
      </c>
      <c r="AD17" s="81">
        <v>3</v>
      </c>
      <c r="AE17" s="81"/>
      <c r="AF17" s="83" t="s">
        <v>303</v>
      </c>
      <c r="AG17" s="33">
        <v>0.32319999999999999</v>
      </c>
      <c r="AH17" s="100">
        <v>3.5859999999999999</v>
      </c>
      <c r="AI17" s="87">
        <v>0.13600000000000001</v>
      </c>
      <c r="AJ17" s="87">
        <v>0.125</v>
      </c>
      <c r="AK17" s="87">
        <v>0.13500000000000001</v>
      </c>
      <c r="AL17" s="34"/>
      <c r="AM17" s="87">
        <v>0.114</v>
      </c>
      <c r="AN17" s="87">
        <v>8.4000000000000005E-2</v>
      </c>
      <c r="AO17" s="34"/>
      <c r="AP17" s="33">
        <v>173494</v>
      </c>
      <c r="AQ17" s="33">
        <v>1951</v>
      </c>
      <c r="AR17" s="88">
        <v>1</v>
      </c>
      <c r="AS17" s="88">
        <v>0</v>
      </c>
      <c r="AT17" s="89" t="s">
        <v>3285</v>
      </c>
      <c r="AU17" s="33"/>
      <c r="AV17" s="33">
        <v>3.4200000000000001E-2</v>
      </c>
      <c r="AW17" s="33">
        <v>0.52639999999999998</v>
      </c>
      <c r="AX17" s="81"/>
      <c r="AY17" s="81" t="s">
        <v>883</v>
      </c>
      <c r="AZ17" s="81" t="s">
        <v>884</v>
      </c>
      <c r="BA17" s="81" t="s">
        <v>2018</v>
      </c>
      <c r="BB17" s="81" t="s">
        <v>2925</v>
      </c>
      <c r="BC17" s="81"/>
    </row>
    <row r="18" spans="1:55">
      <c r="A18" s="169">
        <v>3.01</v>
      </c>
      <c r="B18" s="207"/>
      <c r="C18" t="s">
        <v>304</v>
      </c>
      <c r="D18" t="s">
        <v>3700</v>
      </c>
      <c r="F18" t="s">
        <v>1869</v>
      </c>
      <c r="G18" t="s">
        <v>1767</v>
      </c>
      <c r="H18" t="s">
        <v>2015</v>
      </c>
      <c r="I18" t="s">
        <v>2441</v>
      </c>
      <c r="J18" t="s">
        <v>2433</v>
      </c>
      <c r="K18" t="s">
        <v>2930</v>
      </c>
      <c r="M18" t="s">
        <v>3300</v>
      </c>
      <c r="N18" t="s">
        <v>304</v>
      </c>
      <c r="O18">
        <v>3</v>
      </c>
      <c r="Q18" t="s">
        <v>3380</v>
      </c>
      <c r="R18" t="s">
        <v>304</v>
      </c>
      <c r="S18">
        <v>3</v>
      </c>
      <c r="U18" t="s">
        <v>3380</v>
      </c>
      <c r="V18" t="s">
        <v>304</v>
      </c>
      <c r="W18">
        <v>3</v>
      </c>
      <c r="Y18">
        <v>13</v>
      </c>
      <c r="Z18">
        <v>98.6</v>
      </c>
      <c r="AA18">
        <v>4</v>
      </c>
      <c r="AB18">
        <v>11</v>
      </c>
      <c r="AC18">
        <v>98.3</v>
      </c>
      <c r="AD18">
        <v>5</v>
      </c>
      <c r="AF18" s="170" t="s">
        <v>305</v>
      </c>
      <c r="AG18" s="171">
        <v>5.7410000000000003E-2</v>
      </c>
      <c r="AH18" s="172">
        <v>3.6150000000000002</v>
      </c>
      <c r="AI18" s="173">
        <v>0.13600000000000001</v>
      </c>
      <c r="AJ18" s="173">
        <v>0.11</v>
      </c>
      <c r="AK18" s="173">
        <v>0.11899999999999999</v>
      </c>
      <c r="AL18" s="174"/>
      <c r="AM18" s="173">
        <v>0.104</v>
      </c>
      <c r="AN18" s="173">
        <v>8.5999999999999993E-2</v>
      </c>
      <c r="AO18" s="174"/>
      <c r="AP18" s="171">
        <v>296796</v>
      </c>
      <c r="AQ18" s="171">
        <v>1856</v>
      </c>
      <c r="AR18" s="175">
        <v>1</v>
      </c>
      <c r="AS18" s="175">
        <v>0</v>
      </c>
      <c r="AT18" s="176" t="s">
        <v>3285</v>
      </c>
      <c r="AU18" s="171"/>
      <c r="AV18" s="171">
        <v>-7.9100000000000004E-2</v>
      </c>
      <c r="AW18" s="171">
        <v>-7.4399999999999994E-2</v>
      </c>
      <c r="AY18" t="s">
        <v>1099</v>
      </c>
      <c r="AZ18" t="s">
        <v>1100</v>
      </c>
      <c r="BA18" t="s">
        <v>2024</v>
      </c>
      <c r="BB18" t="s">
        <v>2932</v>
      </c>
    </row>
    <row r="19" spans="1:55" ht="17" thickBot="1">
      <c r="A19" s="178">
        <v>3.01</v>
      </c>
      <c r="B19" s="208"/>
      <c r="C19" s="40" t="s">
        <v>306</v>
      </c>
      <c r="D19" s="40" t="s">
        <v>3701</v>
      </c>
      <c r="E19" s="40"/>
      <c r="F19" s="40" t="s">
        <v>1869</v>
      </c>
      <c r="G19" s="40" t="s">
        <v>1767</v>
      </c>
      <c r="H19" s="40" t="s">
        <v>2015</v>
      </c>
      <c r="I19" s="40" t="s">
        <v>2441</v>
      </c>
      <c r="J19" s="40" t="s">
        <v>2433</v>
      </c>
      <c r="K19" s="40" t="s">
        <v>2933</v>
      </c>
      <c r="L19" s="40"/>
      <c r="M19" s="40" t="s">
        <v>3300</v>
      </c>
      <c r="N19" s="40" t="s">
        <v>306</v>
      </c>
      <c r="O19" s="40">
        <v>3</v>
      </c>
      <c r="P19" s="40"/>
      <c r="Q19" s="40" t="s">
        <v>3380</v>
      </c>
      <c r="R19" s="40" t="s">
        <v>306</v>
      </c>
      <c r="S19" s="40">
        <v>3</v>
      </c>
      <c r="T19" s="40"/>
      <c r="U19" s="40" t="s">
        <v>3380</v>
      </c>
      <c r="V19" s="40" t="s">
        <v>306</v>
      </c>
      <c r="W19" s="40">
        <v>3</v>
      </c>
      <c r="X19" s="40"/>
      <c r="Y19" s="40">
        <v>13</v>
      </c>
      <c r="Z19" s="40">
        <v>99</v>
      </c>
      <c r="AA19" s="40">
        <v>3</v>
      </c>
      <c r="AB19" s="40">
        <v>11</v>
      </c>
      <c r="AC19" s="40">
        <v>94.8</v>
      </c>
      <c r="AD19" s="40">
        <v>15</v>
      </c>
      <c r="AE19" s="40"/>
      <c r="AF19" s="85" t="s">
        <v>306</v>
      </c>
      <c r="AG19" s="35">
        <v>1.7899999999999999E-2</v>
      </c>
      <c r="AH19" s="102">
        <v>3.613</v>
      </c>
      <c r="AI19" s="90">
        <v>0.13900000000000001</v>
      </c>
      <c r="AJ19" s="90">
        <v>0.108</v>
      </c>
      <c r="AK19" s="90">
        <v>0.12</v>
      </c>
      <c r="AL19" s="37"/>
      <c r="AM19" s="90">
        <v>0.11600000000000001</v>
      </c>
      <c r="AN19" s="90">
        <v>8.7999999999999995E-2</v>
      </c>
      <c r="AO19" s="37"/>
      <c r="AP19" s="35">
        <v>468437.5</v>
      </c>
      <c r="AQ19" s="35">
        <v>3913</v>
      </c>
      <c r="AR19" s="93">
        <v>1</v>
      </c>
      <c r="AS19" s="93">
        <v>0</v>
      </c>
      <c r="AT19" s="94" t="s">
        <v>3285</v>
      </c>
      <c r="AU19" s="35"/>
      <c r="AV19" s="35">
        <v>-8.4400000000000003E-2</v>
      </c>
      <c r="AW19" s="35">
        <v>-7.2099999999999997E-2</v>
      </c>
      <c r="AX19" s="40"/>
      <c r="AY19" s="40" t="s">
        <v>982</v>
      </c>
      <c r="AZ19" s="40" t="s">
        <v>983</v>
      </c>
      <c r="BA19" s="40" t="s">
        <v>2026</v>
      </c>
      <c r="BB19" s="40" t="s">
        <v>2935</v>
      </c>
      <c r="BC19" s="40"/>
    </row>
    <row r="20" spans="1:55">
      <c r="A20" s="168">
        <v>3.02</v>
      </c>
      <c r="B20" s="206">
        <v>3.02</v>
      </c>
      <c r="C20" s="81" t="s">
        <v>307</v>
      </c>
      <c r="D20" s="81" t="s">
        <v>3694</v>
      </c>
      <c r="E20" s="81"/>
      <c r="F20" s="81" t="s">
        <v>1602</v>
      </c>
      <c r="G20" s="81" t="s">
        <v>1413</v>
      </c>
      <c r="H20" s="81" t="s">
        <v>2027</v>
      </c>
      <c r="I20" s="81" t="s">
        <v>2451</v>
      </c>
      <c r="J20" s="81" t="s">
        <v>2411</v>
      </c>
      <c r="K20" s="81" t="s">
        <v>2936</v>
      </c>
      <c r="L20" s="81"/>
      <c r="M20" s="81" t="s">
        <v>3361</v>
      </c>
      <c r="N20" s="81" t="s">
        <v>307</v>
      </c>
      <c r="O20" s="81">
        <v>5</v>
      </c>
      <c r="P20" s="81"/>
      <c r="Q20" s="81" t="s">
        <v>3461</v>
      </c>
      <c r="R20" s="81" t="s">
        <v>307</v>
      </c>
      <c r="S20" s="81">
        <v>3</v>
      </c>
      <c r="T20" s="81"/>
      <c r="U20" s="81" t="s">
        <v>3597</v>
      </c>
      <c r="V20" s="81" t="s">
        <v>307</v>
      </c>
      <c r="W20" s="81">
        <v>2</v>
      </c>
      <c r="X20" s="81"/>
      <c r="Y20" s="81">
        <v>17</v>
      </c>
      <c r="Z20" s="81">
        <v>94.9</v>
      </c>
      <c r="AA20" s="81">
        <v>15</v>
      </c>
      <c r="AB20" s="81">
        <v>10</v>
      </c>
      <c r="AC20" s="81">
        <v>98.6</v>
      </c>
      <c r="AD20" s="81">
        <v>4</v>
      </c>
      <c r="AE20" s="81"/>
      <c r="AF20" s="83" t="s">
        <v>307</v>
      </c>
      <c r="AG20" s="33">
        <v>0.1013</v>
      </c>
      <c r="AH20" s="100">
        <v>3.54</v>
      </c>
      <c r="AI20" s="100">
        <v>3.55</v>
      </c>
      <c r="AJ20" s="105">
        <v>3.3319999999999999</v>
      </c>
      <c r="AK20" s="87">
        <v>0.13200000000000001</v>
      </c>
      <c r="AL20" s="34"/>
      <c r="AM20" s="100">
        <v>3.5129999999999999</v>
      </c>
      <c r="AN20" s="114">
        <v>2.0409999999999999</v>
      </c>
      <c r="AO20" s="34"/>
      <c r="AP20" s="33">
        <v>28062.5</v>
      </c>
      <c r="AQ20" s="33">
        <v>116395</v>
      </c>
      <c r="AR20" s="88">
        <v>1</v>
      </c>
      <c r="AS20" s="88">
        <v>1</v>
      </c>
      <c r="AT20" s="89" t="s">
        <v>3286</v>
      </c>
      <c r="AU20" s="33"/>
      <c r="AV20" s="33">
        <v>-3.5999999999999999E-3</v>
      </c>
      <c r="AW20" s="33">
        <v>-1.06E-2</v>
      </c>
      <c r="AX20" s="81"/>
      <c r="AY20" s="81" t="s">
        <v>755</v>
      </c>
      <c r="AZ20" s="81" t="s">
        <v>756</v>
      </c>
      <c r="BA20" s="81" t="s">
        <v>2029</v>
      </c>
      <c r="BB20" s="81" t="s">
        <v>2939</v>
      </c>
      <c r="BC20" s="81"/>
    </row>
    <row r="21" spans="1:55">
      <c r="A21" s="169">
        <v>3.02</v>
      </c>
      <c r="B21" s="207"/>
      <c r="C21" t="s">
        <v>309</v>
      </c>
      <c r="D21" t="s">
        <v>3702</v>
      </c>
      <c r="F21" t="s">
        <v>1602</v>
      </c>
      <c r="G21" t="s">
        <v>1413</v>
      </c>
      <c r="H21" t="s">
        <v>2034</v>
      </c>
      <c r="I21" t="s">
        <v>2451</v>
      </c>
      <c r="J21" t="s">
        <v>2411</v>
      </c>
      <c r="K21" t="s">
        <v>2942</v>
      </c>
      <c r="M21" t="s">
        <v>3361</v>
      </c>
      <c r="N21" t="s">
        <v>309</v>
      </c>
      <c r="O21">
        <v>5</v>
      </c>
      <c r="Q21" t="s">
        <v>3461</v>
      </c>
      <c r="R21" t="s">
        <v>309</v>
      </c>
      <c r="S21">
        <v>3</v>
      </c>
      <c r="U21" t="s">
        <v>3597</v>
      </c>
      <c r="V21" t="s">
        <v>309</v>
      </c>
      <c r="W21">
        <v>2</v>
      </c>
      <c r="Y21">
        <v>17</v>
      </c>
      <c r="Z21">
        <v>100</v>
      </c>
      <c r="AA21">
        <v>0</v>
      </c>
      <c r="AB21">
        <v>11</v>
      </c>
      <c r="AC21">
        <v>100</v>
      </c>
      <c r="AD21">
        <v>0</v>
      </c>
      <c r="AF21" s="170" t="s">
        <v>310</v>
      </c>
      <c r="AG21" s="171">
        <v>0.12540000000000001</v>
      </c>
      <c r="AH21" s="173">
        <v>0.129</v>
      </c>
      <c r="AI21" s="173">
        <v>0.14199999999999999</v>
      </c>
      <c r="AJ21" s="173">
        <v>0.13700000000000001</v>
      </c>
      <c r="AK21" s="173">
        <v>0.14199999999999999</v>
      </c>
      <c r="AL21" s="174"/>
      <c r="AM21" s="173">
        <v>0.13600000000000001</v>
      </c>
      <c r="AN21" s="173">
        <v>0.11</v>
      </c>
      <c r="AO21" s="174"/>
      <c r="AP21" s="171">
        <v>8190</v>
      </c>
      <c r="AQ21" s="171">
        <v>36558</v>
      </c>
      <c r="AR21" s="175">
        <v>1</v>
      </c>
      <c r="AS21" s="175">
        <v>1</v>
      </c>
      <c r="AT21" s="176" t="s">
        <v>3286</v>
      </c>
      <c r="AU21" s="171"/>
      <c r="AV21" s="171">
        <v>-7.3899999999999993E-2</v>
      </c>
      <c r="AW21" s="171">
        <v>-7.8899999999999998E-2</v>
      </c>
      <c r="AY21" t="s">
        <v>1020</v>
      </c>
      <c r="AZ21" t="s">
        <v>1021</v>
      </c>
      <c r="BA21" t="s">
        <v>2036</v>
      </c>
      <c r="BB21" t="s">
        <v>2944</v>
      </c>
    </row>
    <row r="22" spans="1:55">
      <c r="A22" s="169">
        <v>3.02</v>
      </c>
      <c r="B22" s="207"/>
      <c r="C22" t="s">
        <v>313</v>
      </c>
      <c r="D22" t="s">
        <v>3697</v>
      </c>
      <c r="F22" t="s">
        <v>1602</v>
      </c>
      <c r="G22" t="s">
        <v>1413</v>
      </c>
      <c r="H22" t="s">
        <v>2040</v>
      </c>
      <c r="I22" t="s">
        <v>2451</v>
      </c>
      <c r="J22" t="s">
        <v>2411</v>
      </c>
      <c r="K22" t="s">
        <v>2948</v>
      </c>
      <c r="M22" t="s">
        <v>3361</v>
      </c>
      <c r="N22" t="s">
        <v>313</v>
      </c>
      <c r="O22">
        <v>5</v>
      </c>
      <c r="Q22" t="s">
        <v>3461</v>
      </c>
      <c r="R22" t="s">
        <v>313</v>
      </c>
      <c r="S22">
        <v>3</v>
      </c>
      <c r="U22" t="s">
        <v>3645</v>
      </c>
      <c r="V22" t="s">
        <v>313</v>
      </c>
      <c r="W22">
        <v>1</v>
      </c>
      <c r="Y22">
        <v>17</v>
      </c>
      <c r="Z22">
        <v>97.6</v>
      </c>
      <c r="AA22">
        <v>7</v>
      </c>
      <c r="AB22">
        <v>10</v>
      </c>
      <c r="AC22">
        <v>95.8</v>
      </c>
      <c r="AD22">
        <v>12</v>
      </c>
      <c r="AF22" s="170" t="s">
        <v>314</v>
      </c>
      <c r="AG22" s="171">
        <v>7.4520000000000003E-2</v>
      </c>
      <c r="AH22" s="172">
        <v>3.57</v>
      </c>
      <c r="AI22" s="172">
        <v>3.4910000000000001</v>
      </c>
      <c r="AJ22" s="172">
        <v>3.5579999999999998</v>
      </c>
      <c r="AK22" s="173">
        <v>0.13300000000000001</v>
      </c>
      <c r="AL22" s="174"/>
      <c r="AM22" s="172">
        <v>3.4670000000000001</v>
      </c>
      <c r="AN22" s="186">
        <v>2.226</v>
      </c>
      <c r="AO22" s="174"/>
      <c r="AP22" s="171">
        <v>8182</v>
      </c>
      <c r="AQ22" s="171">
        <v>104425.5</v>
      </c>
      <c r="AR22" s="175">
        <v>1</v>
      </c>
      <c r="AS22" s="175">
        <v>1</v>
      </c>
      <c r="AT22" s="176" t="s">
        <v>3286</v>
      </c>
      <c r="AU22" s="171"/>
      <c r="AV22" s="171">
        <v>-7.1599999999999997E-2</v>
      </c>
      <c r="AW22" s="171">
        <v>-4.1000000000000002E-2</v>
      </c>
      <c r="AY22" t="s">
        <v>1059</v>
      </c>
      <c r="AZ22" t="s">
        <v>1060</v>
      </c>
      <c r="BA22" t="s">
        <v>2042</v>
      </c>
      <c r="BB22" t="s">
        <v>2950</v>
      </c>
    </row>
    <row r="23" spans="1:55">
      <c r="A23" s="169">
        <v>3.02</v>
      </c>
      <c r="B23" s="207"/>
      <c r="C23" t="s">
        <v>308</v>
      </c>
      <c r="D23" t="s">
        <v>3694</v>
      </c>
      <c r="F23" t="s">
        <v>1602</v>
      </c>
      <c r="G23" t="s">
        <v>1413</v>
      </c>
      <c r="H23" t="s">
        <v>2030</v>
      </c>
      <c r="I23" t="s">
        <v>2451</v>
      </c>
      <c r="J23" t="s">
        <v>2411</v>
      </c>
      <c r="K23" t="s">
        <v>2936</v>
      </c>
      <c r="M23" t="s">
        <v>3361</v>
      </c>
      <c r="N23" t="s">
        <v>308</v>
      </c>
      <c r="O23">
        <v>5</v>
      </c>
      <c r="Q23" t="s">
        <v>3469</v>
      </c>
      <c r="R23" t="s">
        <v>308</v>
      </c>
      <c r="S23">
        <v>1</v>
      </c>
      <c r="U23" t="s">
        <v>3607</v>
      </c>
      <c r="V23" t="s">
        <v>308</v>
      </c>
      <c r="W23">
        <v>1</v>
      </c>
      <c r="Y23">
        <v>17</v>
      </c>
      <c r="Z23">
        <v>95.6</v>
      </c>
      <c r="AA23">
        <v>13</v>
      </c>
      <c r="AB23">
        <v>10</v>
      </c>
      <c r="AC23">
        <v>99</v>
      </c>
      <c r="AD23">
        <v>3</v>
      </c>
      <c r="AF23" s="170" t="s">
        <v>308</v>
      </c>
      <c r="AG23" s="171">
        <v>0.15609999999999999</v>
      </c>
      <c r="AH23" s="172">
        <v>3.5390000000000001</v>
      </c>
      <c r="AI23" s="172">
        <v>3.5489999999999999</v>
      </c>
      <c r="AJ23" s="177">
        <v>3.379</v>
      </c>
      <c r="AK23" s="173">
        <v>0.13200000000000001</v>
      </c>
      <c r="AL23" s="174"/>
      <c r="AM23" s="172">
        <v>3.5449999999999999</v>
      </c>
      <c r="AN23" s="186">
        <v>2.1070000000000002</v>
      </c>
      <c r="AO23" s="174"/>
      <c r="AP23" s="171">
        <v>27805</v>
      </c>
      <c r="AQ23" s="171">
        <v>73273</v>
      </c>
      <c r="AR23" s="175">
        <v>1</v>
      </c>
      <c r="AS23" s="175">
        <v>1</v>
      </c>
      <c r="AT23" s="176" t="s">
        <v>3286</v>
      </c>
      <c r="AU23" s="171"/>
      <c r="AV23" s="171">
        <v>1.35E-2</v>
      </c>
      <c r="AW23" s="171">
        <v>1.21E-2</v>
      </c>
      <c r="AY23" t="s">
        <v>811</v>
      </c>
      <c r="AZ23" t="s">
        <v>812</v>
      </c>
      <c r="BA23" t="s">
        <v>2033</v>
      </c>
      <c r="BB23" t="s">
        <v>2941</v>
      </c>
    </row>
    <row r="24" spans="1:55" ht="17" thickBot="1">
      <c r="A24" s="178">
        <v>3.02</v>
      </c>
      <c r="B24" s="208"/>
      <c r="C24" s="40" t="s">
        <v>311</v>
      </c>
      <c r="D24" s="40" t="s">
        <v>3697</v>
      </c>
      <c r="E24" s="40"/>
      <c r="F24" s="40" t="s">
        <v>1602</v>
      </c>
      <c r="G24" s="40" t="s">
        <v>1413</v>
      </c>
      <c r="H24" s="40" t="s">
        <v>2037</v>
      </c>
      <c r="I24" s="40" t="s">
        <v>2451</v>
      </c>
      <c r="J24" s="40" t="s">
        <v>2411</v>
      </c>
      <c r="K24" s="40" t="s">
        <v>2945</v>
      </c>
      <c r="L24" s="40"/>
      <c r="M24" s="40" t="s">
        <v>3361</v>
      </c>
      <c r="N24" s="40" t="s">
        <v>311</v>
      </c>
      <c r="O24" s="40">
        <v>5</v>
      </c>
      <c r="P24" s="40"/>
      <c r="Q24" s="40" t="s">
        <v>3487</v>
      </c>
      <c r="R24" s="40" t="s">
        <v>311</v>
      </c>
      <c r="S24" s="40">
        <v>1</v>
      </c>
      <c r="T24" s="40"/>
      <c r="U24" s="40" t="s">
        <v>3636</v>
      </c>
      <c r="V24" s="40" t="s">
        <v>311</v>
      </c>
      <c r="W24" s="40">
        <v>1</v>
      </c>
      <c r="X24" s="40"/>
      <c r="Y24" s="40">
        <v>17</v>
      </c>
      <c r="Z24" s="40">
        <v>93.9</v>
      </c>
      <c r="AA24" s="40">
        <v>18</v>
      </c>
      <c r="AB24" s="40">
        <v>10</v>
      </c>
      <c r="AC24" s="40">
        <v>95.8</v>
      </c>
      <c r="AD24" s="40">
        <v>12</v>
      </c>
      <c r="AE24" s="40"/>
      <c r="AF24" s="85" t="s">
        <v>312</v>
      </c>
      <c r="AG24" s="35">
        <v>0.1013</v>
      </c>
      <c r="AH24" s="102">
        <v>3.48</v>
      </c>
      <c r="AI24" s="102">
        <v>3.552</v>
      </c>
      <c r="AJ24" s="103">
        <v>2.7229999999999999</v>
      </c>
      <c r="AK24" s="90">
        <v>0.124</v>
      </c>
      <c r="AL24" s="37"/>
      <c r="AM24" s="102">
        <v>3.5110000000000001</v>
      </c>
      <c r="AN24" s="107">
        <v>1.9019999999999999</v>
      </c>
      <c r="AO24" s="37"/>
      <c r="AP24" s="35">
        <v>9654</v>
      </c>
      <c r="AQ24" s="35">
        <v>128771.5</v>
      </c>
      <c r="AR24" s="93">
        <v>1</v>
      </c>
      <c r="AS24" s="93">
        <v>1</v>
      </c>
      <c r="AT24" s="94" t="s">
        <v>3286</v>
      </c>
      <c r="AU24" s="35"/>
      <c r="AV24" s="35">
        <v>-0.1103</v>
      </c>
      <c r="AW24" s="35">
        <v>9.9000000000000008E-3</v>
      </c>
      <c r="AX24" s="40"/>
      <c r="AY24" s="40" t="s">
        <v>1034</v>
      </c>
      <c r="AZ24" s="40" t="s">
        <v>1035</v>
      </c>
      <c r="BA24" s="40" t="s">
        <v>2039</v>
      </c>
      <c r="BB24" s="40" t="s">
        <v>2947</v>
      </c>
      <c r="BC24" s="40"/>
    </row>
    <row r="25" spans="1:55">
      <c r="A25" s="168">
        <v>3.03</v>
      </c>
      <c r="B25" s="206">
        <v>3.03</v>
      </c>
      <c r="C25" s="81" t="s">
        <v>317</v>
      </c>
      <c r="D25" s="81" t="s">
        <v>3695</v>
      </c>
      <c r="E25" s="81"/>
      <c r="F25" s="81" t="s">
        <v>1844</v>
      </c>
      <c r="G25" s="81" t="s">
        <v>1413</v>
      </c>
      <c r="H25" s="81" t="s">
        <v>2046</v>
      </c>
      <c r="I25" s="81" t="s">
        <v>2451</v>
      </c>
      <c r="J25" s="81" t="s">
        <v>2452</v>
      </c>
      <c r="K25" s="81" t="s">
        <v>2954</v>
      </c>
      <c r="L25" s="81"/>
      <c r="M25" s="81" t="s">
        <v>3372</v>
      </c>
      <c r="N25" s="81" t="s">
        <v>317</v>
      </c>
      <c r="O25" s="81">
        <v>5</v>
      </c>
      <c r="P25" s="81"/>
      <c r="Q25" s="81" t="s">
        <v>3489</v>
      </c>
      <c r="R25" s="81" t="s">
        <v>317</v>
      </c>
      <c r="S25" s="81">
        <v>5</v>
      </c>
      <c r="T25" s="81"/>
      <c r="U25" s="81" t="s">
        <v>3666</v>
      </c>
      <c r="V25" s="81" t="s">
        <v>317</v>
      </c>
      <c r="W25" s="81">
        <v>3</v>
      </c>
      <c r="X25" s="81"/>
      <c r="Y25" s="81">
        <v>6</v>
      </c>
      <c r="Z25" s="81">
        <v>93.3</v>
      </c>
      <c r="AA25" s="81">
        <v>20</v>
      </c>
      <c r="AB25" s="81">
        <v>9</v>
      </c>
      <c r="AC25" s="81">
        <v>96.8</v>
      </c>
      <c r="AD25" s="81">
        <v>9</v>
      </c>
      <c r="AE25" s="81"/>
      <c r="AF25" s="83" t="s">
        <v>317</v>
      </c>
      <c r="AG25" s="33">
        <v>0.60040000000000004</v>
      </c>
      <c r="AH25" s="100">
        <v>3.5990000000000002</v>
      </c>
      <c r="AI25" s="100">
        <v>3.5369999999999999</v>
      </c>
      <c r="AJ25" s="100">
        <v>3.5459999999999998</v>
      </c>
      <c r="AK25" s="87">
        <v>0.26600000000000001</v>
      </c>
      <c r="AL25" s="34"/>
      <c r="AM25" s="87">
        <v>0.11700000000000001</v>
      </c>
      <c r="AN25" s="87">
        <v>0.10299999999999999</v>
      </c>
      <c r="AO25" s="34"/>
      <c r="AP25" s="33">
        <v>7933.5</v>
      </c>
      <c r="AQ25" s="33">
        <v>1757</v>
      </c>
      <c r="AR25" s="88">
        <v>0</v>
      </c>
      <c r="AS25" s="88">
        <v>0</v>
      </c>
      <c r="AT25" s="89" t="s">
        <v>3285</v>
      </c>
      <c r="AU25" s="33"/>
      <c r="AV25" s="33">
        <v>-0.13689999999999999</v>
      </c>
      <c r="AW25" s="33">
        <v>-4.2099999999999999E-2</v>
      </c>
      <c r="AX25" s="81"/>
      <c r="AY25" s="81" t="s">
        <v>990</v>
      </c>
      <c r="AZ25" s="81" t="s">
        <v>991</v>
      </c>
      <c r="BA25" s="81" t="s">
        <v>2048</v>
      </c>
      <c r="BB25" s="81" t="s">
        <v>2956</v>
      </c>
      <c r="BC25" s="81"/>
    </row>
    <row r="26" spans="1:55">
      <c r="A26" s="169">
        <v>3.03</v>
      </c>
      <c r="B26" s="207"/>
      <c r="C26" t="s">
        <v>319</v>
      </c>
      <c r="D26" t="s">
        <v>3696</v>
      </c>
      <c r="F26" t="s">
        <v>1844</v>
      </c>
      <c r="G26" t="s">
        <v>1413</v>
      </c>
      <c r="H26" t="s">
        <v>2060</v>
      </c>
      <c r="I26" t="s">
        <v>2451</v>
      </c>
      <c r="J26" t="s">
        <v>2452</v>
      </c>
      <c r="K26" t="s">
        <v>2967</v>
      </c>
      <c r="M26" t="s">
        <v>3372</v>
      </c>
      <c r="N26" t="s">
        <v>319</v>
      </c>
      <c r="O26">
        <v>5</v>
      </c>
      <c r="Q26" t="s">
        <v>3489</v>
      </c>
      <c r="R26" t="s">
        <v>319</v>
      </c>
      <c r="S26">
        <v>5</v>
      </c>
      <c r="U26" t="s">
        <v>3666</v>
      </c>
      <c r="V26" t="s">
        <v>3675</v>
      </c>
      <c r="W26">
        <v>3</v>
      </c>
      <c r="Y26">
        <v>6</v>
      </c>
      <c r="Z26">
        <v>98.7</v>
      </c>
      <c r="AA26">
        <v>4</v>
      </c>
      <c r="AB26">
        <v>9</v>
      </c>
      <c r="AC26">
        <v>100</v>
      </c>
      <c r="AD26">
        <v>0</v>
      </c>
      <c r="AF26" s="170" t="s">
        <v>319</v>
      </c>
      <c r="AG26" s="171">
        <v>0.2334</v>
      </c>
      <c r="AH26" s="172">
        <v>3.5539999999999998</v>
      </c>
      <c r="AI26" s="186">
        <v>3.0169999999999999</v>
      </c>
      <c r="AJ26" s="172">
        <v>3.5739999999999998</v>
      </c>
      <c r="AK26" s="173">
        <v>0.34300000000000003</v>
      </c>
      <c r="AL26" s="174"/>
      <c r="AM26" s="173">
        <v>0.11799999999999999</v>
      </c>
      <c r="AN26" s="173">
        <v>0.11799999999999999</v>
      </c>
      <c r="AO26" s="174"/>
      <c r="AP26" s="171">
        <v>33066</v>
      </c>
      <c r="AQ26" s="171">
        <v>1846</v>
      </c>
      <c r="AR26" s="175">
        <v>1</v>
      </c>
      <c r="AS26" s="175">
        <v>0</v>
      </c>
      <c r="AT26" s="176" t="s">
        <v>3285</v>
      </c>
      <c r="AU26" s="171"/>
      <c r="AV26" s="171">
        <v>-0.10929999999999999</v>
      </c>
      <c r="AW26" s="171">
        <v>-4.2099999999999999E-2</v>
      </c>
      <c r="AY26" t="s">
        <v>1012</v>
      </c>
      <c r="AZ26" t="s">
        <v>1013</v>
      </c>
      <c r="BA26" t="s">
        <v>2062</v>
      </c>
      <c r="BB26" t="s">
        <v>2969</v>
      </c>
    </row>
    <row r="27" spans="1:55">
      <c r="A27" s="169">
        <v>3.03</v>
      </c>
      <c r="B27" s="207"/>
      <c r="C27" t="s">
        <v>320</v>
      </c>
      <c r="D27" t="s">
        <v>3696</v>
      </c>
      <c r="F27" t="s">
        <v>1844</v>
      </c>
      <c r="G27" t="s">
        <v>1413</v>
      </c>
      <c r="H27" t="s">
        <v>2063</v>
      </c>
      <c r="I27" t="s">
        <v>2451</v>
      </c>
      <c r="J27" t="s">
        <v>2452</v>
      </c>
      <c r="K27" t="s">
        <v>2951</v>
      </c>
      <c r="M27" t="s">
        <v>3372</v>
      </c>
      <c r="N27" t="s">
        <v>320</v>
      </c>
      <c r="O27">
        <v>5</v>
      </c>
      <c r="Q27" t="s">
        <v>3489</v>
      </c>
      <c r="R27" t="s">
        <v>320</v>
      </c>
      <c r="S27">
        <v>5</v>
      </c>
      <c r="U27" t="s">
        <v>3666</v>
      </c>
      <c r="V27" t="s">
        <v>320</v>
      </c>
      <c r="W27">
        <v>3</v>
      </c>
      <c r="Y27">
        <v>6</v>
      </c>
      <c r="Z27">
        <v>93.6</v>
      </c>
      <c r="AA27">
        <v>19</v>
      </c>
      <c r="AB27">
        <v>9</v>
      </c>
      <c r="AC27">
        <v>94.7</v>
      </c>
      <c r="AD27">
        <v>15</v>
      </c>
      <c r="AF27" s="170" t="s">
        <v>320</v>
      </c>
      <c r="AG27" s="171">
        <v>0.26929999999999998</v>
      </c>
      <c r="AH27" s="172">
        <v>3.5259999999999998</v>
      </c>
      <c r="AI27" s="177">
        <v>3.4319999999999999</v>
      </c>
      <c r="AJ27" s="172">
        <v>3.5310000000000001</v>
      </c>
      <c r="AK27" s="173">
        <v>0.35299999999999998</v>
      </c>
      <c r="AL27" s="174"/>
      <c r="AM27" s="173">
        <v>0.124</v>
      </c>
      <c r="AN27" s="173">
        <v>0.108</v>
      </c>
      <c r="AO27" s="174"/>
      <c r="AP27" s="171">
        <v>25541</v>
      </c>
      <c r="AQ27" s="171">
        <v>2210</v>
      </c>
      <c r="AR27" s="175">
        <v>1</v>
      </c>
      <c r="AS27" s="175">
        <v>0</v>
      </c>
      <c r="AT27" s="176" t="s">
        <v>3285</v>
      </c>
      <c r="AU27" s="171"/>
      <c r="AV27" s="171">
        <v>-8.3799999999999999E-2</v>
      </c>
      <c r="AW27" s="171">
        <v>-3.9600000000000003E-2</v>
      </c>
      <c r="AY27" t="s">
        <v>1014</v>
      </c>
      <c r="AZ27" t="s">
        <v>1015</v>
      </c>
      <c r="BA27" t="s">
        <v>2065</v>
      </c>
      <c r="BB27" t="s">
        <v>2971</v>
      </c>
    </row>
    <row r="28" spans="1:55">
      <c r="A28" s="169">
        <v>3.03</v>
      </c>
      <c r="B28" s="207"/>
      <c r="C28" t="s">
        <v>315</v>
      </c>
      <c r="D28" t="s">
        <v>3697</v>
      </c>
      <c r="F28" t="s">
        <v>1844</v>
      </c>
      <c r="G28" t="s">
        <v>1413</v>
      </c>
      <c r="H28" t="s">
        <v>2043</v>
      </c>
      <c r="I28" t="s">
        <v>2451</v>
      </c>
      <c r="J28" t="s">
        <v>2452</v>
      </c>
      <c r="K28" t="s">
        <v>2951</v>
      </c>
      <c r="M28" t="s">
        <v>3372</v>
      </c>
      <c r="N28" t="s">
        <v>315</v>
      </c>
      <c r="O28">
        <v>5</v>
      </c>
      <c r="Q28" t="s">
        <v>3489</v>
      </c>
      <c r="R28" t="s">
        <v>315</v>
      </c>
      <c r="S28">
        <v>5</v>
      </c>
      <c r="U28" t="s">
        <v>3638</v>
      </c>
      <c r="V28" t="s">
        <v>315</v>
      </c>
      <c r="W28">
        <v>1</v>
      </c>
      <c r="Y28">
        <v>6</v>
      </c>
      <c r="Z28">
        <v>95</v>
      </c>
      <c r="AA28">
        <v>15</v>
      </c>
      <c r="AB28">
        <v>9</v>
      </c>
      <c r="AC28">
        <v>92</v>
      </c>
      <c r="AD28">
        <v>9</v>
      </c>
      <c r="AF28" s="170" t="s">
        <v>316</v>
      </c>
      <c r="AG28" s="171">
        <v>0.2492</v>
      </c>
      <c r="AH28" s="172">
        <v>3.6419999999999999</v>
      </c>
      <c r="AI28" s="172">
        <v>3.629</v>
      </c>
      <c r="AJ28" s="172">
        <v>3.6309999999999998</v>
      </c>
      <c r="AK28" s="181">
        <v>0.69099999999999995</v>
      </c>
      <c r="AL28" s="174"/>
      <c r="AM28" s="173">
        <v>0.126</v>
      </c>
      <c r="AN28" s="173">
        <v>9.0999999999999998E-2</v>
      </c>
      <c r="AO28" s="174"/>
      <c r="AP28" s="171">
        <v>29763</v>
      </c>
      <c r="AQ28" s="171">
        <v>1820</v>
      </c>
      <c r="AR28" s="175">
        <v>1</v>
      </c>
      <c r="AS28" s="175">
        <v>0</v>
      </c>
      <c r="AT28" s="176" t="s">
        <v>3285</v>
      </c>
      <c r="AU28" s="171"/>
      <c r="AV28" s="171">
        <v>-8.9700000000000002E-2</v>
      </c>
      <c r="AW28" s="171">
        <v>-4.5400000000000003E-2</v>
      </c>
      <c r="AY28" t="s">
        <v>1041</v>
      </c>
      <c r="AZ28" t="s">
        <v>1042</v>
      </c>
      <c r="BA28" t="s">
        <v>2045</v>
      </c>
      <c r="BB28" t="s">
        <v>2953</v>
      </c>
    </row>
    <row r="29" spans="1:55" ht="17" thickBot="1">
      <c r="A29" s="178">
        <v>3.03</v>
      </c>
      <c r="B29" s="208"/>
      <c r="C29" s="40" t="s">
        <v>318</v>
      </c>
      <c r="D29" s="40" t="s">
        <v>3695</v>
      </c>
      <c r="E29" s="40"/>
      <c r="F29" s="40" t="s">
        <v>1844</v>
      </c>
      <c r="G29" s="40" t="s">
        <v>1413</v>
      </c>
      <c r="H29" s="40" t="s">
        <v>2049</v>
      </c>
      <c r="I29" s="40" t="s">
        <v>2451</v>
      </c>
      <c r="J29" s="40" t="s">
        <v>2452</v>
      </c>
      <c r="K29" s="40" t="s">
        <v>2957</v>
      </c>
      <c r="L29" s="40"/>
      <c r="M29" s="40" t="s">
        <v>3372</v>
      </c>
      <c r="N29" s="40" t="s">
        <v>318</v>
      </c>
      <c r="O29" s="40">
        <v>5</v>
      </c>
      <c r="P29" s="40"/>
      <c r="Q29" s="40" t="s">
        <v>3489</v>
      </c>
      <c r="R29" s="40" t="s">
        <v>318</v>
      </c>
      <c r="S29" s="40">
        <v>5</v>
      </c>
      <c r="T29" s="40"/>
      <c r="U29" s="40" t="s">
        <v>3667</v>
      </c>
      <c r="V29" s="40" t="s">
        <v>318</v>
      </c>
      <c r="W29" s="40">
        <v>1</v>
      </c>
      <c r="X29" s="40"/>
      <c r="Y29" s="40">
        <v>6</v>
      </c>
      <c r="Z29" s="40">
        <v>96.6</v>
      </c>
      <c r="AA29" s="40">
        <v>10</v>
      </c>
      <c r="AB29" s="40">
        <v>9</v>
      </c>
      <c r="AC29" s="40">
        <v>96.8</v>
      </c>
      <c r="AD29" s="40">
        <v>9</v>
      </c>
      <c r="AE29" s="40"/>
      <c r="AF29" s="85" t="s">
        <v>318</v>
      </c>
      <c r="AG29" s="35">
        <v>0.4899</v>
      </c>
      <c r="AH29" s="102">
        <v>3.5139999999999998</v>
      </c>
      <c r="AI29" s="102">
        <v>3.4870000000000001</v>
      </c>
      <c r="AJ29" s="102">
        <v>3.5459999999999998</v>
      </c>
      <c r="AK29" s="92">
        <v>0.43099999999999999</v>
      </c>
      <c r="AL29" s="37"/>
      <c r="AM29" s="90">
        <v>0.14299999999999999</v>
      </c>
      <c r="AN29" s="90">
        <v>0.104</v>
      </c>
      <c r="AO29" s="37"/>
      <c r="AP29" s="35">
        <v>8749</v>
      </c>
      <c r="AQ29" s="35">
        <v>1616</v>
      </c>
      <c r="AR29" s="93">
        <v>1</v>
      </c>
      <c r="AS29" s="93">
        <v>0</v>
      </c>
      <c r="AT29" s="94" t="s">
        <v>3285</v>
      </c>
      <c r="AU29" s="35"/>
      <c r="AV29" s="35">
        <v>-0.1116</v>
      </c>
      <c r="AW29" s="35">
        <v>-4.48E-2</v>
      </c>
      <c r="AX29" s="40"/>
      <c r="AY29" s="40" t="s">
        <v>992</v>
      </c>
      <c r="AZ29" s="40" t="s">
        <v>993</v>
      </c>
      <c r="BA29" s="40" t="s">
        <v>2051</v>
      </c>
      <c r="BB29" s="40" t="s">
        <v>2959</v>
      </c>
      <c r="BC29" s="40"/>
    </row>
    <row r="30" spans="1:55">
      <c r="A30" s="168">
        <v>3.04</v>
      </c>
      <c r="B30" s="206">
        <v>3.04</v>
      </c>
      <c r="C30" s="81" t="s">
        <v>1022</v>
      </c>
      <c r="D30" s="81" t="s">
        <v>3699</v>
      </c>
      <c r="E30" s="81"/>
      <c r="F30" s="81" t="s">
        <v>1452</v>
      </c>
      <c r="G30" s="81" t="s">
        <v>1413</v>
      </c>
      <c r="H30" s="81" t="s">
        <v>2012</v>
      </c>
      <c r="I30" s="81" t="s">
        <v>2603</v>
      </c>
      <c r="J30" s="81" t="s">
        <v>2452</v>
      </c>
      <c r="K30" s="81" t="s">
        <v>2919</v>
      </c>
      <c r="L30" s="81"/>
      <c r="M30" s="81" t="s">
        <v>3301</v>
      </c>
      <c r="N30" s="81" t="s">
        <v>1022</v>
      </c>
      <c r="O30" s="81">
        <v>13</v>
      </c>
      <c r="P30" s="81"/>
      <c r="Q30" s="81" t="s">
        <v>3381</v>
      </c>
      <c r="R30" s="81" t="s">
        <v>1022</v>
      </c>
      <c r="S30" s="81">
        <v>6</v>
      </c>
      <c r="T30" s="81"/>
      <c r="U30" s="81" t="s">
        <v>3505</v>
      </c>
      <c r="V30" s="81" t="s">
        <v>1022</v>
      </c>
      <c r="W30" s="81">
        <v>6</v>
      </c>
      <c r="X30" s="81"/>
      <c r="Y30" s="81">
        <v>18</v>
      </c>
      <c r="Z30" s="81">
        <v>97.6</v>
      </c>
      <c r="AA30" s="81">
        <v>7</v>
      </c>
      <c r="AB30" s="81">
        <v>9</v>
      </c>
      <c r="AC30" s="81">
        <v>98.5</v>
      </c>
      <c r="AD30" s="81">
        <v>4</v>
      </c>
      <c r="AE30" s="81"/>
      <c r="AF30" s="83" t="s">
        <v>302</v>
      </c>
      <c r="AG30" s="33">
        <v>3.2370000000000003E-2</v>
      </c>
      <c r="AH30" s="87">
        <v>0.123</v>
      </c>
      <c r="AI30" s="87">
        <v>0.115</v>
      </c>
      <c r="AJ30" s="87">
        <v>0.11600000000000001</v>
      </c>
      <c r="AK30" s="87">
        <v>0.11</v>
      </c>
      <c r="AL30" s="34"/>
      <c r="AM30" s="87">
        <v>0.111</v>
      </c>
      <c r="AN30" s="87">
        <v>9.4E-2</v>
      </c>
      <c r="AO30" s="34"/>
      <c r="AP30" s="33">
        <v>11276</v>
      </c>
      <c r="AQ30" s="33">
        <v>387825.5</v>
      </c>
      <c r="AR30" s="88">
        <v>1</v>
      </c>
      <c r="AS30" s="88">
        <v>1</v>
      </c>
      <c r="AT30" s="89" t="s">
        <v>3286</v>
      </c>
      <c r="AU30" s="33"/>
      <c r="AV30" s="33">
        <v>-8.3099999999999993E-2</v>
      </c>
      <c r="AW30" s="33">
        <v>-5.57E-2</v>
      </c>
      <c r="AX30" s="81"/>
      <c r="AY30" s="81" t="s">
        <v>1023</v>
      </c>
      <c r="AZ30" s="81" t="s">
        <v>1024</v>
      </c>
      <c r="BA30" s="81" t="s">
        <v>2014</v>
      </c>
      <c r="BB30" s="81" t="s">
        <v>2921</v>
      </c>
      <c r="BC30" s="81"/>
    </row>
    <row r="31" spans="1:55">
      <c r="A31" s="169">
        <v>3.04</v>
      </c>
      <c r="B31" s="207"/>
      <c r="C31" t="s">
        <v>321</v>
      </c>
      <c r="D31" t="s">
        <v>3699</v>
      </c>
      <c r="F31" t="s">
        <v>1452</v>
      </c>
      <c r="G31" t="s">
        <v>1413</v>
      </c>
      <c r="H31" t="s">
        <v>2066</v>
      </c>
      <c r="I31" t="s">
        <v>2603</v>
      </c>
      <c r="J31" t="s">
        <v>2452</v>
      </c>
      <c r="K31" t="s">
        <v>2972</v>
      </c>
      <c r="M31" t="s">
        <v>3301</v>
      </c>
      <c r="N31" t="s">
        <v>321</v>
      </c>
      <c r="O31">
        <v>13</v>
      </c>
      <c r="Q31" t="s">
        <v>3381</v>
      </c>
      <c r="R31" t="s">
        <v>321</v>
      </c>
      <c r="S31">
        <v>6</v>
      </c>
      <c r="U31" t="s">
        <v>3505</v>
      </c>
      <c r="V31" t="s">
        <v>321</v>
      </c>
      <c r="W31">
        <v>6</v>
      </c>
      <c r="Y31">
        <v>18</v>
      </c>
      <c r="Z31">
        <v>93.8</v>
      </c>
      <c r="AA31">
        <v>3</v>
      </c>
      <c r="AB31">
        <v>9</v>
      </c>
      <c r="AC31">
        <v>99.2</v>
      </c>
      <c r="AD31">
        <v>2</v>
      </c>
      <c r="AF31" s="170" t="s">
        <v>321</v>
      </c>
      <c r="AG31" s="171">
        <v>0.34760000000000002</v>
      </c>
      <c r="AH31" s="173">
        <v>0.185</v>
      </c>
      <c r="AI31" s="173">
        <v>0.13400000000000001</v>
      </c>
      <c r="AJ31" s="173">
        <v>0.13600000000000001</v>
      </c>
      <c r="AK31" s="173">
        <v>0.14799999999999999</v>
      </c>
      <c r="AL31" s="174"/>
      <c r="AM31" s="173">
        <v>0.121</v>
      </c>
      <c r="AN31" s="173">
        <v>9.7000000000000003E-2</v>
      </c>
      <c r="AO31" s="174"/>
      <c r="AP31" s="171">
        <v>49171</v>
      </c>
      <c r="AQ31" s="171">
        <v>217420</v>
      </c>
      <c r="AR31" s="175">
        <v>1</v>
      </c>
      <c r="AS31" s="175">
        <v>1</v>
      </c>
      <c r="AT31" s="176" t="s">
        <v>3286</v>
      </c>
      <c r="AU31" s="171"/>
      <c r="AV31" s="171">
        <v>0.99709999999999999</v>
      </c>
      <c r="AW31" s="171">
        <v>0.77029999999999998</v>
      </c>
      <c r="AY31" t="s">
        <v>885</v>
      </c>
      <c r="AZ31" t="s">
        <v>886</v>
      </c>
      <c r="BA31" t="s">
        <v>2069</v>
      </c>
      <c r="BB31" t="s">
        <v>2975</v>
      </c>
    </row>
    <row r="32" spans="1:55">
      <c r="A32" s="169">
        <v>3.04</v>
      </c>
      <c r="B32" s="207"/>
      <c r="C32" t="s">
        <v>322</v>
      </c>
      <c r="D32" t="s">
        <v>3699</v>
      </c>
      <c r="F32" t="s">
        <v>1452</v>
      </c>
      <c r="G32" t="s">
        <v>1413</v>
      </c>
      <c r="H32" t="s">
        <v>2012</v>
      </c>
      <c r="I32" t="s">
        <v>2603</v>
      </c>
      <c r="J32" t="s">
        <v>2452</v>
      </c>
      <c r="K32" t="s">
        <v>2919</v>
      </c>
      <c r="M32" t="s">
        <v>3301</v>
      </c>
      <c r="N32" t="s">
        <v>322</v>
      </c>
      <c r="O32">
        <v>13</v>
      </c>
      <c r="Q32" t="s">
        <v>3381</v>
      </c>
      <c r="R32" t="s">
        <v>322</v>
      </c>
      <c r="S32">
        <v>6</v>
      </c>
      <c r="U32" t="s">
        <v>3505</v>
      </c>
      <c r="V32" t="s">
        <v>322</v>
      </c>
      <c r="W32">
        <v>6</v>
      </c>
      <c r="Y32">
        <v>18</v>
      </c>
      <c r="Z32">
        <v>97.8</v>
      </c>
      <c r="AA32">
        <v>6</v>
      </c>
      <c r="AB32">
        <v>9</v>
      </c>
      <c r="AC32">
        <v>98.5</v>
      </c>
      <c r="AD32">
        <v>4</v>
      </c>
      <c r="AF32" s="170" t="s">
        <v>322</v>
      </c>
      <c r="AG32" s="171">
        <v>0.44479999999999997</v>
      </c>
      <c r="AH32" s="173">
        <v>0.247</v>
      </c>
      <c r="AI32" s="173">
        <v>0.14000000000000001</v>
      </c>
      <c r="AJ32" s="173">
        <v>0.158</v>
      </c>
      <c r="AK32" s="173">
        <v>0.151</v>
      </c>
      <c r="AL32" s="174"/>
      <c r="AM32" s="173">
        <v>0.11700000000000001</v>
      </c>
      <c r="AN32" s="173">
        <v>9.1999999999999998E-2</v>
      </c>
      <c r="AO32" s="174"/>
      <c r="AP32" s="171">
        <v>104944</v>
      </c>
      <c r="AQ32" s="171">
        <v>183700</v>
      </c>
      <c r="AR32" s="175">
        <v>1</v>
      </c>
      <c r="AS32" s="175">
        <v>1</v>
      </c>
      <c r="AT32" s="176" t="s">
        <v>3286</v>
      </c>
      <c r="AU32" s="171"/>
      <c r="AV32" s="171">
        <v>1.4281999999999999</v>
      </c>
      <c r="AW32" s="171">
        <v>1.0508999999999999</v>
      </c>
      <c r="AY32" t="s">
        <v>889</v>
      </c>
      <c r="AZ32" t="s">
        <v>890</v>
      </c>
      <c r="BA32" t="s">
        <v>2071</v>
      </c>
      <c r="BB32" t="s">
        <v>2921</v>
      </c>
    </row>
    <row r="33" spans="1:55">
      <c r="A33" s="169">
        <v>3.04</v>
      </c>
      <c r="B33" s="207"/>
      <c r="C33" t="s">
        <v>323</v>
      </c>
      <c r="D33" t="s">
        <v>3697</v>
      </c>
      <c r="F33" t="s">
        <v>1452</v>
      </c>
      <c r="G33" t="s">
        <v>1413</v>
      </c>
      <c r="H33" t="s">
        <v>2072</v>
      </c>
      <c r="I33" t="s">
        <v>2603</v>
      </c>
      <c r="J33" t="s">
        <v>2452</v>
      </c>
      <c r="K33" t="s">
        <v>2977</v>
      </c>
      <c r="M33" t="s">
        <v>3301</v>
      </c>
      <c r="N33" t="s">
        <v>323</v>
      </c>
      <c r="O33">
        <v>13</v>
      </c>
      <c r="Q33" t="s">
        <v>3381</v>
      </c>
      <c r="R33" t="s">
        <v>323</v>
      </c>
      <c r="S33">
        <v>6</v>
      </c>
      <c r="U33" t="s">
        <v>3505</v>
      </c>
      <c r="V33" t="s">
        <v>323</v>
      </c>
      <c r="W33">
        <v>6</v>
      </c>
      <c r="Y33">
        <v>18</v>
      </c>
      <c r="Z33">
        <v>98.5</v>
      </c>
      <c r="AA33">
        <v>4</v>
      </c>
      <c r="AB33">
        <v>9</v>
      </c>
      <c r="AC33">
        <v>99.3</v>
      </c>
      <c r="AD33">
        <v>2</v>
      </c>
      <c r="AF33" s="170" t="s">
        <v>323</v>
      </c>
      <c r="AG33" s="171">
        <v>0.317</v>
      </c>
      <c r="AH33" s="173">
        <v>0.17100000000000001</v>
      </c>
      <c r="AI33" s="173">
        <v>0.13900000000000001</v>
      </c>
      <c r="AJ33" s="173">
        <v>0.14099999999999999</v>
      </c>
      <c r="AK33" s="173">
        <v>0.16400000000000001</v>
      </c>
      <c r="AL33" s="174"/>
      <c r="AM33" s="173">
        <v>0.109</v>
      </c>
      <c r="AN33" s="173">
        <v>8.5000000000000006E-2</v>
      </c>
      <c r="AO33" s="174"/>
      <c r="AP33" s="171">
        <v>47207.5</v>
      </c>
      <c r="AQ33" s="171">
        <v>208743</v>
      </c>
      <c r="AR33" s="175">
        <v>1</v>
      </c>
      <c r="AS33" s="175">
        <v>1</v>
      </c>
      <c r="AT33" s="176" t="s">
        <v>3286</v>
      </c>
      <c r="AU33" s="171"/>
      <c r="AV33" s="171">
        <v>0.24279999999999999</v>
      </c>
      <c r="AW33" s="171">
        <v>1.7399999999999999E-2</v>
      </c>
      <c r="AY33" t="s">
        <v>929</v>
      </c>
      <c r="AZ33" t="s">
        <v>930</v>
      </c>
      <c r="BA33" t="s">
        <v>2075</v>
      </c>
      <c r="BB33" t="s">
        <v>2980</v>
      </c>
    </row>
    <row r="34" spans="1:55">
      <c r="A34" s="169">
        <v>3.04</v>
      </c>
      <c r="B34" s="207"/>
      <c r="C34" t="s">
        <v>325</v>
      </c>
      <c r="D34" t="s">
        <v>3694</v>
      </c>
      <c r="F34" t="s">
        <v>1452</v>
      </c>
      <c r="G34" t="s">
        <v>1413</v>
      </c>
      <c r="H34" t="s">
        <v>2080</v>
      </c>
      <c r="I34" t="s">
        <v>2603</v>
      </c>
      <c r="J34" t="s">
        <v>2452</v>
      </c>
      <c r="K34" t="s">
        <v>2985</v>
      </c>
      <c r="M34" t="s">
        <v>3301</v>
      </c>
      <c r="N34" t="s">
        <v>325</v>
      </c>
      <c r="O34">
        <v>13</v>
      </c>
      <c r="Q34" t="s">
        <v>3381</v>
      </c>
      <c r="R34" t="s">
        <v>325</v>
      </c>
      <c r="S34">
        <v>6</v>
      </c>
      <c r="U34" t="s">
        <v>3505</v>
      </c>
      <c r="V34" t="s">
        <v>325</v>
      </c>
      <c r="W34">
        <v>6</v>
      </c>
      <c r="Y34">
        <v>18</v>
      </c>
      <c r="Z34">
        <v>95.6</v>
      </c>
      <c r="AA34">
        <v>13</v>
      </c>
      <c r="AB34">
        <v>8</v>
      </c>
      <c r="AC34">
        <v>98.3</v>
      </c>
      <c r="AD34">
        <v>5</v>
      </c>
      <c r="AF34" s="170" t="s">
        <v>325</v>
      </c>
      <c r="AG34" s="171">
        <v>0.32550000000000001</v>
      </c>
      <c r="AH34" s="173">
        <v>0.189</v>
      </c>
      <c r="AI34" s="173">
        <v>0.14299999999999999</v>
      </c>
      <c r="AJ34" s="173">
        <v>0.14599999999999999</v>
      </c>
      <c r="AK34" s="173">
        <v>0.16300000000000001</v>
      </c>
      <c r="AL34" s="174"/>
      <c r="AM34" s="173">
        <v>0.14199999999999999</v>
      </c>
      <c r="AN34" s="173">
        <v>0.104</v>
      </c>
      <c r="AO34" s="174"/>
      <c r="AP34" s="171">
        <v>135282</v>
      </c>
      <c r="AQ34" s="171">
        <v>222620</v>
      </c>
      <c r="AR34" s="175">
        <v>1</v>
      </c>
      <c r="AS34" s="175">
        <v>1</v>
      </c>
      <c r="AT34" s="176" t="s">
        <v>3286</v>
      </c>
      <c r="AU34" s="171"/>
      <c r="AV34" s="171">
        <v>1.3989</v>
      </c>
      <c r="AW34" s="171">
        <v>1.0825</v>
      </c>
      <c r="AY34" t="s">
        <v>783</v>
      </c>
      <c r="AZ34" t="s">
        <v>784</v>
      </c>
      <c r="BA34" t="s">
        <v>2083</v>
      </c>
      <c r="BB34" t="s">
        <v>2988</v>
      </c>
    </row>
    <row r="35" spans="1:55">
      <c r="A35" s="169">
        <v>3.04</v>
      </c>
      <c r="B35" s="207"/>
      <c r="C35" t="s">
        <v>331</v>
      </c>
      <c r="D35" t="s">
        <v>3697</v>
      </c>
      <c r="F35" t="s">
        <v>1452</v>
      </c>
      <c r="G35" t="s">
        <v>1413</v>
      </c>
      <c r="H35" t="s">
        <v>2072</v>
      </c>
      <c r="I35" t="s">
        <v>2603</v>
      </c>
      <c r="J35" t="s">
        <v>2452</v>
      </c>
      <c r="K35" t="s">
        <v>2977</v>
      </c>
      <c r="M35" t="s">
        <v>3301</v>
      </c>
      <c r="N35" t="s">
        <v>331</v>
      </c>
      <c r="O35">
        <v>13</v>
      </c>
      <c r="Q35" t="s">
        <v>3381</v>
      </c>
      <c r="R35" t="s">
        <v>331</v>
      </c>
      <c r="S35">
        <v>6</v>
      </c>
      <c r="U35" t="s">
        <v>3505</v>
      </c>
      <c r="V35" t="s">
        <v>331</v>
      </c>
      <c r="W35">
        <v>6</v>
      </c>
      <c r="Y35">
        <v>18</v>
      </c>
      <c r="Z35">
        <v>98.2</v>
      </c>
      <c r="AA35">
        <v>5</v>
      </c>
      <c r="AB35">
        <v>9</v>
      </c>
      <c r="AC35">
        <v>99.3</v>
      </c>
      <c r="AD35">
        <v>2</v>
      </c>
      <c r="AF35" s="170" t="s">
        <v>332</v>
      </c>
      <c r="AG35" s="171">
        <v>0.26889999999999997</v>
      </c>
      <c r="AH35" s="173">
        <v>0.14799999999999999</v>
      </c>
      <c r="AI35" s="173">
        <v>0.14899999999999999</v>
      </c>
      <c r="AJ35" s="173">
        <v>0.14099999999999999</v>
      </c>
      <c r="AK35" s="173">
        <v>0.14699999999999999</v>
      </c>
      <c r="AL35" s="174"/>
      <c r="AM35" s="173">
        <v>0.115</v>
      </c>
      <c r="AN35" s="173">
        <v>0.106</v>
      </c>
      <c r="AO35" s="174"/>
      <c r="AP35" s="171">
        <v>43747.5</v>
      </c>
      <c r="AQ35" s="171">
        <v>318761.5</v>
      </c>
      <c r="AR35" s="175">
        <v>1</v>
      </c>
      <c r="AS35" s="175">
        <v>1</v>
      </c>
      <c r="AT35" s="176" t="s">
        <v>3286</v>
      </c>
      <c r="AU35" s="171"/>
      <c r="AV35" s="171">
        <v>-8.8300000000000003E-2</v>
      </c>
      <c r="AW35" s="171">
        <v>7.8299999999999995E-2</v>
      </c>
      <c r="AY35" t="s">
        <v>931</v>
      </c>
      <c r="AZ35" t="s">
        <v>932</v>
      </c>
      <c r="BA35" t="s">
        <v>2105</v>
      </c>
      <c r="BB35" t="s">
        <v>3008</v>
      </c>
    </row>
    <row r="36" spans="1:55">
      <c r="A36" s="169">
        <v>3.04</v>
      </c>
      <c r="B36" s="207"/>
      <c r="C36" t="s">
        <v>324</v>
      </c>
      <c r="D36" t="s">
        <v>3694</v>
      </c>
      <c r="F36" t="s">
        <v>1452</v>
      </c>
      <c r="G36" t="s">
        <v>1413</v>
      </c>
      <c r="H36" t="s">
        <v>2076</v>
      </c>
      <c r="I36" t="s">
        <v>2603</v>
      </c>
      <c r="J36" t="s">
        <v>2452</v>
      </c>
      <c r="K36" t="s">
        <v>2981</v>
      </c>
      <c r="M36" t="s">
        <v>3301</v>
      </c>
      <c r="N36" t="s">
        <v>324</v>
      </c>
      <c r="O36">
        <v>13</v>
      </c>
      <c r="Q36" t="s">
        <v>3423</v>
      </c>
      <c r="R36" t="s">
        <v>324</v>
      </c>
      <c r="S36">
        <v>4</v>
      </c>
      <c r="U36" t="s">
        <v>3550</v>
      </c>
      <c r="V36" t="s">
        <v>324</v>
      </c>
      <c r="W36">
        <v>4</v>
      </c>
      <c r="Y36">
        <v>18</v>
      </c>
      <c r="Z36">
        <v>95.5</v>
      </c>
      <c r="AA36">
        <v>13</v>
      </c>
      <c r="AB36">
        <v>9</v>
      </c>
      <c r="AC36">
        <v>98.3</v>
      </c>
      <c r="AD36">
        <v>5</v>
      </c>
      <c r="AF36" s="170" t="s">
        <v>324</v>
      </c>
      <c r="AG36" s="171">
        <v>0.316</v>
      </c>
      <c r="AH36" s="173">
        <v>0.21099999999999999</v>
      </c>
      <c r="AI36" s="173">
        <v>0.122</v>
      </c>
      <c r="AJ36" s="173">
        <v>0.123</v>
      </c>
      <c r="AK36" s="173">
        <v>0.13600000000000001</v>
      </c>
      <c r="AL36" s="174"/>
      <c r="AM36" s="173">
        <v>9.0999999999999998E-2</v>
      </c>
      <c r="AN36" s="173">
        <v>0.08</v>
      </c>
      <c r="AO36" s="174"/>
      <c r="AP36" s="171">
        <v>116864</v>
      </c>
      <c r="AQ36" s="171">
        <v>268800.5</v>
      </c>
      <c r="AR36" s="175">
        <v>1</v>
      </c>
      <c r="AS36" s="175">
        <v>1</v>
      </c>
      <c r="AT36" s="176" t="s">
        <v>3286</v>
      </c>
      <c r="AU36" s="171"/>
      <c r="AV36" s="171">
        <v>0.96260000000000001</v>
      </c>
      <c r="AW36" s="171">
        <v>0.97509999999999997</v>
      </c>
      <c r="AY36" t="s">
        <v>773</v>
      </c>
      <c r="AZ36" t="s">
        <v>774</v>
      </c>
      <c r="BA36" t="s">
        <v>2079</v>
      </c>
      <c r="BB36" t="s">
        <v>2984</v>
      </c>
    </row>
    <row r="37" spans="1:55">
      <c r="A37" s="169">
        <v>3.04</v>
      </c>
      <c r="B37" s="207"/>
      <c r="C37" t="s">
        <v>328</v>
      </c>
      <c r="D37" t="s">
        <v>3694</v>
      </c>
      <c r="F37" t="s">
        <v>1452</v>
      </c>
      <c r="G37" t="s">
        <v>1413</v>
      </c>
      <c r="H37" t="s">
        <v>2092</v>
      </c>
      <c r="I37" t="s">
        <v>2603</v>
      </c>
      <c r="J37" t="s">
        <v>2452</v>
      </c>
      <c r="K37" t="s">
        <v>2996</v>
      </c>
      <c r="M37" t="s">
        <v>3301</v>
      </c>
      <c r="N37" t="s">
        <v>328</v>
      </c>
      <c r="O37">
        <v>13</v>
      </c>
      <c r="Q37" t="s">
        <v>3423</v>
      </c>
      <c r="R37" t="s">
        <v>328</v>
      </c>
      <c r="S37">
        <v>4</v>
      </c>
      <c r="U37" t="s">
        <v>3550</v>
      </c>
      <c r="V37" t="s">
        <v>328</v>
      </c>
      <c r="W37">
        <v>4</v>
      </c>
      <c r="Y37">
        <v>18</v>
      </c>
      <c r="Z37">
        <v>91.7</v>
      </c>
      <c r="AA37">
        <v>16</v>
      </c>
      <c r="AB37">
        <v>9</v>
      </c>
      <c r="AC37">
        <v>95.1</v>
      </c>
      <c r="AD37">
        <v>14</v>
      </c>
      <c r="AF37" s="170" t="s">
        <v>328</v>
      </c>
      <c r="AG37" s="171">
        <v>0.26169999999999999</v>
      </c>
      <c r="AH37" s="173">
        <v>0.161</v>
      </c>
      <c r="AI37" s="173">
        <v>0.121</v>
      </c>
      <c r="AJ37" s="173">
        <v>0.17899999999999999</v>
      </c>
      <c r="AK37" s="173">
        <v>0.13900000000000001</v>
      </c>
      <c r="AL37" s="174"/>
      <c r="AM37" s="173">
        <v>0.105</v>
      </c>
      <c r="AN37" s="173">
        <v>0.1</v>
      </c>
      <c r="AO37" s="174"/>
      <c r="AP37" s="171">
        <v>32062</v>
      </c>
      <c r="AQ37" s="171">
        <v>340772</v>
      </c>
      <c r="AR37" s="175">
        <v>1</v>
      </c>
      <c r="AS37" s="175">
        <v>1</v>
      </c>
      <c r="AT37" s="176" t="s">
        <v>3286</v>
      </c>
      <c r="AU37" s="171"/>
      <c r="AV37" s="171">
        <v>2.3083999999999998</v>
      </c>
      <c r="AW37" s="171">
        <v>-1.61E-2</v>
      </c>
      <c r="AY37" t="s">
        <v>865</v>
      </c>
      <c r="AZ37" t="s">
        <v>866</v>
      </c>
      <c r="BA37" t="s">
        <v>2095</v>
      </c>
      <c r="BB37" t="s">
        <v>2999</v>
      </c>
    </row>
    <row r="38" spans="1:55">
      <c r="A38" s="169">
        <v>3.04</v>
      </c>
      <c r="B38" s="207"/>
      <c r="C38" t="s">
        <v>330</v>
      </c>
      <c r="D38" t="s">
        <v>3694</v>
      </c>
      <c r="F38" t="s">
        <v>1452</v>
      </c>
      <c r="G38" t="s">
        <v>1413</v>
      </c>
      <c r="H38" t="s">
        <v>2076</v>
      </c>
      <c r="I38" t="s">
        <v>2603</v>
      </c>
      <c r="J38" t="s">
        <v>2452</v>
      </c>
      <c r="K38" t="s">
        <v>2972</v>
      </c>
      <c r="M38" t="s">
        <v>3301</v>
      </c>
      <c r="N38" t="s">
        <v>330</v>
      </c>
      <c r="O38">
        <v>13</v>
      </c>
      <c r="Q38" t="s">
        <v>3423</v>
      </c>
      <c r="R38" t="s">
        <v>330</v>
      </c>
      <c r="S38">
        <v>4</v>
      </c>
      <c r="U38" t="s">
        <v>3550</v>
      </c>
      <c r="V38" t="s">
        <v>330</v>
      </c>
      <c r="W38">
        <v>4</v>
      </c>
      <c r="Y38">
        <v>18</v>
      </c>
      <c r="Z38">
        <v>93.5</v>
      </c>
      <c r="AA38">
        <v>19</v>
      </c>
      <c r="AB38">
        <v>9</v>
      </c>
      <c r="AC38">
        <v>97.2</v>
      </c>
      <c r="AD38">
        <v>8</v>
      </c>
      <c r="AF38" s="170" t="s">
        <v>330</v>
      </c>
      <c r="AG38" s="171">
        <v>0.47539999999999999</v>
      </c>
      <c r="AH38" s="182">
        <v>0.45800000000000002</v>
      </c>
      <c r="AI38" s="173">
        <v>0.129</v>
      </c>
      <c r="AJ38" s="173">
        <v>0.25</v>
      </c>
      <c r="AK38" s="173">
        <v>0.16400000000000001</v>
      </c>
      <c r="AL38" s="174"/>
      <c r="AM38" s="173">
        <v>0.115</v>
      </c>
      <c r="AN38" s="173">
        <v>9.8000000000000004E-2</v>
      </c>
      <c r="AO38" s="174"/>
      <c r="AP38" s="171">
        <v>34475</v>
      </c>
      <c r="AQ38" s="171">
        <v>236272</v>
      </c>
      <c r="AR38" s="175">
        <v>1</v>
      </c>
      <c r="AS38" s="175">
        <v>1</v>
      </c>
      <c r="AT38" s="176" t="s">
        <v>3286</v>
      </c>
      <c r="AU38" s="171"/>
      <c r="AV38" s="171">
        <v>2.0785</v>
      </c>
      <c r="AW38" s="171">
        <v>2.5100000000000001E-2</v>
      </c>
      <c r="AY38" t="s">
        <v>580</v>
      </c>
      <c r="AZ38" t="s">
        <v>581</v>
      </c>
      <c r="BA38" t="s">
        <v>2103</v>
      </c>
      <c r="BB38" t="s">
        <v>3006</v>
      </c>
    </row>
    <row r="39" spans="1:55">
      <c r="A39" s="169">
        <v>3.04</v>
      </c>
      <c r="B39" s="207"/>
      <c r="C39" t="s">
        <v>333</v>
      </c>
      <c r="D39" t="s">
        <v>3694</v>
      </c>
      <c r="F39" t="s">
        <v>1452</v>
      </c>
      <c r="G39" t="s">
        <v>1413</v>
      </c>
      <c r="H39" t="s">
        <v>2076</v>
      </c>
      <c r="I39" t="s">
        <v>2603</v>
      </c>
      <c r="J39" t="s">
        <v>2452</v>
      </c>
      <c r="K39" t="s">
        <v>2972</v>
      </c>
      <c r="M39" t="s">
        <v>3301</v>
      </c>
      <c r="N39" t="s">
        <v>333</v>
      </c>
      <c r="O39">
        <v>13</v>
      </c>
      <c r="Q39" t="s">
        <v>3423</v>
      </c>
      <c r="R39" t="s">
        <v>333</v>
      </c>
      <c r="S39">
        <v>4</v>
      </c>
      <c r="U39" t="s">
        <v>3550</v>
      </c>
      <c r="V39" t="s">
        <v>333</v>
      </c>
      <c r="W39">
        <v>4</v>
      </c>
      <c r="Y39">
        <v>18</v>
      </c>
      <c r="Z39">
        <v>94.2</v>
      </c>
      <c r="AA39">
        <v>17</v>
      </c>
      <c r="AB39">
        <v>9</v>
      </c>
      <c r="AC39">
        <v>96.9</v>
      </c>
      <c r="AD39">
        <v>9</v>
      </c>
      <c r="AF39" s="170" t="s">
        <v>333</v>
      </c>
      <c r="AG39" s="171">
        <v>0.32319999999999999</v>
      </c>
      <c r="AH39" s="187">
        <v>0.36499999999999999</v>
      </c>
      <c r="AI39" s="188">
        <v>0.14499999999999999</v>
      </c>
      <c r="AJ39" s="188">
        <v>0.16200000000000001</v>
      </c>
      <c r="AK39" s="188">
        <v>0.16200000000000001</v>
      </c>
      <c r="AL39" s="185"/>
      <c r="AM39" s="173">
        <v>0.125</v>
      </c>
      <c r="AN39" s="173">
        <v>8.7999999999999995E-2</v>
      </c>
      <c r="AO39" s="174"/>
      <c r="AP39" s="171">
        <v>71428</v>
      </c>
      <c r="AQ39" s="171">
        <v>189808.5</v>
      </c>
      <c r="AR39" s="175">
        <v>1</v>
      </c>
      <c r="AS39" s="175">
        <v>1</v>
      </c>
      <c r="AT39" s="176" t="s">
        <v>3286</v>
      </c>
      <c r="AU39" s="171"/>
      <c r="AV39" s="171">
        <v>1.7799</v>
      </c>
      <c r="AW39" s="171">
        <v>1.5182</v>
      </c>
      <c r="AY39" t="s">
        <v>652</v>
      </c>
      <c r="AZ39" t="s">
        <v>653</v>
      </c>
      <c r="BA39" t="s">
        <v>2107</v>
      </c>
      <c r="BB39" t="s">
        <v>3009</v>
      </c>
    </row>
    <row r="40" spans="1:55">
      <c r="A40" s="169">
        <v>3.04</v>
      </c>
      <c r="B40" s="207"/>
      <c r="C40" t="s">
        <v>326</v>
      </c>
      <c r="D40" t="s">
        <v>3694</v>
      </c>
      <c r="F40" t="s">
        <v>1452</v>
      </c>
      <c r="G40" t="s">
        <v>1413</v>
      </c>
      <c r="H40" t="s">
        <v>2084</v>
      </c>
      <c r="I40" t="s">
        <v>2603</v>
      </c>
      <c r="J40" t="s">
        <v>2452</v>
      </c>
      <c r="K40" t="s">
        <v>2989</v>
      </c>
      <c r="M40" t="s">
        <v>3301</v>
      </c>
      <c r="N40" t="s">
        <v>326</v>
      </c>
      <c r="O40">
        <v>13</v>
      </c>
      <c r="Q40" t="s">
        <v>3410</v>
      </c>
      <c r="R40" t="s">
        <v>326</v>
      </c>
      <c r="S40">
        <v>3</v>
      </c>
      <c r="U40" t="s">
        <v>3534</v>
      </c>
      <c r="V40" t="s">
        <v>326</v>
      </c>
      <c r="W40">
        <v>3</v>
      </c>
      <c r="Y40">
        <v>18</v>
      </c>
      <c r="Z40">
        <v>90.4</v>
      </c>
      <c r="AA40">
        <v>28</v>
      </c>
      <c r="AB40">
        <v>8</v>
      </c>
      <c r="AC40">
        <v>94.6</v>
      </c>
      <c r="AD40">
        <v>15</v>
      </c>
      <c r="AF40" s="170" t="s">
        <v>326</v>
      </c>
      <c r="AG40" s="171">
        <v>0.1613</v>
      </c>
      <c r="AH40" s="173">
        <v>0.16300000000000001</v>
      </c>
      <c r="AI40" s="173">
        <v>0.115</v>
      </c>
      <c r="AJ40" s="173">
        <v>0.14499999999999999</v>
      </c>
      <c r="AK40" s="173">
        <v>0.121</v>
      </c>
      <c r="AL40" s="174"/>
      <c r="AM40" s="173">
        <v>0.105</v>
      </c>
      <c r="AN40" s="173">
        <v>8.2000000000000003E-2</v>
      </c>
      <c r="AO40" s="174"/>
      <c r="AP40" s="171">
        <v>109774</v>
      </c>
      <c r="AQ40" s="171">
        <v>398645</v>
      </c>
      <c r="AR40" s="175">
        <v>1</v>
      </c>
      <c r="AS40" s="175">
        <v>1</v>
      </c>
      <c r="AT40" s="176" t="s">
        <v>3286</v>
      </c>
      <c r="AU40" s="171"/>
      <c r="AV40" s="171">
        <v>1.5916999999999999</v>
      </c>
      <c r="AW40" s="171">
        <v>1.3253999999999999</v>
      </c>
      <c r="AY40" t="s">
        <v>807</v>
      </c>
      <c r="AZ40" t="s">
        <v>808</v>
      </c>
      <c r="BA40" t="s">
        <v>2087</v>
      </c>
      <c r="BB40" t="s">
        <v>2991</v>
      </c>
    </row>
    <row r="41" spans="1:55">
      <c r="A41" s="169">
        <v>3.04</v>
      </c>
      <c r="B41" s="207"/>
      <c r="C41" t="s">
        <v>327</v>
      </c>
      <c r="D41" t="s">
        <v>3694</v>
      </c>
      <c r="F41" t="s">
        <v>1452</v>
      </c>
      <c r="G41" t="s">
        <v>1413</v>
      </c>
      <c r="H41" t="s">
        <v>2088</v>
      </c>
      <c r="I41" t="s">
        <v>2603</v>
      </c>
      <c r="J41" t="s">
        <v>2452</v>
      </c>
      <c r="K41" t="s">
        <v>2992</v>
      </c>
      <c r="M41" t="s">
        <v>3301</v>
      </c>
      <c r="N41" t="s">
        <v>327</v>
      </c>
      <c r="O41">
        <v>13</v>
      </c>
      <c r="Q41" t="s">
        <v>3410</v>
      </c>
      <c r="R41" t="s">
        <v>327</v>
      </c>
      <c r="S41">
        <v>3</v>
      </c>
      <c r="U41" t="s">
        <v>3534</v>
      </c>
      <c r="V41" t="s">
        <v>327</v>
      </c>
      <c r="W41">
        <v>3</v>
      </c>
      <c r="Y41">
        <v>18</v>
      </c>
      <c r="Z41">
        <v>93.5</v>
      </c>
      <c r="AA41">
        <v>19</v>
      </c>
      <c r="AB41">
        <v>8</v>
      </c>
      <c r="AC41">
        <v>98.6</v>
      </c>
      <c r="AD41">
        <v>4</v>
      </c>
      <c r="AF41" s="170" t="s">
        <v>327</v>
      </c>
      <c r="AG41" s="171">
        <v>0.31759999999999999</v>
      </c>
      <c r="AH41" s="173">
        <v>0.158</v>
      </c>
      <c r="AI41" s="173">
        <v>0.13100000000000001</v>
      </c>
      <c r="AJ41" s="173">
        <v>0.128</v>
      </c>
      <c r="AK41" s="173">
        <v>0.14000000000000001</v>
      </c>
      <c r="AL41" s="174"/>
      <c r="AM41" s="173">
        <v>0.11600000000000001</v>
      </c>
      <c r="AN41" s="173">
        <v>8.3000000000000004E-2</v>
      </c>
      <c r="AO41" s="174"/>
      <c r="AP41" s="171">
        <v>103807</v>
      </c>
      <c r="AQ41" s="171">
        <v>250171</v>
      </c>
      <c r="AR41" s="175">
        <v>1</v>
      </c>
      <c r="AS41" s="175">
        <v>1</v>
      </c>
      <c r="AT41" s="176" t="s">
        <v>3286</v>
      </c>
      <c r="AU41" s="171"/>
      <c r="AV41" s="171">
        <v>0.12839999999999999</v>
      </c>
      <c r="AW41" s="171">
        <v>4.2700000000000002E-2</v>
      </c>
      <c r="AY41" t="s">
        <v>823</v>
      </c>
      <c r="AZ41" t="s">
        <v>824</v>
      </c>
      <c r="BA41" t="s">
        <v>2091</v>
      </c>
      <c r="BB41" t="s">
        <v>2995</v>
      </c>
    </row>
    <row r="42" spans="1:55" ht="17" thickBot="1">
      <c r="A42" s="178">
        <v>3.04</v>
      </c>
      <c r="B42" s="208"/>
      <c r="C42" s="40" t="s">
        <v>329</v>
      </c>
      <c r="D42" s="40" t="s">
        <v>3694</v>
      </c>
      <c r="E42" s="40"/>
      <c r="F42" s="40" t="s">
        <v>1452</v>
      </c>
      <c r="G42" s="40" t="s">
        <v>1413</v>
      </c>
      <c r="H42" s="40" t="s">
        <v>2099</v>
      </c>
      <c r="I42" s="40" t="s">
        <v>2603</v>
      </c>
      <c r="J42" s="40" t="s">
        <v>2452</v>
      </c>
      <c r="K42" s="40" t="s">
        <v>3003</v>
      </c>
      <c r="L42" s="40"/>
      <c r="M42" s="40" t="s">
        <v>3301</v>
      </c>
      <c r="N42" s="40" t="s">
        <v>329</v>
      </c>
      <c r="O42" s="40">
        <v>13</v>
      </c>
      <c r="P42" s="40"/>
      <c r="Q42" s="40" t="s">
        <v>3410</v>
      </c>
      <c r="R42" s="40" t="s">
        <v>329</v>
      </c>
      <c r="S42" s="40">
        <v>3</v>
      </c>
      <c r="T42" s="40"/>
      <c r="U42" s="40" t="s">
        <v>3534</v>
      </c>
      <c r="V42" s="40" t="s">
        <v>329</v>
      </c>
      <c r="W42" s="40">
        <v>3</v>
      </c>
      <c r="X42" s="40"/>
      <c r="Y42" s="40">
        <v>18</v>
      </c>
      <c r="Z42" s="40">
        <v>93.5</v>
      </c>
      <c r="AA42" s="40">
        <v>19</v>
      </c>
      <c r="AB42" s="40">
        <v>8</v>
      </c>
      <c r="AC42" s="40">
        <v>97.9</v>
      </c>
      <c r="AD42" s="40">
        <v>6</v>
      </c>
      <c r="AE42" s="40"/>
      <c r="AF42" s="85" t="s">
        <v>329</v>
      </c>
      <c r="AG42" s="35">
        <v>0.39939999999999998</v>
      </c>
      <c r="AH42" s="90">
        <v>0.153</v>
      </c>
      <c r="AI42" s="90">
        <v>0.13</v>
      </c>
      <c r="AJ42" s="90">
        <v>0.185</v>
      </c>
      <c r="AK42" s="90">
        <v>0.14799999999999999</v>
      </c>
      <c r="AL42" s="37"/>
      <c r="AM42" s="90">
        <v>0.125</v>
      </c>
      <c r="AN42" s="90">
        <v>8.5999999999999993E-2</v>
      </c>
      <c r="AO42" s="37"/>
      <c r="AP42" s="35">
        <v>9341</v>
      </c>
      <c r="AQ42" s="35">
        <v>259954</v>
      </c>
      <c r="AR42" s="93">
        <v>1</v>
      </c>
      <c r="AS42" s="93">
        <v>1</v>
      </c>
      <c r="AT42" s="94" t="s">
        <v>3286</v>
      </c>
      <c r="AU42" s="35"/>
      <c r="AV42" s="35">
        <v>3.2319</v>
      </c>
      <c r="AW42" s="35">
        <v>1.0345</v>
      </c>
      <c r="AX42" s="40"/>
      <c r="AY42" s="40" t="s">
        <v>525</v>
      </c>
      <c r="AZ42" s="40" t="s">
        <v>526</v>
      </c>
      <c r="BA42" s="40" t="s">
        <v>2101</v>
      </c>
      <c r="BB42" s="40" t="s">
        <v>3005</v>
      </c>
      <c r="BC42" s="40"/>
    </row>
    <row r="43" spans="1:55">
      <c r="A43" s="168">
        <v>3.05</v>
      </c>
      <c r="B43" s="206">
        <v>3.05</v>
      </c>
      <c r="C43" s="81" t="s">
        <v>334</v>
      </c>
      <c r="D43" s="81" t="s">
        <v>3699</v>
      </c>
      <c r="E43" s="81"/>
      <c r="F43" s="81" t="s">
        <v>1579</v>
      </c>
      <c r="G43" s="81" t="s">
        <v>1428</v>
      </c>
      <c r="H43" s="81" t="s">
        <v>2108</v>
      </c>
      <c r="I43" s="81" t="s">
        <v>2416</v>
      </c>
      <c r="J43" s="81" t="s">
        <v>2404</v>
      </c>
      <c r="K43" s="81" t="s">
        <v>3010</v>
      </c>
      <c r="L43" s="81"/>
      <c r="M43" s="81" t="s">
        <v>3306</v>
      </c>
      <c r="N43" s="81" t="s">
        <v>334</v>
      </c>
      <c r="O43" s="81">
        <v>5</v>
      </c>
      <c r="P43" s="81"/>
      <c r="Q43" s="81" t="s">
        <v>3386</v>
      </c>
      <c r="R43" s="81" t="s">
        <v>334</v>
      </c>
      <c r="S43" s="81">
        <v>5</v>
      </c>
      <c r="T43" s="81"/>
      <c r="U43" s="81" t="s">
        <v>3510</v>
      </c>
      <c r="V43" s="81" t="s">
        <v>334</v>
      </c>
      <c r="W43" s="81">
        <v>3</v>
      </c>
      <c r="X43" s="81"/>
      <c r="Y43" s="81">
        <v>10</v>
      </c>
      <c r="Z43" s="81">
        <v>96.7</v>
      </c>
      <c r="AA43" s="81">
        <v>9</v>
      </c>
      <c r="AB43" s="81">
        <v>9</v>
      </c>
      <c r="AC43" s="81">
        <v>98.6</v>
      </c>
      <c r="AD43" s="81">
        <v>4</v>
      </c>
      <c r="AE43" s="81"/>
      <c r="AF43" s="83" t="s">
        <v>334</v>
      </c>
      <c r="AG43" s="33">
        <v>0.52080000000000004</v>
      </c>
      <c r="AH43" s="100">
        <v>3.5859999999999999</v>
      </c>
      <c r="AI43" s="87">
        <v>0.13300000000000001</v>
      </c>
      <c r="AJ43" s="87">
        <v>0.185</v>
      </c>
      <c r="AK43" s="87">
        <v>0.156</v>
      </c>
      <c r="AL43" s="34"/>
      <c r="AM43" s="87">
        <v>9.8000000000000004E-2</v>
      </c>
      <c r="AN43" s="87">
        <v>9.5000000000000001E-2</v>
      </c>
      <c r="AO43" s="34"/>
      <c r="AP43" s="33">
        <v>79743</v>
      </c>
      <c r="AQ43" s="33">
        <v>1922</v>
      </c>
      <c r="AR43" s="88">
        <v>1</v>
      </c>
      <c r="AS43" s="88">
        <v>0</v>
      </c>
      <c r="AT43" s="89" t="s">
        <v>3285</v>
      </c>
      <c r="AU43" s="33"/>
      <c r="AV43" s="33">
        <v>-2.5100000000000001E-2</v>
      </c>
      <c r="AW43" s="33">
        <v>-1.41E-2</v>
      </c>
      <c r="AX43" s="81"/>
      <c r="AY43" s="81" t="s">
        <v>897</v>
      </c>
      <c r="AZ43" s="81" t="s">
        <v>898</v>
      </c>
      <c r="BA43" s="81" t="s">
        <v>2111</v>
      </c>
      <c r="BB43" s="81" t="s">
        <v>3013</v>
      </c>
      <c r="BC43" s="81"/>
    </row>
    <row r="44" spans="1:55">
      <c r="A44" s="169">
        <v>3.05</v>
      </c>
      <c r="B44" s="207"/>
      <c r="C44" t="s">
        <v>335</v>
      </c>
      <c r="D44" t="s">
        <v>3694</v>
      </c>
      <c r="F44" t="s">
        <v>1579</v>
      </c>
      <c r="G44" t="s">
        <v>1428</v>
      </c>
      <c r="H44" t="s">
        <v>2112</v>
      </c>
      <c r="I44" t="s">
        <v>2416</v>
      </c>
      <c r="J44" t="s">
        <v>2404</v>
      </c>
      <c r="K44" t="s">
        <v>3010</v>
      </c>
      <c r="M44" t="s">
        <v>3306</v>
      </c>
      <c r="N44" t="s">
        <v>335</v>
      </c>
      <c r="O44">
        <v>5</v>
      </c>
      <c r="Q44" t="s">
        <v>3386</v>
      </c>
      <c r="R44" t="s">
        <v>335</v>
      </c>
      <c r="S44">
        <v>5</v>
      </c>
      <c r="U44" t="s">
        <v>3510</v>
      </c>
      <c r="V44" t="s">
        <v>335</v>
      </c>
      <c r="W44">
        <v>3</v>
      </c>
      <c r="Y44">
        <v>10</v>
      </c>
      <c r="Z44">
        <v>93.5</v>
      </c>
      <c r="AA44">
        <v>19</v>
      </c>
      <c r="AB44">
        <v>9</v>
      </c>
      <c r="AC44">
        <v>98</v>
      </c>
      <c r="AD44">
        <v>6</v>
      </c>
      <c r="AF44" s="170" t="s">
        <v>335</v>
      </c>
      <c r="AG44" s="171">
        <v>0.55779999999999996</v>
      </c>
      <c r="AH44" s="172">
        <v>3.5750000000000002</v>
      </c>
      <c r="AI44" s="173">
        <v>0.13900000000000001</v>
      </c>
      <c r="AJ44" s="173">
        <v>0.124</v>
      </c>
      <c r="AK44" s="173">
        <v>0.14599999999999999</v>
      </c>
      <c r="AL44" s="174"/>
      <c r="AM44" s="173">
        <v>0.10299999999999999</v>
      </c>
      <c r="AN44" s="173">
        <v>8.7999999999999995E-2</v>
      </c>
      <c r="AO44" s="174"/>
      <c r="AP44" s="171">
        <v>130831.5</v>
      </c>
      <c r="AQ44" s="171">
        <v>2070.5</v>
      </c>
      <c r="AR44" s="175">
        <v>1</v>
      </c>
      <c r="AS44" s="175">
        <v>0</v>
      </c>
      <c r="AT44" s="176" t="s">
        <v>3285</v>
      </c>
      <c r="AU44" s="171"/>
      <c r="AV44" s="171">
        <v>-7.7000000000000002E-3</v>
      </c>
      <c r="AW44" s="171">
        <v>4.0500000000000001E-2</v>
      </c>
      <c r="AY44" t="s">
        <v>785</v>
      </c>
      <c r="AZ44" t="s">
        <v>786</v>
      </c>
      <c r="BA44" t="s">
        <v>2115</v>
      </c>
      <c r="BB44" t="s">
        <v>3016</v>
      </c>
    </row>
    <row r="45" spans="1:55">
      <c r="A45" s="169">
        <v>3.05</v>
      </c>
      <c r="B45" s="207"/>
      <c r="C45" t="s">
        <v>336</v>
      </c>
      <c r="D45" t="s">
        <v>3694</v>
      </c>
      <c r="F45" t="s">
        <v>1579</v>
      </c>
      <c r="G45" t="s">
        <v>1428</v>
      </c>
      <c r="H45" t="s">
        <v>2116</v>
      </c>
      <c r="I45" t="s">
        <v>2416</v>
      </c>
      <c r="J45" t="s">
        <v>2404</v>
      </c>
      <c r="K45" t="s">
        <v>3017</v>
      </c>
      <c r="M45" t="s">
        <v>3306</v>
      </c>
      <c r="N45" t="s">
        <v>336</v>
      </c>
      <c r="O45">
        <v>5</v>
      </c>
      <c r="Q45" t="s">
        <v>3386</v>
      </c>
      <c r="R45" t="s">
        <v>336</v>
      </c>
      <c r="S45">
        <v>5</v>
      </c>
      <c r="U45" t="s">
        <v>3510</v>
      </c>
      <c r="V45" t="s">
        <v>336</v>
      </c>
      <c r="W45">
        <v>3</v>
      </c>
      <c r="Y45">
        <v>10</v>
      </c>
      <c r="Z45">
        <v>96.9</v>
      </c>
      <c r="AA45">
        <v>9</v>
      </c>
      <c r="AB45">
        <v>9</v>
      </c>
      <c r="AC45">
        <v>97.7</v>
      </c>
      <c r="AD45">
        <v>7</v>
      </c>
      <c r="AF45" s="170" t="s">
        <v>336</v>
      </c>
      <c r="AG45" s="171">
        <v>0.33600000000000002</v>
      </c>
      <c r="AH45" s="172">
        <v>3.5569999999999999</v>
      </c>
      <c r="AI45" s="173">
        <v>0.11899999999999999</v>
      </c>
      <c r="AJ45" s="173">
        <v>0.113</v>
      </c>
      <c r="AK45" s="173">
        <v>0.129</v>
      </c>
      <c r="AL45" s="174"/>
      <c r="AM45" s="173">
        <v>0.10299999999999999</v>
      </c>
      <c r="AN45" s="173">
        <v>7.9000000000000001E-2</v>
      </c>
      <c r="AO45" s="174"/>
      <c r="AP45" s="171">
        <v>127369</v>
      </c>
      <c r="AQ45" s="171">
        <v>2103.5</v>
      </c>
      <c r="AR45" s="175">
        <v>1</v>
      </c>
      <c r="AS45" s="175">
        <v>0</v>
      </c>
      <c r="AT45" s="176" t="s">
        <v>3285</v>
      </c>
      <c r="AU45" s="171"/>
      <c r="AV45" s="171">
        <v>0.78049999999999997</v>
      </c>
      <c r="AW45" s="171">
        <v>0.45140000000000002</v>
      </c>
      <c r="AY45" t="s">
        <v>847</v>
      </c>
      <c r="AZ45" t="s">
        <v>848</v>
      </c>
      <c r="BA45" t="s">
        <v>2120</v>
      </c>
      <c r="BB45" t="s">
        <v>3020</v>
      </c>
    </row>
    <row r="46" spans="1:55">
      <c r="A46" s="169">
        <v>3.05</v>
      </c>
      <c r="B46" s="207"/>
      <c r="C46" t="s">
        <v>337</v>
      </c>
      <c r="D46" t="s">
        <v>3694</v>
      </c>
      <c r="F46" t="s">
        <v>1579</v>
      </c>
      <c r="G46" t="s">
        <v>1428</v>
      </c>
      <c r="H46" t="s">
        <v>2121</v>
      </c>
      <c r="I46" t="s">
        <v>2416</v>
      </c>
      <c r="J46" t="s">
        <v>2404</v>
      </c>
      <c r="K46" t="s">
        <v>3021</v>
      </c>
      <c r="M46" t="s">
        <v>3306</v>
      </c>
      <c r="N46" t="s">
        <v>337</v>
      </c>
      <c r="O46">
        <v>5</v>
      </c>
      <c r="Q46" t="s">
        <v>3386</v>
      </c>
      <c r="R46" t="s">
        <v>337</v>
      </c>
      <c r="S46">
        <v>5</v>
      </c>
      <c r="U46" t="s">
        <v>3613</v>
      </c>
      <c r="V46" t="s">
        <v>337</v>
      </c>
      <c r="W46">
        <v>2</v>
      </c>
      <c r="Y46">
        <v>10</v>
      </c>
      <c r="Z46">
        <v>95.9</v>
      </c>
      <c r="AA46">
        <v>12</v>
      </c>
      <c r="AB46">
        <v>9</v>
      </c>
      <c r="AC46">
        <v>97</v>
      </c>
      <c r="AD46">
        <v>9</v>
      </c>
      <c r="AF46" s="170" t="s">
        <v>337</v>
      </c>
      <c r="AG46" s="171">
        <v>0.44790000000000002</v>
      </c>
      <c r="AH46" s="172">
        <v>3.5510000000000002</v>
      </c>
      <c r="AI46" s="173">
        <v>0.14099999999999999</v>
      </c>
      <c r="AJ46" s="173">
        <v>0.121</v>
      </c>
      <c r="AK46" s="173">
        <v>0.14000000000000001</v>
      </c>
      <c r="AL46" s="174"/>
      <c r="AM46" s="173">
        <v>0.13300000000000001</v>
      </c>
      <c r="AN46" s="173">
        <v>8.5999999999999993E-2</v>
      </c>
      <c r="AO46" s="174"/>
      <c r="AP46" s="171">
        <v>134464</v>
      </c>
      <c r="AQ46" s="171">
        <v>13061.5</v>
      </c>
      <c r="AR46" s="175">
        <v>1</v>
      </c>
      <c r="AS46" s="175">
        <v>1</v>
      </c>
      <c r="AT46" s="176" t="s">
        <v>3285</v>
      </c>
      <c r="AU46" s="171"/>
      <c r="AV46" s="171">
        <v>0.39369999999999999</v>
      </c>
      <c r="AW46" s="171">
        <v>0.1046</v>
      </c>
      <c r="AY46" t="s">
        <v>851</v>
      </c>
      <c r="AZ46" t="s">
        <v>852</v>
      </c>
      <c r="BA46" t="s">
        <v>2124</v>
      </c>
      <c r="BB46" t="s">
        <v>3024</v>
      </c>
    </row>
    <row r="47" spans="1:55" ht="17" thickBot="1">
      <c r="A47" s="178">
        <v>3.05</v>
      </c>
      <c r="B47" s="208"/>
      <c r="C47" s="40" t="s">
        <v>338</v>
      </c>
      <c r="D47" s="40" t="s">
        <v>3695</v>
      </c>
      <c r="E47" s="40"/>
      <c r="F47" s="40" t="s">
        <v>1579</v>
      </c>
      <c r="G47" s="40" t="s">
        <v>1428</v>
      </c>
      <c r="H47" s="40" t="s">
        <v>2125</v>
      </c>
      <c r="I47" s="40" t="s">
        <v>2416</v>
      </c>
      <c r="J47" s="40" t="s">
        <v>2404</v>
      </c>
      <c r="K47" s="40" t="s">
        <v>3010</v>
      </c>
      <c r="L47" s="40"/>
      <c r="M47" s="40" t="s">
        <v>3306</v>
      </c>
      <c r="N47" s="40" t="s">
        <v>338</v>
      </c>
      <c r="O47" s="40">
        <v>5</v>
      </c>
      <c r="P47" s="40"/>
      <c r="Q47" s="40" t="s">
        <v>3386</v>
      </c>
      <c r="R47" s="40" t="s">
        <v>338</v>
      </c>
      <c r="S47" s="40">
        <v>5</v>
      </c>
      <c r="T47" s="40"/>
      <c r="U47" s="40" t="s">
        <v>3613</v>
      </c>
      <c r="V47" s="40" t="s">
        <v>338</v>
      </c>
      <c r="W47" s="40">
        <v>2</v>
      </c>
      <c r="X47" s="40"/>
      <c r="Y47" s="40">
        <v>10</v>
      </c>
      <c r="Z47" s="40">
        <v>89</v>
      </c>
      <c r="AA47" s="40">
        <v>32</v>
      </c>
      <c r="AB47" s="40">
        <v>9</v>
      </c>
      <c r="AC47" s="40">
        <v>96.3</v>
      </c>
      <c r="AD47" s="40">
        <v>11</v>
      </c>
      <c r="AE47" s="40"/>
      <c r="AF47" s="85" t="s">
        <v>338</v>
      </c>
      <c r="AG47" s="35">
        <v>0.23719999999999999</v>
      </c>
      <c r="AH47" s="102">
        <v>3.57</v>
      </c>
      <c r="AI47" s="90">
        <v>0.18</v>
      </c>
      <c r="AJ47" s="90">
        <v>0.13700000000000001</v>
      </c>
      <c r="AK47" s="90">
        <v>0.14499999999999999</v>
      </c>
      <c r="AL47" s="37"/>
      <c r="AM47" s="90">
        <v>0.13700000000000001</v>
      </c>
      <c r="AN47" s="90">
        <v>0.10299999999999999</v>
      </c>
      <c r="AO47" s="37"/>
      <c r="AP47" s="35">
        <v>299174</v>
      </c>
      <c r="AQ47" s="35">
        <v>3032</v>
      </c>
      <c r="AR47" s="93">
        <v>1</v>
      </c>
      <c r="AS47" s="93">
        <v>0</v>
      </c>
      <c r="AT47" s="94" t="s">
        <v>3285</v>
      </c>
      <c r="AU47" s="35"/>
      <c r="AV47" s="35">
        <v>-4.2799999999999998E-2</v>
      </c>
      <c r="AW47" s="35">
        <v>-3.2000000000000002E-3</v>
      </c>
      <c r="AX47" s="40"/>
      <c r="AY47" s="40" t="s">
        <v>996</v>
      </c>
      <c r="AZ47" s="40" t="s">
        <v>997</v>
      </c>
      <c r="BA47" s="40" t="s">
        <v>2127</v>
      </c>
      <c r="BB47" s="40" t="s">
        <v>3026</v>
      </c>
      <c r="BC47" s="40"/>
    </row>
    <row r="48" spans="1:55" ht="17" thickBot="1">
      <c r="A48" s="169"/>
      <c r="B48" s="169"/>
      <c r="AF48" s="170"/>
      <c r="AG48" s="171"/>
      <c r="AH48" s="174"/>
      <c r="AI48" s="174"/>
      <c r="AJ48" s="174"/>
      <c r="AK48" s="174"/>
      <c r="AL48" s="174"/>
      <c r="AM48" s="174"/>
      <c r="AN48" s="174"/>
      <c r="AO48" s="174"/>
      <c r="AP48" s="171"/>
      <c r="AQ48" s="171"/>
      <c r="AR48" s="176"/>
      <c r="AS48" s="176"/>
      <c r="AT48" s="176"/>
      <c r="AU48" s="171"/>
      <c r="AV48" s="171"/>
      <c r="AW48" s="171"/>
    </row>
    <row r="49" spans="1:55">
      <c r="A49" s="168">
        <v>2.0099999999999998</v>
      </c>
      <c r="B49" s="206">
        <v>2.0099999999999998</v>
      </c>
      <c r="C49" s="81" t="s">
        <v>13</v>
      </c>
      <c r="D49" s="81" t="s">
        <v>3694</v>
      </c>
      <c r="E49" s="81"/>
      <c r="F49" s="81" t="s">
        <v>1420</v>
      </c>
      <c r="G49" s="81" t="s">
        <v>1421</v>
      </c>
      <c r="H49" s="81" t="s">
        <v>1422</v>
      </c>
      <c r="I49" s="81" t="s">
        <v>2410</v>
      </c>
      <c r="J49" s="81" t="s">
        <v>2411</v>
      </c>
      <c r="K49" s="81" t="s">
        <v>2412</v>
      </c>
      <c r="L49" s="81"/>
      <c r="M49" s="81" t="s">
        <v>3325</v>
      </c>
      <c r="N49" s="81" t="s">
        <v>13</v>
      </c>
      <c r="O49" s="81">
        <v>19</v>
      </c>
      <c r="P49" s="81"/>
      <c r="Q49" s="81" t="s">
        <v>3406</v>
      </c>
      <c r="R49" s="81" t="s">
        <v>13</v>
      </c>
      <c r="S49" s="81">
        <v>17</v>
      </c>
      <c r="T49" s="81"/>
      <c r="U49" s="81" t="s">
        <v>3530</v>
      </c>
      <c r="V49" s="81" t="s">
        <v>13</v>
      </c>
      <c r="W49" s="81">
        <v>16</v>
      </c>
      <c r="X49" s="81"/>
      <c r="Y49" s="81">
        <v>17</v>
      </c>
      <c r="Z49" s="81">
        <v>94.6</v>
      </c>
      <c r="AA49" s="81">
        <v>16</v>
      </c>
      <c r="AB49" s="81">
        <v>9</v>
      </c>
      <c r="AC49" s="81">
        <v>98</v>
      </c>
      <c r="AD49" s="81">
        <v>6</v>
      </c>
      <c r="AE49" s="81"/>
      <c r="AF49" s="83" t="s">
        <v>13</v>
      </c>
      <c r="AG49" s="38">
        <v>-3.176E-3</v>
      </c>
      <c r="AH49" s="87">
        <v>0.127</v>
      </c>
      <c r="AI49" s="87">
        <v>0.11700000000000001</v>
      </c>
      <c r="AJ49" s="87">
        <v>0.115</v>
      </c>
      <c r="AK49" s="87">
        <v>0.115</v>
      </c>
      <c r="AL49" s="34"/>
      <c r="AM49" s="87">
        <v>9.2999999999999999E-2</v>
      </c>
      <c r="AN49" s="87">
        <v>8.5999999999999993E-2</v>
      </c>
      <c r="AO49" s="34"/>
      <c r="AP49" s="33">
        <v>1898</v>
      </c>
      <c r="AQ49" s="33">
        <v>2054</v>
      </c>
      <c r="AR49" s="88">
        <v>0</v>
      </c>
      <c r="AS49" s="88">
        <v>0</v>
      </c>
      <c r="AT49" s="89" t="s">
        <v>3289</v>
      </c>
      <c r="AU49" s="33"/>
      <c r="AV49" s="33">
        <v>1.0773999999999999</v>
      </c>
      <c r="AW49" s="33">
        <v>0.14280000000000001</v>
      </c>
      <c r="AX49" s="81"/>
      <c r="AY49" s="81" t="s">
        <v>771</v>
      </c>
      <c r="AZ49" s="81" t="s">
        <v>772</v>
      </c>
      <c r="BA49" s="81" t="s">
        <v>1426</v>
      </c>
      <c r="BB49" s="81" t="s">
        <v>2415</v>
      </c>
      <c r="BC49" s="81"/>
    </row>
    <row r="50" spans="1:55">
      <c r="A50" s="169">
        <v>2.0099999999999998</v>
      </c>
      <c r="B50" s="207"/>
      <c r="C50" t="s">
        <v>14</v>
      </c>
      <c r="D50" t="s">
        <v>3694</v>
      </c>
      <c r="F50" t="s">
        <v>1420</v>
      </c>
      <c r="G50" t="s">
        <v>1421</v>
      </c>
      <c r="H50" t="s">
        <v>1465</v>
      </c>
      <c r="I50" t="s">
        <v>2410</v>
      </c>
      <c r="J50" t="s">
        <v>2411</v>
      </c>
      <c r="K50" t="s">
        <v>2412</v>
      </c>
      <c r="M50" t="s">
        <v>3325</v>
      </c>
      <c r="N50" t="s">
        <v>14</v>
      </c>
      <c r="O50">
        <v>19</v>
      </c>
      <c r="Q50" t="s">
        <v>3406</v>
      </c>
      <c r="R50" t="s">
        <v>14</v>
      </c>
      <c r="S50">
        <v>17</v>
      </c>
      <c r="U50" t="s">
        <v>3530</v>
      </c>
      <c r="V50" t="s">
        <v>14</v>
      </c>
      <c r="W50">
        <v>16</v>
      </c>
      <c r="Y50">
        <v>17</v>
      </c>
      <c r="Z50">
        <v>94.9</v>
      </c>
      <c r="AA50">
        <v>15</v>
      </c>
      <c r="AB50">
        <v>9</v>
      </c>
      <c r="AC50">
        <v>97.7</v>
      </c>
      <c r="AD50">
        <v>7</v>
      </c>
      <c r="AF50" s="170" t="s">
        <v>14</v>
      </c>
      <c r="AG50" s="171">
        <v>0.19189999999999999</v>
      </c>
      <c r="AH50" s="173">
        <v>0.123</v>
      </c>
      <c r="AI50" s="182">
        <v>0.46300000000000002</v>
      </c>
      <c r="AJ50" s="173">
        <v>0.123</v>
      </c>
      <c r="AK50" s="173">
        <v>0.107</v>
      </c>
      <c r="AL50" s="174"/>
      <c r="AM50" s="173">
        <v>0.1</v>
      </c>
      <c r="AN50" s="173">
        <v>0.08</v>
      </c>
      <c r="AO50" s="174"/>
      <c r="AP50" s="171">
        <v>135596</v>
      </c>
      <c r="AQ50" s="171">
        <v>223921</v>
      </c>
      <c r="AR50" s="175">
        <v>1</v>
      </c>
      <c r="AS50" s="175">
        <v>1</v>
      </c>
      <c r="AT50" s="176" t="s">
        <v>3286</v>
      </c>
      <c r="AU50" s="171"/>
      <c r="AV50" s="171">
        <v>2.0375000000000001</v>
      </c>
      <c r="AW50" s="171">
        <v>1.5128999999999999</v>
      </c>
      <c r="AY50" t="s">
        <v>777</v>
      </c>
      <c r="AZ50" t="s">
        <v>778</v>
      </c>
      <c r="BA50" t="s">
        <v>1468</v>
      </c>
      <c r="BB50" t="s">
        <v>2447</v>
      </c>
    </row>
    <row r="51" spans="1:55">
      <c r="A51" s="169">
        <v>2.0099999999999998</v>
      </c>
      <c r="B51" s="207"/>
      <c r="C51" t="s">
        <v>16</v>
      </c>
      <c r="D51" t="s">
        <v>3694</v>
      </c>
      <c r="F51" t="s">
        <v>1420</v>
      </c>
      <c r="G51" t="s">
        <v>1421</v>
      </c>
      <c r="H51" t="s">
        <v>1506</v>
      </c>
      <c r="I51" t="s">
        <v>2410</v>
      </c>
      <c r="J51" t="s">
        <v>2411</v>
      </c>
      <c r="K51" t="s">
        <v>2412</v>
      </c>
      <c r="M51" t="s">
        <v>3325</v>
      </c>
      <c r="N51" t="s">
        <v>16</v>
      </c>
      <c r="O51">
        <v>19</v>
      </c>
      <c r="Q51" t="s">
        <v>3406</v>
      </c>
      <c r="R51" t="s">
        <v>16</v>
      </c>
      <c r="S51">
        <v>17</v>
      </c>
      <c r="U51" t="s">
        <v>3530</v>
      </c>
      <c r="V51" t="s">
        <v>16</v>
      </c>
      <c r="W51">
        <v>16</v>
      </c>
      <c r="Y51">
        <v>17</v>
      </c>
      <c r="Z51">
        <v>93.2</v>
      </c>
      <c r="AA51">
        <v>20</v>
      </c>
      <c r="AB51">
        <v>9</v>
      </c>
      <c r="AC51">
        <v>95</v>
      </c>
      <c r="AD51">
        <v>15</v>
      </c>
      <c r="AF51" s="170" t="s">
        <v>16</v>
      </c>
      <c r="AG51" s="171">
        <v>0.17780000000000001</v>
      </c>
      <c r="AH51" s="173">
        <v>0.127</v>
      </c>
      <c r="AI51" s="182">
        <v>0.41399999999999998</v>
      </c>
      <c r="AJ51" s="173">
        <v>0.125</v>
      </c>
      <c r="AK51" s="173">
        <v>0.11600000000000001</v>
      </c>
      <c r="AL51" s="174"/>
      <c r="AM51" s="173">
        <v>9.6000000000000002E-2</v>
      </c>
      <c r="AN51" s="173">
        <v>8.3000000000000004E-2</v>
      </c>
      <c r="AO51" s="174"/>
      <c r="AP51" s="171">
        <v>163178.5</v>
      </c>
      <c r="AQ51" s="171">
        <v>86090</v>
      </c>
      <c r="AR51" s="175">
        <v>1</v>
      </c>
      <c r="AS51" s="175">
        <v>1</v>
      </c>
      <c r="AT51" s="176" t="s">
        <v>3285</v>
      </c>
      <c r="AU51" s="171"/>
      <c r="AV51" s="171">
        <v>2.3216999999999999</v>
      </c>
      <c r="AW51" s="171">
        <v>1.5063</v>
      </c>
      <c r="AY51" t="s">
        <v>829</v>
      </c>
      <c r="AZ51" t="s">
        <v>830</v>
      </c>
      <c r="BA51" t="s">
        <v>1508</v>
      </c>
      <c r="BB51" t="s">
        <v>2522</v>
      </c>
    </row>
    <row r="52" spans="1:55">
      <c r="A52" s="169">
        <v>2.0099999999999998</v>
      </c>
      <c r="B52" s="207"/>
      <c r="C52" t="s">
        <v>19</v>
      </c>
      <c r="D52" t="s">
        <v>3694</v>
      </c>
      <c r="F52" t="s">
        <v>1420</v>
      </c>
      <c r="G52" t="s">
        <v>1421</v>
      </c>
      <c r="H52" t="s">
        <v>1636</v>
      </c>
      <c r="I52" t="s">
        <v>2410</v>
      </c>
      <c r="J52" t="s">
        <v>2411</v>
      </c>
      <c r="K52" t="s">
        <v>2412</v>
      </c>
      <c r="M52" t="s">
        <v>3325</v>
      </c>
      <c r="N52" t="s">
        <v>19</v>
      </c>
      <c r="O52">
        <v>19</v>
      </c>
      <c r="Q52" t="s">
        <v>3406</v>
      </c>
      <c r="R52" t="s">
        <v>19</v>
      </c>
      <c r="S52">
        <v>17</v>
      </c>
      <c r="U52" t="s">
        <v>3530</v>
      </c>
      <c r="V52" t="s">
        <v>19</v>
      </c>
      <c r="W52">
        <v>16</v>
      </c>
      <c r="Y52">
        <v>17</v>
      </c>
      <c r="Z52">
        <v>95.3</v>
      </c>
      <c r="AA52">
        <v>14</v>
      </c>
      <c r="AB52">
        <v>9</v>
      </c>
      <c r="AC52">
        <v>98.3</v>
      </c>
      <c r="AD52">
        <v>5</v>
      </c>
      <c r="AF52" s="170" t="s">
        <v>19</v>
      </c>
      <c r="AG52" s="171">
        <v>0.4224</v>
      </c>
      <c r="AH52" s="173">
        <v>0.129</v>
      </c>
      <c r="AI52" s="181">
        <v>0.68500000000000005</v>
      </c>
      <c r="AJ52" s="173">
        <v>0.155</v>
      </c>
      <c r="AK52" s="173">
        <v>0.11600000000000001</v>
      </c>
      <c r="AL52" s="174"/>
      <c r="AM52" s="173">
        <v>9.9000000000000005E-2</v>
      </c>
      <c r="AN52" s="173">
        <v>8.4000000000000005E-2</v>
      </c>
      <c r="AO52" s="174"/>
      <c r="AP52" s="171">
        <v>19496</v>
      </c>
      <c r="AQ52" s="171">
        <v>77200</v>
      </c>
      <c r="AR52" s="175">
        <v>1</v>
      </c>
      <c r="AS52" s="175">
        <v>1</v>
      </c>
      <c r="AT52" s="176" t="s">
        <v>3286</v>
      </c>
      <c r="AU52" s="171"/>
      <c r="AV52" s="171">
        <v>2.4274</v>
      </c>
      <c r="AW52" s="171">
        <v>1.1999</v>
      </c>
      <c r="AY52" t="s">
        <v>515</v>
      </c>
      <c r="AZ52" t="s">
        <v>516</v>
      </c>
      <c r="BA52" t="s">
        <v>1638</v>
      </c>
      <c r="BB52" t="s">
        <v>2599</v>
      </c>
    </row>
    <row r="53" spans="1:55">
      <c r="A53" s="169">
        <v>2.0099999999999998</v>
      </c>
      <c r="B53" s="207"/>
      <c r="C53" t="s">
        <v>20</v>
      </c>
      <c r="D53" t="s">
        <v>3694</v>
      </c>
      <c r="F53" t="s">
        <v>1420</v>
      </c>
      <c r="G53" t="s">
        <v>1421</v>
      </c>
      <c r="H53" t="s">
        <v>1671</v>
      </c>
      <c r="I53" t="s">
        <v>2410</v>
      </c>
      <c r="J53" t="s">
        <v>2411</v>
      </c>
      <c r="K53" t="s">
        <v>2412</v>
      </c>
      <c r="M53" t="s">
        <v>3325</v>
      </c>
      <c r="N53" t="s">
        <v>20</v>
      </c>
      <c r="O53">
        <v>19</v>
      </c>
      <c r="Q53" t="s">
        <v>3406</v>
      </c>
      <c r="R53" t="s">
        <v>20</v>
      </c>
      <c r="S53">
        <v>17</v>
      </c>
      <c r="U53" t="s">
        <v>3530</v>
      </c>
      <c r="V53" t="s">
        <v>20</v>
      </c>
      <c r="W53">
        <v>16</v>
      </c>
      <c r="Y53">
        <v>17</v>
      </c>
      <c r="Z53">
        <v>94.9</v>
      </c>
      <c r="AA53">
        <v>15</v>
      </c>
      <c r="AB53">
        <v>9</v>
      </c>
      <c r="AC53">
        <v>98</v>
      </c>
      <c r="AD53">
        <v>6</v>
      </c>
      <c r="AF53" s="170" t="s">
        <v>20</v>
      </c>
      <c r="AG53" s="171">
        <v>0.22439999999999999</v>
      </c>
      <c r="AH53" s="173">
        <v>0.11799999999999999</v>
      </c>
      <c r="AI53" s="181">
        <v>0.76600000000000001</v>
      </c>
      <c r="AJ53" s="173">
        <v>0.129</v>
      </c>
      <c r="AK53" s="173">
        <v>0.128</v>
      </c>
      <c r="AL53" s="174"/>
      <c r="AM53" s="173">
        <v>0.105</v>
      </c>
      <c r="AN53" s="173">
        <v>9.8000000000000004E-2</v>
      </c>
      <c r="AO53" s="174"/>
      <c r="AP53" s="171">
        <v>8569.5</v>
      </c>
      <c r="AQ53" s="171">
        <v>166159</v>
      </c>
      <c r="AR53" s="175">
        <v>1</v>
      </c>
      <c r="AS53" s="175">
        <v>1</v>
      </c>
      <c r="AT53" s="176" t="s">
        <v>3286</v>
      </c>
      <c r="AU53" s="171"/>
      <c r="AV53" s="171">
        <v>2.6164999999999998</v>
      </c>
      <c r="AW53" s="171">
        <v>1.3445</v>
      </c>
      <c r="AY53" t="s">
        <v>541</v>
      </c>
      <c r="AZ53" t="s">
        <v>542</v>
      </c>
      <c r="BA53" t="s">
        <v>1673</v>
      </c>
      <c r="BB53" t="s">
        <v>2631</v>
      </c>
    </row>
    <row r="54" spans="1:55">
      <c r="A54" s="169">
        <v>2.0099999999999998</v>
      </c>
      <c r="B54" s="207"/>
      <c r="C54" t="s">
        <v>21</v>
      </c>
      <c r="D54" t="s">
        <v>3694</v>
      </c>
      <c r="F54" t="s">
        <v>1420</v>
      </c>
      <c r="G54" t="s">
        <v>1421</v>
      </c>
      <c r="H54" t="s">
        <v>1675</v>
      </c>
      <c r="I54" t="s">
        <v>2410</v>
      </c>
      <c r="J54" t="s">
        <v>2411</v>
      </c>
      <c r="K54" t="s">
        <v>2412</v>
      </c>
      <c r="M54" t="s">
        <v>3325</v>
      </c>
      <c r="N54" t="s">
        <v>21</v>
      </c>
      <c r="O54">
        <v>19</v>
      </c>
      <c r="Q54" t="s">
        <v>3406</v>
      </c>
      <c r="R54" t="s">
        <v>21</v>
      </c>
      <c r="S54">
        <v>17</v>
      </c>
      <c r="U54" t="s">
        <v>3530</v>
      </c>
      <c r="V54" t="s">
        <v>21</v>
      </c>
      <c r="W54">
        <v>16</v>
      </c>
      <c r="Y54">
        <v>17</v>
      </c>
      <c r="Z54">
        <v>92.5</v>
      </c>
      <c r="AA54">
        <v>22</v>
      </c>
      <c r="AB54">
        <v>9</v>
      </c>
      <c r="AC54">
        <v>95.4</v>
      </c>
      <c r="AD54">
        <v>14</v>
      </c>
      <c r="AF54" s="170" t="s">
        <v>21</v>
      </c>
      <c r="AG54" s="171">
        <v>0.54820000000000002</v>
      </c>
      <c r="AH54" s="173">
        <v>0.113</v>
      </c>
      <c r="AI54" s="181">
        <v>0.746</v>
      </c>
      <c r="AJ54" s="173">
        <v>0.14299999999999999</v>
      </c>
      <c r="AK54" s="173">
        <v>0.13200000000000001</v>
      </c>
      <c r="AL54" s="174"/>
      <c r="AM54" s="173">
        <v>9.9000000000000005E-2</v>
      </c>
      <c r="AN54" s="173">
        <v>0.08</v>
      </c>
      <c r="AO54" s="174"/>
      <c r="AP54" s="171">
        <v>5883</v>
      </c>
      <c r="AQ54" s="171">
        <v>42320</v>
      </c>
      <c r="AR54" s="175">
        <v>0</v>
      </c>
      <c r="AS54" s="175">
        <v>1</v>
      </c>
      <c r="AT54" s="176" t="s">
        <v>3286</v>
      </c>
      <c r="AU54" s="171"/>
      <c r="AV54" s="171">
        <v>2.8231000000000002</v>
      </c>
      <c r="AW54" s="171">
        <v>1.1345000000000001</v>
      </c>
      <c r="AY54" t="s">
        <v>554</v>
      </c>
      <c r="AZ54" t="s">
        <v>555</v>
      </c>
      <c r="BA54" t="s">
        <v>1678</v>
      </c>
      <c r="BB54" t="s">
        <v>2634</v>
      </c>
    </row>
    <row r="55" spans="1:55">
      <c r="A55" s="169">
        <v>2.0099999999999998</v>
      </c>
      <c r="B55" s="207"/>
      <c r="C55" t="s">
        <v>22</v>
      </c>
      <c r="D55" t="s">
        <v>3694</v>
      </c>
      <c r="F55" t="s">
        <v>1420</v>
      </c>
      <c r="G55" t="s">
        <v>1421</v>
      </c>
      <c r="H55" t="s">
        <v>1705</v>
      </c>
      <c r="I55" t="s">
        <v>2410</v>
      </c>
      <c r="J55" t="s">
        <v>2411</v>
      </c>
      <c r="K55" t="s">
        <v>2412</v>
      </c>
      <c r="M55" t="s">
        <v>3325</v>
      </c>
      <c r="N55" t="s">
        <v>22</v>
      </c>
      <c r="O55">
        <v>19</v>
      </c>
      <c r="Q55" t="s">
        <v>3406</v>
      </c>
      <c r="R55" t="s">
        <v>22</v>
      </c>
      <c r="S55">
        <v>17</v>
      </c>
      <c r="U55" t="s">
        <v>3530</v>
      </c>
      <c r="V55" t="s">
        <v>22</v>
      </c>
      <c r="W55">
        <v>16</v>
      </c>
      <c r="Y55">
        <v>17</v>
      </c>
      <c r="Z55">
        <v>95.6</v>
      </c>
      <c r="AA55">
        <v>13</v>
      </c>
      <c r="AB55">
        <v>9</v>
      </c>
      <c r="AC55">
        <v>96.7</v>
      </c>
      <c r="AD55">
        <v>10</v>
      </c>
      <c r="AF55" s="170" t="s">
        <v>22</v>
      </c>
      <c r="AG55" s="171">
        <v>0.39950000000000002</v>
      </c>
      <c r="AH55" s="173">
        <v>0.11700000000000001</v>
      </c>
      <c r="AI55" s="182">
        <v>0.55100000000000005</v>
      </c>
      <c r="AJ55" s="173">
        <v>0.13500000000000001</v>
      </c>
      <c r="AK55" s="173">
        <v>0.129</v>
      </c>
      <c r="AL55" s="174"/>
      <c r="AM55" s="173">
        <v>0.113</v>
      </c>
      <c r="AN55" s="173">
        <v>9.0999999999999998E-2</v>
      </c>
      <c r="AO55" s="174"/>
      <c r="AP55" s="171">
        <v>13478</v>
      </c>
      <c r="AQ55" s="171">
        <v>65839.5</v>
      </c>
      <c r="AR55" s="175">
        <v>1</v>
      </c>
      <c r="AS55" s="175">
        <v>1</v>
      </c>
      <c r="AT55" s="176" t="s">
        <v>3286</v>
      </c>
      <c r="AU55" s="171"/>
      <c r="AV55" s="171">
        <v>2.3189000000000002</v>
      </c>
      <c r="AW55" s="171">
        <v>1.3113999999999999</v>
      </c>
      <c r="AY55" t="s">
        <v>556</v>
      </c>
      <c r="AZ55" t="s">
        <v>557</v>
      </c>
      <c r="BA55" t="s">
        <v>1707</v>
      </c>
      <c r="BB55" t="s">
        <v>2657</v>
      </c>
    </row>
    <row r="56" spans="1:55">
      <c r="A56" s="169">
        <v>2.0099999999999998</v>
      </c>
      <c r="B56" s="207"/>
      <c r="C56" t="s">
        <v>23</v>
      </c>
      <c r="D56" t="s">
        <v>3694</v>
      </c>
      <c r="F56" t="s">
        <v>1420</v>
      </c>
      <c r="G56" t="s">
        <v>1421</v>
      </c>
      <c r="H56" t="s">
        <v>1740</v>
      </c>
      <c r="I56" t="s">
        <v>2410</v>
      </c>
      <c r="J56" t="s">
        <v>2411</v>
      </c>
      <c r="K56" t="s">
        <v>2412</v>
      </c>
      <c r="M56" t="s">
        <v>3325</v>
      </c>
      <c r="N56" t="s">
        <v>23</v>
      </c>
      <c r="O56">
        <v>19</v>
      </c>
      <c r="Q56" t="s">
        <v>3406</v>
      </c>
      <c r="R56" t="s">
        <v>23</v>
      </c>
      <c r="S56">
        <v>17</v>
      </c>
      <c r="U56" t="s">
        <v>3530</v>
      </c>
      <c r="V56" t="s">
        <v>23</v>
      </c>
      <c r="W56">
        <v>16</v>
      </c>
      <c r="Y56">
        <v>17</v>
      </c>
      <c r="Z56">
        <v>92.2</v>
      </c>
      <c r="AA56">
        <v>23</v>
      </c>
      <c r="AB56">
        <v>9</v>
      </c>
      <c r="AC56">
        <v>97.7</v>
      </c>
      <c r="AD56">
        <v>7</v>
      </c>
      <c r="AF56" s="170" t="s">
        <v>23</v>
      </c>
      <c r="AG56" s="171">
        <v>0.15609999999999999</v>
      </c>
      <c r="AH56" s="173">
        <v>0.12</v>
      </c>
      <c r="AI56" s="181">
        <v>0.63500000000000001</v>
      </c>
      <c r="AJ56" s="173">
        <v>0.13700000000000001</v>
      </c>
      <c r="AK56" s="173">
        <v>0.122</v>
      </c>
      <c r="AL56" s="174"/>
      <c r="AM56" s="173">
        <v>0.11899999999999999</v>
      </c>
      <c r="AN56" s="173">
        <v>8.7999999999999995E-2</v>
      </c>
      <c r="AO56" s="174"/>
      <c r="AP56" s="171">
        <v>51409</v>
      </c>
      <c r="AQ56" s="171">
        <v>172527.5</v>
      </c>
      <c r="AR56" s="175">
        <v>1</v>
      </c>
      <c r="AS56" s="175">
        <v>1</v>
      </c>
      <c r="AT56" s="176" t="s">
        <v>3286</v>
      </c>
      <c r="AU56" s="171"/>
      <c r="AV56" s="171">
        <v>2.9096000000000002</v>
      </c>
      <c r="AW56" s="171">
        <v>1.3472</v>
      </c>
      <c r="AY56" t="s">
        <v>566</v>
      </c>
      <c r="AZ56" t="s">
        <v>567</v>
      </c>
      <c r="BA56" t="s">
        <v>1742</v>
      </c>
      <c r="BB56" t="s">
        <v>2687</v>
      </c>
    </row>
    <row r="57" spans="1:55">
      <c r="A57" s="169">
        <v>2.0099999999999998</v>
      </c>
      <c r="B57" s="207"/>
      <c r="C57" t="s">
        <v>24</v>
      </c>
      <c r="D57" t="s">
        <v>3694</v>
      </c>
      <c r="F57" t="s">
        <v>1420</v>
      </c>
      <c r="G57" t="s">
        <v>1421</v>
      </c>
      <c r="H57" t="s">
        <v>1705</v>
      </c>
      <c r="I57" t="s">
        <v>2410</v>
      </c>
      <c r="J57" t="s">
        <v>2411</v>
      </c>
      <c r="K57" t="s">
        <v>2412</v>
      </c>
      <c r="M57" t="s">
        <v>3325</v>
      </c>
      <c r="N57" t="s">
        <v>24</v>
      </c>
      <c r="O57">
        <v>19</v>
      </c>
      <c r="Q57" t="s">
        <v>3406</v>
      </c>
      <c r="R57" t="s">
        <v>24</v>
      </c>
      <c r="S57">
        <v>17</v>
      </c>
      <c r="U57" t="s">
        <v>3530</v>
      </c>
      <c r="V57" t="s">
        <v>24</v>
      </c>
      <c r="W57">
        <v>16</v>
      </c>
      <c r="Y57">
        <v>17</v>
      </c>
      <c r="Z57">
        <v>96.9</v>
      </c>
      <c r="AA57">
        <v>9</v>
      </c>
      <c r="AB57">
        <v>9</v>
      </c>
      <c r="AC57">
        <v>98.3</v>
      </c>
      <c r="AD57">
        <v>5</v>
      </c>
      <c r="AF57" s="170" t="s">
        <v>24</v>
      </c>
      <c r="AG57" s="171">
        <v>0.27710000000000001</v>
      </c>
      <c r="AH57" s="173">
        <v>0.11700000000000001</v>
      </c>
      <c r="AI57" s="182">
        <v>0.498</v>
      </c>
      <c r="AJ57" s="173">
        <v>0.126</v>
      </c>
      <c r="AK57" s="173">
        <v>0.13200000000000001</v>
      </c>
      <c r="AL57" s="174"/>
      <c r="AM57" s="173">
        <v>0.11600000000000001</v>
      </c>
      <c r="AN57" s="173">
        <v>0.09</v>
      </c>
      <c r="AO57" s="174"/>
      <c r="AP57" s="171">
        <v>1858</v>
      </c>
      <c r="AQ57" s="171">
        <v>82839</v>
      </c>
      <c r="AR57" s="175">
        <v>0</v>
      </c>
      <c r="AS57" s="175">
        <v>1</v>
      </c>
      <c r="AT57" s="176" t="s">
        <v>3286</v>
      </c>
      <c r="AU57" s="171"/>
      <c r="AV57" s="171">
        <v>2.5202</v>
      </c>
      <c r="AW57" s="171">
        <v>0.98729999999999996</v>
      </c>
      <c r="AY57" t="s">
        <v>576</v>
      </c>
      <c r="AZ57" t="s">
        <v>577</v>
      </c>
      <c r="BA57" t="s">
        <v>1782</v>
      </c>
      <c r="BB57" t="s">
        <v>2631</v>
      </c>
    </row>
    <row r="58" spans="1:55">
      <c r="A58" s="169">
        <v>2.0099999999999998</v>
      </c>
      <c r="B58" s="207"/>
      <c r="C58" t="s">
        <v>25</v>
      </c>
      <c r="D58" t="s">
        <v>3694</v>
      </c>
      <c r="F58" t="s">
        <v>1420</v>
      </c>
      <c r="G58" t="s">
        <v>1421</v>
      </c>
      <c r="H58" t="s">
        <v>1816</v>
      </c>
      <c r="I58" t="s">
        <v>2410</v>
      </c>
      <c r="J58" t="s">
        <v>2411</v>
      </c>
      <c r="K58" t="s">
        <v>2412</v>
      </c>
      <c r="M58" t="s">
        <v>3325</v>
      </c>
      <c r="N58" t="s">
        <v>25</v>
      </c>
      <c r="O58">
        <v>19</v>
      </c>
      <c r="Q58" t="s">
        <v>3406</v>
      </c>
      <c r="R58" t="s">
        <v>25</v>
      </c>
      <c r="S58">
        <v>17</v>
      </c>
      <c r="U58" t="s">
        <v>3530</v>
      </c>
      <c r="V58" t="s">
        <v>25</v>
      </c>
      <c r="W58">
        <v>16</v>
      </c>
      <c r="Y58">
        <v>17</v>
      </c>
      <c r="Z58">
        <v>94.9</v>
      </c>
      <c r="AA58">
        <v>15</v>
      </c>
      <c r="AB58">
        <v>9</v>
      </c>
      <c r="AC58">
        <v>96.7</v>
      </c>
      <c r="AD58">
        <v>10</v>
      </c>
      <c r="AF58" s="170" t="s">
        <v>25</v>
      </c>
      <c r="AG58" s="171">
        <v>0.29170000000000001</v>
      </c>
      <c r="AH58" s="188">
        <v>0.11600000000000001</v>
      </c>
      <c r="AI58" s="189">
        <v>0.71799999999999997</v>
      </c>
      <c r="AJ58" s="188">
        <v>0.13800000000000001</v>
      </c>
      <c r="AK58" s="188">
        <v>0.11700000000000001</v>
      </c>
      <c r="AL58" s="185"/>
      <c r="AM58" s="173">
        <v>0.112</v>
      </c>
      <c r="AN58" s="173">
        <v>9.7000000000000003E-2</v>
      </c>
      <c r="AO58" s="174"/>
      <c r="AP58" s="171">
        <v>28303</v>
      </c>
      <c r="AQ58" s="171">
        <v>63899</v>
      </c>
      <c r="AR58" s="175">
        <v>1</v>
      </c>
      <c r="AS58" s="175">
        <v>1</v>
      </c>
      <c r="AT58" s="176" t="s">
        <v>3286</v>
      </c>
      <c r="AU58" s="171"/>
      <c r="AV58" s="171">
        <v>2.3711000000000002</v>
      </c>
      <c r="AW58" s="171">
        <v>2.6360999999999999</v>
      </c>
      <c r="AY58" t="s">
        <v>642</v>
      </c>
      <c r="AZ58" t="s">
        <v>643</v>
      </c>
      <c r="BA58" t="s">
        <v>1818</v>
      </c>
      <c r="BB58" t="s">
        <v>2755</v>
      </c>
    </row>
    <row r="59" spans="1:55">
      <c r="A59" s="169">
        <v>2.0099999999999998</v>
      </c>
      <c r="B59" s="207"/>
      <c r="C59" t="s">
        <v>26</v>
      </c>
      <c r="D59" t="s">
        <v>3694</v>
      </c>
      <c r="F59" t="s">
        <v>1420</v>
      </c>
      <c r="G59" t="s">
        <v>1421</v>
      </c>
      <c r="H59" t="s">
        <v>1851</v>
      </c>
      <c r="I59" t="s">
        <v>2410</v>
      </c>
      <c r="J59" t="s">
        <v>2411</v>
      </c>
      <c r="K59" t="s">
        <v>2412</v>
      </c>
      <c r="M59" t="s">
        <v>3325</v>
      </c>
      <c r="N59" t="s">
        <v>26</v>
      </c>
      <c r="O59">
        <v>19</v>
      </c>
      <c r="Q59" t="s">
        <v>3406</v>
      </c>
      <c r="R59" t="s">
        <v>26</v>
      </c>
      <c r="S59">
        <v>17</v>
      </c>
      <c r="U59" t="s">
        <v>3530</v>
      </c>
      <c r="V59" t="s">
        <v>26</v>
      </c>
      <c r="W59">
        <v>16</v>
      </c>
      <c r="Y59">
        <v>17</v>
      </c>
      <c r="Z59">
        <v>94.2</v>
      </c>
      <c r="AA59">
        <v>17</v>
      </c>
      <c r="AB59">
        <v>9</v>
      </c>
      <c r="AC59">
        <v>97</v>
      </c>
      <c r="AD59">
        <v>9</v>
      </c>
      <c r="AF59" s="170" t="s">
        <v>26</v>
      </c>
      <c r="AG59" s="171">
        <v>0.27360000000000001</v>
      </c>
      <c r="AH59" s="188">
        <v>0.11899999999999999</v>
      </c>
      <c r="AI59" s="187">
        <v>0.52500000000000002</v>
      </c>
      <c r="AJ59" s="188">
        <v>0.127</v>
      </c>
      <c r="AK59" s="188">
        <v>0.123</v>
      </c>
      <c r="AL59" s="185"/>
      <c r="AM59" s="173">
        <v>0.11600000000000001</v>
      </c>
      <c r="AN59" s="173">
        <v>9.2999999999999999E-2</v>
      </c>
      <c r="AO59" s="174"/>
      <c r="AP59" s="171">
        <v>33177.5</v>
      </c>
      <c r="AQ59" s="171">
        <v>44530</v>
      </c>
      <c r="AR59" s="175">
        <v>1</v>
      </c>
      <c r="AS59" s="175">
        <v>1</v>
      </c>
      <c r="AT59" s="176" t="s">
        <v>3286</v>
      </c>
      <c r="AU59" s="171"/>
      <c r="AV59" s="171">
        <v>2.4756999999999998</v>
      </c>
      <c r="AW59" s="171">
        <v>1.1087</v>
      </c>
      <c r="AY59" t="s">
        <v>646</v>
      </c>
      <c r="AZ59" t="s">
        <v>647</v>
      </c>
      <c r="BA59" t="s">
        <v>1854</v>
      </c>
      <c r="BB59" t="s">
        <v>2781</v>
      </c>
    </row>
    <row r="60" spans="1:55">
      <c r="A60" s="169">
        <v>2.0099999999999998</v>
      </c>
      <c r="B60" s="207"/>
      <c r="C60" t="s">
        <v>27</v>
      </c>
      <c r="D60" t="s">
        <v>3694</v>
      </c>
      <c r="F60" t="s">
        <v>1420</v>
      </c>
      <c r="G60" t="s">
        <v>1421</v>
      </c>
      <c r="H60" t="s">
        <v>1886</v>
      </c>
      <c r="I60" t="s">
        <v>2410</v>
      </c>
      <c r="J60" t="s">
        <v>2411</v>
      </c>
      <c r="K60" t="s">
        <v>2412</v>
      </c>
      <c r="M60" t="s">
        <v>3325</v>
      </c>
      <c r="N60" t="s">
        <v>27</v>
      </c>
      <c r="O60">
        <v>19</v>
      </c>
      <c r="Q60" t="s">
        <v>3406</v>
      </c>
      <c r="R60" t="s">
        <v>27</v>
      </c>
      <c r="S60">
        <v>17</v>
      </c>
      <c r="U60" t="s">
        <v>3530</v>
      </c>
      <c r="V60" t="s">
        <v>27</v>
      </c>
      <c r="W60">
        <v>16</v>
      </c>
      <c r="Y60">
        <v>17</v>
      </c>
      <c r="Z60">
        <v>94.9</v>
      </c>
      <c r="AA60">
        <v>15</v>
      </c>
      <c r="AB60">
        <v>9</v>
      </c>
      <c r="AC60">
        <v>99</v>
      </c>
      <c r="AD60">
        <v>3</v>
      </c>
      <c r="AF60" s="170" t="s">
        <v>27</v>
      </c>
      <c r="AG60" s="171">
        <v>0.39100000000000001</v>
      </c>
      <c r="AH60" s="188">
        <v>0.13400000000000001</v>
      </c>
      <c r="AI60" s="187">
        <v>0.48799999999999999</v>
      </c>
      <c r="AJ60" s="188">
        <v>0.127</v>
      </c>
      <c r="AK60" s="188">
        <v>0.126</v>
      </c>
      <c r="AL60" s="185"/>
      <c r="AM60" s="173">
        <v>0.112</v>
      </c>
      <c r="AN60" s="173">
        <v>0.26800000000000002</v>
      </c>
      <c r="AO60" s="174"/>
      <c r="AP60" s="171">
        <v>19529</v>
      </c>
      <c r="AQ60" s="171">
        <v>45605.5</v>
      </c>
      <c r="AR60" s="175">
        <v>1</v>
      </c>
      <c r="AS60" s="175">
        <v>1</v>
      </c>
      <c r="AT60" s="176" t="s">
        <v>3286</v>
      </c>
      <c r="AU60" s="171"/>
      <c r="AV60" s="171">
        <v>1.9802999999999999</v>
      </c>
      <c r="AW60" s="171">
        <v>2.0447000000000002</v>
      </c>
      <c r="AY60" t="s">
        <v>676</v>
      </c>
      <c r="AZ60" t="s">
        <v>677</v>
      </c>
      <c r="BA60" t="s">
        <v>1888</v>
      </c>
      <c r="BB60" t="s">
        <v>2810</v>
      </c>
    </row>
    <row r="61" spans="1:55">
      <c r="A61" s="169">
        <v>2.0099999999999998</v>
      </c>
      <c r="B61" s="207"/>
      <c r="C61" t="s">
        <v>28</v>
      </c>
      <c r="D61" t="s">
        <v>3694</v>
      </c>
      <c r="F61" t="s">
        <v>1420</v>
      </c>
      <c r="G61" t="s">
        <v>1421</v>
      </c>
      <c r="H61" t="s">
        <v>1506</v>
      </c>
      <c r="I61" t="s">
        <v>2410</v>
      </c>
      <c r="J61" t="s">
        <v>2411</v>
      </c>
      <c r="K61" t="s">
        <v>2412</v>
      </c>
      <c r="M61" t="s">
        <v>3325</v>
      </c>
      <c r="N61" t="s">
        <v>28</v>
      </c>
      <c r="O61">
        <v>19</v>
      </c>
      <c r="Q61" t="s">
        <v>3406</v>
      </c>
      <c r="R61" t="s">
        <v>28</v>
      </c>
      <c r="S61">
        <v>17</v>
      </c>
      <c r="U61" t="s">
        <v>3530</v>
      </c>
      <c r="V61" t="s">
        <v>28</v>
      </c>
      <c r="W61">
        <v>16</v>
      </c>
      <c r="Y61">
        <v>17</v>
      </c>
      <c r="Z61">
        <v>97.6</v>
      </c>
      <c r="AA61">
        <v>7</v>
      </c>
      <c r="AB61">
        <v>9</v>
      </c>
      <c r="AC61">
        <v>99.3</v>
      </c>
      <c r="AD61">
        <v>2</v>
      </c>
      <c r="AF61" s="170" t="s">
        <v>28</v>
      </c>
      <c r="AG61" s="171">
        <v>0.30659999999999998</v>
      </c>
      <c r="AH61" s="188">
        <v>0.12</v>
      </c>
      <c r="AI61" s="187">
        <v>0.54400000000000004</v>
      </c>
      <c r="AJ61" s="188">
        <v>0.11899999999999999</v>
      </c>
      <c r="AK61" s="188">
        <v>0.11600000000000001</v>
      </c>
      <c r="AL61" s="185"/>
      <c r="AM61" s="173">
        <v>0.109</v>
      </c>
      <c r="AN61" s="173">
        <v>8.5000000000000006E-2</v>
      </c>
      <c r="AO61" s="174"/>
      <c r="AP61" s="171">
        <v>66156.5</v>
      </c>
      <c r="AQ61" s="171">
        <v>47754</v>
      </c>
      <c r="AR61" s="175">
        <v>1</v>
      </c>
      <c r="AS61" s="175">
        <v>1</v>
      </c>
      <c r="AT61" s="176" t="s">
        <v>3285</v>
      </c>
      <c r="AU61" s="171"/>
      <c r="AV61" s="171">
        <v>2.3296000000000001</v>
      </c>
      <c r="AW61" s="171">
        <v>1.9666999999999999</v>
      </c>
      <c r="AY61" t="s">
        <v>678</v>
      </c>
      <c r="AZ61" t="s">
        <v>679</v>
      </c>
      <c r="BA61" t="s">
        <v>1925</v>
      </c>
      <c r="BB61" t="s">
        <v>2845</v>
      </c>
    </row>
    <row r="62" spans="1:55">
      <c r="A62" s="169">
        <v>2.0099999999999998</v>
      </c>
      <c r="B62" s="207"/>
      <c r="C62" t="s">
        <v>29</v>
      </c>
      <c r="D62" t="s">
        <v>3694</v>
      </c>
      <c r="F62" t="s">
        <v>1420</v>
      </c>
      <c r="G62" t="s">
        <v>1421</v>
      </c>
      <c r="H62" t="s">
        <v>1705</v>
      </c>
      <c r="I62" t="s">
        <v>2410</v>
      </c>
      <c r="J62" t="s">
        <v>2411</v>
      </c>
      <c r="K62" t="s">
        <v>2412</v>
      </c>
      <c r="M62" t="s">
        <v>3325</v>
      </c>
      <c r="N62" t="s">
        <v>29</v>
      </c>
      <c r="O62">
        <v>19</v>
      </c>
      <c r="Q62" t="s">
        <v>3406</v>
      </c>
      <c r="R62" t="s">
        <v>29</v>
      </c>
      <c r="S62">
        <v>17</v>
      </c>
      <c r="U62" t="s">
        <v>3530</v>
      </c>
      <c r="V62" t="s">
        <v>29</v>
      </c>
      <c r="W62">
        <v>16</v>
      </c>
      <c r="Y62">
        <v>17</v>
      </c>
      <c r="Z62">
        <v>95.6</v>
      </c>
      <c r="AA62">
        <v>13</v>
      </c>
      <c r="AB62">
        <v>9</v>
      </c>
      <c r="AC62">
        <v>97.7</v>
      </c>
      <c r="AD62">
        <v>7</v>
      </c>
      <c r="AF62" s="170" t="s">
        <v>29</v>
      </c>
      <c r="AG62" s="171">
        <v>0.27760000000000001</v>
      </c>
      <c r="AH62" s="173">
        <v>0.14099999999999999</v>
      </c>
      <c r="AI62" s="182">
        <v>0.38300000000000001</v>
      </c>
      <c r="AJ62" s="173">
        <v>0.122</v>
      </c>
      <c r="AK62" s="173">
        <v>0.115</v>
      </c>
      <c r="AL62" s="174"/>
      <c r="AM62" s="173">
        <v>0.122</v>
      </c>
      <c r="AN62" s="173">
        <v>0.10199999999999999</v>
      </c>
      <c r="AO62" s="174"/>
      <c r="AP62" s="171">
        <v>65670</v>
      </c>
      <c r="AQ62" s="171">
        <v>143957</v>
      </c>
      <c r="AR62" s="175">
        <v>1</v>
      </c>
      <c r="AS62" s="175">
        <v>1</v>
      </c>
      <c r="AT62" s="176" t="s">
        <v>3286</v>
      </c>
      <c r="AU62" s="171"/>
      <c r="AV62" s="171">
        <v>2.1612</v>
      </c>
      <c r="AW62" s="171">
        <v>2.1017999999999999</v>
      </c>
      <c r="AY62" t="s">
        <v>723</v>
      </c>
      <c r="AZ62" t="s">
        <v>724</v>
      </c>
      <c r="BA62" t="s">
        <v>1958</v>
      </c>
      <c r="BB62" t="s">
        <v>2872</v>
      </c>
    </row>
    <row r="63" spans="1:55">
      <c r="A63" s="169">
        <v>2.0099999999999998</v>
      </c>
      <c r="B63" s="207"/>
      <c r="C63" t="s">
        <v>30</v>
      </c>
      <c r="D63" t="s">
        <v>3698</v>
      </c>
      <c r="F63" t="s">
        <v>1420</v>
      </c>
      <c r="G63" t="s">
        <v>1421</v>
      </c>
      <c r="H63" t="s">
        <v>1979</v>
      </c>
      <c r="I63" t="s">
        <v>2410</v>
      </c>
      <c r="J63" t="s">
        <v>2411</v>
      </c>
      <c r="K63" t="s">
        <v>2577</v>
      </c>
      <c r="M63" t="s">
        <v>3325</v>
      </c>
      <c r="N63" t="s">
        <v>30</v>
      </c>
      <c r="O63">
        <v>19</v>
      </c>
      <c r="Q63" t="s">
        <v>3406</v>
      </c>
      <c r="R63" t="s">
        <v>30</v>
      </c>
      <c r="S63">
        <v>17</v>
      </c>
      <c r="U63" t="s">
        <v>3530</v>
      </c>
      <c r="V63" t="s">
        <v>30</v>
      </c>
      <c r="W63">
        <v>16</v>
      </c>
      <c r="Y63">
        <v>17</v>
      </c>
      <c r="Z63">
        <v>99.3</v>
      </c>
      <c r="AA63">
        <v>2</v>
      </c>
      <c r="AB63">
        <v>9</v>
      </c>
      <c r="AC63">
        <v>97.7</v>
      </c>
      <c r="AD63">
        <v>7</v>
      </c>
      <c r="AF63" s="170" t="s">
        <v>30</v>
      </c>
      <c r="AG63" s="171">
        <v>0.2462</v>
      </c>
      <c r="AH63" s="173">
        <v>0.13400000000000001</v>
      </c>
      <c r="AI63" s="173">
        <v>0.14399999999999999</v>
      </c>
      <c r="AJ63" s="173">
        <v>0.161</v>
      </c>
      <c r="AK63" s="173">
        <v>0.14599999999999999</v>
      </c>
      <c r="AL63" s="174"/>
      <c r="AM63" s="173">
        <v>0.121</v>
      </c>
      <c r="AN63" s="173">
        <v>0.104</v>
      </c>
      <c r="AO63" s="174"/>
      <c r="AP63" s="171">
        <v>37762</v>
      </c>
      <c r="AQ63" s="171">
        <v>43909</v>
      </c>
      <c r="AR63" s="175">
        <v>1</v>
      </c>
      <c r="AS63" s="175">
        <v>1</v>
      </c>
      <c r="AT63" s="176" t="s">
        <v>3289</v>
      </c>
      <c r="AU63" s="171"/>
      <c r="AV63" s="171">
        <v>0.46800000000000003</v>
      </c>
      <c r="AW63" s="171">
        <v>-0.10299999999999999</v>
      </c>
      <c r="AY63" t="s">
        <v>949</v>
      </c>
      <c r="AZ63" t="s">
        <v>950</v>
      </c>
      <c r="BA63" t="s">
        <v>1981</v>
      </c>
      <c r="BB63" t="s">
        <v>2891</v>
      </c>
    </row>
    <row r="64" spans="1:55">
      <c r="A64" s="169">
        <v>2.0099999999999998</v>
      </c>
      <c r="B64" s="207"/>
      <c r="C64" t="s">
        <v>31</v>
      </c>
      <c r="D64" t="s">
        <v>3698</v>
      </c>
      <c r="F64" t="s">
        <v>1420</v>
      </c>
      <c r="G64" t="s">
        <v>1421</v>
      </c>
      <c r="H64" t="s">
        <v>2002</v>
      </c>
      <c r="I64" t="s">
        <v>2410</v>
      </c>
      <c r="J64" t="s">
        <v>2411</v>
      </c>
      <c r="K64" t="s">
        <v>2412</v>
      </c>
      <c r="M64" t="s">
        <v>3325</v>
      </c>
      <c r="N64" t="s">
        <v>31</v>
      </c>
      <c r="O64">
        <v>19</v>
      </c>
      <c r="Q64" t="s">
        <v>3406</v>
      </c>
      <c r="R64" t="s">
        <v>31</v>
      </c>
      <c r="S64">
        <v>17</v>
      </c>
      <c r="U64" t="s">
        <v>3530</v>
      </c>
      <c r="V64" t="s">
        <v>31</v>
      </c>
      <c r="W64">
        <v>16</v>
      </c>
      <c r="Y64">
        <v>17</v>
      </c>
      <c r="Z64">
        <v>99.3</v>
      </c>
      <c r="AA64">
        <v>2</v>
      </c>
      <c r="AB64">
        <v>9</v>
      </c>
      <c r="AC64">
        <v>98.3</v>
      </c>
      <c r="AD64">
        <v>5</v>
      </c>
      <c r="AF64" s="170" t="s">
        <v>31</v>
      </c>
      <c r="AG64" s="171">
        <v>0.5363</v>
      </c>
      <c r="AH64" s="173">
        <v>0.14699999999999999</v>
      </c>
      <c r="AI64" s="173">
        <v>0.16700000000000001</v>
      </c>
      <c r="AJ64" s="173">
        <v>0.13700000000000001</v>
      </c>
      <c r="AK64" s="173">
        <v>0.14799999999999999</v>
      </c>
      <c r="AL64" s="174"/>
      <c r="AM64" s="190">
        <v>2.169</v>
      </c>
      <c r="AN64" s="182">
        <v>0.373</v>
      </c>
      <c r="AO64" s="174"/>
      <c r="AP64" s="171">
        <v>19074</v>
      </c>
      <c r="AQ64" s="171">
        <v>24167.5</v>
      </c>
      <c r="AR64" s="175">
        <v>1</v>
      </c>
      <c r="AS64" s="175">
        <v>1</v>
      </c>
      <c r="AT64" s="176" t="s">
        <v>3286</v>
      </c>
      <c r="AU64" s="171"/>
      <c r="AV64" s="171">
        <v>-0.1263</v>
      </c>
      <c r="AW64" s="171">
        <v>-5.6500000000000002E-2</v>
      </c>
      <c r="AY64" t="s">
        <v>959</v>
      </c>
      <c r="AZ64" t="s">
        <v>960</v>
      </c>
      <c r="BA64" t="s">
        <v>2004</v>
      </c>
      <c r="BB64" t="s">
        <v>2912</v>
      </c>
    </row>
    <row r="65" spans="1:55">
      <c r="A65" s="169">
        <v>2.0099999999999998</v>
      </c>
      <c r="B65" s="207"/>
      <c r="C65" t="s">
        <v>15</v>
      </c>
      <c r="D65" t="s">
        <v>3694</v>
      </c>
      <c r="F65" t="s">
        <v>1420</v>
      </c>
      <c r="G65" t="s">
        <v>1421</v>
      </c>
      <c r="H65" t="s">
        <v>1509</v>
      </c>
      <c r="I65" t="s">
        <v>2410</v>
      </c>
      <c r="J65" t="s">
        <v>2411</v>
      </c>
      <c r="K65" t="s">
        <v>2484</v>
      </c>
      <c r="M65" t="s">
        <v>3325</v>
      </c>
      <c r="N65" t="s">
        <v>15</v>
      </c>
      <c r="O65">
        <v>19</v>
      </c>
      <c r="Q65" t="s">
        <v>3406</v>
      </c>
      <c r="R65" t="s">
        <v>15</v>
      </c>
      <c r="S65">
        <v>17</v>
      </c>
      <c r="U65" t="s">
        <v>3606</v>
      </c>
      <c r="V65" t="s">
        <v>15</v>
      </c>
      <c r="W65">
        <v>1</v>
      </c>
      <c r="Y65">
        <v>17</v>
      </c>
      <c r="Z65">
        <v>91.5</v>
      </c>
      <c r="AA65">
        <v>25</v>
      </c>
      <c r="AB65">
        <v>9</v>
      </c>
      <c r="AC65">
        <v>96.4</v>
      </c>
      <c r="AD65">
        <v>11</v>
      </c>
      <c r="AF65" s="170" t="s">
        <v>15</v>
      </c>
      <c r="AG65" s="171">
        <v>0.33069999999999999</v>
      </c>
      <c r="AH65" s="173">
        <v>0.16</v>
      </c>
      <c r="AI65" s="181">
        <v>0.66200000000000003</v>
      </c>
      <c r="AJ65" s="173">
        <v>0.14399999999999999</v>
      </c>
      <c r="AK65" s="173">
        <v>0.13200000000000001</v>
      </c>
      <c r="AL65" s="174"/>
      <c r="AM65" s="173">
        <v>0.106</v>
      </c>
      <c r="AN65" s="173">
        <v>8.1000000000000003E-2</v>
      </c>
      <c r="AO65" s="174"/>
      <c r="AP65" s="171">
        <v>124947</v>
      </c>
      <c r="AQ65" s="171">
        <v>161221.5</v>
      </c>
      <c r="AR65" s="175">
        <v>1</v>
      </c>
      <c r="AS65" s="175">
        <v>1</v>
      </c>
      <c r="AT65" s="176" t="s">
        <v>3286</v>
      </c>
      <c r="AU65" s="171"/>
      <c r="AV65" s="171">
        <v>1.5165</v>
      </c>
      <c r="AW65" s="171">
        <v>1.3340000000000001</v>
      </c>
      <c r="AY65" t="s">
        <v>805</v>
      </c>
      <c r="AZ65" t="s">
        <v>806</v>
      </c>
      <c r="BA65" t="s">
        <v>1513</v>
      </c>
      <c r="BB65" t="s">
        <v>2487</v>
      </c>
    </row>
    <row r="66" spans="1:55">
      <c r="A66" s="169">
        <v>2.0099999999999998</v>
      </c>
      <c r="B66" s="207"/>
      <c r="C66" t="s">
        <v>17</v>
      </c>
      <c r="D66" t="s">
        <v>3694</v>
      </c>
      <c r="F66" t="s">
        <v>1420</v>
      </c>
      <c r="G66" t="s">
        <v>1421</v>
      </c>
      <c r="H66" t="s">
        <v>1587</v>
      </c>
      <c r="I66" t="s">
        <v>2410</v>
      </c>
      <c r="J66" t="s">
        <v>2411</v>
      </c>
      <c r="K66" t="s">
        <v>2554</v>
      </c>
      <c r="M66" t="s">
        <v>3325</v>
      </c>
      <c r="N66" t="s">
        <v>17</v>
      </c>
      <c r="O66">
        <v>19</v>
      </c>
      <c r="Q66" t="s">
        <v>3474</v>
      </c>
      <c r="R66" t="s">
        <v>17</v>
      </c>
      <c r="S66">
        <v>2</v>
      </c>
      <c r="U66" t="s">
        <v>3474</v>
      </c>
      <c r="V66" t="s">
        <v>17</v>
      </c>
      <c r="W66">
        <v>2</v>
      </c>
      <c r="Y66">
        <v>17</v>
      </c>
      <c r="Z66">
        <v>93.9</v>
      </c>
      <c r="AA66">
        <v>18</v>
      </c>
      <c r="AB66">
        <v>9</v>
      </c>
      <c r="AC66">
        <v>98.3</v>
      </c>
      <c r="AD66">
        <v>5</v>
      </c>
      <c r="AF66" s="170" t="s">
        <v>17</v>
      </c>
      <c r="AG66" s="171">
        <v>0.59750000000000003</v>
      </c>
      <c r="AH66" s="173">
        <v>0.161</v>
      </c>
      <c r="AI66" s="173">
        <v>0.19700000000000001</v>
      </c>
      <c r="AJ66" s="173">
        <v>0.14399999999999999</v>
      </c>
      <c r="AK66" s="173">
        <v>0.14000000000000001</v>
      </c>
      <c r="AL66" s="174"/>
      <c r="AM66" s="173">
        <v>9.9000000000000005E-2</v>
      </c>
      <c r="AN66" s="173">
        <v>0.09</v>
      </c>
      <c r="AO66" s="174"/>
      <c r="AP66" s="171">
        <v>9190.5</v>
      </c>
      <c r="AQ66" s="171">
        <v>36903.5</v>
      </c>
      <c r="AR66" s="175">
        <v>1</v>
      </c>
      <c r="AS66" s="175">
        <v>1</v>
      </c>
      <c r="AT66" s="176" t="s">
        <v>3286</v>
      </c>
      <c r="AU66" s="171"/>
      <c r="AV66" s="171">
        <v>0.19370000000000001</v>
      </c>
      <c r="AW66" s="171">
        <v>7.5600000000000001E-2</v>
      </c>
      <c r="AY66" t="s">
        <v>869</v>
      </c>
      <c r="AZ66" t="s">
        <v>870</v>
      </c>
      <c r="BA66" t="s">
        <v>1590</v>
      </c>
      <c r="BB66" t="s">
        <v>2557</v>
      </c>
    </row>
    <row r="67" spans="1:55" ht="17" thickBot="1">
      <c r="A67" s="178">
        <v>2.0099999999999998</v>
      </c>
      <c r="B67" s="208"/>
      <c r="C67" s="40" t="s">
        <v>18</v>
      </c>
      <c r="D67" s="40" t="s">
        <v>3694</v>
      </c>
      <c r="E67" s="40"/>
      <c r="F67" s="40" t="s">
        <v>1420</v>
      </c>
      <c r="G67" s="40" t="s">
        <v>1421</v>
      </c>
      <c r="H67" s="40" t="s">
        <v>1607</v>
      </c>
      <c r="I67" s="40" t="s">
        <v>2410</v>
      </c>
      <c r="J67" s="40" t="s">
        <v>2411</v>
      </c>
      <c r="K67" s="40" t="s">
        <v>2577</v>
      </c>
      <c r="L67" s="40"/>
      <c r="M67" s="40" t="s">
        <v>3325</v>
      </c>
      <c r="N67" s="40" t="s">
        <v>18</v>
      </c>
      <c r="O67" s="40">
        <v>19</v>
      </c>
      <c r="P67" s="40"/>
      <c r="Q67" s="40" t="s">
        <v>3474</v>
      </c>
      <c r="R67" s="40" t="s">
        <v>18</v>
      </c>
      <c r="S67" s="40">
        <v>2</v>
      </c>
      <c r="T67" s="40"/>
      <c r="U67" s="40" t="s">
        <v>3474</v>
      </c>
      <c r="V67" s="40" t="s">
        <v>18</v>
      </c>
      <c r="W67" s="40">
        <v>2</v>
      </c>
      <c r="X67" s="40"/>
      <c r="Y67" s="40">
        <v>17</v>
      </c>
      <c r="Z67" s="40">
        <v>88.5</v>
      </c>
      <c r="AA67" s="40">
        <v>34</v>
      </c>
      <c r="AB67" s="40">
        <v>9</v>
      </c>
      <c r="AC67" s="40">
        <v>94.7</v>
      </c>
      <c r="AD67" s="40">
        <v>10</v>
      </c>
      <c r="AE67" s="40"/>
      <c r="AF67" s="85" t="s">
        <v>18</v>
      </c>
      <c r="AG67" s="35">
        <v>5.5230000000000001E-2</v>
      </c>
      <c r="AH67" s="90">
        <v>0.14000000000000001</v>
      </c>
      <c r="AI67" s="90">
        <v>0.32900000000000001</v>
      </c>
      <c r="AJ67" s="90">
        <v>0.13600000000000001</v>
      </c>
      <c r="AK67" s="90">
        <v>0.114</v>
      </c>
      <c r="AL67" s="37"/>
      <c r="AM67" s="90">
        <v>9.7000000000000003E-2</v>
      </c>
      <c r="AN67" s="90">
        <v>8.4000000000000005E-2</v>
      </c>
      <c r="AO67" s="37"/>
      <c r="AP67" s="35">
        <v>46125</v>
      </c>
      <c r="AQ67" s="35">
        <v>229165</v>
      </c>
      <c r="AR67" s="93">
        <v>1</v>
      </c>
      <c r="AS67" s="93">
        <v>1</v>
      </c>
      <c r="AT67" s="94" t="s">
        <v>3286</v>
      </c>
      <c r="AU67" s="35"/>
      <c r="AV67" s="35">
        <v>2.3126000000000002</v>
      </c>
      <c r="AW67" s="35">
        <v>1.3037000000000001</v>
      </c>
      <c r="AX67" s="40"/>
      <c r="AY67" s="40" t="s">
        <v>877</v>
      </c>
      <c r="AZ67" s="40" t="s">
        <v>878</v>
      </c>
      <c r="BA67" s="40" t="s">
        <v>1609</v>
      </c>
      <c r="BB67" s="40" t="s">
        <v>2580</v>
      </c>
      <c r="BC67" s="40"/>
    </row>
    <row r="68" spans="1:55">
      <c r="A68" s="168">
        <v>2.02</v>
      </c>
      <c r="B68" s="206">
        <v>2.02</v>
      </c>
      <c r="C68" s="81" t="s">
        <v>103</v>
      </c>
      <c r="D68" s="81" t="s">
        <v>3694</v>
      </c>
      <c r="E68" s="81"/>
      <c r="F68" s="81" t="s">
        <v>1427</v>
      </c>
      <c r="G68" s="81" t="s">
        <v>1428</v>
      </c>
      <c r="H68" s="81" t="s">
        <v>2385</v>
      </c>
      <c r="I68" s="81" t="s">
        <v>2416</v>
      </c>
      <c r="J68" s="81" t="s">
        <v>2411</v>
      </c>
      <c r="K68" s="81" t="s">
        <v>2421</v>
      </c>
      <c r="L68" s="81"/>
      <c r="M68" s="81" t="s">
        <v>3324</v>
      </c>
      <c r="N68" s="81" t="s">
        <v>103</v>
      </c>
      <c r="O68" s="81">
        <v>11</v>
      </c>
      <c r="P68" s="81"/>
      <c r="Q68" s="81" t="s">
        <v>3415</v>
      </c>
      <c r="R68" s="81" t="s">
        <v>103</v>
      </c>
      <c r="S68" s="81">
        <v>7</v>
      </c>
      <c r="T68" s="81"/>
      <c r="U68" s="81" t="s">
        <v>3540</v>
      </c>
      <c r="V68" s="81" t="s">
        <v>103</v>
      </c>
      <c r="W68" s="81">
        <v>5</v>
      </c>
      <c r="X68" s="81"/>
      <c r="Y68" s="81">
        <v>15</v>
      </c>
      <c r="Z68" s="81">
        <v>96.9</v>
      </c>
      <c r="AA68" s="81">
        <v>9</v>
      </c>
      <c r="AB68" s="81">
        <v>9</v>
      </c>
      <c r="AC68" s="81">
        <v>100</v>
      </c>
      <c r="AD68" s="81">
        <v>0</v>
      </c>
      <c r="AE68" s="81"/>
      <c r="AF68" s="83" t="s">
        <v>103</v>
      </c>
      <c r="AG68" s="33">
        <v>0.16900000000000001</v>
      </c>
      <c r="AH68" s="100">
        <v>3.6059999999999999</v>
      </c>
      <c r="AI68" s="100">
        <v>3.4750000000000001</v>
      </c>
      <c r="AJ68" s="104">
        <v>0.54800000000000004</v>
      </c>
      <c r="AK68" s="87">
        <v>0.13400000000000001</v>
      </c>
      <c r="AL68" s="34"/>
      <c r="AM68" s="87">
        <v>9.2999999999999999E-2</v>
      </c>
      <c r="AN68" s="87">
        <v>8.6999999999999994E-2</v>
      </c>
      <c r="AO68" s="34"/>
      <c r="AP68" s="33">
        <v>110207</v>
      </c>
      <c r="AQ68" s="33">
        <v>2386.5</v>
      </c>
      <c r="AR68" s="88">
        <v>1</v>
      </c>
      <c r="AS68" s="88">
        <v>0</v>
      </c>
      <c r="AT68" s="89" t="s">
        <v>3285</v>
      </c>
      <c r="AU68" s="33"/>
      <c r="AV68" s="33">
        <v>-1.2500000000000001E-2</v>
      </c>
      <c r="AW68" s="33">
        <v>-1.1000000000000001E-3</v>
      </c>
      <c r="AX68" s="81"/>
      <c r="AY68" s="81" t="s">
        <v>845</v>
      </c>
      <c r="AZ68" s="81" t="s">
        <v>846</v>
      </c>
      <c r="BA68" s="81" t="s">
        <v>2388</v>
      </c>
      <c r="BB68" s="81" t="s">
        <v>2423</v>
      </c>
      <c r="BC68" s="81"/>
    </row>
    <row r="69" spans="1:55">
      <c r="A69" s="169">
        <v>2.02</v>
      </c>
      <c r="B69" s="207"/>
      <c r="C69" t="s">
        <v>106</v>
      </c>
      <c r="D69" t="s">
        <v>3694</v>
      </c>
      <c r="F69" t="s">
        <v>1427</v>
      </c>
      <c r="G69" t="s">
        <v>1428</v>
      </c>
      <c r="H69" t="s">
        <v>1433</v>
      </c>
      <c r="I69" t="s">
        <v>2416</v>
      </c>
      <c r="J69" t="s">
        <v>2411</v>
      </c>
      <c r="K69" t="s">
        <v>2421</v>
      </c>
      <c r="M69" t="s">
        <v>3324</v>
      </c>
      <c r="N69" t="s">
        <v>106</v>
      </c>
      <c r="O69">
        <v>11</v>
      </c>
      <c r="Q69" t="s">
        <v>3415</v>
      </c>
      <c r="R69" t="s">
        <v>106</v>
      </c>
      <c r="S69">
        <v>7</v>
      </c>
      <c r="U69" t="s">
        <v>3540</v>
      </c>
      <c r="V69" t="s">
        <v>106</v>
      </c>
      <c r="W69">
        <v>5</v>
      </c>
      <c r="Y69">
        <v>15</v>
      </c>
      <c r="Z69">
        <v>99.3</v>
      </c>
      <c r="AA69">
        <v>2</v>
      </c>
      <c r="AB69">
        <v>9</v>
      </c>
      <c r="AC69">
        <v>100</v>
      </c>
      <c r="AD69">
        <v>0</v>
      </c>
      <c r="AF69" s="170" t="s">
        <v>106</v>
      </c>
      <c r="AG69" s="171">
        <v>0.15720000000000001</v>
      </c>
      <c r="AH69" s="177">
        <v>3.4529999999999998</v>
      </c>
      <c r="AI69" s="172">
        <v>3.5390000000000001</v>
      </c>
      <c r="AJ69" s="173">
        <v>0.129</v>
      </c>
      <c r="AK69" s="173">
        <v>0.13600000000000001</v>
      </c>
      <c r="AL69" s="174"/>
      <c r="AM69" s="173">
        <v>0.10100000000000001</v>
      </c>
      <c r="AN69" s="173">
        <v>7.9000000000000001E-2</v>
      </c>
      <c r="AO69" s="174"/>
      <c r="AP69" s="171">
        <v>9729</v>
      </c>
      <c r="AQ69" s="171">
        <v>1926.5</v>
      </c>
      <c r="AR69" s="175">
        <v>1</v>
      </c>
      <c r="AS69" s="175">
        <v>0</v>
      </c>
      <c r="AT69" s="176" t="s">
        <v>3285</v>
      </c>
      <c r="AU69" s="171"/>
      <c r="AV69" s="171">
        <v>-6.2399999999999997E-2</v>
      </c>
      <c r="AW69" s="171">
        <v>-1.1299999999999999E-2</v>
      </c>
      <c r="AY69" t="s">
        <v>539</v>
      </c>
      <c r="AZ69" t="s">
        <v>540</v>
      </c>
      <c r="BA69" t="s">
        <v>1436</v>
      </c>
      <c r="BB69" t="s">
        <v>2423</v>
      </c>
    </row>
    <row r="70" spans="1:55">
      <c r="A70" s="169">
        <v>2.02</v>
      </c>
      <c r="B70" s="207"/>
      <c r="C70" t="s">
        <v>107</v>
      </c>
      <c r="D70" t="s">
        <v>3694</v>
      </c>
      <c r="F70" t="s">
        <v>1427</v>
      </c>
      <c r="G70" t="s">
        <v>1428</v>
      </c>
      <c r="H70" t="s">
        <v>1437</v>
      </c>
      <c r="I70" t="s">
        <v>2416</v>
      </c>
      <c r="J70" t="s">
        <v>2411</v>
      </c>
      <c r="K70" t="s">
        <v>2421</v>
      </c>
      <c r="M70" t="s">
        <v>3324</v>
      </c>
      <c r="N70" t="s">
        <v>107</v>
      </c>
      <c r="O70">
        <v>11</v>
      </c>
      <c r="Q70" t="s">
        <v>3415</v>
      </c>
      <c r="R70" t="s">
        <v>107</v>
      </c>
      <c r="S70">
        <v>7</v>
      </c>
      <c r="U70" t="s">
        <v>3540</v>
      </c>
      <c r="V70" t="s">
        <v>107</v>
      </c>
      <c r="W70">
        <v>5</v>
      </c>
      <c r="Y70">
        <v>15</v>
      </c>
      <c r="Z70">
        <v>98.3</v>
      </c>
      <c r="AA70">
        <v>5</v>
      </c>
      <c r="AB70">
        <v>9</v>
      </c>
      <c r="AC70">
        <v>100</v>
      </c>
      <c r="AD70">
        <v>0</v>
      </c>
      <c r="AF70" s="170" t="s">
        <v>107</v>
      </c>
      <c r="AG70" s="171">
        <v>0.26669999999999999</v>
      </c>
      <c r="AH70" s="172">
        <v>3.6259999999999999</v>
      </c>
      <c r="AI70" s="172">
        <v>3.6269999999999998</v>
      </c>
      <c r="AJ70" s="173">
        <v>0.16900000000000001</v>
      </c>
      <c r="AK70" s="173">
        <v>0.16400000000000001</v>
      </c>
      <c r="AL70" s="174"/>
      <c r="AM70" s="173">
        <v>0.11</v>
      </c>
      <c r="AN70" s="173">
        <v>8.5999999999999993E-2</v>
      </c>
      <c r="AO70" s="174"/>
      <c r="AP70" s="171">
        <v>26733</v>
      </c>
      <c r="AQ70" s="171">
        <v>2132</v>
      </c>
      <c r="AR70" s="175">
        <v>1</v>
      </c>
      <c r="AS70" s="175">
        <v>0</v>
      </c>
      <c r="AT70" s="176" t="s">
        <v>3285</v>
      </c>
      <c r="AU70" s="171"/>
      <c r="AV70" s="171">
        <v>-5.3900000000000003E-2</v>
      </c>
      <c r="AW70" s="171">
        <v>-4.4999999999999997E-3</v>
      </c>
      <c r="AY70" t="s">
        <v>547</v>
      </c>
      <c r="AZ70" t="s">
        <v>540</v>
      </c>
      <c r="BA70" t="s">
        <v>1439</v>
      </c>
      <c r="BB70" t="s">
        <v>2423</v>
      </c>
    </row>
    <row r="71" spans="1:55">
      <c r="A71" s="169">
        <v>2.02</v>
      </c>
      <c r="B71" s="207"/>
      <c r="C71" t="s">
        <v>108</v>
      </c>
      <c r="D71" t="s">
        <v>3694</v>
      </c>
      <c r="F71" t="s">
        <v>1427</v>
      </c>
      <c r="G71" t="s">
        <v>1428</v>
      </c>
      <c r="H71" t="s">
        <v>1440</v>
      </c>
      <c r="I71" t="s">
        <v>2416</v>
      </c>
      <c r="J71" t="s">
        <v>2411</v>
      </c>
      <c r="K71" t="s">
        <v>2421</v>
      </c>
      <c r="M71" t="s">
        <v>3324</v>
      </c>
      <c r="N71" t="s">
        <v>108</v>
      </c>
      <c r="O71">
        <v>11</v>
      </c>
      <c r="Q71" t="s">
        <v>3415</v>
      </c>
      <c r="R71" t="s">
        <v>108</v>
      </c>
      <c r="S71">
        <v>7</v>
      </c>
      <c r="U71" t="s">
        <v>3540</v>
      </c>
      <c r="V71" t="s">
        <v>108</v>
      </c>
      <c r="W71">
        <v>5</v>
      </c>
      <c r="Y71">
        <v>15</v>
      </c>
      <c r="Z71">
        <v>91.4</v>
      </c>
      <c r="AA71">
        <v>25</v>
      </c>
      <c r="AB71">
        <v>9</v>
      </c>
      <c r="AC71">
        <v>96.7</v>
      </c>
      <c r="AD71">
        <v>10</v>
      </c>
      <c r="AF71" s="170" t="s">
        <v>108</v>
      </c>
      <c r="AG71" s="171">
        <v>9.4189999999999996E-2</v>
      </c>
      <c r="AH71" s="172">
        <v>3.5219999999999998</v>
      </c>
      <c r="AI71" s="172">
        <v>3.5409999999999999</v>
      </c>
      <c r="AJ71" s="172">
        <v>3.5880000000000001</v>
      </c>
      <c r="AK71" s="173">
        <v>0.17</v>
      </c>
      <c r="AL71" s="174"/>
      <c r="AM71" s="173">
        <v>0.10199999999999999</v>
      </c>
      <c r="AN71" s="173">
        <v>0.11700000000000001</v>
      </c>
      <c r="AO71" s="174"/>
      <c r="AP71" s="171">
        <v>13271.5</v>
      </c>
      <c r="AQ71" s="171">
        <v>2773.5</v>
      </c>
      <c r="AR71" s="175">
        <v>1</v>
      </c>
      <c r="AS71" s="175">
        <v>0</v>
      </c>
      <c r="AT71" s="176" t="s">
        <v>3285</v>
      </c>
      <c r="AU71" s="171"/>
      <c r="AV71" s="171">
        <v>0.31509999999999999</v>
      </c>
      <c r="AW71" s="171">
        <v>0.1303</v>
      </c>
      <c r="AY71" t="s">
        <v>578</v>
      </c>
      <c r="AZ71" t="s">
        <v>579</v>
      </c>
      <c r="BA71" t="s">
        <v>1442</v>
      </c>
      <c r="BB71" t="s">
        <v>2424</v>
      </c>
    </row>
    <row r="72" spans="1:55">
      <c r="A72" s="169">
        <v>2.02</v>
      </c>
      <c r="B72" s="207"/>
      <c r="C72" t="s">
        <v>109</v>
      </c>
      <c r="D72" t="s">
        <v>3694</v>
      </c>
      <c r="F72" t="s">
        <v>1427</v>
      </c>
      <c r="G72" t="s">
        <v>1428</v>
      </c>
      <c r="H72" t="s">
        <v>1433</v>
      </c>
      <c r="I72" t="s">
        <v>2416</v>
      </c>
      <c r="J72" t="s">
        <v>2411</v>
      </c>
      <c r="K72" t="s">
        <v>2421</v>
      </c>
      <c r="M72" t="s">
        <v>3324</v>
      </c>
      <c r="N72" t="s">
        <v>109</v>
      </c>
      <c r="O72">
        <v>11</v>
      </c>
      <c r="Q72" t="s">
        <v>3415</v>
      </c>
      <c r="R72" t="s">
        <v>109</v>
      </c>
      <c r="S72">
        <v>7</v>
      </c>
      <c r="U72" t="s">
        <v>3540</v>
      </c>
      <c r="V72" t="s">
        <v>109</v>
      </c>
      <c r="W72">
        <v>5</v>
      </c>
      <c r="Y72">
        <v>15</v>
      </c>
      <c r="Z72">
        <v>98.3</v>
      </c>
      <c r="AA72">
        <v>5</v>
      </c>
      <c r="AB72">
        <v>9</v>
      </c>
      <c r="AC72">
        <v>100</v>
      </c>
      <c r="AD72">
        <v>0</v>
      </c>
      <c r="AF72" s="170" t="s">
        <v>109</v>
      </c>
      <c r="AG72" s="171">
        <v>0.16289999999999999</v>
      </c>
      <c r="AH72" s="183">
        <v>3.694</v>
      </c>
      <c r="AI72" s="183">
        <v>3.6419999999999999</v>
      </c>
      <c r="AJ72" s="184">
        <v>1.1299999999999999</v>
      </c>
      <c r="AK72" s="188">
        <v>0.15</v>
      </c>
      <c r="AL72" s="185"/>
      <c r="AM72" s="173">
        <v>0.126</v>
      </c>
      <c r="AN72" s="173">
        <v>8.7999999999999995E-2</v>
      </c>
      <c r="AO72" s="174"/>
      <c r="AP72" s="171">
        <v>61529.5</v>
      </c>
      <c r="AQ72" s="171">
        <v>2197.5</v>
      </c>
      <c r="AR72" s="175">
        <v>1</v>
      </c>
      <c r="AS72" s="175">
        <v>0</v>
      </c>
      <c r="AT72" s="176" t="s">
        <v>3285</v>
      </c>
      <c r="AU72" s="171"/>
      <c r="AV72" s="171">
        <v>-0.10349999999999999</v>
      </c>
      <c r="AW72" s="171">
        <v>-0.14860000000000001</v>
      </c>
      <c r="AY72" t="s">
        <v>637</v>
      </c>
      <c r="AZ72" t="s">
        <v>540</v>
      </c>
      <c r="BA72" t="s">
        <v>1443</v>
      </c>
      <c r="BB72" t="s">
        <v>2423</v>
      </c>
    </row>
    <row r="73" spans="1:55">
      <c r="A73" s="169">
        <v>2.02</v>
      </c>
      <c r="B73" s="207"/>
      <c r="C73" t="s">
        <v>101</v>
      </c>
      <c r="D73" t="s">
        <v>3694</v>
      </c>
      <c r="F73" t="s">
        <v>1427</v>
      </c>
      <c r="G73" t="s">
        <v>1428</v>
      </c>
      <c r="H73" t="s">
        <v>2377</v>
      </c>
      <c r="I73" t="s">
        <v>2416</v>
      </c>
      <c r="J73" t="s">
        <v>2411</v>
      </c>
      <c r="K73" t="s">
        <v>3258</v>
      </c>
      <c r="M73" t="s">
        <v>3324</v>
      </c>
      <c r="N73" t="s">
        <v>101</v>
      </c>
      <c r="O73">
        <v>11</v>
      </c>
      <c r="Q73" t="s">
        <v>3415</v>
      </c>
      <c r="R73" t="s">
        <v>101</v>
      </c>
      <c r="S73">
        <v>7</v>
      </c>
      <c r="U73" t="s">
        <v>3601</v>
      </c>
      <c r="V73" t="s">
        <v>101</v>
      </c>
      <c r="W73">
        <v>1</v>
      </c>
      <c r="Y73">
        <v>15</v>
      </c>
      <c r="Z73">
        <v>94.8</v>
      </c>
      <c r="AA73">
        <v>15</v>
      </c>
      <c r="AB73">
        <v>9</v>
      </c>
      <c r="AC73">
        <v>97.7</v>
      </c>
      <c r="AD73">
        <v>7</v>
      </c>
      <c r="AF73" s="170" t="s">
        <v>101</v>
      </c>
      <c r="AG73" s="171">
        <v>2.2780000000000002E-2</v>
      </c>
      <c r="AH73" s="172">
        <v>3.6</v>
      </c>
      <c r="AI73" s="172">
        <v>3.605</v>
      </c>
      <c r="AJ73" s="182">
        <v>0.49399999999999999</v>
      </c>
      <c r="AK73" s="173">
        <v>0.11799999999999999</v>
      </c>
      <c r="AL73" s="174"/>
      <c r="AM73" s="173">
        <v>0.10199999999999999</v>
      </c>
      <c r="AN73" s="173">
        <v>8.3000000000000004E-2</v>
      </c>
      <c r="AO73" s="174"/>
      <c r="AP73" s="171">
        <v>18499</v>
      </c>
      <c r="AQ73" s="171">
        <v>2202.5</v>
      </c>
      <c r="AR73" s="175">
        <v>1</v>
      </c>
      <c r="AS73" s="175">
        <v>0</v>
      </c>
      <c r="AT73" s="176" t="s">
        <v>3285</v>
      </c>
      <c r="AU73" s="171"/>
      <c r="AV73" s="171">
        <v>-1.61E-2</v>
      </c>
      <c r="AW73" s="171">
        <v>-1.3899999999999999E-2</v>
      </c>
      <c r="AY73" t="s">
        <v>769</v>
      </c>
      <c r="AZ73" t="s">
        <v>770</v>
      </c>
      <c r="BA73" t="s">
        <v>2380</v>
      </c>
      <c r="BB73" t="s">
        <v>3261</v>
      </c>
    </row>
    <row r="74" spans="1:55">
      <c r="A74" s="169">
        <v>2.02</v>
      </c>
      <c r="B74" s="207"/>
      <c r="C74" t="s">
        <v>110</v>
      </c>
      <c r="D74" t="s">
        <v>3694</v>
      </c>
      <c r="F74" t="s">
        <v>1427</v>
      </c>
      <c r="G74" t="s">
        <v>1428</v>
      </c>
      <c r="H74" t="s">
        <v>1444</v>
      </c>
      <c r="I74" t="s">
        <v>2416</v>
      </c>
      <c r="J74" t="s">
        <v>2411</v>
      </c>
      <c r="K74" t="s">
        <v>2425</v>
      </c>
      <c r="M74" t="s">
        <v>3324</v>
      </c>
      <c r="N74" t="s">
        <v>110</v>
      </c>
      <c r="O74">
        <v>11</v>
      </c>
      <c r="Q74" t="s">
        <v>3415</v>
      </c>
      <c r="R74" t="s">
        <v>110</v>
      </c>
      <c r="S74">
        <v>7</v>
      </c>
      <c r="U74" t="s">
        <v>3568</v>
      </c>
      <c r="V74" t="s">
        <v>110</v>
      </c>
      <c r="W74">
        <v>1</v>
      </c>
      <c r="Y74">
        <v>15</v>
      </c>
      <c r="Z74">
        <v>98.3</v>
      </c>
      <c r="AA74">
        <v>5</v>
      </c>
      <c r="AB74">
        <v>9</v>
      </c>
      <c r="AC74">
        <v>99</v>
      </c>
      <c r="AD74">
        <v>3</v>
      </c>
      <c r="AF74" s="170" t="s">
        <v>110</v>
      </c>
      <c r="AG74" s="171">
        <v>0.154</v>
      </c>
      <c r="AH74" s="183">
        <v>3.548</v>
      </c>
      <c r="AI74" s="183">
        <v>3.5489999999999999</v>
      </c>
      <c r="AJ74" s="191">
        <v>3.4369999999999998</v>
      </c>
      <c r="AK74" s="188">
        <v>0.13300000000000001</v>
      </c>
      <c r="AL74" s="185"/>
      <c r="AM74" s="173">
        <v>0.111</v>
      </c>
      <c r="AN74" s="173">
        <v>9.1999999999999998E-2</v>
      </c>
      <c r="AO74" s="174"/>
      <c r="AP74" s="171">
        <v>48061</v>
      </c>
      <c r="AQ74" s="171">
        <v>2189</v>
      </c>
      <c r="AR74" s="175">
        <v>1</v>
      </c>
      <c r="AS74" s="175">
        <v>0</v>
      </c>
      <c r="AT74" s="176" t="s">
        <v>3285</v>
      </c>
      <c r="AU74" s="171"/>
      <c r="AV74" s="171">
        <v>-9.9400000000000002E-2</v>
      </c>
      <c r="AW74" s="171">
        <v>-9.4700000000000006E-2</v>
      </c>
      <c r="AY74" t="s">
        <v>638</v>
      </c>
      <c r="AZ74" t="s">
        <v>639</v>
      </c>
      <c r="BA74" t="s">
        <v>1447</v>
      </c>
      <c r="BB74" t="s">
        <v>2428</v>
      </c>
    </row>
    <row r="75" spans="1:55">
      <c r="A75" s="169">
        <v>2.02</v>
      </c>
      <c r="B75" s="207"/>
      <c r="C75" t="s">
        <v>102</v>
      </c>
      <c r="D75" t="s">
        <v>3694</v>
      </c>
      <c r="F75" t="s">
        <v>1427</v>
      </c>
      <c r="G75" t="s">
        <v>1428</v>
      </c>
      <c r="H75" t="s">
        <v>2381</v>
      </c>
      <c r="I75" t="s">
        <v>2416</v>
      </c>
      <c r="J75" t="s">
        <v>2411</v>
      </c>
      <c r="K75" t="s">
        <v>3262</v>
      </c>
      <c r="M75" t="s">
        <v>3324</v>
      </c>
      <c r="N75" t="s">
        <v>102</v>
      </c>
      <c r="O75">
        <v>11</v>
      </c>
      <c r="Q75" t="s">
        <v>3405</v>
      </c>
      <c r="R75" t="s">
        <v>102</v>
      </c>
      <c r="S75">
        <v>4</v>
      </c>
      <c r="U75" t="s">
        <v>3529</v>
      </c>
      <c r="V75" t="s">
        <v>102</v>
      </c>
      <c r="W75">
        <v>3</v>
      </c>
      <c r="Y75">
        <v>15</v>
      </c>
      <c r="Z75">
        <v>93.2</v>
      </c>
      <c r="AA75">
        <v>20</v>
      </c>
      <c r="AB75">
        <v>10</v>
      </c>
      <c r="AC75">
        <v>98</v>
      </c>
      <c r="AD75">
        <v>6</v>
      </c>
      <c r="AF75" s="170" t="s">
        <v>102</v>
      </c>
      <c r="AG75" s="171">
        <v>7.7880000000000005E-2</v>
      </c>
      <c r="AH75" s="172">
        <v>3.5859999999999999</v>
      </c>
      <c r="AI75" s="172">
        <v>3.593</v>
      </c>
      <c r="AJ75" s="172">
        <v>3.5489999999999999</v>
      </c>
      <c r="AK75" s="173">
        <v>0.14699999999999999</v>
      </c>
      <c r="AL75" s="174"/>
      <c r="AM75" s="173">
        <v>0.13100000000000001</v>
      </c>
      <c r="AN75" s="173">
        <v>8.6999999999999994E-2</v>
      </c>
      <c r="AO75" s="174"/>
      <c r="AP75" s="171">
        <v>84111</v>
      </c>
      <c r="AQ75" s="171">
        <v>2765</v>
      </c>
      <c r="AR75" s="175">
        <v>1</v>
      </c>
      <c r="AS75" s="175">
        <v>0</v>
      </c>
      <c r="AT75" s="176" t="s">
        <v>3285</v>
      </c>
      <c r="AU75" s="171"/>
      <c r="AV75" s="171">
        <v>0.31669999999999998</v>
      </c>
      <c r="AW75" s="171">
        <v>0.53759999999999997</v>
      </c>
      <c r="AY75" t="s">
        <v>833</v>
      </c>
      <c r="AZ75" t="s">
        <v>834</v>
      </c>
      <c r="BA75" t="s">
        <v>2384</v>
      </c>
      <c r="BB75" t="s">
        <v>3265</v>
      </c>
    </row>
    <row r="76" spans="1:55">
      <c r="A76" s="169">
        <v>2.02</v>
      </c>
      <c r="B76" s="207"/>
      <c r="C76" t="s">
        <v>104</v>
      </c>
      <c r="D76" t="s">
        <v>3694</v>
      </c>
      <c r="F76" t="s">
        <v>1427</v>
      </c>
      <c r="G76" t="s">
        <v>1428</v>
      </c>
      <c r="H76" t="s">
        <v>2389</v>
      </c>
      <c r="I76" t="s">
        <v>2416</v>
      </c>
      <c r="J76" t="s">
        <v>2411</v>
      </c>
      <c r="K76" t="s">
        <v>3267</v>
      </c>
      <c r="M76" t="s">
        <v>3324</v>
      </c>
      <c r="N76" t="s">
        <v>104</v>
      </c>
      <c r="O76">
        <v>11</v>
      </c>
      <c r="Q76" t="s">
        <v>3405</v>
      </c>
      <c r="R76" t="s">
        <v>104</v>
      </c>
      <c r="S76">
        <v>4</v>
      </c>
      <c r="U76" t="s">
        <v>3529</v>
      </c>
      <c r="V76" t="s">
        <v>104</v>
      </c>
      <c r="W76">
        <v>3</v>
      </c>
      <c r="Y76">
        <v>15</v>
      </c>
      <c r="Z76">
        <v>93.2</v>
      </c>
      <c r="AA76">
        <v>20</v>
      </c>
      <c r="AB76">
        <v>10</v>
      </c>
      <c r="AC76">
        <v>97.7</v>
      </c>
      <c r="AD76">
        <v>7</v>
      </c>
      <c r="AF76" s="170" t="s">
        <v>104</v>
      </c>
      <c r="AG76" s="171">
        <v>0.1666</v>
      </c>
      <c r="AH76" s="172">
        <v>3.593</v>
      </c>
      <c r="AI76" s="172">
        <v>3.62</v>
      </c>
      <c r="AJ76" s="172">
        <v>3.617</v>
      </c>
      <c r="AK76" s="173">
        <v>0.155</v>
      </c>
      <c r="AL76" s="174"/>
      <c r="AM76" s="173">
        <v>0.113</v>
      </c>
      <c r="AN76" s="173">
        <v>8.8999999999999996E-2</v>
      </c>
      <c r="AO76" s="174"/>
      <c r="AP76" s="171">
        <v>63714</v>
      </c>
      <c r="AQ76" s="171">
        <v>2333</v>
      </c>
      <c r="AR76" s="175">
        <v>1</v>
      </c>
      <c r="AS76" s="175">
        <v>0</v>
      </c>
      <c r="AT76" s="176" t="s">
        <v>3285</v>
      </c>
      <c r="AU76" s="171"/>
      <c r="AV76" s="171">
        <v>-5.8400000000000001E-2</v>
      </c>
      <c r="AW76" s="171">
        <v>-1.2500000000000001E-2</v>
      </c>
      <c r="AY76" t="s">
        <v>513</v>
      </c>
      <c r="AZ76" t="s">
        <v>514</v>
      </c>
      <c r="BA76" t="s">
        <v>2391</v>
      </c>
      <c r="BB76" t="s">
        <v>3270</v>
      </c>
    </row>
    <row r="77" spans="1:55">
      <c r="A77" s="169">
        <v>2.02</v>
      </c>
      <c r="B77" s="207"/>
      <c r="C77" t="s">
        <v>105</v>
      </c>
      <c r="D77" t="s">
        <v>3694</v>
      </c>
      <c r="F77" t="s">
        <v>1427</v>
      </c>
      <c r="G77" t="s">
        <v>1428</v>
      </c>
      <c r="H77" t="s">
        <v>1429</v>
      </c>
      <c r="I77" t="s">
        <v>2416</v>
      </c>
      <c r="J77" t="s">
        <v>2411</v>
      </c>
      <c r="K77" t="s">
        <v>2417</v>
      </c>
      <c r="M77" t="s">
        <v>3324</v>
      </c>
      <c r="N77" t="s">
        <v>105</v>
      </c>
      <c r="O77">
        <v>11</v>
      </c>
      <c r="Q77" t="s">
        <v>3405</v>
      </c>
      <c r="R77" t="s">
        <v>105</v>
      </c>
      <c r="S77">
        <v>4</v>
      </c>
      <c r="U77" t="s">
        <v>3529</v>
      </c>
      <c r="V77" t="s">
        <v>105</v>
      </c>
      <c r="W77">
        <v>3</v>
      </c>
      <c r="Y77">
        <v>15</v>
      </c>
      <c r="Z77">
        <v>93.9</v>
      </c>
      <c r="AA77">
        <v>18</v>
      </c>
      <c r="AB77">
        <v>10</v>
      </c>
      <c r="AC77">
        <v>98.3</v>
      </c>
      <c r="AD77">
        <v>5</v>
      </c>
      <c r="AF77" s="170" t="s">
        <v>105</v>
      </c>
      <c r="AG77" s="171">
        <v>0.1983</v>
      </c>
      <c r="AH77" s="172">
        <v>3.5920000000000001</v>
      </c>
      <c r="AI77" s="172">
        <v>3.5680000000000001</v>
      </c>
      <c r="AJ77" s="172">
        <v>3.6230000000000002</v>
      </c>
      <c r="AK77" s="173">
        <v>0.14000000000000001</v>
      </c>
      <c r="AL77" s="174"/>
      <c r="AM77" s="173">
        <v>0.106</v>
      </c>
      <c r="AN77" s="173">
        <v>0.08</v>
      </c>
      <c r="AO77" s="174"/>
      <c r="AP77" s="171">
        <v>56366</v>
      </c>
      <c r="AQ77" s="171">
        <v>2415.5</v>
      </c>
      <c r="AR77" s="175">
        <v>1</v>
      </c>
      <c r="AS77" s="175">
        <v>0</v>
      </c>
      <c r="AT77" s="176" t="s">
        <v>3285</v>
      </c>
      <c r="AU77" s="171"/>
      <c r="AV77" s="171">
        <v>-5.0700000000000002E-2</v>
      </c>
      <c r="AW77" s="171">
        <v>-7.7999999999999996E-3</v>
      </c>
      <c r="AY77" t="s">
        <v>529</v>
      </c>
      <c r="AZ77" t="s">
        <v>530</v>
      </c>
      <c r="BA77" t="s">
        <v>1432</v>
      </c>
      <c r="BB77" t="s">
        <v>2420</v>
      </c>
    </row>
    <row r="78" spans="1:55" ht="17" thickBot="1">
      <c r="A78" s="178">
        <v>2.02</v>
      </c>
      <c r="B78" s="208"/>
      <c r="C78" s="40" t="s">
        <v>111</v>
      </c>
      <c r="D78" s="40" t="s">
        <v>3698</v>
      </c>
      <c r="E78" s="40"/>
      <c r="F78" s="40" t="s">
        <v>1427</v>
      </c>
      <c r="G78" s="40" t="s">
        <v>1428</v>
      </c>
      <c r="H78" s="40" t="s">
        <v>1448</v>
      </c>
      <c r="I78" s="40" t="s">
        <v>2416</v>
      </c>
      <c r="J78" s="40" t="s">
        <v>2411</v>
      </c>
      <c r="K78" s="40" t="s">
        <v>2425</v>
      </c>
      <c r="L78" s="40"/>
      <c r="M78" s="40" t="s">
        <v>3324</v>
      </c>
      <c r="N78" s="40" t="s">
        <v>111</v>
      </c>
      <c r="O78" s="40">
        <v>11</v>
      </c>
      <c r="P78" s="40"/>
      <c r="Q78" s="40" t="s">
        <v>3405</v>
      </c>
      <c r="R78" s="40" t="s">
        <v>111</v>
      </c>
      <c r="S78" s="40">
        <v>4</v>
      </c>
      <c r="T78" s="40"/>
      <c r="U78" s="40" t="s">
        <v>3628</v>
      </c>
      <c r="V78" s="40" t="s">
        <v>111</v>
      </c>
      <c r="W78" s="40">
        <v>1</v>
      </c>
      <c r="X78" s="40"/>
      <c r="Y78" s="40">
        <v>15</v>
      </c>
      <c r="Z78" s="40">
        <v>99</v>
      </c>
      <c r="AA78" s="40">
        <v>3</v>
      </c>
      <c r="AB78" s="40">
        <v>9</v>
      </c>
      <c r="AC78" s="40">
        <v>98.3</v>
      </c>
      <c r="AD78" s="40">
        <v>5</v>
      </c>
      <c r="AE78" s="40"/>
      <c r="AF78" s="85" t="s">
        <v>111</v>
      </c>
      <c r="AG78" s="35">
        <v>0.12189999999999999</v>
      </c>
      <c r="AH78" s="102">
        <v>3.6589999999999998</v>
      </c>
      <c r="AI78" s="102">
        <v>3.6779999999999999</v>
      </c>
      <c r="AJ78" s="102">
        <v>3.59</v>
      </c>
      <c r="AK78" s="90">
        <v>0.128</v>
      </c>
      <c r="AL78" s="37"/>
      <c r="AM78" s="90">
        <v>0.126</v>
      </c>
      <c r="AN78" s="90">
        <v>0.107</v>
      </c>
      <c r="AO78" s="37"/>
      <c r="AP78" s="35">
        <v>63345.5</v>
      </c>
      <c r="AQ78" s="35">
        <v>2072</v>
      </c>
      <c r="AR78" s="93">
        <v>1</v>
      </c>
      <c r="AS78" s="93">
        <v>0</v>
      </c>
      <c r="AT78" s="94" t="s">
        <v>3285</v>
      </c>
      <c r="AU78" s="35"/>
      <c r="AV78" s="35">
        <v>-8.2400000000000001E-2</v>
      </c>
      <c r="AW78" s="35">
        <v>4.2799999999999998E-2</v>
      </c>
      <c r="AX78" s="40"/>
      <c r="AY78" s="40" t="s">
        <v>967</v>
      </c>
      <c r="AZ78" s="40" t="s">
        <v>968</v>
      </c>
      <c r="BA78" s="40" t="s">
        <v>1451</v>
      </c>
      <c r="BB78" s="40" t="s">
        <v>2431</v>
      </c>
      <c r="BC78" s="40"/>
    </row>
    <row r="79" spans="1:55">
      <c r="A79" s="169">
        <v>2.0299999999999998</v>
      </c>
      <c r="B79" s="206">
        <v>2.0299999999999998</v>
      </c>
      <c r="C79" t="s">
        <v>42</v>
      </c>
      <c r="D79" t="s">
        <v>3694</v>
      </c>
      <c r="F79" t="s">
        <v>1558</v>
      </c>
      <c r="G79" t="s">
        <v>1428</v>
      </c>
      <c r="H79" t="s">
        <v>2189</v>
      </c>
      <c r="I79" t="s">
        <v>3074</v>
      </c>
      <c r="J79" t="s">
        <v>2433</v>
      </c>
      <c r="K79" t="s">
        <v>3079</v>
      </c>
      <c r="M79" t="s">
        <v>3331</v>
      </c>
      <c r="N79" t="s">
        <v>42</v>
      </c>
      <c r="O79">
        <v>10</v>
      </c>
      <c r="Q79" t="s">
        <v>3414</v>
      </c>
      <c r="R79" t="s">
        <v>42</v>
      </c>
      <c r="S79">
        <v>9</v>
      </c>
      <c r="U79" t="s">
        <v>3539</v>
      </c>
      <c r="V79" t="s">
        <v>42</v>
      </c>
      <c r="W79">
        <v>8</v>
      </c>
      <c r="Y79">
        <v>19</v>
      </c>
      <c r="Z79">
        <v>93.2</v>
      </c>
      <c r="AA79">
        <v>20</v>
      </c>
      <c r="AB79">
        <v>9</v>
      </c>
      <c r="AC79">
        <v>90.8</v>
      </c>
      <c r="AD79">
        <v>26</v>
      </c>
      <c r="AF79" s="170" t="s">
        <v>42</v>
      </c>
      <c r="AG79" s="171">
        <v>0.30869999999999997</v>
      </c>
      <c r="AH79" s="192">
        <v>0.91</v>
      </c>
      <c r="AI79" s="173">
        <v>0.25900000000000001</v>
      </c>
      <c r="AJ79" s="173">
        <v>0.111</v>
      </c>
      <c r="AK79" s="173">
        <v>0.11600000000000001</v>
      </c>
      <c r="AL79" s="174"/>
      <c r="AM79" s="173">
        <v>9.0999999999999998E-2</v>
      </c>
      <c r="AN79" s="173">
        <v>8.3000000000000004E-2</v>
      </c>
      <c r="AO79" s="174"/>
      <c r="AP79" s="171">
        <v>133409</v>
      </c>
      <c r="AQ79" s="171">
        <v>261001.5</v>
      </c>
      <c r="AR79" s="175">
        <v>1</v>
      </c>
      <c r="AS79" s="175">
        <v>1</v>
      </c>
      <c r="AT79" s="176" t="s">
        <v>3286</v>
      </c>
      <c r="AU79" s="171"/>
      <c r="AV79" s="171">
        <v>2.1120999999999999</v>
      </c>
      <c r="AW79" s="171">
        <v>1.5253000000000001</v>
      </c>
      <c r="AY79" t="s">
        <v>781</v>
      </c>
      <c r="AZ79" t="s">
        <v>782</v>
      </c>
      <c r="BA79" t="s">
        <v>2192</v>
      </c>
      <c r="BB79" t="s">
        <v>3082</v>
      </c>
    </row>
    <row r="80" spans="1:55">
      <c r="A80" s="169">
        <v>2.0299999999999998</v>
      </c>
      <c r="B80" s="207"/>
      <c r="C80" t="s">
        <v>43</v>
      </c>
      <c r="D80" t="s">
        <v>3694</v>
      </c>
      <c r="F80" t="s">
        <v>1558</v>
      </c>
      <c r="G80" t="s">
        <v>1428</v>
      </c>
      <c r="H80" t="s">
        <v>2197</v>
      </c>
      <c r="I80" t="s">
        <v>3074</v>
      </c>
      <c r="J80" t="s">
        <v>2433</v>
      </c>
      <c r="K80" t="s">
        <v>3086</v>
      </c>
      <c r="M80" t="s">
        <v>3331</v>
      </c>
      <c r="N80" t="s">
        <v>43</v>
      </c>
      <c r="O80">
        <v>10</v>
      </c>
      <c r="Q80" t="s">
        <v>3414</v>
      </c>
      <c r="R80" t="s">
        <v>43</v>
      </c>
      <c r="S80">
        <v>9</v>
      </c>
      <c r="U80" t="s">
        <v>3539</v>
      </c>
      <c r="V80" t="s">
        <v>43</v>
      </c>
      <c r="W80">
        <v>8</v>
      </c>
      <c r="Y80">
        <v>19</v>
      </c>
      <c r="Z80">
        <v>95.2</v>
      </c>
      <c r="AA80">
        <v>14</v>
      </c>
      <c r="AB80">
        <v>9</v>
      </c>
      <c r="AC80">
        <v>94.3</v>
      </c>
      <c r="AD80">
        <v>16</v>
      </c>
      <c r="AF80" s="170" t="s">
        <v>43</v>
      </c>
      <c r="AG80" s="171">
        <v>0.2555</v>
      </c>
      <c r="AH80" s="173">
        <v>0.25900000000000001</v>
      </c>
      <c r="AI80" s="173">
        <v>0.2</v>
      </c>
      <c r="AJ80" s="173">
        <v>0.125</v>
      </c>
      <c r="AK80" s="173">
        <v>0.125</v>
      </c>
      <c r="AL80" s="174"/>
      <c r="AM80" s="173">
        <v>9.9000000000000005E-2</v>
      </c>
      <c r="AN80" s="173">
        <v>8.4000000000000005E-2</v>
      </c>
      <c r="AO80" s="174"/>
      <c r="AP80" s="171">
        <v>83878</v>
      </c>
      <c r="AQ80" s="171">
        <v>153098</v>
      </c>
      <c r="AR80" s="175">
        <v>1</v>
      </c>
      <c r="AS80" s="175">
        <v>1</v>
      </c>
      <c r="AT80" s="176" t="s">
        <v>3286</v>
      </c>
      <c r="AU80" s="171"/>
      <c r="AV80" s="171">
        <v>0.14940000000000001</v>
      </c>
      <c r="AW80" s="171">
        <v>7.8299999999999995E-2</v>
      </c>
      <c r="AY80" t="s">
        <v>815</v>
      </c>
      <c r="AZ80" t="s">
        <v>816</v>
      </c>
      <c r="BA80" t="s">
        <v>2200</v>
      </c>
      <c r="BB80" t="s">
        <v>3088</v>
      </c>
    </row>
    <row r="81" spans="1:55">
      <c r="A81" s="169">
        <v>2.0299999999999998</v>
      </c>
      <c r="B81" s="207"/>
      <c r="C81" t="s">
        <v>44</v>
      </c>
      <c r="D81" t="s">
        <v>3694</v>
      </c>
      <c r="F81" t="s">
        <v>1558</v>
      </c>
      <c r="G81" t="s">
        <v>1428</v>
      </c>
      <c r="H81" t="s">
        <v>2201</v>
      </c>
      <c r="I81" t="s">
        <v>3074</v>
      </c>
      <c r="J81" t="s">
        <v>2433</v>
      </c>
      <c r="K81" t="s">
        <v>3089</v>
      </c>
      <c r="M81" t="s">
        <v>3331</v>
      </c>
      <c r="N81" t="s">
        <v>44</v>
      </c>
      <c r="O81">
        <v>10</v>
      </c>
      <c r="Q81" t="s">
        <v>3414</v>
      </c>
      <c r="R81" t="s">
        <v>44</v>
      </c>
      <c r="S81">
        <v>9</v>
      </c>
      <c r="U81" t="s">
        <v>3539</v>
      </c>
      <c r="V81" t="s">
        <v>44</v>
      </c>
      <c r="W81">
        <v>8</v>
      </c>
      <c r="Y81">
        <v>19</v>
      </c>
      <c r="Z81">
        <v>91.1</v>
      </c>
      <c r="AA81">
        <v>26</v>
      </c>
      <c r="AB81">
        <v>9</v>
      </c>
      <c r="AC81">
        <v>93.8</v>
      </c>
      <c r="AD81">
        <v>17</v>
      </c>
      <c r="AF81" s="170" t="s">
        <v>44</v>
      </c>
      <c r="AG81" s="171">
        <v>0.28129999999999999</v>
      </c>
      <c r="AH81" s="181">
        <v>0.65</v>
      </c>
      <c r="AI81" s="173">
        <v>0.20599999999999999</v>
      </c>
      <c r="AJ81" s="173">
        <v>0.11799999999999999</v>
      </c>
      <c r="AK81" s="173">
        <v>0.13100000000000001</v>
      </c>
      <c r="AL81" s="174"/>
      <c r="AM81" s="173">
        <v>0.13300000000000001</v>
      </c>
      <c r="AN81" s="173">
        <v>8.7999999999999995E-2</v>
      </c>
      <c r="AO81" s="174"/>
      <c r="AP81" s="171">
        <v>113285</v>
      </c>
      <c r="AQ81" s="171">
        <v>261373</v>
      </c>
      <c r="AR81" s="175">
        <v>1</v>
      </c>
      <c r="AS81" s="175">
        <v>1</v>
      </c>
      <c r="AT81" s="176" t="s">
        <v>3286</v>
      </c>
      <c r="AU81" s="171"/>
      <c r="AV81" s="171">
        <v>1.1440999999999999</v>
      </c>
      <c r="AW81" s="171">
        <v>1.3182</v>
      </c>
      <c r="AY81" t="s">
        <v>819</v>
      </c>
      <c r="AZ81" t="s">
        <v>820</v>
      </c>
      <c r="BA81" t="s">
        <v>2204</v>
      </c>
      <c r="BB81" t="s">
        <v>3092</v>
      </c>
    </row>
    <row r="82" spans="1:55">
      <c r="A82" s="169">
        <v>2.0299999999999998</v>
      </c>
      <c r="B82" s="207"/>
      <c r="C82" t="s">
        <v>45</v>
      </c>
      <c r="D82" t="s">
        <v>3694</v>
      </c>
      <c r="F82" t="s">
        <v>1558</v>
      </c>
      <c r="G82" t="s">
        <v>1428</v>
      </c>
      <c r="H82" t="s">
        <v>2205</v>
      </c>
      <c r="I82" t="s">
        <v>3074</v>
      </c>
      <c r="J82" t="s">
        <v>2433</v>
      </c>
      <c r="K82" t="s">
        <v>3093</v>
      </c>
      <c r="M82" t="s">
        <v>3331</v>
      </c>
      <c r="N82" t="s">
        <v>45</v>
      </c>
      <c r="O82">
        <v>10</v>
      </c>
      <c r="Q82" t="s">
        <v>3414</v>
      </c>
      <c r="R82" t="s">
        <v>45</v>
      </c>
      <c r="S82">
        <v>9</v>
      </c>
      <c r="U82" t="s">
        <v>3539</v>
      </c>
      <c r="V82" t="s">
        <v>45</v>
      </c>
      <c r="W82">
        <v>8</v>
      </c>
      <c r="Y82">
        <v>19</v>
      </c>
      <c r="Z82">
        <v>94.5</v>
      </c>
      <c r="AA82">
        <v>16</v>
      </c>
      <c r="AB82">
        <v>9</v>
      </c>
      <c r="AC82">
        <v>94.3</v>
      </c>
      <c r="AD82">
        <v>16</v>
      </c>
      <c r="AF82" s="170" t="s">
        <v>45</v>
      </c>
      <c r="AG82" s="171">
        <v>0.28549999999999998</v>
      </c>
      <c r="AH82" s="182">
        <v>0.54600000000000004</v>
      </c>
      <c r="AI82" s="173">
        <v>0.13</v>
      </c>
      <c r="AJ82" s="173">
        <v>0.129</v>
      </c>
      <c r="AK82" s="173">
        <v>0.123</v>
      </c>
      <c r="AL82" s="174"/>
      <c r="AM82" s="173">
        <v>0.107</v>
      </c>
      <c r="AN82" s="173">
        <v>9.0999999999999998E-2</v>
      </c>
      <c r="AO82" s="174"/>
      <c r="AP82" s="171">
        <v>87062</v>
      </c>
      <c r="AQ82" s="171">
        <v>291425.5</v>
      </c>
      <c r="AR82" s="175">
        <v>1</v>
      </c>
      <c r="AS82" s="175">
        <v>1</v>
      </c>
      <c r="AT82" s="176" t="s">
        <v>3286</v>
      </c>
      <c r="AU82" s="171"/>
      <c r="AV82" s="171">
        <v>1.6990000000000001</v>
      </c>
      <c r="AW82" s="171">
        <v>-9.9000000000000005E-2</v>
      </c>
      <c r="AY82" t="s">
        <v>537</v>
      </c>
      <c r="AZ82" t="s">
        <v>538</v>
      </c>
      <c r="BA82" t="s">
        <v>2208</v>
      </c>
      <c r="BB82" t="s">
        <v>3095</v>
      </c>
    </row>
    <row r="83" spans="1:55">
      <c r="A83" s="169">
        <v>2.0299999999999998</v>
      </c>
      <c r="B83" s="207"/>
      <c r="C83" t="s">
        <v>46</v>
      </c>
      <c r="D83" t="s">
        <v>3694</v>
      </c>
      <c r="F83" t="s">
        <v>1558</v>
      </c>
      <c r="G83" t="s">
        <v>1428</v>
      </c>
      <c r="H83" t="s">
        <v>2209</v>
      </c>
      <c r="I83" t="s">
        <v>3074</v>
      </c>
      <c r="J83" t="s">
        <v>2433</v>
      </c>
      <c r="K83" t="s">
        <v>3096</v>
      </c>
      <c r="M83" t="s">
        <v>3331</v>
      </c>
      <c r="N83" t="s">
        <v>46</v>
      </c>
      <c r="O83">
        <v>10</v>
      </c>
      <c r="Q83" t="s">
        <v>3414</v>
      </c>
      <c r="R83" t="s">
        <v>46</v>
      </c>
      <c r="S83">
        <v>9</v>
      </c>
      <c r="U83" t="s">
        <v>3539</v>
      </c>
      <c r="V83" t="s">
        <v>46</v>
      </c>
      <c r="W83">
        <v>8</v>
      </c>
      <c r="Y83">
        <v>19</v>
      </c>
      <c r="Z83">
        <v>95.5</v>
      </c>
      <c r="AA83">
        <v>13</v>
      </c>
      <c r="AB83">
        <v>9</v>
      </c>
      <c r="AC83">
        <v>95.4</v>
      </c>
      <c r="AD83">
        <v>13</v>
      </c>
      <c r="AF83" s="170" t="s">
        <v>46</v>
      </c>
      <c r="AG83" s="171">
        <v>0.32519999999999999</v>
      </c>
      <c r="AH83" s="182">
        <v>0.56799999999999995</v>
      </c>
      <c r="AI83" s="173">
        <v>0.158</v>
      </c>
      <c r="AJ83" s="173">
        <v>0.11700000000000001</v>
      </c>
      <c r="AK83" s="173">
        <v>0.114</v>
      </c>
      <c r="AL83" s="174"/>
      <c r="AM83" s="173">
        <v>0.11700000000000001</v>
      </c>
      <c r="AN83" s="173">
        <v>8.8999999999999996E-2</v>
      </c>
      <c r="AO83" s="174"/>
      <c r="AP83" s="171">
        <v>48910</v>
      </c>
      <c r="AQ83" s="171">
        <v>184978</v>
      </c>
      <c r="AR83" s="175">
        <v>1</v>
      </c>
      <c r="AS83" s="175">
        <v>1</v>
      </c>
      <c r="AT83" s="176" t="s">
        <v>3286</v>
      </c>
      <c r="AU83" s="171"/>
      <c r="AV83" s="171">
        <v>-8.8300000000000003E-2</v>
      </c>
      <c r="AW83" s="171">
        <v>-9.8599999999999993E-2</v>
      </c>
      <c r="AY83" t="s">
        <v>560</v>
      </c>
      <c r="AZ83" t="s">
        <v>561</v>
      </c>
      <c r="BA83" t="s">
        <v>2211</v>
      </c>
      <c r="BB83" t="s">
        <v>3098</v>
      </c>
    </row>
    <row r="84" spans="1:55">
      <c r="A84" s="169">
        <v>2.0299999999999998</v>
      </c>
      <c r="B84" s="207"/>
      <c r="C84" t="s">
        <v>47</v>
      </c>
      <c r="D84" t="s">
        <v>3694</v>
      </c>
      <c r="F84" t="s">
        <v>1558</v>
      </c>
      <c r="G84" t="s">
        <v>1428</v>
      </c>
      <c r="H84" t="s">
        <v>2212</v>
      </c>
      <c r="I84" t="s">
        <v>3074</v>
      </c>
      <c r="J84" t="s">
        <v>2433</v>
      </c>
      <c r="K84" t="s">
        <v>3099</v>
      </c>
      <c r="M84" t="s">
        <v>3331</v>
      </c>
      <c r="N84" t="s">
        <v>47</v>
      </c>
      <c r="O84">
        <v>10</v>
      </c>
      <c r="Q84" t="s">
        <v>3414</v>
      </c>
      <c r="R84" t="s">
        <v>47</v>
      </c>
      <c r="S84">
        <v>9</v>
      </c>
      <c r="U84" t="s">
        <v>3539</v>
      </c>
      <c r="V84" t="s">
        <v>47</v>
      </c>
      <c r="W84">
        <v>8</v>
      </c>
      <c r="Y84">
        <v>19</v>
      </c>
      <c r="Z84">
        <v>95.5</v>
      </c>
      <c r="AA84">
        <v>13</v>
      </c>
      <c r="AB84">
        <v>9</v>
      </c>
      <c r="AC84">
        <v>96.1</v>
      </c>
      <c r="AD84">
        <v>11</v>
      </c>
      <c r="AF84" s="170" t="s">
        <v>47</v>
      </c>
      <c r="AG84" s="171">
        <v>0.44479999999999997</v>
      </c>
      <c r="AH84" s="192">
        <v>0.88400000000000001</v>
      </c>
      <c r="AI84" s="173">
        <v>0.23899999999999999</v>
      </c>
      <c r="AJ84" s="173">
        <v>0.13100000000000001</v>
      </c>
      <c r="AK84" s="173">
        <v>0.13300000000000001</v>
      </c>
      <c r="AL84" s="174"/>
      <c r="AM84" s="173">
        <v>9.9000000000000005E-2</v>
      </c>
      <c r="AN84" s="173">
        <v>8.6999999999999994E-2</v>
      </c>
      <c r="AO84" s="174"/>
      <c r="AP84" s="171">
        <v>89015</v>
      </c>
      <c r="AQ84" s="171">
        <v>166535</v>
      </c>
      <c r="AR84" s="175">
        <v>1</v>
      </c>
      <c r="AS84" s="175">
        <v>1</v>
      </c>
      <c r="AT84" s="176" t="s">
        <v>3286</v>
      </c>
      <c r="AU84" s="171"/>
      <c r="AV84" s="171">
        <v>0.98429999999999995</v>
      </c>
      <c r="AW84" s="171">
        <v>1.0865</v>
      </c>
      <c r="AY84" t="s">
        <v>568</v>
      </c>
      <c r="AZ84" t="s">
        <v>569</v>
      </c>
      <c r="BA84" t="s">
        <v>2214</v>
      </c>
      <c r="BB84" t="s">
        <v>3101</v>
      </c>
    </row>
    <row r="85" spans="1:55">
      <c r="A85" s="169">
        <v>2.0299999999999998</v>
      </c>
      <c r="B85" s="207"/>
      <c r="C85" t="s">
        <v>48</v>
      </c>
      <c r="D85" t="s">
        <v>3694</v>
      </c>
      <c r="F85" t="s">
        <v>1558</v>
      </c>
      <c r="G85" t="s">
        <v>1428</v>
      </c>
      <c r="H85" t="s">
        <v>2215</v>
      </c>
      <c r="I85" t="s">
        <v>3074</v>
      </c>
      <c r="J85" t="s">
        <v>2433</v>
      </c>
      <c r="K85" t="s">
        <v>3102</v>
      </c>
      <c r="M85" t="s">
        <v>3331</v>
      </c>
      <c r="N85" t="s">
        <v>48</v>
      </c>
      <c r="O85">
        <v>10</v>
      </c>
      <c r="Q85" t="s">
        <v>3414</v>
      </c>
      <c r="R85" t="s">
        <v>48</v>
      </c>
      <c r="S85">
        <v>9</v>
      </c>
      <c r="U85" t="s">
        <v>3539</v>
      </c>
      <c r="V85" t="s">
        <v>48</v>
      </c>
      <c r="W85">
        <v>8</v>
      </c>
      <c r="Y85">
        <v>19</v>
      </c>
      <c r="Z85">
        <v>91.5</v>
      </c>
      <c r="AA85">
        <v>25</v>
      </c>
      <c r="AB85">
        <v>9</v>
      </c>
      <c r="AC85">
        <v>92.3</v>
      </c>
      <c r="AD85">
        <v>21</v>
      </c>
      <c r="AF85" s="170" t="s">
        <v>48</v>
      </c>
      <c r="AG85" s="171">
        <v>0.3528</v>
      </c>
      <c r="AH85" s="192">
        <v>1.121</v>
      </c>
      <c r="AI85" s="181">
        <v>0.78100000000000003</v>
      </c>
      <c r="AJ85" s="173">
        <v>0.121</v>
      </c>
      <c r="AK85" s="173">
        <v>0.121</v>
      </c>
      <c r="AL85" s="174"/>
      <c r="AM85" s="173">
        <v>0.10100000000000001</v>
      </c>
      <c r="AN85" s="173">
        <v>9.5000000000000001E-2</v>
      </c>
      <c r="AO85" s="174"/>
      <c r="AP85" s="171">
        <v>86457</v>
      </c>
      <c r="AQ85" s="171">
        <v>230584</v>
      </c>
      <c r="AR85" s="175">
        <v>1</v>
      </c>
      <c r="AS85" s="175">
        <v>1</v>
      </c>
      <c r="AT85" s="176" t="s">
        <v>3286</v>
      </c>
      <c r="AU85" s="171"/>
      <c r="AV85" s="171">
        <v>2.2755000000000001</v>
      </c>
      <c r="AW85" s="171">
        <v>2.0747</v>
      </c>
      <c r="AY85" t="s">
        <v>702</v>
      </c>
      <c r="AZ85" t="s">
        <v>703</v>
      </c>
      <c r="BA85" t="s">
        <v>2217</v>
      </c>
      <c r="BB85" t="s">
        <v>3104</v>
      </c>
    </row>
    <row r="86" spans="1:55">
      <c r="A86" s="169">
        <v>2.0299999999999998</v>
      </c>
      <c r="B86" s="207"/>
      <c r="C86" t="s">
        <v>49</v>
      </c>
      <c r="D86" t="s">
        <v>3694</v>
      </c>
      <c r="F86" t="s">
        <v>1558</v>
      </c>
      <c r="G86" t="s">
        <v>1428</v>
      </c>
      <c r="H86" t="s">
        <v>2212</v>
      </c>
      <c r="I86" t="s">
        <v>3074</v>
      </c>
      <c r="J86" t="s">
        <v>2433</v>
      </c>
      <c r="K86" t="s">
        <v>3099</v>
      </c>
      <c r="M86" t="s">
        <v>3331</v>
      </c>
      <c r="N86" t="s">
        <v>49</v>
      </c>
      <c r="O86">
        <v>10</v>
      </c>
      <c r="Q86" t="s">
        <v>3414</v>
      </c>
      <c r="R86" t="s">
        <v>49</v>
      </c>
      <c r="S86">
        <v>9</v>
      </c>
      <c r="U86" t="s">
        <v>3539</v>
      </c>
      <c r="V86" t="s">
        <v>49</v>
      </c>
      <c r="W86">
        <v>8</v>
      </c>
      <c r="Y86">
        <v>19</v>
      </c>
      <c r="Z86">
        <v>95.5</v>
      </c>
      <c r="AA86">
        <v>13</v>
      </c>
      <c r="AB86">
        <v>9</v>
      </c>
      <c r="AC86">
        <v>96.1</v>
      </c>
      <c r="AD86">
        <v>11</v>
      </c>
      <c r="AF86" s="170" t="s">
        <v>49</v>
      </c>
      <c r="AG86" s="171">
        <v>0.37769999999999998</v>
      </c>
      <c r="AH86" s="181">
        <v>0.64700000000000002</v>
      </c>
      <c r="AI86" s="173">
        <v>0.28199999999999997</v>
      </c>
      <c r="AJ86" s="173">
        <v>0.125</v>
      </c>
      <c r="AK86" s="173">
        <v>0.124</v>
      </c>
      <c r="AL86" s="174"/>
      <c r="AM86" s="173">
        <v>0.13700000000000001</v>
      </c>
      <c r="AN86" s="173">
        <v>0.09</v>
      </c>
      <c r="AO86" s="174"/>
      <c r="AP86" s="171">
        <v>42163.5</v>
      </c>
      <c r="AQ86" s="171">
        <v>247511</v>
      </c>
      <c r="AR86" s="175">
        <v>1</v>
      </c>
      <c r="AS86" s="175">
        <v>1</v>
      </c>
      <c r="AT86" s="176" t="s">
        <v>3286</v>
      </c>
      <c r="AU86" s="171"/>
      <c r="AV86" s="171">
        <v>0.75229999999999997</v>
      </c>
      <c r="AW86" s="171">
        <v>0.45910000000000001</v>
      </c>
      <c r="AY86" t="s">
        <v>568</v>
      </c>
      <c r="AZ86" t="s">
        <v>718</v>
      </c>
      <c r="BA86" t="s">
        <v>2214</v>
      </c>
      <c r="BB86" t="s">
        <v>3101</v>
      </c>
    </row>
    <row r="87" spans="1:55">
      <c r="A87" s="169">
        <v>2.0299999999999998</v>
      </c>
      <c r="B87" s="207"/>
      <c r="C87" t="s">
        <v>50</v>
      </c>
      <c r="D87" t="s">
        <v>3696</v>
      </c>
      <c r="F87" t="s">
        <v>1558</v>
      </c>
      <c r="G87" t="s">
        <v>1428</v>
      </c>
      <c r="H87" t="s">
        <v>2218</v>
      </c>
      <c r="I87" t="s">
        <v>3074</v>
      </c>
      <c r="J87" t="s">
        <v>2433</v>
      </c>
      <c r="K87" t="s">
        <v>3105</v>
      </c>
      <c r="M87" t="s">
        <v>3331</v>
      </c>
      <c r="N87" t="s">
        <v>50</v>
      </c>
      <c r="O87">
        <v>10</v>
      </c>
      <c r="Q87" t="s">
        <v>3414</v>
      </c>
      <c r="R87" t="s">
        <v>50</v>
      </c>
      <c r="S87">
        <v>9</v>
      </c>
      <c r="U87" t="s">
        <v>3672</v>
      </c>
      <c r="V87" t="s">
        <v>50</v>
      </c>
      <c r="W87">
        <v>1</v>
      </c>
      <c r="Y87">
        <v>19</v>
      </c>
      <c r="Z87">
        <v>95.9</v>
      </c>
      <c r="AA87">
        <v>12</v>
      </c>
      <c r="AB87">
        <v>10</v>
      </c>
      <c r="AC87">
        <v>96.8</v>
      </c>
      <c r="AD87">
        <v>9</v>
      </c>
      <c r="AF87" s="170" t="s">
        <v>50</v>
      </c>
      <c r="AG87" s="171">
        <v>0.25840000000000002</v>
      </c>
      <c r="AH87" s="173">
        <v>0.14499999999999999</v>
      </c>
      <c r="AI87" s="173">
        <v>0.115</v>
      </c>
      <c r="AJ87" s="173">
        <v>0.122</v>
      </c>
      <c r="AK87" s="173">
        <v>0.107</v>
      </c>
      <c r="AL87" s="174"/>
      <c r="AM87" s="173">
        <v>0.109</v>
      </c>
      <c r="AN87" s="173">
        <v>9.7000000000000003E-2</v>
      </c>
      <c r="AO87" s="174"/>
      <c r="AP87" s="171">
        <v>162335</v>
      </c>
      <c r="AQ87" s="171">
        <v>663884</v>
      </c>
      <c r="AR87" s="175">
        <v>1</v>
      </c>
      <c r="AS87" s="175">
        <v>1</v>
      </c>
      <c r="AT87" s="176" t="s">
        <v>3286</v>
      </c>
      <c r="AU87" s="171"/>
      <c r="AV87" s="171">
        <v>-7.5499999999999998E-2</v>
      </c>
      <c r="AW87" s="171">
        <v>-9.4299999999999995E-2</v>
      </c>
      <c r="AY87" t="s">
        <v>1016</v>
      </c>
      <c r="AZ87" t="s">
        <v>1017</v>
      </c>
      <c r="BA87" t="s">
        <v>2220</v>
      </c>
      <c r="BB87" t="s">
        <v>3107</v>
      </c>
    </row>
    <row r="88" spans="1:55" ht="17" thickBot="1">
      <c r="A88" s="169">
        <v>2.0299999999999998</v>
      </c>
      <c r="B88" s="208"/>
      <c r="C88" t="s">
        <v>41</v>
      </c>
      <c r="D88" t="s">
        <v>3694</v>
      </c>
      <c r="F88" t="s">
        <v>1558</v>
      </c>
      <c r="G88" t="s">
        <v>1428</v>
      </c>
      <c r="H88" t="s">
        <v>2185</v>
      </c>
      <c r="I88" t="s">
        <v>3074</v>
      </c>
      <c r="J88" t="s">
        <v>2433</v>
      </c>
      <c r="K88" t="s">
        <v>3075</v>
      </c>
      <c r="M88" t="s">
        <v>3331</v>
      </c>
      <c r="N88" t="s">
        <v>41</v>
      </c>
      <c r="O88">
        <v>10</v>
      </c>
      <c r="Q88" t="s">
        <v>3458</v>
      </c>
      <c r="R88" t="s">
        <v>41</v>
      </c>
      <c r="S88">
        <v>1</v>
      </c>
      <c r="U88" t="s">
        <v>3593</v>
      </c>
      <c r="V88" t="s">
        <v>41</v>
      </c>
      <c r="W88">
        <v>1</v>
      </c>
      <c r="Y88">
        <v>19</v>
      </c>
      <c r="Z88">
        <v>91.4</v>
      </c>
      <c r="AA88">
        <v>25</v>
      </c>
      <c r="AB88">
        <v>9</v>
      </c>
      <c r="AC88">
        <v>93.9</v>
      </c>
      <c r="AD88">
        <v>17</v>
      </c>
      <c r="AF88" s="170" t="s">
        <v>41</v>
      </c>
      <c r="AG88" s="171">
        <v>0.3705</v>
      </c>
      <c r="AH88" s="173">
        <v>0.216</v>
      </c>
      <c r="AI88" s="182">
        <v>0.46600000000000003</v>
      </c>
      <c r="AJ88" s="173">
        <v>0.13</v>
      </c>
      <c r="AK88" s="173">
        <v>0.123</v>
      </c>
      <c r="AL88" s="174"/>
      <c r="AM88" s="173">
        <v>9.9000000000000005E-2</v>
      </c>
      <c r="AN88" s="173">
        <v>8.7999999999999995E-2</v>
      </c>
      <c r="AO88" s="174"/>
      <c r="AP88" s="171">
        <v>127002</v>
      </c>
      <c r="AQ88" s="171">
        <v>248440</v>
      </c>
      <c r="AR88" s="175">
        <v>1</v>
      </c>
      <c r="AS88" s="175">
        <v>1</v>
      </c>
      <c r="AT88" s="176" t="s">
        <v>3286</v>
      </c>
      <c r="AU88" s="171"/>
      <c r="AV88" s="171">
        <v>1.4294</v>
      </c>
      <c r="AW88" s="171">
        <v>0.87480000000000002</v>
      </c>
      <c r="AY88" t="s">
        <v>741</v>
      </c>
      <c r="AZ88" t="s">
        <v>742</v>
      </c>
      <c r="BA88" t="s">
        <v>2188</v>
      </c>
      <c r="BB88" t="s">
        <v>3078</v>
      </c>
    </row>
    <row r="89" spans="1:55">
      <c r="A89" s="168">
        <v>2.04</v>
      </c>
      <c r="B89" s="206">
        <v>2.04</v>
      </c>
      <c r="C89" s="81" t="s">
        <v>92</v>
      </c>
      <c r="D89" s="81" t="s">
        <v>3694</v>
      </c>
      <c r="E89" s="81"/>
      <c r="F89" s="81" t="s">
        <v>1729</v>
      </c>
      <c r="G89" s="81" t="s">
        <v>1421</v>
      </c>
      <c r="H89" s="81" t="s">
        <v>2346</v>
      </c>
      <c r="I89" s="81" t="s">
        <v>2603</v>
      </c>
      <c r="J89" s="81" t="s">
        <v>2460</v>
      </c>
      <c r="K89" s="81" t="s">
        <v>3227</v>
      </c>
      <c r="L89" s="81"/>
      <c r="M89" s="81" t="s">
        <v>3328</v>
      </c>
      <c r="N89" s="81" t="s">
        <v>92</v>
      </c>
      <c r="O89" s="81">
        <v>9</v>
      </c>
      <c r="P89" s="81"/>
      <c r="Q89" s="81" t="s">
        <v>3460</v>
      </c>
      <c r="R89" s="81" t="s">
        <v>92</v>
      </c>
      <c r="S89" s="81">
        <v>7</v>
      </c>
      <c r="T89" s="81"/>
      <c r="U89" s="81" t="s">
        <v>3595</v>
      </c>
      <c r="V89" s="81" t="s">
        <v>92</v>
      </c>
      <c r="W89" s="81">
        <v>7</v>
      </c>
      <c r="X89" s="81"/>
      <c r="Y89" s="81">
        <v>14</v>
      </c>
      <c r="Z89" s="81">
        <v>96.6</v>
      </c>
      <c r="AA89" s="81">
        <v>10</v>
      </c>
      <c r="AB89" s="81">
        <v>9</v>
      </c>
      <c r="AC89" s="81">
        <v>98.3</v>
      </c>
      <c r="AD89" s="81">
        <v>5</v>
      </c>
      <c r="AE89" s="81"/>
      <c r="AF89" s="83" t="s">
        <v>92</v>
      </c>
      <c r="AG89" s="33">
        <v>0.30480000000000002</v>
      </c>
      <c r="AH89" s="100">
        <v>3.5369999999999999</v>
      </c>
      <c r="AI89" s="100">
        <v>3.4990000000000001</v>
      </c>
      <c r="AJ89" s="100">
        <v>3.605</v>
      </c>
      <c r="AK89" s="87">
        <v>0.20200000000000001</v>
      </c>
      <c r="AL89" s="34"/>
      <c r="AM89" s="87">
        <v>9.1999999999999998E-2</v>
      </c>
      <c r="AN89" s="87">
        <v>8.1000000000000003E-2</v>
      </c>
      <c r="AO89" s="34"/>
      <c r="AP89" s="33">
        <v>39739</v>
      </c>
      <c r="AQ89" s="33">
        <v>2242</v>
      </c>
      <c r="AR89" s="88">
        <v>1</v>
      </c>
      <c r="AS89" s="88">
        <v>0</v>
      </c>
      <c r="AT89" s="89" t="s">
        <v>3285</v>
      </c>
      <c r="AU89" s="33"/>
      <c r="AV89" s="33">
        <v>-1.9599999999999999E-2</v>
      </c>
      <c r="AW89" s="33">
        <v>-1.01E-2</v>
      </c>
      <c r="AX89" s="81"/>
      <c r="AY89" s="81" t="s">
        <v>749</v>
      </c>
      <c r="AZ89" s="81" t="s">
        <v>750</v>
      </c>
      <c r="BA89" s="81" t="s">
        <v>2349</v>
      </c>
      <c r="BB89" s="81" t="s">
        <v>3230</v>
      </c>
      <c r="BC89" s="81"/>
    </row>
    <row r="90" spans="1:55">
      <c r="A90" s="169">
        <v>2.04</v>
      </c>
      <c r="B90" s="207"/>
      <c r="C90" t="s">
        <v>93</v>
      </c>
      <c r="D90" t="s">
        <v>3694</v>
      </c>
      <c r="F90" t="s">
        <v>1729</v>
      </c>
      <c r="G90" t="s">
        <v>1421</v>
      </c>
      <c r="H90" t="s">
        <v>2350</v>
      </c>
      <c r="I90" t="s">
        <v>2603</v>
      </c>
      <c r="J90" t="s">
        <v>2460</v>
      </c>
      <c r="K90" t="s">
        <v>3227</v>
      </c>
      <c r="M90" t="s">
        <v>3328</v>
      </c>
      <c r="N90" t="s">
        <v>93</v>
      </c>
      <c r="O90">
        <v>9</v>
      </c>
      <c r="Q90" t="s">
        <v>3460</v>
      </c>
      <c r="R90" t="s">
        <v>93</v>
      </c>
      <c r="S90">
        <v>7</v>
      </c>
      <c r="U90" t="s">
        <v>3595</v>
      </c>
      <c r="V90" t="s">
        <v>93</v>
      </c>
      <c r="W90">
        <v>7</v>
      </c>
      <c r="Y90">
        <v>14</v>
      </c>
      <c r="Z90">
        <v>97.3</v>
      </c>
      <c r="AA90">
        <v>8</v>
      </c>
      <c r="AB90">
        <v>9</v>
      </c>
      <c r="AC90">
        <v>98.3</v>
      </c>
      <c r="AD90">
        <v>5</v>
      </c>
      <c r="AF90" s="170" t="s">
        <v>93</v>
      </c>
      <c r="AG90" s="171">
        <v>0.45090000000000002</v>
      </c>
      <c r="AH90" s="172">
        <v>3.4569999999999999</v>
      </c>
      <c r="AI90" s="172">
        <v>3.55</v>
      </c>
      <c r="AJ90" s="172">
        <v>3.6379999999999999</v>
      </c>
      <c r="AK90" s="173">
        <v>0.20599999999999999</v>
      </c>
      <c r="AL90" s="174"/>
      <c r="AM90" s="173">
        <v>0.11600000000000001</v>
      </c>
      <c r="AN90" s="173">
        <v>8.3000000000000004E-2</v>
      </c>
      <c r="AO90" s="174"/>
      <c r="AP90" s="171">
        <v>45571</v>
      </c>
      <c r="AQ90" s="171">
        <v>2234.5</v>
      </c>
      <c r="AR90" s="175">
        <v>1</v>
      </c>
      <c r="AS90" s="175">
        <v>0</v>
      </c>
      <c r="AT90" s="176" t="s">
        <v>3285</v>
      </c>
      <c r="AU90" s="171"/>
      <c r="AV90" s="171">
        <v>-1.2500000000000001E-2</v>
      </c>
      <c r="AW90" s="171">
        <v>-3.7000000000000002E-3</v>
      </c>
      <c r="AY90" t="s">
        <v>775</v>
      </c>
      <c r="AZ90" t="s">
        <v>776</v>
      </c>
      <c r="BA90" t="s">
        <v>2353</v>
      </c>
      <c r="BB90" t="s">
        <v>3233</v>
      </c>
    </row>
    <row r="91" spans="1:55">
      <c r="A91" s="169">
        <v>2.04</v>
      </c>
      <c r="B91" s="207"/>
      <c r="C91" t="s">
        <v>94</v>
      </c>
      <c r="D91" t="s">
        <v>3694</v>
      </c>
      <c r="F91" t="s">
        <v>1729</v>
      </c>
      <c r="G91" t="s">
        <v>1421</v>
      </c>
      <c r="H91" t="s">
        <v>2354</v>
      </c>
      <c r="I91" t="s">
        <v>2603</v>
      </c>
      <c r="J91" t="s">
        <v>2460</v>
      </c>
      <c r="K91" t="s">
        <v>3234</v>
      </c>
      <c r="M91" t="s">
        <v>3328</v>
      </c>
      <c r="N91" t="s">
        <v>94</v>
      </c>
      <c r="O91">
        <v>9</v>
      </c>
      <c r="Q91" t="s">
        <v>3460</v>
      </c>
      <c r="R91" t="s">
        <v>94</v>
      </c>
      <c r="S91">
        <v>7</v>
      </c>
      <c r="U91" t="s">
        <v>3595</v>
      </c>
      <c r="V91" t="s">
        <v>94</v>
      </c>
      <c r="W91">
        <v>7</v>
      </c>
      <c r="Y91">
        <v>14</v>
      </c>
      <c r="Z91">
        <v>92.9</v>
      </c>
      <c r="AA91">
        <v>21</v>
      </c>
      <c r="AB91">
        <v>9</v>
      </c>
      <c r="AC91">
        <v>93.7</v>
      </c>
      <c r="AD91">
        <v>18</v>
      </c>
      <c r="AF91" s="170" t="s">
        <v>94</v>
      </c>
      <c r="AG91" s="171">
        <v>0.3201</v>
      </c>
      <c r="AH91" s="172">
        <v>3.5539999999999998</v>
      </c>
      <c r="AI91" s="172">
        <v>3.5419999999999998</v>
      </c>
      <c r="AJ91" s="172">
        <v>3.68</v>
      </c>
      <c r="AK91" s="173">
        <v>0.19900000000000001</v>
      </c>
      <c r="AL91" s="174"/>
      <c r="AM91" s="173">
        <v>0.30099999999999999</v>
      </c>
      <c r="AN91" s="173">
        <v>0.13700000000000001</v>
      </c>
      <c r="AO91" s="174"/>
      <c r="AP91" s="171">
        <v>69999.5</v>
      </c>
      <c r="AQ91" s="171">
        <v>7863</v>
      </c>
      <c r="AR91" s="175">
        <v>1</v>
      </c>
      <c r="AS91" s="175">
        <v>0</v>
      </c>
      <c r="AT91" s="176" t="s">
        <v>3285</v>
      </c>
      <c r="AU91" s="171"/>
      <c r="AV91" s="171">
        <v>-7.7999999999999996E-3</v>
      </c>
      <c r="AW91" s="171">
        <v>-1.2999999999999999E-3</v>
      </c>
      <c r="AY91" t="s">
        <v>791</v>
      </c>
      <c r="AZ91" t="s">
        <v>792</v>
      </c>
      <c r="BA91" t="s">
        <v>2357</v>
      </c>
      <c r="BB91" t="s">
        <v>3237</v>
      </c>
    </row>
    <row r="92" spans="1:55">
      <c r="A92" s="169">
        <v>2.04</v>
      </c>
      <c r="B92" s="207"/>
      <c r="C92" t="s">
        <v>95</v>
      </c>
      <c r="D92" t="s">
        <v>3694</v>
      </c>
      <c r="F92" t="s">
        <v>1729</v>
      </c>
      <c r="G92" t="s">
        <v>1421</v>
      </c>
      <c r="H92" t="s">
        <v>2354</v>
      </c>
      <c r="I92" t="s">
        <v>2603</v>
      </c>
      <c r="J92" t="s">
        <v>2460</v>
      </c>
      <c r="K92" t="s">
        <v>3227</v>
      </c>
      <c r="M92" t="s">
        <v>3328</v>
      </c>
      <c r="N92" t="s">
        <v>95</v>
      </c>
      <c r="O92">
        <v>9</v>
      </c>
      <c r="Q92" t="s">
        <v>3460</v>
      </c>
      <c r="R92" t="s">
        <v>95</v>
      </c>
      <c r="S92">
        <v>7</v>
      </c>
      <c r="U92" t="s">
        <v>3595</v>
      </c>
      <c r="V92" t="s">
        <v>95</v>
      </c>
      <c r="W92">
        <v>7</v>
      </c>
      <c r="Y92">
        <v>14</v>
      </c>
      <c r="Z92">
        <v>97.6</v>
      </c>
      <c r="AA92">
        <v>7</v>
      </c>
      <c r="AB92">
        <v>9</v>
      </c>
      <c r="AC92">
        <v>97.9</v>
      </c>
      <c r="AD92">
        <v>6</v>
      </c>
      <c r="AF92" s="170" t="s">
        <v>95</v>
      </c>
      <c r="AG92" s="171">
        <v>0.37909999999999999</v>
      </c>
      <c r="AH92" s="172">
        <v>3.4710000000000001</v>
      </c>
      <c r="AI92" s="172">
        <v>3.5049999999999999</v>
      </c>
      <c r="AJ92" s="172">
        <v>3.5579999999999998</v>
      </c>
      <c r="AK92" s="173">
        <v>0.192</v>
      </c>
      <c r="AL92" s="174"/>
      <c r="AM92" s="173">
        <v>0.33100000000000002</v>
      </c>
      <c r="AN92" s="173">
        <v>0.13600000000000001</v>
      </c>
      <c r="AO92" s="174"/>
      <c r="AP92" s="171">
        <v>51459</v>
      </c>
      <c r="AQ92" s="171">
        <v>6214</v>
      </c>
      <c r="AR92" s="175">
        <v>1</v>
      </c>
      <c r="AS92" s="175">
        <v>0</v>
      </c>
      <c r="AT92" s="176" t="s">
        <v>3285</v>
      </c>
      <c r="AU92" s="171"/>
      <c r="AV92" s="171">
        <v>2.0000000000000001E-4</v>
      </c>
      <c r="AW92" s="171">
        <v>2.8500000000000001E-2</v>
      </c>
      <c r="AY92" t="s">
        <v>793</v>
      </c>
      <c r="AZ92" t="s">
        <v>794</v>
      </c>
      <c r="BA92" t="s">
        <v>2362</v>
      </c>
      <c r="BB92" t="s">
        <v>3240</v>
      </c>
    </row>
    <row r="93" spans="1:55">
      <c r="A93" s="169">
        <v>2.04</v>
      </c>
      <c r="B93" s="207"/>
      <c r="C93" t="s">
        <v>96</v>
      </c>
      <c r="D93" t="s">
        <v>3694</v>
      </c>
      <c r="F93" t="s">
        <v>1729</v>
      </c>
      <c r="G93" t="s">
        <v>1421</v>
      </c>
      <c r="H93" t="s">
        <v>2354</v>
      </c>
      <c r="I93" t="s">
        <v>2603</v>
      </c>
      <c r="J93" t="s">
        <v>2460</v>
      </c>
      <c r="K93" t="s">
        <v>3241</v>
      </c>
      <c r="M93" t="s">
        <v>3328</v>
      </c>
      <c r="N93" t="s">
        <v>96</v>
      </c>
      <c r="O93">
        <v>9</v>
      </c>
      <c r="Q93" t="s">
        <v>3460</v>
      </c>
      <c r="R93" t="s">
        <v>96</v>
      </c>
      <c r="S93">
        <v>7</v>
      </c>
      <c r="U93" t="s">
        <v>3595</v>
      </c>
      <c r="V93" t="s">
        <v>96</v>
      </c>
      <c r="W93">
        <v>7</v>
      </c>
      <c r="Y93">
        <v>14</v>
      </c>
      <c r="Z93">
        <v>95.6</v>
      </c>
      <c r="AA93">
        <v>13</v>
      </c>
      <c r="AB93">
        <v>9</v>
      </c>
      <c r="AC93">
        <v>96.2</v>
      </c>
      <c r="AD93">
        <v>11</v>
      </c>
      <c r="AF93" s="170" t="s">
        <v>96</v>
      </c>
      <c r="AG93" s="171">
        <v>0.39760000000000001</v>
      </c>
      <c r="AH93" s="172">
        <v>3.476</v>
      </c>
      <c r="AI93" s="172">
        <v>3.5</v>
      </c>
      <c r="AJ93" s="172">
        <v>3.585</v>
      </c>
      <c r="AK93" s="173">
        <v>0.20699999999999999</v>
      </c>
      <c r="AL93" s="174"/>
      <c r="AM93" s="173">
        <v>0.106</v>
      </c>
      <c r="AN93" s="173">
        <v>8.8999999999999996E-2</v>
      </c>
      <c r="AO93" s="174"/>
      <c r="AP93" s="171">
        <v>59248.5</v>
      </c>
      <c r="AQ93" s="171">
        <v>2467</v>
      </c>
      <c r="AR93" s="175">
        <v>1</v>
      </c>
      <c r="AS93" s="175">
        <v>0</v>
      </c>
      <c r="AT93" s="176" t="s">
        <v>3285</v>
      </c>
      <c r="AU93" s="171"/>
      <c r="AV93" s="171">
        <v>-9.1999999999999998E-3</v>
      </c>
      <c r="AW93" s="171">
        <v>-1.0699999999999999E-2</v>
      </c>
      <c r="AY93" t="s">
        <v>803</v>
      </c>
      <c r="AZ93" t="s">
        <v>804</v>
      </c>
      <c r="BA93" t="s">
        <v>2364</v>
      </c>
      <c r="BB93" t="s">
        <v>3244</v>
      </c>
    </row>
    <row r="94" spans="1:55">
      <c r="A94" s="169">
        <v>2.04</v>
      </c>
      <c r="B94" s="207"/>
      <c r="C94" t="s">
        <v>97</v>
      </c>
      <c r="D94" t="s">
        <v>3694</v>
      </c>
      <c r="F94" t="s">
        <v>1729</v>
      </c>
      <c r="G94" t="s">
        <v>1421</v>
      </c>
      <c r="H94" t="s">
        <v>2365</v>
      </c>
      <c r="I94" t="s">
        <v>2603</v>
      </c>
      <c r="J94" t="s">
        <v>2460</v>
      </c>
      <c r="K94" t="s">
        <v>3245</v>
      </c>
      <c r="M94" t="s">
        <v>3328</v>
      </c>
      <c r="N94" t="s">
        <v>97</v>
      </c>
      <c r="O94">
        <v>9</v>
      </c>
      <c r="Q94" t="s">
        <v>3460</v>
      </c>
      <c r="R94" t="s">
        <v>97</v>
      </c>
      <c r="S94">
        <v>7</v>
      </c>
      <c r="U94" t="s">
        <v>3595</v>
      </c>
      <c r="V94" t="s">
        <v>97</v>
      </c>
      <c r="W94">
        <v>7</v>
      </c>
      <c r="Y94">
        <v>14</v>
      </c>
      <c r="Z94">
        <v>93.9</v>
      </c>
      <c r="AA94">
        <v>18</v>
      </c>
      <c r="AB94">
        <v>9</v>
      </c>
      <c r="AC94">
        <v>96.2</v>
      </c>
      <c r="AD94">
        <v>11</v>
      </c>
      <c r="AF94" s="170" t="s">
        <v>97</v>
      </c>
      <c r="AG94" s="171">
        <v>0.24199999999999999</v>
      </c>
      <c r="AH94" s="172">
        <v>3.4969999999999999</v>
      </c>
      <c r="AI94" s="177">
        <v>3.4169999999999998</v>
      </c>
      <c r="AJ94" s="172">
        <v>3.512</v>
      </c>
      <c r="AK94" s="173">
        <v>0.21099999999999999</v>
      </c>
      <c r="AL94" s="174"/>
      <c r="AM94" s="173">
        <v>9.1999999999999998E-2</v>
      </c>
      <c r="AN94" s="173">
        <v>0.19800000000000001</v>
      </c>
      <c r="AO94" s="174"/>
      <c r="AP94" s="171">
        <v>77164</v>
      </c>
      <c r="AQ94" s="171">
        <v>1840</v>
      </c>
      <c r="AR94" s="175">
        <v>1</v>
      </c>
      <c r="AS94" s="175">
        <v>0</v>
      </c>
      <c r="AT94" s="176" t="s">
        <v>3285</v>
      </c>
      <c r="AU94" s="171"/>
      <c r="AV94" s="171">
        <v>-9.5999999999999992E-3</v>
      </c>
      <c r="AW94" s="171">
        <v>-2E-3</v>
      </c>
      <c r="AY94" t="s">
        <v>843</v>
      </c>
      <c r="AZ94" t="s">
        <v>844</v>
      </c>
      <c r="BA94" t="s">
        <v>2367</v>
      </c>
      <c r="BB94" t="s">
        <v>3248</v>
      </c>
    </row>
    <row r="95" spans="1:55">
      <c r="A95" s="169">
        <v>2.04</v>
      </c>
      <c r="B95" s="207"/>
      <c r="C95" t="s">
        <v>98</v>
      </c>
      <c r="D95" t="s">
        <v>3694</v>
      </c>
      <c r="F95" t="s">
        <v>1729</v>
      </c>
      <c r="G95" t="s">
        <v>1421</v>
      </c>
      <c r="H95" t="s">
        <v>2346</v>
      </c>
      <c r="I95" t="s">
        <v>2603</v>
      </c>
      <c r="J95" t="s">
        <v>2460</v>
      </c>
      <c r="K95" t="s">
        <v>3249</v>
      </c>
      <c r="M95" t="s">
        <v>3328</v>
      </c>
      <c r="N95" t="s">
        <v>98</v>
      </c>
      <c r="O95">
        <v>9</v>
      </c>
      <c r="Q95" t="s">
        <v>3460</v>
      </c>
      <c r="R95" t="s">
        <v>98</v>
      </c>
      <c r="S95">
        <v>7</v>
      </c>
      <c r="U95" t="s">
        <v>3595</v>
      </c>
      <c r="V95" t="s">
        <v>98</v>
      </c>
      <c r="W95">
        <v>7</v>
      </c>
      <c r="Y95">
        <v>14</v>
      </c>
      <c r="Z95">
        <v>94.6</v>
      </c>
      <c r="AA95">
        <v>16</v>
      </c>
      <c r="AB95">
        <v>9</v>
      </c>
      <c r="AC95">
        <v>97.2</v>
      </c>
      <c r="AD95">
        <v>8</v>
      </c>
      <c r="AF95" s="170" t="s">
        <v>98</v>
      </c>
      <c r="AG95" s="171">
        <v>0.19969999999999999</v>
      </c>
      <c r="AH95" s="172">
        <v>3.5870000000000002</v>
      </c>
      <c r="AI95" s="172">
        <v>3.5659999999999998</v>
      </c>
      <c r="AJ95" s="172">
        <v>3.6</v>
      </c>
      <c r="AK95" s="173">
        <v>0.19700000000000001</v>
      </c>
      <c r="AL95" s="174"/>
      <c r="AM95" s="173">
        <v>0.112</v>
      </c>
      <c r="AN95" s="173">
        <v>8.4000000000000005E-2</v>
      </c>
      <c r="AO95" s="174"/>
      <c r="AP95" s="171">
        <v>8027.5</v>
      </c>
      <c r="AQ95" s="171">
        <v>2302</v>
      </c>
      <c r="AR95" s="175">
        <v>0</v>
      </c>
      <c r="AS95" s="175">
        <v>0</v>
      </c>
      <c r="AT95" s="176" t="s">
        <v>3285</v>
      </c>
      <c r="AU95" s="171"/>
      <c r="AV95" s="171">
        <v>-2.5399999999999999E-2</v>
      </c>
      <c r="AW95" s="171">
        <v>-2.3999999999999998E-3</v>
      </c>
      <c r="AY95" t="s">
        <v>875</v>
      </c>
      <c r="AZ95" t="s">
        <v>876</v>
      </c>
      <c r="BA95" t="s">
        <v>2370</v>
      </c>
      <c r="BB95" t="s">
        <v>3252</v>
      </c>
    </row>
    <row r="96" spans="1:55">
      <c r="A96" s="169">
        <v>2.04</v>
      </c>
      <c r="B96" s="207"/>
      <c r="C96" t="s">
        <v>99</v>
      </c>
      <c r="D96" t="s">
        <v>3694</v>
      </c>
      <c r="F96" t="s">
        <v>1729</v>
      </c>
      <c r="G96" t="s">
        <v>1421</v>
      </c>
      <c r="H96" t="s">
        <v>2371</v>
      </c>
      <c r="I96" t="s">
        <v>2603</v>
      </c>
      <c r="J96" t="s">
        <v>2460</v>
      </c>
      <c r="K96" t="s">
        <v>3253</v>
      </c>
      <c r="M96" t="s">
        <v>3328</v>
      </c>
      <c r="N96" t="s">
        <v>99</v>
      </c>
      <c r="O96">
        <v>9</v>
      </c>
      <c r="Q96" t="s">
        <v>3409</v>
      </c>
      <c r="R96" t="s">
        <v>99</v>
      </c>
      <c r="S96">
        <v>2</v>
      </c>
      <c r="U96" t="s">
        <v>3533</v>
      </c>
      <c r="V96" t="s">
        <v>99</v>
      </c>
      <c r="W96">
        <v>1</v>
      </c>
      <c r="Y96">
        <v>14</v>
      </c>
      <c r="Z96">
        <v>94.2</v>
      </c>
      <c r="AA96">
        <v>17</v>
      </c>
      <c r="AB96">
        <v>8</v>
      </c>
      <c r="AC96">
        <v>97.2</v>
      </c>
      <c r="AD96">
        <v>8</v>
      </c>
      <c r="AF96" s="170" t="s">
        <v>99</v>
      </c>
      <c r="AG96" s="171">
        <v>0.39479999999999998</v>
      </c>
      <c r="AH96" s="172">
        <v>3.5430000000000001</v>
      </c>
      <c r="AI96" s="172">
        <v>3.5030000000000001</v>
      </c>
      <c r="AJ96" s="172">
        <v>3.6019999999999999</v>
      </c>
      <c r="AK96" s="173">
        <v>0.26500000000000001</v>
      </c>
      <c r="AL96" s="174"/>
      <c r="AM96" s="173">
        <v>9.4E-2</v>
      </c>
      <c r="AN96" s="173">
        <v>8.3000000000000004E-2</v>
      </c>
      <c r="AO96" s="174"/>
      <c r="AP96" s="171">
        <v>17143</v>
      </c>
      <c r="AQ96" s="171">
        <v>2090.5</v>
      </c>
      <c r="AR96" s="175">
        <v>1</v>
      </c>
      <c r="AS96" s="175">
        <v>0</v>
      </c>
      <c r="AT96" s="176" t="s">
        <v>3285</v>
      </c>
      <c r="AU96" s="171"/>
      <c r="AV96" s="171">
        <v>-7.3999999999999996E-2</v>
      </c>
      <c r="AW96" s="171">
        <v>-1.41E-2</v>
      </c>
      <c r="AY96" t="s">
        <v>521</v>
      </c>
      <c r="AZ96" t="s">
        <v>522</v>
      </c>
      <c r="BA96" t="s">
        <v>2373</v>
      </c>
      <c r="BB96" t="s">
        <v>3255</v>
      </c>
    </row>
    <row r="97" spans="1:55" ht="17" thickBot="1">
      <c r="A97" s="178">
        <v>2.04</v>
      </c>
      <c r="B97" s="208"/>
      <c r="C97" s="40" t="s">
        <v>100</v>
      </c>
      <c r="D97" s="40" t="s">
        <v>3695</v>
      </c>
      <c r="E97" s="40"/>
      <c r="F97" s="40" t="s">
        <v>1729</v>
      </c>
      <c r="G97" s="40" t="s">
        <v>1421</v>
      </c>
      <c r="H97" s="40" t="s">
        <v>2374</v>
      </c>
      <c r="I97" s="40" t="s">
        <v>2603</v>
      </c>
      <c r="J97" s="40" t="s">
        <v>2460</v>
      </c>
      <c r="K97" s="40" t="s">
        <v>2737</v>
      </c>
      <c r="L97" s="40"/>
      <c r="M97" s="40" t="s">
        <v>3328</v>
      </c>
      <c r="N97" s="40" t="s">
        <v>100</v>
      </c>
      <c r="O97" s="40">
        <v>9</v>
      </c>
      <c r="P97" s="40"/>
      <c r="Q97" s="40" t="s">
        <v>3409</v>
      </c>
      <c r="R97" s="40" t="s">
        <v>100</v>
      </c>
      <c r="S97" s="40">
        <v>2</v>
      </c>
      <c r="T97" s="40"/>
      <c r="U97" s="40" t="s">
        <v>3669</v>
      </c>
      <c r="V97" s="40" t="s">
        <v>100</v>
      </c>
      <c r="W97" s="40">
        <v>1</v>
      </c>
      <c r="X97" s="40"/>
      <c r="Y97" s="40">
        <v>14</v>
      </c>
      <c r="Z97" s="40">
        <v>93.5</v>
      </c>
      <c r="AA97" s="40">
        <v>19</v>
      </c>
      <c r="AB97" s="40">
        <v>9</v>
      </c>
      <c r="AC97" s="40">
        <v>96.9</v>
      </c>
      <c r="AD97" s="40">
        <v>9</v>
      </c>
      <c r="AE97" s="40"/>
      <c r="AF97" s="85" t="s">
        <v>100</v>
      </c>
      <c r="AG97" s="35">
        <v>1.091E-2</v>
      </c>
      <c r="AH97" s="102">
        <v>3.5329999999999999</v>
      </c>
      <c r="AI97" s="107">
        <v>2.5640000000000001</v>
      </c>
      <c r="AJ97" s="102">
        <v>3.5529999999999999</v>
      </c>
      <c r="AK97" s="90">
        <v>0.13900000000000001</v>
      </c>
      <c r="AL97" s="37"/>
      <c r="AM97" s="90">
        <v>0.125</v>
      </c>
      <c r="AN97" s="90">
        <v>0.10299999999999999</v>
      </c>
      <c r="AO97" s="37"/>
      <c r="AP97" s="35">
        <v>1859.5</v>
      </c>
      <c r="AQ97" s="35">
        <v>1608</v>
      </c>
      <c r="AR97" s="93">
        <v>0</v>
      </c>
      <c r="AS97" s="93">
        <v>0</v>
      </c>
      <c r="AT97" s="94" t="s">
        <v>3289</v>
      </c>
      <c r="AU97" s="35"/>
      <c r="AV97" s="35">
        <v>-8.5000000000000006E-2</v>
      </c>
      <c r="AW97" s="35">
        <v>-5.1499999999999997E-2</v>
      </c>
      <c r="AX97" s="40"/>
      <c r="AY97" s="40" t="s">
        <v>1002</v>
      </c>
      <c r="AZ97" s="40" t="s">
        <v>1003</v>
      </c>
      <c r="BA97" s="40" t="s">
        <v>2376</v>
      </c>
      <c r="BB97" s="40" t="s">
        <v>3257</v>
      </c>
      <c r="BC97" s="40"/>
    </row>
    <row r="98" spans="1:55">
      <c r="A98" s="169">
        <v>2.0499999999999998</v>
      </c>
      <c r="B98" s="206">
        <v>2.0499999999999998</v>
      </c>
      <c r="C98" t="s">
        <v>32</v>
      </c>
      <c r="D98" t="s">
        <v>3694</v>
      </c>
      <c r="F98" t="s">
        <v>1427</v>
      </c>
      <c r="G98" t="s">
        <v>1767</v>
      </c>
      <c r="H98" t="s">
        <v>2019</v>
      </c>
      <c r="I98" t="s">
        <v>2451</v>
      </c>
      <c r="J98" t="s">
        <v>2452</v>
      </c>
      <c r="K98" t="s">
        <v>2926</v>
      </c>
      <c r="M98" t="s">
        <v>3322</v>
      </c>
      <c r="N98" t="s">
        <v>32</v>
      </c>
      <c r="O98">
        <v>9</v>
      </c>
      <c r="Q98" t="s">
        <v>3403</v>
      </c>
      <c r="R98" t="s">
        <v>32</v>
      </c>
      <c r="S98">
        <v>9</v>
      </c>
      <c r="U98" t="s">
        <v>3548</v>
      </c>
      <c r="V98" t="s">
        <v>32</v>
      </c>
      <c r="W98">
        <v>5</v>
      </c>
      <c r="Y98">
        <v>18</v>
      </c>
      <c r="Z98">
        <v>97.6</v>
      </c>
      <c r="AA98">
        <v>7</v>
      </c>
      <c r="AB98">
        <v>10</v>
      </c>
      <c r="AC98">
        <v>98.6</v>
      </c>
      <c r="AD98">
        <v>4</v>
      </c>
      <c r="AF98" s="170" t="s">
        <v>32</v>
      </c>
      <c r="AG98" s="171">
        <v>0.13400000000000001</v>
      </c>
      <c r="AH98" s="172">
        <v>3.605</v>
      </c>
      <c r="AI98" s="173">
        <v>0.13200000000000001</v>
      </c>
      <c r="AJ98" s="173">
        <v>0.11600000000000001</v>
      </c>
      <c r="AK98" s="173">
        <v>0.13300000000000001</v>
      </c>
      <c r="AL98" s="174"/>
      <c r="AM98" s="172">
        <v>3.5950000000000002</v>
      </c>
      <c r="AN98" s="177">
        <v>2.2789999999999999</v>
      </c>
      <c r="AO98" s="174"/>
      <c r="AP98" s="171">
        <v>231209.5</v>
      </c>
      <c r="AQ98" s="171">
        <v>118187</v>
      </c>
      <c r="AR98" s="175">
        <v>1</v>
      </c>
      <c r="AS98" s="175">
        <v>1</v>
      </c>
      <c r="AT98" s="176" t="s">
        <v>3285</v>
      </c>
      <c r="AU98" s="171"/>
      <c r="AV98" s="171">
        <v>1.7588999999999999</v>
      </c>
      <c r="AW98" s="171">
        <v>1.3968</v>
      </c>
      <c r="AY98" t="s">
        <v>733</v>
      </c>
      <c r="AZ98" t="s">
        <v>734</v>
      </c>
      <c r="BA98" t="s">
        <v>2022</v>
      </c>
      <c r="BB98" t="s">
        <v>2929</v>
      </c>
    </row>
    <row r="99" spans="1:55">
      <c r="A99" s="169">
        <v>2.0499999999999998</v>
      </c>
      <c r="B99" s="207"/>
      <c r="C99" t="s">
        <v>35</v>
      </c>
      <c r="D99" t="s">
        <v>3694</v>
      </c>
      <c r="F99" t="s">
        <v>1427</v>
      </c>
      <c r="G99" t="s">
        <v>1767</v>
      </c>
      <c r="H99" t="s">
        <v>2132</v>
      </c>
      <c r="I99" t="s">
        <v>2451</v>
      </c>
      <c r="J99" t="s">
        <v>2452</v>
      </c>
      <c r="K99" t="s">
        <v>3031</v>
      </c>
      <c r="M99" t="s">
        <v>3322</v>
      </c>
      <c r="N99" t="s">
        <v>35</v>
      </c>
      <c r="O99">
        <v>9</v>
      </c>
      <c r="Q99" t="s">
        <v>3403</v>
      </c>
      <c r="R99" t="s">
        <v>35</v>
      </c>
      <c r="S99">
        <v>9</v>
      </c>
      <c r="U99" t="s">
        <v>3548</v>
      </c>
      <c r="V99" t="s">
        <v>35</v>
      </c>
      <c r="W99">
        <v>5</v>
      </c>
      <c r="Y99">
        <v>18</v>
      </c>
      <c r="Z99">
        <v>97.3</v>
      </c>
      <c r="AA99">
        <v>8</v>
      </c>
      <c r="AB99">
        <v>10</v>
      </c>
      <c r="AC99">
        <v>98.3</v>
      </c>
      <c r="AD99">
        <v>5</v>
      </c>
      <c r="AF99" s="170" t="s">
        <v>35</v>
      </c>
      <c r="AG99" s="171">
        <v>0.152</v>
      </c>
      <c r="AH99" s="172">
        <v>3.6110000000000002</v>
      </c>
      <c r="AI99" s="193">
        <v>1.774</v>
      </c>
      <c r="AJ99" s="173">
        <v>0.123</v>
      </c>
      <c r="AK99" s="173">
        <v>0.121</v>
      </c>
      <c r="AL99" s="174"/>
      <c r="AM99" s="172">
        <v>3.569</v>
      </c>
      <c r="AN99" s="177">
        <v>2.2789999999999999</v>
      </c>
      <c r="AO99" s="174"/>
      <c r="AP99" s="171">
        <v>199577</v>
      </c>
      <c r="AQ99" s="171">
        <v>124805</v>
      </c>
      <c r="AR99" s="175">
        <v>1</v>
      </c>
      <c r="AS99" s="175">
        <v>1</v>
      </c>
      <c r="AT99" s="176" t="s">
        <v>3285</v>
      </c>
      <c r="AU99" s="171"/>
      <c r="AV99" s="171">
        <v>2.5682999999999998</v>
      </c>
      <c r="AW99" s="171">
        <v>1.3179000000000001</v>
      </c>
      <c r="AY99" t="s">
        <v>570</v>
      </c>
      <c r="AZ99" t="s">
        <v>571</v>
      </c>
      <c r="BA99" t="s">
        <v>2134</v>
      </c>
      <c r="BB99" t="s">
        <v>3033</v>
      </c>
    </row>
    <row r="100" spans="1:55">
      <c r="A100" s="169">
        <v>2.0499999999999998</v>
      </c>
      <c r="B100" s="207"/>
      <c r="C100" t="s">
        <v>38</v>
      </c>
      <c r="D100" t="s">
        <v>3694</v>
      </c>
      <c r="F100" t="s">
        <v>1427</v>
      </c>
      <c r="G100" t="s">
        <v>1767</v>
      </c>
      <c r="H100" t="s">
        <v>2179</v>
      </c>
      <c r="I100" t="s">
        <v>2451</v>
      </c>
      <c r="J100" t="s">
        <v>2452</v>
      </c>
      <c r="K100" t="s">
        <v>2824</v>
      </c>
      <c r="M100" t="s">
        <v>3322</v>
      </c>
      <c r="N100" t="s">
        <v>38</v>
      </c>
      <c r="O100">
        <v>9</v>
      </c>
      <c r="Q100" t="s">
        <v>3403</v>
      </c>
      <c r="R100" t="s">
        <v>38</v>
      </c>
      <c r="S100">
        <v>9</v>
      </c>
      <c r="U100" t="s">
        <v>3548</v>
      </c>
      <c r="V100" t="s">
        <v>38</v>
      </c>
      <c r="W100">
        <v>5</v>
      </c>
      <c r="Y100">
        <v>18</v>
      </c>
      <c r="Z100">
        <v>97.3</v>
      </c>
      <c r="AA100">
        <v>8</v>
      </c>
      <c r="AB100">
        <v>10</v>
      </c>
      <c r="AC100">
        <v>97.9</v>
      </c>
      <c r="AD100">
        <v>6</v>
      </c>
      <c r="AF100" s="170" t="s">
        <v>38</v>
      </c>
      <c r="AG100" s="171">
        <v>0.3009</v>
      </c>
      <c r="AH100" s="183">
        <v>3.653</v>
      </c>
      <c r="AI100" s="183">
        <v>3.6150000000000002</v>
      </c>
      <c r="AJ100" s="188">
        <v>0.13900000000000001</v>
      </c>
      <c r="AK100" s="188">
        <v>0.14000000000000001</v>
      </c>
      <c r="AL100" s="185"/>
      <c r="AM100" s="172">
        <v>3.5470000000000002</v>
      </c>
      <c r="AN100" s="172">
        <v>2.62</v>
      </c>
      <c r="AO100" s="174"/>
      <c r="AP100" s="171">
        <v>102011.5</v>
      </c>
      <c r="AQ100" s="171">
        <v>85925.5</v>
      </c>
      <c r="AR100" s="175">
        <v>1</v>
      </c>
      <c r="AS100" s="175">
        <v>1</v>
      </c>
      <c r="AT100" s="176" t="s">
        <v>3289</v>
      </c>
      <c r="AU100" s="171"/>
      <c r="AV100" s="171">
        <v>2.3660999999999999</v>
      </c>
      <c r="AW100" s="171">
        <v>2.6179999999999999</v>
      </c>
      <c r="AY100" t="s">
        <v>658</v>
      </c>
      <c r="AZ100" t="s">
        <v>659</v>
      </c>
      <c r="BA100" t="s">
        <v>2181</v>
      </c>
      <c r="BB100" t="s">
        <v>3070</v>
      </c>
    </row>
    <row r="101" spans="1:55">
      <c r="A101" s="169">
        <v>2.0499999999999998</v>
      </c>
      <c r="B101" s="207"/>
      <c r="C101" t="s">
        <v>39</v>
      </c>
      <c r="D101" t="s">
        <v>3694</v>
      </c>
      <c r="F101" t="s">
        <v>1427</v>
      </c>
      <c r="G101" t="s">
        <v>1767</v>
      </c>
      <c r="H101" t="s">
        <v>2179</v>
      </c>
      <c r="I101" t="s">
        <v>2451</v>
      </c>
      <c r="J101" t="s">
        <v>2452</v>
      </c>
      <c r="K101" t="s">
        <v>2824</v>
      </c>
      <c r="M101" t="s">
        <v>3322</v>
      </c>
      <c r="N101" t="s">
        <v>39</v>
      </c>
      <c r="O101">
        <v>9</v>
      </c>
      <c r="Q101" t="s">
        <v>3403</v>
      </c>
      <c r="R101" t="s">
        <v>39</v>
      </c>
      <c r="S101">
        <v>9</v>
      </c>
      <c r="U101" t="s">
        <v>3548</v>
      </c>
      <c r="V101" t="s">
        <v>39</v>
      </c>
      <c r="W101">
        <v>5</v>
      </c>
      <c r="Y101">
        <v>18</v>
      </c>
      <c r="Z101">
        <v>97</v>
      </c>
      <c r="AA101">
        <v>9</v>
      </c>
      <c r="AB101">
        <v>10</v>
      </c>
      <c r="AC101">
        <v>97.2</v>
      </c>
      <c r="AD101">
        <v>8</v>
      </c>
      <c r="AF101" s="170" t="s">
        <v>39</v>
      </c>
      <c r="AG101" s="171">
        <v>0.32629999999999998</v>
      </c>
      <c r="AH101" s="183">
        <v>3.5590000000000002</v>
      </c>
      <c r="AI101" s="183">
        <v>3.5270000000000001</v>
      </c>
      <c r="AJ101" s="188">
        <v>0.13900000000000001</v>
      </c>
      <c r="AK101" s="188">
        <v>0.14799999999999999</v>
      </c>
      <c r="AL101" s="185"/>
      <c r="AM101" s="172">
        <v>3.5219999999999998</v>
      </c>
      <c r="AN101" s="172">
        <v>2.7069999999999999</v>
      </c>
      <c r="AO101" s="174"/>
      <c r="AP101" s="171">
        <v>85599.5</v>
      </c>
      <c r="AQ101" s="171">
        <v>73059</v>
      </c>
      <c r="AR101" s="175">
        <v>1</v>
      </c>
      <c r="AS101" s="175">
        <v>1</v>
      </c>
      <c r="AT101" s="176" t="s">
        <v>3289</v>
      </c>
      <c r="AU101" s="171"/>
      <c r="AV101" s="171">
        <v>2.34</v>
      </c>
      <c r="AW101" s="171">
        <v>-8.4699999999999998E-2</v>
      </c>
      <c r="AY101" t="s">
        <v>700</v>
      </c>
      <c r="AZ101" t="s">
        <v>701</v>
      </c>
      <c r="BA101" t="s">
        <v>2181</v>
      </c>
      <c r="BB101" t="s">
        <v>3072</v>
      </c>
    </row>
    <row r="102" spans="1:55">
      <c r="A102" s="169">
        <v>2.0499999999999998</v>
      </c>
      <c r="B102" s="207"/>
      <c r="C102" t="s">
        <v>40</v>
      </c>
      <c r="D102" t="s">
        <v>3698</v>
      </c>
      <c r="F102" t="s">
        <v>1427</v>
      </c>
      <c r="G102" t="s">
        <v>1767</v>
      </c>
      <c r="H102" t="s">
        <v>2182</v>
      </c>
      <c r="I102" t="s">
        <v>2451</v>
      </c>
      <c r="J102" t="s">
        <v>2452</v>
      </c>
      <c r="K102" t="s">
        <v>2926</v>
      </c>
      <c r="M102" t="s">
        <v>3322</v>
      </c>
      <c r="N102" t="s">
        <v>40</v>
      </c>
      <c r="O102">
        <v>9</v>
      </c>
      <c r="Q102" t="s">
        <v>3403</v>
      </c>
      <c r="R102" t="s">
        <v>40</v>
      </c>
      <c r="S102">
        <v>9</v>
      </c>
      <c r="U102" t="s">
        <v>3548</v>
      </c>
      <c r="V102" t="s">
        <v>40</v>
      </c>
      <c r="W102">
        <v>5</v>
      </c>
      <c r="Y102">
        <v>18</v>
      </c>
      <c r="Z102">
        <v>98.3</v>
      </c>
      <c r="AA102">
        <v>5</v>
      </c>
      <c r="AB102">
        <v>10</v>
      </c>
      <c r="AC102">
        <v>98.6</v>
      </c>
      <c r="AD102">
        <v>4</v>
      </c>
      <c r="AF102" s="170" t="s">
        <v>40</v>
      </c>
      <c r="AG102" s="171">
        <v>0.21629999999999999</v>
      </c>
      <c r="AH102" s="172">
        <v>3.63</v>
      </c>
      <c r="AI102" s="182">
        <v>0.52100000000000002</v>
      </c>
      <c r="AJ102" s="173">
        <v>0.13500000000000001</v>
      </c>
      <c r="AK102" s="173">
        <v>0.157</v>
      </c>
      <c r="AL102" s="174"/>
      <c r="AM102" s="172">
        <v>3.536</v>
      </c>
      <c r="AN102" s="177">
        <v>2.359</v>
      </c>
      <c r="AO102" s="174"/>
      <c r="AP102" s="171">
        <v>136101</v>
      </c>
      <c r="AQ102" s="171">
        <v>117721</v>
      </c>
      <c r="AR102" s="175">
        <v>1</v>
      </c>
      <c r="AS102" s="175">
        <v>1</v>
      </c>
      <c r="AT102" s="176" t="s">
        <v>3289</v>
      </c>
      <c r="AU102" s="171"/>
      <c r="AV102" s="171">
        <v>2.4792999999999998</v>
      </c>
      <c r="AW102" s="171">
        <v>2.0556999999999999</v>
      </c>
      <c r="AY102" t="s">
        <v>973</v>
      </c>
      <c r="AZ102" t="s">
        <v>974</v>
      </c>
      <c r="BA102" t="s">
        <v>2184</v>
      </c>
      <c r="BB102" t="s">
        <v>3073</v>
      </c>
    </row>
    <row r="103" spans="1:55">
      <c r="A103" s="169">
        <v>2.0499999999999998</v>
      </c>
      <c r="B103" s="207"/>
      <c r="C103" t="s">
        <v>33</v>
      </c>
      <c r="D103" t="s">
        <v>3694</v>
      </c>
      <c r="F103" t="s">
        <v>1427</v>
      </c>
      <c r="G103" t="s">
        <v>1767</v>
      </c>
      <c r="H103" t="s">
        <v>2056</v>
      </c>
      <c r="I103" t="s">
        <v>2451</v>
      </c>
      <c r="J103" t="s">
        <v>2452</v>
      </c>
      <c r="K103" t="s">
        <v>2963</v>
      </c>
      <c r="M103" t="s">
        <v>3322</v>
      </c>
      <c r="N103" t="s">
        <v>33</v>
      </c>
      <c r="O103">
        <v>9</v>
      </c>
      <c r="Q103" t="s">
        <v>3403</v>
      </c>
      <c r="R103" t="s">
        <v>33</v>
      </c>
      <c r="S103">
        <v>9</v>
      </c>
      <c r="U103" t="s">
        <v>3527</v>
      </c>
      <c r="V103" t="s">
        <v>33</v>
      </c>
      <c r="W103">
        <v>4</v>
      </c>
      <c r="Y103">
        <v>18</v>
      </c>
      <c r="Z103">
        <v>95.6</v>
      </c>
      <c r="AA103">
        <v>13</v>
      </c>
      <c r="AB103">
        <v>10</v>
      </c>
      <c r="AC103">
        <v>97.9</v>
      </c>
      <c r="AD103">
        <v>6</v>
      </c>
      <c r="AF103" s="170" t="s">
        <v>33</v>
      </c>
      <c r="AG103" s="171">
        <v>0.1671</v>
      </c>
      <c r="AH103" s="172">
        <v>3.6179999999999999</v>
      </c>
      <c r="AI103" s="172">
        <v>3.5840000000000001</v>
      </c>
      <c r="AJ103" s="181">
        <v>0.67400000000000004</v>
      </c>
      <c r="AK103" s="173">
        <v>0.129</v>
      </c>
      <c r="AL103" s="174"/>
      <c r="AM103" s="172">
        <v>3.5649999999999999</v>
      </c>
      <c r="AN103" s="172">
        <v>2.4790000000000001</v>
      </c>
      <c r="AO103" s="174"/>
      <c r="AP103" s="171">
        <v>339725</v>
      </c>
      <c r="AQ103" s="171">
        <v>124770</v>
      </c>
      <c r="AR103" s="175">
        <v>1</v>
      </c>
      <c r="AS103" s="175">
        <v>1</v>
      </c>
      <c r="AT103" s="176" t="s">
        <v>3285</v>
      </c>
      <c r="AU103" s="171"/>
      <c r="AV103" s="171">
        <v>1.9412</v>
      </c>
      <c r="AW103" s="171">
        <v>1.5391999999999999</v>
      </c>
      <c r="AY103" t="s">
        <v>821</v>
      </c>
      <c r="AZ103" t="s">
        <v>822</v>
      </c>
      <c r="BA103" t="s">
        <v>2059</v>
      </c>
      <c r="BB103" t="s">
        <v>2966</v>
      </c>
    </row>
    <row r="104" spans="1:55">
      <c r="A104" s="169">
        <v>2.0499999999999998</v>
      </c>
      <c r="B104" s="207"/>
      <c r="C104" t="s">
        <v>34</v>
      </c>
      <c r="D104" t="s">
        <v>3694</v>
      </c>
      <c r="F104" t="s">
        <v>1427</v>
      </c>
      <c r="G104" t="s">
        <v>1767</v>
      </c>
      <c r="H104" t="s">
        <v>2096</v>
      </c>
      <c r="I104" t="s">
        <v>2451</v>
      </c>
      <c r="J104" t="s">
        <v>2452</v>
      </c>
      <c r="K104" t="s">
        <v>3000</v>
      </c>
      <c r="M104" t="s">
        <v>3322</v>
      </c>
      <c r="N104" t="s">
        <v>34</v>
      </c>
      <c r="O104">
        <v>9</v>
      </c>
      <c r="Q104" t="s">
        <v>3403</v>
      </c>
      <c r="R104" t="s">
        <v>34</v>
      </c>
      <c r="S104">
        <v>9</v>
      </c>
      <c r="U104" t="s">
        <v>3527</v>
      </c>
      <c r="V104" t="s">
        <v>34</v>
      </c>
      <c r="W104">
        <v>4</v>
      </c>
      <c r="Y104">
        <v>18</v>
      </c>
      <c r="Z104">
        <v>93.6</v>
      </c>
      <c r="AA104">
        <v>19</v>
      </c>
      <c r="AB104">
        <v>10</v>
      </c>
      <c r="AC104">
        <v>96.2</v>
      </c>
      <c r="AD104">
        <v>11</v>
      </c>
      <c r="AF104" s="170" t="s">
        <v>34</v>
      </c>
      <c r="AG104" s="171">
        <v>0.37290000000000001</v>
      </c>
      <c r="AH104" s="172">
        <v>3.74</v>
      </c>
      <c r="AI104" s="172">
        <v>3.621</v>
      </c>
      <c r="AJ104" s="173">
        <v>0.17199999999999999</v>
      </c>
      <c r="AK104" s="173">
        <v>0.17499999999999999</v>
      </c>
      <c r="AL104" s="174"/>
      <c r="AM104" s="172">
        <v>3.6280000000000001</v>
      </c>
      <c r="AN104" s="177">
        <v>2.3260000000000001</v>
      </c>
      <c r="AO104" s="174"/>
      <c r="AP104" s="171">
        <v>22511</v>
      </c>
      <c r="AQ104" s="171">
        <v>59754</v>
      </c>
      <c r="AR104" s="175">
        <v>1</v>
      </c>
      <c r="AS104" s="175">
        <v>1</v>
      </c>
      <c r="AT104" s="176" t="s">
        <v>3286</v>
      </c>
      <c r="AU104" s="171"/>
      <c r="AV104" s="171">
        <v>1.8471</v>
      </c>
      <c r="AW104" s="171">
        <v>0.96020000000000005</v>
      </c>
      <c r="AY104" t="s">
        <v>523</v>
      </c>
      <c r="AZ104" t="s">
        <v>524</v>
      </c>
      <c r="BA104" t="s">
        <v>2098</v>
      </c>
      <c r="BB104" t="s">
        <v>3002</v>
      </c>
    </row>
    <row r="105" spans="1:55">
      <c r="A105" s="169">
        <v>2.0499999999999998</v>
      </c>
      <c r="B105" s="207"/>
      <c r="C105" t="s">
        <v>36</v>
      </c>
      <c r="D105" t="s">
        <v>3694</v>
      </c>
      <c r="F105" t="s">
        <v>1427</v>
      </c>
      <c r="G105" t="s">
        <v>1767</v>
      </c>
      <c r="H105" t="s">
        <v>2170</v>
      </c>
      <c r="I105" t="s">
        <v>2451</v>
      </c>
      <c r="J105" t="s">
        <v>2452</v>
      </c>
      <c r="K105" t="s">
        <v>2963</v>
      </c>
      <c r="M105" t="s">
        <v>3322</v>
      </c>
      <c r="N105" t="s">
        <v>36</v>
      </c>
      <c r="O105">
        <v>9</v>
      </c>
      <c r="Q105" t="s">
        <v>3403</v>
      </c>
      <c r="R105" t="s">
        <v>36</v>
      </c>
      <c r="S105">
        <v>9</v>
      </c>
      <c r="U105" t="s">
        <v>3527</v>
      </c>
      <c r="V105" t="s">
        <v>36</v>
      </c>
      <c r="W105">
        <v>4</v>
      </c>
      <c r="Y105">
        <v>18</v>
      </c>
      <c r="Z105">
        <v>94.3</v>
      </c>
      <c r="AA105">
        <v>17</v>
      </c>
      <c r="AB105">
        <v>10</v>
      </c>
      <c r="AC105">
        <v>96.5</v>
      </c>
      <c r="AD105">
        <v>10</v>
      </c>
      <c r="AF105" s="170" t="s">
        <v>36</v>
      </c>
      <c r="AG105" s="171">
        <v>0.1303</v>
      </c>
      <c r="AH105" s="172">
        <v>3.6259999999999999</v>
      </c>
      <c r="AI105" s="186">
        <v>2.9380000000000002</v>
      </c>
      <c r="AJ105" s="173">
        <v>0.128</v>
      </c>
      <c r="AK105" s="173">
        <v>0.129</v>
      </c>
      <c r="AL105" s="174"/>
      <c r="AM105" s="172">
        <v>3.5569999999999999</v>
      </c>
      <c r="AN105" s="172">
        <v>2.508</v>
      </c>
      <c r="AO105" s="174"/>
      <c r="AP105" s="171">
        <v>166261</v>
      </c>
      <c r="AQ105" s="171">
        <v>135049.5</v>
      </c>
      <c r="AR105" s="175">
        <v>1</v>
      </c>
      <c r="AS105" s="175">
        <v>1</v>
      </c>
      <c r="AT105" s="176" t="s">
        <v>3285</v>
      </c>
      <c r="AU105" s="171"/>
      <c r="AV105" s="171">
        <v>2.3923999999999999</v>
      </c>
      <c r="AW105" s="171">
        <v>2.7126999999999999</v>
      </c>
      <c r="AY105" t="s">
        <v>509</v>
      </c>
      <c r="AZ105" t="s">
        <v>510</v>
      </c>
      <c r="BA105" t="s">
        <v>2172</v>
      </c>
      <c r="BB105" t="s">
        <v>3064</v>
      </c>
    </row>
    <row r="106" spans="1:55" ht="17" thickBot="1">
      <c r="A106" s="169">
        <v>2.0499999999999998</v>
      </c>
      <c r="B106" s="208"/>
      <c r="C106" t="s">
        <v>37</v>
      </c>
      <c r="D106" t="s">
        <v>3694</v>
      </c>
      <c r="F106" t="s">
        <v>1427</v>
      </c>
      <c r="G106" t="s">
        <v>1767</v>
      </c>
      <c r="H106" t="s">
        <v>2176</v>
      </c>
      <c r="I106" t="s">
        <v>2451</v>
      </c>
      <c r="J106" t="s">
        <v>2452</v>
      </c>
      <c r="K106" t="s">
        <v>2926</v>
      </c>
      <c r="M106" t="s">
        <v>3322</v>
      </c>
      <c r="N106" t="s">
        <v>37</v>
      </c>
      <c r="O106">
        <v>9</v>
      </c>
      <c r="Q106" t="s">
        <v>3403</v>
      </c>
      <c r="R106" t="s">
        <v>37</v>
      </c>
      <c r="S106">
        <v>9</v>
      </c>
      <c r="U106" t="s">
        <v>3527</v>
      </c>
      <c r="V106" t="s">
        <v>37</v>
      </c>
      <c r="W106">
        <v>4</v>
      </c>
      <c r="Y106">
        <v>18</v>
      </c>
      <c r="Z106">
        <v>97.6</v>
      </c>
      <c r="AA106">
        <v>7</v>
      </c>
      <c r="AB106">
        <v>10</v>
      </c>
      <c r="AC106">
        <v>99</v>
      </c>
      <c r="AD106">
        <v>3</v>
      </c>
      <c r="AF106" s="170" t="s">
        <v>37</v>
      </c>
      <c r="AG106" s="171">
        <v>0.18920000000000001</v>
      </c>
      <c r="AH106" s="183">
        <v>3.742</v>
      </c>
      <c r="AI106" s="188">
        <v>0.32700000000000001</v>
      </c>
      <c r="AJ106" s="188">
        <v>0.13</v>
      </c>
      <c r="AK106" s="188">
        <v>0.13500000000000001</v>
      </c>
      <c r="AL106" s="185"/>
      <c r="AM106" s="172">
        <v>3.5939999999999999</v>
      </c>
      <c r="AN106" s="177">
        <v>2.41</v>
      </c>
      <c r="AO106" s="174"/>
      <c r="AP106" s="171">
        <v>133612.5</v>
      </c>
      <c r="AQ106" s="171">
        <v>101543</v>
      </c>
      <c r="AR106" s="175">
        <v>1</v>
      </c>
      <c r="AS106" s="175">
        <v>1</v>
      </c>
      <c r="AT106" s="176" t="s">
        <v>3285</v>
      </c>
      <c r="AU106" s="171"/>
      <c r="AV106" s="171">
        <v>2.3037000000000001</v>
      </c>
      <c r="AW106" s="171">
        <v>2.1278999999999999</v>
      </c>
      <c r="AY106" t="s">
        <v>625</v>
      </c>
      <c r="AZ106" t="s">
        <v>626</v>
      </c>
      <c r="BA106" t="s">
        <v>2178</v>
      </c>
      <c r="BB106" t="s">
        <v>3068</v>
      </c>
    </row>
    <row r="107" spans="1:55">
      <c r="A107" s="168">
        <v>2.06</v>
      </c>
      <c r="B107" s="206">
        <v>2.06</v>
      </c>
      <c r="C107" s="81" t="s">
        <v>182</v>
      </c>
      <c r="D107" s="81" t="s">
        <v>3694</v>
      </c>
      <c r="E107" s="81"/>
      <c r="F107" s="81" t="s">
        <v>1642</v>
      </c>
      <c r="G107" s="81" t="s">
        <v>1413</v>
      </c>
      <c r="H107" s="81" t="s">
        <v>1643</v>
      </c>
      <c r="I107" s="81" t="s">
        <v>2603</v>
      </c>
      <c r="J107" s="81" t="s">
        <v>2404</v>
      </c>
      <c r="K107" s="81" t="s">
        <v>2604</v>
      </c>
      <c r="L107" s="81"/>
      <c r="M107" s="81" t="s">
        <v>3334</v>
      </c>
      <c r="N107" s="81" t="s">
        <v>182</v>
      </c>
      <c r="O107" s="81">
        <v>8</v>
      </c>
      <c r="P107" s="81"/>
      <c r="Q107" s="81" t="s">
        <v>3420</v>
      </c>
      <c r="R107" s="81" t="s">
        <v>182</v>
      </c>
      <c r="S107" s="81">
        <v>3</v>
      </c>
      <c r="T107" s="81"/>
      <c r="U107" s="81" t="s">
        <v>3602</v>
      </c>
      <c r="V107" s="81" t="s">
        <v>182</v>
      </c>
      <c r="W107" s="81">
        <v>2</v>
      </c>
      <c r="X107" s="81"/>
      <c r="Y107" s="81">
        <v>12</v>
      </c>
      <c r="Z107" s="81">
        <v>92.8</v>
      </c>
      <c r="AA107" s="81">
        <v>21</v>
      </c>
      <c r="AB107" s="81">
        <v>9</v>
      </c>
      <c r="AC107" s="81">
        <v>95.5</v>
      </c>
      <c r="AD107" s="81">
        <v>13</v>
      </c>
      <c r="AE107" s="81"/>
      <c r="AF107" s="83" t="s">
        <v>182</v>
      </c>
      <c r="AG107" s="33">
        <v>0.1236</v>
      </c>
      <c r="AH107" s="100">
        <v>3.601</v>
      </c>
      <c r="AI107" s="87">
        <v>0.122</v>
      </c>
      <c r="AJ107" s="87">
        <v>0.115</v>
      </c>
      <c r="AK107" s="87">
        <v>0.124</v>
      </c>
      <c r="AL107" s="34"/>
      <c r="AM107" s="100">
        <v>3.5779999999999998</v>
      </c>
      <c r="AN107" s="100">
        <v>2.3959999999999999</v>
      </c>
      <c r="AO107" s="34"/>
      <c r="AP107" s="33">
        <v>194506</v>
      </c>
      <c r="AQ107" s="33">
        <v>171888</v>
      </c>
      <c r="AR107" s="88">
        <v>1</v>
      </c>
      <c r="AS107" s="88">
        <v>1</v>
      </c>
      <c r="AT107" s="89" t="s">
        <v>3289</v>
      </c>
      <c r="AU107" s="33"/>
      <c r="AV107" s="33">
        <v>1.6514</v>
      </c>
      <c r="AW107" s="33">
        <v>1.2804</v>
      </c>
      <c r="AX107" s="81"/>
      <c r="AY107" s="81" t="s">
        <v>779</v>
      </c>
      <c r="AZ107" s="81" t="s">
        <v>780</v>
      </c>
      <c r="BA107" s="81" t="s">
        <v>1646</v>
      </c>
      <c r="BB107" s="81" t="s">
        <v>2607</v>
      </c>
      <c r="BC107" s="81"/>
    </row>
    <row r="108" spans="1:55">
      <c r="A108" s="169">
        <v>2.06</v>
      </c>
      <c r="B108" s="207"/>
      <c r="C108" t="s">
        <v>183</v>
      </c>
      <c r="D108" t="s">
        <v>3694</v>
      </c>
      <c r="F108" t="s">
        <v>1642</v>
      </c>
      <c r="G108" t="s">
        <v>1413</v>
      </c>
      <c r="H108" t="s">
        <v>1647</v>
      </c>
      <c r="I108" t="s">
        <v>2603</v>
      </c>
      <c r="J108" t="s">
        <v>2404</v>
      </c>
      <c r="K108" t="s">
        <v>2608</v>
      </c>
      <c r="M108" t="s">
        <v>3334</v>
      </c>
      <c r="N108" t="s">
        <v>183</v>
      </c>
      <c r="O108">
        <v>8</v>
      </c>
      <c r="Q108" t="s">
        <v>3466</v>
      </c>
      <c r="R108" t="s">
        <v>183</v>
      </c>
      <c r="S108">
        <v>3</v>
      </c>
      <c r="U108" t="s">
        <v>3604</v>
      </c>
      <c r="V108" t="s">
        <v>183</v>
      </c>
      <c r="W108">
        <v>2</v>
      </c>
      <c r="Y108">
        <v>12</v>
      </c>
      <c r="Z108">
        <v>93.5</v>
      </c>
      <c r="AA108">
        <v>19</v>
      </c>
      <c r="AB108">
        <v>9</v>
      </c>
      <c r="AC108">
        <v>96.2</v>
      </c>
      <c r="AD108">
        <v>11</v>
      </c>
      <c r="AF108" s="170" t="s">
        <v>183</v>
      </c>
      <c r="AG108" s="171">
        <v>0.17399999999999999</v>
      </c>
      <c r="AH108" s="172">
        <v>3.6360000000000001</v>
      </c>
      <c r="AI108" s="173">
        <v>0.13500000000000001</v>
      </c>
      <c r="AJ108" s="173">
        <v>0.20100000000000001</v>
      </c>
      <c r="AK108" s="173">
        <v>0.128</v>
      </c>
      <c r="AL108" s="174"/>
      <c r="AM108" s="172">
        <v>3.5750000000000002</v>
      </c>
      <c r="AN108" s="172">
        <v>2.363</v>
      </c>
      <c r="AO108" s="174"/>
      <c r="AP108" s="171">
        <v>281577</v>
      </c>
      <c r="AQ108" s="171">
        <v>129201</v>
      </c>
      <c r="AR108" s="175">
        <v>1</v>
      </c>
      <c r="AS108" s="175">
        <v>1</v>
      </c>
      <c r="AT108" s="176" t="s">
        <v>3285</v>
      </c>
      <c r="AU108" s="171"/>
      <c r="AV108" s="171">
        <v>1.9850000000000001</v>
      </c>
      <c r="AW108" s="171">
        <v>1.4334</v>
      </c>
      <c r="AY108" t="s">
        <v>795</v>
      </c>
      <c r="AZ108" t="s">
        <v>796</v>
      </c>
      <c r="BA108" t="s">
        <v>1650</v>
      </c>
      <c r="BB108" t="s">
        <v>2611</v>
      </c>
    </row>
    <row r="109" spans="1:55">
      <c r="A109" s="169">
        <v>2.06</v>
      </c>
      <c r="B109" s="207"/>
      <c r="C109" t="s">
        <v>185</v>
      </c>
      <c r="D109" t="s">
        <v>3694</v>
      </c>
      <c r="F109" t="s">
        <v>1642</v>
      </c>
      <c r="G109" t="s">
        <v>1413</v>
      </c>
      <c r="H109" t="s">
        <v>1655</v>
      </c>
      <c r="I109" t="s">
        <v>2603</v>
      </c>
      <c r="J109" t="s">
        <v>2404</v>
      </c>
      <c r="K109" t="s">
        <v>2616</v>
      </c>
      <c r="M109" t="s">
        <v>3334</v>
      </c>
      <c r="N109" t="s">
        <v>185</v>
      </c>
      <c r="O109">
        <v>8</v>
      </c>
      <c r="Q109" t="s">
        <v>3466</v>
      </c>
      <c r="R109" t="s">
        <v>185</v>
      </c>
      <c r="S109">
        <v>3</v>
      </c>
      <c r="U109" t="s">
        <v>3604</v>
      </c>
      <c r="V109" t="s">
        <v>185</v>
      </c>
      <c r="W109">
        <v>2</v>
      </c>
      <c r="Y109">
        <v>12</v>
      </c>
      <c r="Z109">
        <v>93.5</v>
      </c>
      <c r="AA109">
        <v>19</v>
      </c>
      <c r="AB109">
        <v>9</v>
      </c>
      <c r="AC109">
        <v>95.8</v>
      </c>
      <c r="AD109">
        <v>12</v>
      </c>
      <c r="AF109" s="170" t="s">
        <v>185</v>
      </c>
      <c r="AG109" s="171">
        <v>4.1730000000000003E-2</v>
      </c>
      <c r="AH109" s="177">
        <v>3.2730000000000001</v>
      </c>
      <c r="AI109" s="173">
        <v>0.14399999999999999</v>
      </c>
      <c r="AJ109" s="173">
        <v>0.20399999999999999</v>
      </c>
      <c r="AK109" s="173">
        <v>0.122</v>
      </c>
      <c r="AL109" s="174"/>
      <c r="AM109" s="172">
        <v>3.5579999999999998</v>
      </c>
      <c r="AN109" s="177">
        <v>2.4039999999999999</v>
      </c>
      <c r="AO109" s="174"/>
      <c r="AP109" s="171">
        <v>183593</v>
      </c>
      <c r="AQ109" s="171">
        <v>370497</v>
      </c>
      <c r="AR109" s="175">
        <v>1</v>
      </c>
      <c r="AS109" s="175">
        <v>1</v>
      </c>
      <c r="AT109" s="176" t="s">
        <v>3286</v>
      </c>
      <c r="AU109" s="171"/>
      <c r="AV109" s="171">
        <v>2.9483999999999999</v>
      </c>
      <c r="AW109" s="171">
        <v>1.4490000000000001</v>
      </c>
      <c r="AY109" t="s">
        <v>867</v>
      </c>
      <c r="AZ109" t="s">
        <v>868</v>
      </c>
      <c r="BA109" t="s">
        <v>1658</v>
      </c>
      <c r="BB109" t="s">
        <v>2619</v>
      </c>
    </row>
    <row r="110" spans="1:55">
      <c r="A110" s="169">
        <v>2.06</v>
      </c>
      <c r="B110" s="207"/>
      <c r="C110" t="s">
        <v>187</v>
      </c>
      <c r="D110" t="s">
        <v>3694</v>
      </c>
      <c r="F110" t="s">
        <v>1642</v>
      </c>
      <c r="G110" t="s">
        <v>1413</v>
      </c>
      <c r="H110" t="s">
        <v>1662</v>
      </c>
      <c r="I110" t="s">
        <v>2603</v>
      </c>
      <c r="J110" t="s">
        <v>2404</v>
      </c>
      <c r="K110" t="s">
        <v>2620</v>
      </c>
      <c r="M110" t="s">
        <v>3334</v>
      </c>
      <c r="N110" t="s">
        <v>187</v>
      </c>
      <c r="O110">
        <v>8</v>
      </c>
      <c r="Q110" t="s">
        <v>3420</v>
      </c>
      <c r="R110" t="s">
        <v>187</v>
      </c>
      <c r="S110">
        <v>3</v>
      </c>
      <c r="U110" t="s">
        <v>3602</v>
      </c>
      <c r="V110" t="s">
        <v>187</v>
      </c>
      <c r="W110">
        <v>2</v>
      </c>
      <c r="Y110">
        <v>12</v>
      </c>
      <c r="Z110">
        <v>96.6</v>
      </c>
      <c r="AA110">
        <v>10</v>
      </c>
      <c r="AB110">
        <v>9</v>
      </c>
      <c r="AC110">
        <v>96.5</v>
      </c>
      <c r="AD110">
        <v>10</v>
      </c>
      <c r="AF110" s="170" t="s">
        <v>3292</v>
      </c>
      <c r="AG110" s="171">
        <v>0.1913</v>
      </c>
      <c r="AH110" s="172">
        <v>3.6190000000000002</v>
      </c>
      <c r="AI110" s="173">
        <v>0.16</v>
      </c>
      <c r="AJ110" s="173">
        <v>0.13200000000000001</v>
      </c>
      <c r="AK110" s="173">
        <v>0.129</v>
      </c>
      <c r="AL110" s="174"/>
      <c r="AM110" s="172">
        <v>3.51</v>
      </c>
      <c r="AN110" s="172">
        <v>2.552</v>
      </c>
      <c r="AO110" s="174"/>
      <c r="AP110" s="171">
        <v>220573</v>
      </c>
      <c r="AQ110" s="171">
        <v>117798</v>
      </c>
      <c r="AR110" s="175">
        <v>1</v>
      </c>
      <c r="AS110" s="175">
        <v>1</v>
      </c>
      <c r="AT110" s="176" t="s">
        <v>3285</v>
      </c>
      <c r="AU110" s="171"/>
      <c r="AV110" s="171">
        <v>2.3871000000000002</v>
      </c>
      <c r="AW110" s="171">
        <v>2.0062000000000002</v>
      </c>
      <c r="AY110" t="s">
        <v>835</v>
      </c>
      <c r="AZ110" t="s">
        <v>836</v>
      </c>
      <c r="BA110" t="s">
        <v>1665</v>
      </c>
      <c r="BB110" t="s">
        <v>2625</v>
      </c>
    </row>
    <row r="111" spans="1:55">
      <c r="A111" s="169">
        <v>2.06</v>
      </c>
      <c r="B111" s="207"/>
      <c r="C111" t="s">
        <v>186</v>
      </c>
      <c r="D111" t="s">
        <v>3694</v>
      </c>
      <c r="F111" t="s">
        <v>1642</v>
      </c>
      <c r="G111" t="s">
        <v>1413</v>
      </c>
      <c r="H111" t="s">
        <v>1659</v>
      </c>
      <c r="I111" t="s">
        <v>2603</v>
      </c>
      <c r="J111" t="s">
        <v>2404</v>
      </c>
      <c r="K111" t="s">
        <v>2620</v>
      </c>
      <c r="M111" t="s">
        <v>3334</v>
      </c>
      <c r="N111" t="s">
        <v>186</v>
      </c>
      <c r="O111">
        <v>8</v>
      </c>
      <c r="Q111" t="s">
        <v>3420</v>
      </c>
      <c r="R111" t="s">
        <v>186</v>
      </c>
      <c r="S111">
        <v>3</v>
      </c>
      <c r="U111" t="s">
        <v>3546</v>
      </c>
      <c r="V111" t="s">
        <v>186</v>
      </c>
      <c r="W111">
        <v>1</v>
      </c>
      <c r="Y111">
        <v>12</v>
      </c>
      <c r="Z111">
        <v>96.6</v>
      </c>
      <c r="AA111">
        <v>10</v>
      </c>
      <c r="AB111">
        <v>9</v>
      </c>
      <c r="AC111">
        <v>97.2</v>
      </c>
      <c r="AD111">
        <v>8</v>
      </c>
      <c r="AF111" s="170" t="s">
        <v>186</v>
      </c>
      <c r="AG111" s="171">
        <v>0.23930000000000001</v>
      </c>
      <c r="AH111" s="172">
        <v>3.5659999999999998</v>
      </c>
      <c r="AI111" s="173">
        <v>0.16</v>
      </c>
      <c r="AJ111" s="173">
        <v>0.123</v>
      </c>
      <c r="AK111" s="173">
        <v>0.13300000000000001</v>
      </c>
      <c r="AL111" s="174"/>
      <c r="AM111" s="172">
        <v>3.5419999999999998</v>
      </c>
      <c r="AN111" s="177">
        <v>2.2909999999999999</v>
      </c>
      <c r="AO111" s="174"/>
      <c r="AP111" s="171">
        <v>228865</v>
      </c>
      <c r="AQ111" s="171">
        <v>181190</v>
      </c>
      <c r="AR111" s="175">
        <v>1</v>
      </c>
      <c r="AS111" s="175">
        <v>1</v>
      </c>
      <c r="AT111" s="176" t="s">
        <v>3285</v>
      </c>
      <c r="AU111" s="171"/>
      <c r="AV111" s="171">
        <v>2.5874000000000001</v>
      </c>
      <c r="AW111" s="171">
        <v>0.98929999999999996</v>
      </c>
      <c r="AY111" t="s">
        <v>562</v>
      </c>
      <c r="AZ111" t="s">
        <v>563</v>
      </c>
      <c r="BA111" t="s">
        <v>1661</v>
      </c>
      <c r="BB111" t="s">
        <v>2622</v>
      </c>
    </row>
    <row r="112" spans="1:55">
      <c r="A112" s="169">
        <v>2.06</v>
      </c>
      <c r="B112" s="207"/>
      <c r="C112" t="s">
        <v>189</v>
      </c>
      <c r="D112" t="s">
        <v>3695</v>
      </c>
      <c r="F112" t="s">
        <v>1642</v>
      </c>
      <c r="G112" t="s">
        <v>1413</v>
      </c>
      <c r="H112" t="s">
        <v>1668</v>
      </c>
      <c r="I112" t="s">
        <v>2603</v>
      </c>
      <c r="J112" t="s">
        <v>2404</v>
      </c>
      <c r="K112" t="s">
        <v>2628</v>
      </c>
      <c r="M112" t="s">
        <v>3334</v>
      </c>
      <c r="N112" t="s">
        <v>189</v>
      </c>
      <c r="O112">
        <v>8</v>
      </c>
      <c r="Q112" t="s">
        <v>3466</v>
      </c>
      <c r="R112" t="s">
        <v>189</v>
      </c>
      <c r="S112">
        <v>3</v>
      </c>
      <c r="U112" t="s">
        <v>3668</v>
      </c>
      <c r="V112" t="s">
        <v>189</v>
      </c>
      <c r="W112">
        <v>1</v>
      </c>
      <c r="Y112">
        <v>12</v>
      </c>
      <c r="Z112">
        <v>92.5</v>
      </c>
      <c r="AA112">
        <v>22</v>
      </c>
      <c r="AB112">
        <v>9</v>
      </c>
      <c r="AC112">
        <v>95.5</v>
      </c>
      <c r="AD112">
        <v>13</v>
      </c>
      <c r="AF112" s="170" t="s">
        <v>189</v>
      </c>
      <c r="AG112" s="171">
        <v>7.2050000000000003E-2</v>
      </c>
      <c r="AH112" s="172">
        <v>3.5659999999999998</v>
      </c>
      <c r="AI112" s="173">
        <v>0.17299999999999999</v>
      </c>
      <c r="AJ112" s="173">
        <v>0.128</v>
      </c>
      <c r="AK112" s="173">
        <v>0.13900000000000001</v>
      </c>
      <c r="AL112" s="174"/>
      <c r="AM112" s="172">
        <v>3.4670000000000001</v>
      </c>
      <c r="AN112" s="172">
        <v>2.6560000000000001</v>
      </c>
      <c r="AO112" s="174"/>
      <c r="AP112" s="171">
        <v>227722</v>
      </c>
      <c r="AQ112" s="171">
        <v>264944.5</v>
      </c>
      <c r="AR112" s="175">
        <v>1</v>
      </c>
      <c r="AS112" s="175">
        <v>1</v>
      </c>
      <c r="AT112" s="176" t="s">
        <v>3289</v>
      </c>
      <c r="AU112" s="171"/>
      <c r="AV112" s="171">
        <v>2.3649</v>
      </c>
      <c r="AW112" s="171">
        <v>2.6513</v>
      </c>
      <c r="AY112" t="s">
        <v>998</v>
      </c>
      <c r="AZ112" t="s">
        <v>999</v>
      </c>
      <c r="BA112" t="s">
        <v>1670</v>
      </c>
      <c r="BB112" t="s">
        <v>2630</v>
      </c>
    </row>
    <row r="113" spans="1:55">
      <c r="A113" s="169">
        <v>2.06</v>
      </c>
      <c r="B113" s="207"/>
      <c r="C113" t="s">
        <v>184</v>
      </c>
      <c r="D113" t="s">
        <v>3694</v>
      </c>
      <c r="F113" t="s">
        <v>1642</v>
      </c>
      <c r="G113" t="s">
        <v>1413</v>
      </c>
      <c r="H113" t="s">
        <v>1651</v>
      </c>
      <c r="I113" t="s">
        <v>2603</v>
      </c>
      <c r="J113" t="s">
        <v>2404</v>
      </c>
      <c r="K113" t="s">
        <v>2612</v>
      </c>
      <c r="M113" t="s">
        <v>3334</v>
      </c>
      <c r="N113" t="s">
        <v>184</v>
      </c>
      <c r="O113">
        <v>8</v>
      </c>
      <c r="Q113" t="s">
        <v>3433</v>
      </c>
      <c r="R113" t="s">
        <v>184</v>
      </c>
      <c r="S113">
        <v>2</v>
      </c>
      <c r="U113" t="s">
        <v>3563</v>
      </c>
      <c r="V113" t="s">
        <v>184</v>
      </c>
      <c r="W113">
        <v>2</v>
      </c>
      <c r="Y113">
        <v>12</v>
      </c>
      <c r="Z113">
        <v>97.6</v>
      </c>
      <c r="AA113">
        <v>7</v>
      </c>
      <c r="AB113">
        <v>9</v>
      </c>
      <c r="AC113">
        <v>97.6</v>
      </c>
      <c r="AD113">
        <v>7</v>
      </c>
      <c r="AF113" s="170" t="s">
        <v>184</v>
      </c>
      <c r="AG113" s="171">
        <v>0.29570000000000002</v>
      </c>
      <c r="AH113" s="172">
        <v>3.669</v>
      </c>
      <c r="AI113" s="173">
        <v>0.13300000000000001</v>
      </c>
      <c r="AJ113" s="173">
        <v>0.128</v>
      </c>
      <c r="AK113" s="173">
        <v>0.14199999999999999</v>
      </c>
      <c r="AL113" s="174"/>
      <c r="AM113" s="172">
        <v>3.5579999999999998</v>
      </c>
      <c r="AN113" s="172">
        <v>2.3610000000000002</v>
      </c>
      <c r="AO113" s="174"/>
      <c r="AP113" s="171">
        <v>372123</v>
      </c>
      <c r="AQ113" s="171">
        <v>98903.5</v>
      </c>
      <c r="AR113" s="175">
        <v>1</v>
      </c>
      <c r="AS113" s="175">
        <v>1</v>
      </c>
      <c r="AT113" s="176" t="s">
        <v>3285</v>
      </c>
      <c r="AU113" s="171"/>
      <c r="AV113" s="171">
        <v>1.1747000000000001</v>
      </c>
      <c r="AW113" s="171">
        <v>1.1551</v>
      </c>
      <c r="AY113" t="s">
        <v>841</v>
      </c>
      <c r="AZ113" t="s">
        <v>842</v>
      </c>
      <c r="BA113" t="s">
        <v>1654</v>
      </c>
      <c r="BB113" t="s">
        <v>2615</v>
      </c>
    </row>
    <row r="114" spans="1:55" ht="17" thickBot="1">
      <c r="A114" s="178">
        <v>2.06</v>
      </c>
      <c r="B114" s="208"/>
      <c r="C114" s="40" t="s">
        <v>188</v>
      </c>
      <c r="D114" s="40" t="s">
        <v>3694</v>
      </c>
      <c r="E114" s="40"/>
      <c r="F114" s="40" t="s">
        <v>1642</v>
      </c>
      <c r="G114" s="40" t="s">
        <v>1413</v>
      </c>
      <c r="H114" s="40" t="s">
        <v>1651</v>
      </c>
      <c r="I114" s="40" t="s">
        <v>2603</v>
      </c>
      <c r="J114" s="40" t="s">
        <v>2404</v>
      </c>
      <c r="K114" s="40" t="s">
        <v>2612</v>
      </c>
      <c r="L114" s="40"/>
      <c r="M114" s="40" t="s">
        <v>3334</v>
      </c>
      <c r="N114" s="40" t="s">
        <v>188</v>
      </c>
      <c r="O114" s="40">
        <v>8</v>
      </c>
      <c r="P114" s="40"/>
      <c r="Q114" s="40" t="s">
        <v>3433</v>
      </c>
      <c r="R114" s="40" t="s">
        <v>188</v>
      </c>
      <c r="S114" s="40">
        <v>2</v>
      </c>
      <c r="T114" s="40"/>
      <c r="U114" s="40" t="s">
        <v>3563</v>
      </c>
      <c r="V114" s="40" t="s">
        <v>188</v>
      </c>
      <c r="W114" s="40">
        <v>2</v>
      </c>
      <c r="X114" s="40"/>
      <c r="Y114" s="40">
        <v>12</v>
      </c>
      <c r="Z114" s="40">
        <v>92.8</v>
      </c>
      <c r="AA114" s="40">
        <v>21</v>
      </c>
      <c r="AB114" s="40">
        <v>9</v>
      </c>
      <c r="AC114" s="40">
        <v>93.8</v>
      </c>
      <c r="AD114" s="40">
        <v>18</v>
      </c>
      <c r="AE114" s="40"/>
      <c r="AF114" s="85" t="s">
        <v>188</v>
      </c>
      <c r="AG114" s="35">
        <v>9.7110000000000002E-2</v>
      </c>
      <c r="AH114" s="108">
        <v>3.6139999999999999</v>
      </c>
      <c r="AI114" s="109">
        <v>0.13500000000000001</v>
      </c>
      <c r="AJ114" s="109">
        <v>0.109</v>
      </c>
      <c r="AK114" s="109">
        <v>0.115</v>
      </c>
      <c r="AL114" s="36"/>
      <c r="AM114" s="102">
        <v>3.5169999999999999</v>
      </c>
      <c r="AN114" s="110">
        <v>2.4870000000000001</v>
      </c>
      <c r="AO114" s="37"/>
      <c r="AP114" s="35">
        <v>151085</v>
      </c>
      <c r="AQ114" s="35">
        <v>232121.5</v>
      </c>
      <c r="AR114" s="93">
        <v>1</v>
      </c>
      <c r="AS114" s="93">
        <v>1</v>
      </c>
      <c r="AT114" s="94" t="s">
        <v>3286</v>
      </c>
      <c r="AU114" s="35"/>
      <c r="AV114" s="35">
        <v>2.2972999999999999</v>
      </c>
      <c r="AW114" s="35">
        <v>2.5259999999999998</v>
      </c>
      <c r="AX114" s="40"/>
      <c r="AY114" s="40" t="s">
        <v>627</v>
      </c>
      <c r="AZ114" s="40" t="s">
        <v>628</v>
      </c>
      <c r="BA114" s="40" t="s">
        <v>1667</v>
      </c>
      <c r="BB114" s="40" t="s">
        <v>2627</v>
      </c>
      <c r="BC114" s="40"/>
    </row>
    <row r="115" spans="1:55">
      <c r="A115" s="169">
        <v>2.0699999999999998</v>
      </c>
      <c r="B115" s="206">
        <v>2.0699999999999998</v>
      </c>
      <c r="C115" t="s">
        <v>156</v>
      </c>
      <c r="D115" t="s">
        <v>3698</v>
      </c>
      <c r="F115" t="s">
        <v>1579</v>
      </c>
      <c r="G115" t="s">
        <v>1413</v>
      </c>
      <c r="H115" t="s">
        <v>1594</v>
      </c>
      <c r="I115" t="s">
        <v>2416</v>
      </c>
      <c r="J115" t="s">
        <v>2404</v>
      </c>
      <c r="K115" t="s">
        <v>2562</v>
      </c>
      <c r="M115" t="s">
        <v>3321</v>
      </c>
      <c r="N115" t="s">
        <v>156</v>
      </c>
      <c r="O115">
        <v>8</v>
      </c>
      <c r="Q115" t="s">
        <v>3476</v>
      </c>
      <c r="R115" t="s">
        <v>156</v>
      </c>
      <c r="S115">
        <v>5</v>
      </c>
      <c r="U115" t="s">
        <v>3619</v>
      </c>
      <c r="V115" t="s">
        <v>156</v>
      </c>
      <c r="W115">
        <v>5</v>
      </c>
      <c r="Y115">
        <v>15</v>
      </c>
      <c r="Z115">
        <v>98.3</v>
      </c>
      <c r="AA115">
        <v>5</v>
      </c>
      <c r="AB115">
        <v>9</v>
      </c>
      <c r="AC115">
        <v>98</v>
      </c>
      <c r="AD115">
        <v>6</v>
      </c>
      <c r="AF115" s="170" t="s">
        <v>156</v>
      </c>
      <c r="AG115" s="171">
        <v>0.23039999999999999</v>
      </c>
      <c r="AH115" s="193">
        <v>1.6850000000000001</v>
      </c>
      <c r="AI115" s="173">
        <v>0.14499999999999999</v>
      </c>
      <c r="AJ115" s="173">
        <v>0.122</v>
      </c>
      <c r="AK115" s="173">
        <v>0.13100000000000001</v>
      </c>
      <c r="AL115" s="174"/>
      <c r="AM115" s="173">
        <v>0.11899999999999999</v>
      </c>
      <c r="AN115" s="173">
        <v>0.115</v>
      </c>
      <c r="AO115" s="174"/>
      <c r="AP115" s="171">
        <v>144934</v>
      </c>
      <c r="AQ115" s="171">
        <v>265475</v>
      </c>
      <c r="AR115" s="175">
        <v>1</v>
      </c>
      <c r="AS115" s="175">
        <v>1</v>
      </c>
      <c r="AT115" s="176" t="s">
        <v>3286</v>
      </c>
      <c r="AU115" s="171"/>
      <c r="AV115" s="171">
        <v>-0.2303</v>
      </c>
      <c r="AW115" s="171">
        <v>-7.6999999999999999E-2</v>
      </c>
      <c r="AY115" t="s">
        <v>939</v>
      </c>
      <c r="AZ115" t="s">
        <v>940</v>
      </c>
      <c r="BA115" t="s">
        <v>1596</v>
      </c>
      <c r="BB115" t="s">
        <v>2565</v>
      </c>
    </row>
    <row r="116" spans="1:55">
      <c r="A116" s="169">
        <v>2.0699999999999998</v>
      </c>
      <c r="B116" s="207"/>
      <c r="C116" t="s">
        <v>157</v>
      </c>
      <c r="D116" t="s">
        <v>3698</v>
      </c>
      <c r="F116" t="s">
        <v>1579</v>
      </c>
      <c r="G116" t="s">
        <v>1413</v>
      </c>
      <c r="H116" t="s">
        <v>1597</v>
      </c>
      <c r="I116" t="s">
        <v>2416</v>
      </c>
      <c r="J116" t="s">
        <v>2404</v>
      </c>
      <c r="K116" t="s">
        <v>2562</v>
      </c>
      <c r="M116" t="s">
        <v>3321</v>
      </c>
      <c r="N116" t="s">
        <v>157</v>
      </c>
      <c r="O116">
        <v>8</v>
      </c>
      <c r="Q116" t="s">
        <v>3476</v>
      </c>
      <c r="R116" t="s">
        <v>157</v>
      </c>
      <c r="S116">
        <v>5</v>
      </c>
      <c r="U116" t="s">
        <v>3619</v>
      </c>
      <c r="V116" t="s">
        <v>157</v>
      </c>
      <c r="W116">
        <v>5</v>
      </c>
      <c r="Y116">
        <v>15</v>
      </c>
      <c r="Z116">
        <v>96.9</v>
      </c>
      <c r="AA116">
        <v>9</v>
      </c>
      <c r="AB116">
        <v>9</v>
      </c>
      <c r="AC116">
        <v>99</v>
      </c>
      <c r="AD116">
        <v>3</v>
      </c>
      <c r="AF116" s="170" t="s">
        <v>157</v>
      </c>
      <c r="AG116" s="171">
        <v>0.13950000000000001</v>
      </c>
      <c r="AH116" s="193">
        <v>1.7390000000000001</v>
      </c>
      <c r="AI116" s="173">
        <v>0.123</v>
      </c>
      <c r="AJ116" s="173">
        <v>0.111</v>
      </c>
      <c r="AK116" s="173">
        <v>0.12</v>
      </c>
      <c r="AL116" s="174"/>
      <c r="AM116" s="173">
        <v>0.112</v>
      </c>
      <c r="AN116" s="173">
        <v>9.9000000000000005E-2</v>
      </c>
      <c r="AO116" s="174"/>
      <c r="AP116" s="171">
        <v>181963.5</v>
      </c>
      <c r="AQ116" s="171">
        <v>485184</v>
      </c>
      <c r="AR116" s="175">
        <v>1</v>
      </c>
      <c r="AS116" s="175">
        <v>1</v>
      </c>
      <c r="AT116" s="176" t="s">
        <v>3286</v>
      </c>
      <c r="AU116" s="171"/>
      <c r="AV116" s="171">
        <v>-0.10879999999999999</v>
      </c>
      <c r="AW116" s="171">
        <v>-7.0300000000000001E-2</v>
      </c>
      <c r="AY116" t="s">
        <v>947</v>
      </c>
      <c r="AZ116" t="s">
        <v>948</v>
      </c>
      <c r="BA116" t="s">
        <v>1599</v>
      </c>
      <c r="BB116" t="s">
        <v>2567</v>
      </c>
    </row>
    <row r="117" spans="1:55">
      <c r="A117" s="169">
        <v>2.0699999999999998</v>
      </c>
      <c r="B117" s="207"/>
      <c r="C117" t="s">
        <v>158</v>
      </c>
      <c r="D117" t="s">
        <v>3698</v>
      </c>
      <c r="F117" t="s">
        <v>1579</v>
      </c>
      <c r="G117" t="s">
        <v>1413</v>
      </c>
      <c r="H117" t="s">
        <v>1594</v>
      </c>
      <c r="I117" t="s">
        <v>2416</v>
      </c>
      <c r="J117" t="s">
        <v>2404</v>
      </c>
      <c r="K117" t="s">
        <v>2562</v>
      </c>
      <c r="M117" t="s">
        <v>3321</v>
      </c>
      <c r="N117" t="s">
        <v>158</v>
      </c>
      <c r="O117">
        <v>8</v>
      </c>
      <c r="Q117" t="s">
        <v>3476</v>
      </c>
      <c r="R117" t="s">
        <v>158</v>
      </c>
      <c r="S117">
        <v>5</v>
      </c>
      <c r="U117" t="s">
        <v>3619</v>
      </c>
      <c r="V117" t="s">
        <v>158</v>
      </c>
      <c r="W117">
        <v>5</v>
      </c>
      <c r="Y117">
        <v>15</v>
      </c>
      <c r="Z117">
        <v>98.6</v>
      </c>
      <c r="AA117">
        <v>4</v>
      </c>
      <c r="AB117">
        <v>9</v>
      </c>
      <c r="AC117">
        <v>97.3</v>
      </c>
      <c r="AD117">
        <v>8</v>
      </c>
      <c r="AF117" s="170" t="s">
        <v>158</v>
      </c>
      <c r="AG117" s="171">
        <v>0.42149999999999999</v>
      </c>
      <c r="AH117" s="182">
        <v>0.55700000000000005</v>
      </c>
      <c r="AI117" s="173">
        <v>0.154</v>
      </c>
      <c r="AJ117" s="173">
        <v>0.13600000000000001</v>
      </c>
      <c r="AK117" s="173">
        <v>0.14799999999999999</v>
      </c>
      <c r="AL117" s="174"/>
      <c r="AM117" s="173">
        <v>0.114</v>
      </c>
      <c r="AN117" s="173">
        <v>9.4E-2</v>
      </c>
      <c r="AO117" s="174"/>
      <c r="AP117" s="171">
        <v>77676</v>
      </c>
      <c r="AQ117" s="171">
        <v>167056</v>
      </c>
      <c r="AR117" s="175">
        <v>1</v>
      </c>
      <c r="AS117" s="175">
        <v>1</v>
      </c>
      <c r="AT117" s="176" t="s">
        <v>3286</v>
      </c>
      <c r="AU117" s="171"/>
      <c r="AV117" s="171">
        <v>-0.107</v>
      </c>
      <c r="AW117" s="171">
        <v>0.20430000000000001</v>
      </c>
      <c r="AY117" t="s">
        <v>965</v>
      </c>
      <c r="AZ117" t="s">
        <v>966</v>
      </c>
      <c r="BA117" t="s">
        <v>1601</v>
      </c>
      <c r="BB117" t="s">
        <v>2569</v>
      </c>
    </row>
    <row r="118" spans="1:55">
      <c r="A118" s="169">
        <v>2.0699999999999998</v>
      </c>
      <c r="B118" s="207"/>
      <c r="C118" t="s">
        <v>159</v>
      </c>
      <c r="D118" t="s">
        <v>3698</v>
      </c>
      <c r="F118" t="s">
        <v>1579</v>
      </c>
      <c r="G118" t="s">
        <v>1413</v>
      </c>
      <c r="H118" t="s">
        <v>1594</v>
      </c>
      <c r="I118" t="s">
        <v>2416</v>
      </c>
      <c r="J118" t="s">
        <v>2404</v>
      </c>
      <c r="K118" t="s">
        <v>2562</v>
      </c>
      <c r="M118" t="s">
        <v>3321</v>
      </c>
      <c r="N118" t="s">
        <v>159</v>
      </c>
      <c r="O118">
        <v>8</v>
      </c>
      <c r="Q118" t="s">
        <v>3476</v>
      </c>
      <c r="R118" t="s">
        <v>159</v>
      </c>
      <c r="S118">
        <v>5</v>
      </c>
      <c r="U118" t="s">
        <v>3619</v>
      </c>
      <c r="V118" t="s">
        <v>159</v>
      </c>
      <c r="W118">
        <v>5</v>
      </c>
      <c r="Y118">
        <v>15</v>
      </c>
      <c r="Z118">
        <v>98.3</v>
      </c>
      <c r="AA118">
        <v>5</v>
      </c>
      <c r="AB118">
        <v>9</v>
      </c>
      <c r="AC118">
        <v>98.3</v>
      </c>
      <c r="AD118">
        <v>5</v>
      </c>
      <c r="AF118" s="170" t="s">
        <v>159</v>
      </c>
      <c r="AG118" s="171">
        <v>0.32500000000000001</v>
      </c>
      <c r="AH118" s="194">
        <v>2.02</v>
      </c>
      <c r="AI118" s="173">
        <v>0.16700000000000001</v>
      </c>
      <c r="AJ118" s="173">
        <v>0.13700000000000001</v>
      </c>
      <c r="AK118" s="173">
        <v>0.14699999999999999</v>
      </c>
      <c r="AL118" s="174"/>
      <c r="AM118" s="173">
        <v>0.13300000000000001</v>
      </c>
      <c r="AN118" s="173">
        <v>0.113</v>
      </c>
      <c r="AO118" s="174"/>
      <c r="AP118" s="171">
        <v>77605</v>
      </c>
      <c r="AQ118" s="171">
        <v>261048</v>
      </c>
      <c r="AR118" s="175">
        <v>1</v>
      </c>
      <c r="AS118" s="175">
        <v>1</v>
      </c>
      <c r="AT118" s="176" t="s">
        <v>3286</v>
      </c>
      <c r="AU118" s="171"/>
      <c r="AV118" s="171">
        <v>-9.7799999999999998E-2</v>
      </c>
      <c r="AW118" s="171">
        <v>-6.4199999999999993E-2</v>
      </c>
      <c r="AY118" t="s">
        <v>971</v>
      </c>
      <c r="AZ118" t="s">
        <v>972</v>
      </c>
      <c r="BA118" t="s">
        <v>1596</v>
      </c>
      <c r="BB118" t="s">
        <v>2571</v>
      </c>
    </row>
    <row r="119" spans="1:55">
      <c r="A119" s="169">
        <v>2.0699999999999998</v>
      </c>
      <c r="B119" s="207"/>
      <c r="C119" t="s">
        <v>160</v>
      </c>
      <c r="D119" t="s">
        <v>3698</v>
      </c>
      <c r="F119" t="s">
        <v>1579</v>
      </c>
      <c r="G119" t="s">
        <v>1413</v>
      </c>
      <c r="H119" t="s">
        <v>1594</v>
      </c>
      <c r="I119" t="s">
        <v>2416</v>
      </c>
      <c r="J119" t="s">
        <v>2404</v>
      </c>
      <c r="K119" t="s">
        <v>2562</v>
      </c>
      <c r="M119" t="s">
        <v>3321</v>
      </c>
      <c r="N119" t="s">
        <v>160</v>
      </c>
      <c r="O119">
        <v>8</v>
      </c>
      <c r="Q119" t="s">
        <v>3476</v>
      </c>
      <c r="R119" t="s">
        <v>160</v>
      </c>
      <c r="S119">
        <v>5</v>
      </c>
      <c r="U119" t="s">
        <v>3619</v>
      </c>
      <c r="V119" t="s">
        <v>160</v>
      </c>
      <c r="W119">
        <v>5</v>
      </c>
      <c r="Y119">
        <v>15</v>
      </c>
      <c r="Z119">
        <v>98.3</v>
      </c>
      <c r="AA119">
        <v>5</v>
      </c>
      <c r="AB119">
        <v>9</v>
      </c>
      <c r="AC119">
        <v>99</v>
      </c>
      <c r="AD119">
        <v>3</v>
      </c>
      <c r="AF119" s="170" t="s">
        <v>160</v>
      </c>
      <c r="AG119" s="171">
        <v>0.3397</v>
      </c>
      <c r="AH119" s="192">
        <v>1.0780000000000001</v>
      </c>
      <c r="AI119" s="173">
        <v>0.153</v>
      </c>
      <c r="AJ119" s="173">
        <v>0.128</v>
      </c>
      <c r="AK119" s="173">
        <v>0.13900000000000001</v>
      </c>
      <c r="AL119" s="174"/>
      <c r="AM119" s="173">
        <v>0.126</v>
      </c>
      <c r="AN119" s="173">
        <v>9.5000000000000001E-2</v>
      </c>
      <c r="AO119" s="174"/>
      <c r="AP119" s="171">
        <v>141443</v>
      </c>
      <c r="AQ119" s="171">
        <v>265345</v>
      </c>
      <c r="AR119" s="175">
        <v>1</v>
      </c>
      <c r="AS119" s="175">
        <v>1</v>
      </c>
      <c r="AT119" s="176" t="s">
        <v>3286</v>
      </c>
      <c r="AU119" s="171"/>
      <c r="AV119" s="171">
        <v>-0.12820000000000001</v>
      </c>
      <c r="AW119" s="171">
        <v>-6.1800000000000001E-2</v>
      </c>
      <c r="AY119" t="s">
        <v>971</v>
      </c>
      <c r="AZ119" t="s">
        <v>977</v>
      </c>
      <c r="BA119" t="s">
        <v>1596</v>
      </c>
      <c r="BB119" t="s">
        <v>2573</v>
      </c>
    </row>
    <row r="120" spans="1:55">
      <c r="A120" s="169">
        <v>2.0699999999999998</v>
      </c>
      <c r="B120" s="207"/>
      <c r="C120" t="s">
        <v>152</v>
      </c>
      <c r="D120" t="s">
        <v>3694</v>
      </c>
      <c r="F120" t="s">
        <v>1579</v>
      </c>
      <c r="G120" t="s">
        <v>1413</v>
      </c>
      <c r="H120" t="s">
        <v>1580</v>
      </c>
      <c r="I120" t="s">
        <v>2416</v>
      </c>
      <c r="J120" t="s">
        <v>2404</v>
      </c>
      <c r="K120" t="s">
        <v>2547</v>
      </c>
      <c r="M120" t="s">
        <v>3321</v>
      </c>
      <c r="N120" t="s">
        <v>152</v>
      </c>
      <c r="O120">
        <v>8</v>
      </c>
      <c r="Q120" t="s">
        <v>3401</v>
      </c>
      <c r="R120" t="s">
        <v>152</v>
      </c>
      <c r="S120">
        <v>3</v>
      </c>
      <c r="U120" t="s">
        <v>3525</v>
      </c>
      <c r="V120" t="s">
        <v>152</v>
      </c>
      <c r="W120">
        <v>3</v>
      </c>
      <c r="Y120">
        <v>15</v>
      </c>
      <c r="Z120">
        <v>95.2</v>
      </c>
      <c r="AA120">
        <v>14</v>
      </c>
      <c r="AB120">
        <v>10</v>
      </c>
      <c r="AC120">
        <v>96</v>
      </c>
      <c r="AD120">
        <v>12</v>
      </c>
      <c r="AF120" s="170" t="s">
        <v>152</v>
      </c>
      <c r="AG120" s="171">
        <v>0.35599999999999998</v>
      </c>
      <c r="AH120" s="172">
        <v>3.5259999999999998</v>
      </c>
      <c r="AI120" s="173">
        <v>0.12</v>
      </c>
      <c r="AJ120" s="173">
        <v>0.11799999999999999</v>
      </c>
      <c r="AK120" s="173">
        <v>0.124</v>
      </c>
      <c r="AL120" s="174"/>
      <c r="AM120" s="173">
        <v>9.6000000000000002E-2</v>
      </c>
      <c r="AN120" s="173">
        <v>7.8E-2</v>
      </c>
      <c r="AO120" s="174"/>
      <c r="AP120" s="171">
        <v>161898</v>
      </c>
      <c r="AQ120" s="171">
        <v>298423.5</v>
      </c>
      <c r="AR120" s="175">
        <v>1</v>
      </c>
      <c r="AS120" s="175">
        <v>1</v>
      </c>
      <c r="AT120" s="176" t="s">
        <v>3286</v>
      </c>
      <c r="AU120" s="171"/>
      <c r="AV120" s="171">
        <v>-1.78E-2</v>
      </c>
      <c r="AW120" s="171">
        <v>-7.6E-3</v>
      </c>
      <c r="AY120" t="s">
        <v>763</v>
      </c>
      <c r="AZ120" t="s">
        <v>764</v>
      </c>
      <c r="BA120" t="s">
        <v>1583</v>
      </c>
      <c r="BB120" t="s">
        <v>2550</v>
      </c>
    </row>
    <row r="121" spans="1:55">
      <c r="A121" s="169">
        <v>2.0699999999999998</v>
      </c>
      <c r="B121" s="207"/>
      <c r="C121" t="s">
        <v>153</v>
      </c>
      <c r="D121" t="s">
        <v>3694</v>
      </c>
      <c r="F121" t="s">
        <v>1579</v>
      </c>
      <c r="G121" t="s">
        <v>1413</v>
      </c>
      <c r="H121" t="s">
        <v>1584</v>
      </c>
      <c r="I121" t="s">
        <v>2416</v>
      </c>
      <c r="J121" t="s">
        <v>2404</v>
      </c>
      <c r="K121" t="s">
        <v>2547</v>
      </c>
      <c r="M121" t="s">
        <v>3321</v>
      </c>
      <c r="N121" t="s">
        <v>153</v>
      </c>
      <c r="O121">
        <v>8</v>
      </c>
      <c r="Q121" t="s">
        <v>3401</v>
      </c>
      <c r="R121" t="s">
        <v>153</v>
      </c>
      <c r="S121">
        <v>3</v>
      </c>
      <c r="U121" t="s">
        <v>3525</v>
      </c>
      <c r="V121" t="s">
        <v>153</v>
      </c>
      <c r="W121">
        <v>3</v>
      </c>
      <c r="Y121">
        <v>15</v>
      </c>
      <c r="Z121">
        <v>99.7</v>
      </c>
      <c r="AA121">
        <v>1</v>
      </c>
      <c r="AB121">
        <v>10</v>
      </c>
      <c r="AC121">
        <v>99.7</v>
      </c>
      <c r="AD121">
        <v>1</v>
      </c>
      <c r="AF121" s="170" t="s">
        <v>153</v>
      </c>
      <c r="AG121" s="171">
        <v>0.4007</v>
      </c>
      <c r="AH121" s="173">
        <v>0.20300000000000001</v>
      </c>
      <c r="AI121" s="173">
        <v>0.13</v>
      </c>
      <c r="AJ121" s="173">
        <v>0.124</v>
      </c>
      <c r="AK121" s="173">
        <v>0.13800000000000001</v>
      </c>
      <c r="AL121" s="174"/>
      <c r="AM121" s="173">
        <v>9.6000000000000002E-2</v>
      </c>
      <c r="AN121" s="173">
        <v>8.5000000000000006E-2</v>
      </c>
      <c r="AO121" s="174"/>
      <c r="AP121" s="171">
        <v>141395</v>
      </c>
      <c r="AQ121" s="171">
        <v>210114</v>
      </c>
      <c r="AR121" s="175">
        <v>1</v>
      </c>
      <c r="AS121" s="175">
        <v>1</v>
      </c>
      <c r="AT121" s="176" t="s">
        <v>3286</v>
      </c>
      <c r="AU121" s="171"/>
      <c r="AV121" s="171">
        <v>-2.06E-2</v>
      </c>
      <c r="AW121" s="171">
        <v>-1.0999999999999999E-2</v>
      </c>
      <c r="AY121" t="s">
        <v>765</v>
      </c>
      <c r="AZ121" t="s">
        <v>766</v>
      </c>
      <c r="BA121" t="s">
        <v>1586</v>
      </c>
      <c r="BB121" t="s">
        <v>2553</v>
      </c>
    </row>
    <row r="122" spans="1:55" ht="17" thickBot="1">
      <c r="A122" s="169">
        <v>2.0699999999999998</v>
      </c>
      <c r="B122" s="208"/>
      <c r="C122" t="s">
        <v>154</v>
      </c>
      <c r="D122" t="s">
        <v>3694</v>
      </c>
      <c r="F122" t="s">
        <v>1579</v>
      </c>
      <c r="G122" t="s">
        <v>1413</v>
      </c>
      <c r="H122" t="s">
        <v>1591</v>
      </c>
      <c r="I122" t="s">
        <v>2416</v>
      </c>
      <c r="J122" t="s">
        <v>2404</v>
      </c>
      <c r="K122" t="s">
        <v>2558</v>
      </c>
      <c r="M122" t="s">
        <v>3321</v>
      </c>
      <c r="N122" t="s">
        <v>154</v>
      </c>
      <c r="O122">
        <v>8</v>
      </c>
      <c r="Q122" t="s">
        <v>3401</v>
      </c>
      <c r="R122" t="s">
        <v>154</v>
      </c>
      <c r="S122">
        <v>3</v>
      </c>
      <c r="U122" t="s">
        <v>3525</v>
      </c>
      <c r="V122" t="s">
        <v>154</v>
      </c>
      <c r="W122">
        <v>3</v>
      </c>
      <c r="Y122">
        <v>15</v>
      </c>
      <c r="Z122">
        <v>100</v>
      </c>
      <c r="AA122">
        <v>0</v>
      </c>
      <c r="AB122">
        <v>10</v>
      </c>
      <c r="AC122">
        <v>100</v>
      </c>
      <c r="AD122">
        <v>0</v>
      </c>
      <c r="AF122" s="170" t="s">
        <v>154</v>
      </c>
      <c r="AG122" s="171">
        <v>0.5091</v>
      </c>
      <c r="AH122" s="173">
        <v>0.14199999999999999</v>
      </c>
      <c r="AI122" s="173">
        <v>0.127</v>
      </c>
      <c r="AJ122" s="173">
        <v>0.159</v>
      </c>
      <c r="AK122" s="173">
        <v>0.16200000000000001</v>
      </c>
      <c r="AL122" s="174"/>
      <c r="AM122" s="173">
        <v>9.9000000000000005E-2</v>
      </c>
      <c r="AN122" s="173">
        <v>8.1000000000000003E-2</v>
      </c>
      <c r="AO122" s="174"/>
      <c r="AP122" s="171">
        <v>41412</v>
      </c>
      <c r="AQ122" s="171">
        <v>115110</v>
      </c>
      <c r="AR122" s="175">
        <v>1</v>
      </c>
      <c r="AS122" s="175">
        <v>1</v>
      </c>
      <c r="AT122" s="176" t="s">
        <v>3286</v>
      </c>
      <c r="AU122" s="171"/>
      <c r="AV122" s="171">
        <v>-7.5300000000000006E-2</v>
      </c>
      <c r="AW122" s="171">
        <v>-1.2800000000000001E-2</v>
      </c>
      <c r="AY122" t="s">
        <v>505</v>
      </c>
      <c r="AZ122" t="s">
        <v>506</v>
      </c>
      <c r="BA122" t="s">
        <v>1593</v>
      </c>
      <c r="BB122" t="s">
        <v>2561</v>
      </c>
    </row>
    <row r="123" spans="1:55">
      <c r="A123" s="168">
        <v>2.08</v>
      </c>
      <c r="B123" s="206">
        <v>2.08</v>
      </c>
      <c r="C123" s="81" t="s">
        <v>124</v>
      </c>
      <c r="D123" s="81" t="s">
        <v>3694</v>
      </c>
      <c r="E123" s="81"/>
      <c r="F123" s="81" t="s">
        <v>1502</v>
      </c>
      <c r="G123" s="81" t="s">
        <v>1413</v>
      </c>
      <c r="H123" s="81" t="s">
        <v>1503</v>
      </c>
      <c r="I123" s="81" t="s">
        <v>2475</v>
      </c>
      <c r="J123" s="81" t="s">
        <v>2411</v>
      </c>
      <c r="K123" s="81" t="s">
        <v>2476</v>
      </c>
      <c r="L123" s="81"/>
      <c r="M123" s="81" t="s">
        <v>3340</v>
      </c>
      <c r="N123" s="81" t="s">
        <v>124</v>
      </c>
      <c r="O123" s="81">
        <v>7</v>
      </c>
      <c r="P123" s="81"/>
      <c r="Q123" s="81" t="s">
        <v>3428</v>
      </c>
      <c r="R123" s="81" t="s">
        <v>124</v>
      </c>
      <c r="S123" s="81">
        <v>3</v>
      </c>
      <c r="T123" s="81"/>
      <c r="U123" s="81" t="s">
        <v>3430</v>
      </c>
      <c r="V123" s="81" t="s">
        <v>124</v>
      </c>
      <c r="W123" s="81">
        <v>3</v>
      </c>
      <c r="X123" s="81"/>
      <c r="Y123" s="81">
        <v>16</v>
      </c>
      <c r="Z123" s="81">
        <v>96.6</v>
      </c>
      <c r="AA123" s="81">
        <v>10</v>
      </c>
      <c r="AB123" s="81">
        <v>9</v>
      </c>
      <c r="AC123" s="81">
        <v>96.5</v>
      </c>
      <c r="AD123" s="81">
        <v>10</v>
      </c>
      <c r="AE123" s="81"/>
      <c r="AF123" s="83" t="s">
        <v>124</v>
      </c>
      <c r="AG123" s="33">
        <v>0.17799999999999999</v>
      </c>
      <c r="AH123" s="111">
        <v>3.585</v>
      </c>
      <c r="AI123" s="112">
        <v>0.23</v>
      </c>
      <c r="AJ123" s="112">
        <v>0.26</v>
      </c>
      <c r="AK123" s="112">
        <v>0.13300000000000001</v>
      </c>
      <c r="AL123" s="39"/>
      <c r="AM123" s="100">
        <v>3.5419999999999998</v>
      </c>
      <c r="AN123" s="105">
        <v>2.5150000000000001</v>
      </c>
      <c r="AO123" s="34"/>
      <c r="AP123" s="33">
        <v>18022</v>
      </c>
      <c r="AQ123" s="33">
        <v>90007</v>
      </c>
      <c r="AR123" s="88">
        <v>1</v>
      </c>
      <c r="AS123" s="88">
        <v>1</v>
      </c>
      <c r="AT123" s="89" t="s">
        <v>3286</v>
      </c>
      <c r="AU123" s="33"/>
      <c r="AV123" s="33">
        <v>2.46E-2</v>
      </c>
      <c r="AW123" s="33">
        <v>-0.11799999999999999</v>
      </c>
      <c r="AX123" s="81"/>
      <c r="AY123" s="81" t="s">
        <v>602</v>
      </c>
      <c r="AZ123" s="81" t="s">
        <v>604</v>
      </c>
      <c r="BA123" s="81" t="s">
        <v>1505</v>
      </c>
      <c r="BB123" s="81" t="s">
        <v>2478</v>
      </c>
      <c r="BC123" s="81"/>
    </row>
    <row r="124" spans="1:55">
      <c r="A124" s="169">
        <v>2.08</v>
      </c>
      <c r="B124" s="207"/>
      <c r="C124" t="s">
        <v>127</v>
      </c>
      <c r="D124" t="s">
        <v>3694</v>
      </c>
      <c r="F124" t="s">
        <v>1502</v>
      </c>
      <c r="G124" t="s">
        <v>1413</v>
      </c>
      <c r="H124" t="s">
        <v>1514</v>
      </c>
      <c r="I124" t="s">
        <v>2475</v>
      </c>
      <c r="J124" t="s">
        <v>2411</v>
      </c>
      <c r="K124" t="s">
        <v>2476</v>
      </c>
      <c r="M124" t="s">
        <v>3340</v>
      </c>
      <c r="N124" t="s">
        <v>127</v>
      </c>
      <c r="O124">
        <v>7</v>
      </c>
      <c r="Q124" t="s">
        <v>3428</v>
      </c>
      <c r="R124" t="s">
        <v>127</v>
      </c>
      <c r="S124">
        <v>3</v>
      </c>
      <c r="U124" t="s">
        <v>3430</v>
      </c>
      <c r="V124" t="s">
        <v>127</v>
      </c>
      <c r="W124">
        <v>3</v>
      </c>
      <c r="Y124">
        <v>16</v>
      </c>
      <c r="Z124">
        <v>95.3</v>
      </c>
      <c r="AA124">
        <v>14</v>
      </c>
      <c r="AB124">
        <v>9</v>
      </c>
      <c r="AC124">
        <v>95.8</v>
      </c>
      <c r="AD124">
        <v>12</v>
      </c>
      <c r="AF124" s="170" t="s">
        <v>127</v>
      </c>
      <c r="AG124" s="171">
        <v>0.34899999999999998</v>
      </c>
      <c r="AH124" s="183">
        <v>3.6269999999999998</v>
      </c>
      <c r="AI124" s="195">
        <v>1.8440000000000001</v>
      </c>
      <c r="AJ124" s="189">
        <v>0.71199999999999997</v>
      </c>
      <c r="AK124" s="188">
        <v>0.154</v>
      </c>
      <c r="AL124" s="185"/>
      <c r="AM124" s="172">
        <v>3.5230000000000001</v>
      </c>
      <c r="AN124" s="177">
        <v>2.4620000000000002</v>
      </c>
      <c r="AO124" s="174"/>
      <c r="AP124" s="171">
        <v>10464</v>
      </c>
      <c r="AQ124" s="171">
        <v>53472</v>
      </c>
      <c r="AR124" s="175">
        <v>1</v>
      </c>
      <c r="AS124" s="175">
        <v>1</v>
      </c>
      <c r="AT124" s="176" t="s">
        <v>3286</v>
      </c>
      <c r="AU124" s="171"/>
      <c r="AV124" s="171">
        <v>5.6599999999999998E-2</v>
      </c>
      <c r="AW124" s="171">
        <v>-7.6499999999999999E-2</v>
      </c>
      <c r="AY124" t="s">
        <v>668</v>
      </c>
      <c r="AZ124" t="s">
        <v>669</v>
      </c>
      <c r="BA124" t="s">
        <v>1516</v>
      </c>
      <c r="BB124" t="s">
        <v>2488</v>
      </c>
    </row>
    <row r="125" spans="1:55">
      <c r="A125" s="169">
        <v>2.08</v>
      </c>
      <c r="B125" s="207"/>
      <c r="C125" t="s">
        <v>129</v>
      </c>
      <c r="D125" t="s">
        <v>3694</v>
      </c>
      <c r="F125" t="s">
        <v>1502</v>
      </c>
      <c r="G125" t="s">
        <v>1413</v>
      </c>
      <c r="H125" t="s">
        <v>1517</v>
      </c>
      <c r="I125" t="s">
        <v>2475</v>
      </c>
      <c r="J125" t="s">
        <v>2411</v>
      </c>
      <c r="K125" t="s">
        <v>2476</v>
      </c>
      <c r="M125" t="s">
        <v>3340</v>
      </c>
      <c r="N125" t="s">
        <v>129</v>
      </c>
      <c r="O125">
        <v>7</v>
      </c>
      <c r="Q125" t="s">
        <v>3428</v>
      </c>
      <c r="R125" t="s">
        <v>129</v>
      </c>
      <c r="S125">
        <v>3</v>
      </c>
      <c r="U125" t="s">
        <v>3430</v>
      </c>
      <c r="V125" t="s">
        <v>129</v>
      </c>
      <c r="W125">
        <v>3</v>
      </c>
      <c r="Y125">
        <v>16</v>
      </c>
      <c r="Z125">
        <v>95.3</v>
      </c>
      <c r="AA125">
        <v>14</v>
      </c>
      <c r="AB125">
        <v>9</v>
      </c>
      <c r="AC125">
        <v>96.5</v>
      </c>
      <c r="AD125">
        <v>10</v>
      </c>
      <c r="AF125" s="170" t="s">
        <v>129</v>
      </c>
      <c r="AG125" s="171">
        <v>0.36940000000000001</v>
      </c>
      <c r="AH125" s="183">
        <v>3.5430000000000001</v>
      </c>
      <c r="AI125" s="195">
        <v>1.917</v>
      </c>
      <c r="AJ125" s="196">
        <v>1.5509999999999999</v>
      </c>
      <c r="AK125" s="188">
        <v>0.152</v>
      </c>
      <c r="AL125" s="185"/>
      <c r="AM125" s="172">
        <v>3.4849999999999999</v>
      </c>
      <c r="AN125" s="177">
        <v>2.3420000000000001</v>
      </c>
      <c r="AO125" s="174"/>
      <c r="AP125" s="171">
        <v>7416</v>
      </c>
      <c r="AQ125" s="171">
        <v>46671</v>
      </c>
      <c r="AR125" s="175">
        <v>0</v>
      </c>
      <c r="AS125" s="175">
        <v>1</v>
      </c>
      <c r="AT125" s="176" t="s">
        <v>3286</v>
      </c>
      <c r="AU125" s="171"/>
      <c r="AV125" s="171">
        <v>-1.3599999999999999E-2</v>
      </c>
      <c r="AW125" s="171">
        <v>1.9699999999999999E-2</v>
      </c>
      <c r="AY125" t="s">
        <v>674</v>
      </c>
      <c r="AZ125" t="s">
        <v>675</v>
      </c>
      <c r="BA125" t="s">
        <v>1519</v>
      </c>
      <c r="BB125" t="s">
        <v>2489</v>
      </c>
    </row>
    <row r="126" spans="1:55">
      <c r="A126" s="169">
        <v>2.08</v>
      </c>
      <c r="B126" s="207"/>
      <c r="C126" t="s">
        <v>125</v>
      </c>
      <c r="D126" t="s">
        <v>3694</v>
      </c>
      <c r="F126" t="s">
        <v>1502</v>
      </c>
      <c r="G126" t="s">
        <v>1413</v>
      </c>
      <c r="H126" t="s">
        <v>1520</v>
      </c>
      <c r="I126" t="s">
        <v>2475</v>
      </c>
      <c r="J126" t="s">
        <v>2411</v>
      </c>
      <c r="K126" t="s">
        <v>2490</v>
      </c>
      <c r="M126" t="s">
        <v>3340</v>
      </c>
      <c r="N126" t="s">
        <v>125</v>
      </c>
      <c r="O126">
        <v>7</v>
      </c>
      <c r="Q126" t="s">
        <v>3430</v>
      </c>
      <c r="R126" t="s">
        <v>125</v>
      </c>
      <c r="S126">
        <v>2</v>
      </c>
      <c r="U126" t="s">
        <v>3559</v>
      </c>
      <c r="V126" t="s">
        <v>125</v>
      </c>
      <c r="W126">
        <v>2</v>
      </c>
      <c r="Y126">
        <v>16</v>
      </c>
      <c r="Z126">
        <v>95</v>
      </c>
      <c r="AA126">
        <v>15</v>
      </c>
      <c r="AB126">
        <v>9</v>
      </c>
      <c r="AC126">
        <v>94.4</v>
      </c>
      <c r="AD126">
        <v>16</v>
      </c>
      <c r="AF126" s="170" t="s">
        <v>125</v>
      </c>
      <c r="AG126" s="171">
        <v>0.25409999999999999</v>
      </c>
      <c r="AH126" s="183">
        <v>3.59</v>
      </c>
      <c r="AI126" s="183">
        <v>3.56</v>
      </c>
      <c r="AJ126" s="183">
        <v>3.5619999999999998</v>
      </c>
      <c r="AK126" s="188">
        <v>0.13400000000000001</v>
      </c>
      <c r="AL126" s="185"/>
      <c r="AM126" s="172">
        <v>3.6269999999999998</v>
      </c>
      <c r="AN126" s="186">
        <v>2.2999999999999998</v>
      </c>
      <c r="AO126" s="174"/>
      <c r="AP126" s="171">
        <v>9577</v>
      </c>
      <c r="AQ126" s="171">
        <v>72247</v>
      </c>
      <c r="AR126" s="175">
        <v>1</v>
      </c>
      <c r="AS126" s="175">
        <v>1</v>
      </c>
      <c r="AT126" s="176" t="s">
        <v>3286</v>
      </c>
      <c r="AU126" s="171"/>
      <c r="AV126" s="171">
        <v>-9.7600000000000006E-2</v>
      </c>
      <c r="AW126" s="171">
        <v>-5.91E-2</v>
      </c>
      <c r="AY126" t="s">
        <v>614</v>
      </c>
      <c r="AZ126" t="s">
        <v>615</v>
      </c>
      <c r="BA126" t="s">
        <v>3296</v>
      </c>
      <c r="BB126" t="s">
        <v>3297</v>
      </c>
    </row>
    <row r="127" spans="1:55">
      <c r="A127" s="169">
        <v>2.08</v>
      </c>
      <c r="B127" s="207"/>
      <c r="C127" t="s">
        <v>131</v>
      </c>
      <c r="D127" t="s">
        <v>3694</v>
      </c>
      <c r="F127" t="s">
        <v>1502</v>
      </c>
      <c r="G127" t="s">
        <v>1413</v>
      </c>
      <c r="H127" t="s">
        <v>1520</v>
      </c>
      <c r="I127" t="s">
        <v>2475</v>
      </c>
      <c r="J127" t="s">
        <v>2411</v>
      </c>
      <c r="K127" t="s">
        <v>2490</v>
      </c>
      <c r="M127" t="s">
        <v>3340</v>
      </c>
      <c r="N127" t="s">
        <v>131</v>
      </c>
      <c r="O127">
        <v>7</v>
      </c>
      <c r="Q127" t="s">
        <v>3430</v>
      </c>
      <c r="R127" t="s">
        <v>131</v>
      </c>
      <c r="S127">
        <v>2</v>
      </c>
      <c r="U127" t="s">
        <v>3559</v>
      </c>
      <c r="V127" t="s">
        <v>131</v>
      </c>
      <c r="W127">
        <v>2</v>
      </c>
      <c r="Y127">
        <v>16</v>
      </c>
      <c r="Z127">
        <v>97</v>
      </c>
      <c r="AA127">
        <v>9</v>
      </c>
      <c r="AB127">
        <v>9</v>
      </c>
      <c r="AC127">
        <v>94.7</v>
      </c>
      <c r="AD127">
        <v>15</v>
      </c>
      <c r="AF127" s="170" t="s">
        <v>131</v>
      </c>
      <c r="AG127" s="171">
        <v>0.28449999999999998</v>
      </c>
      <c r="AH127" s="183">
        <v>3.5710000000000002</v>
      </c>
      <c r="AI127" s="191">
        <v>3.2770000000000001</v>
      </c>
      <c r="AJ127" s="183">
        <v>3.4940000000000002</v>
      </c>
      <c r="AK127" s="188">
        <v>0.14599999999999999</v>
      </c>
      <c r="AL127" s="185"/>
      <c r="AM127" s="172">
        <v>3.5059999999999998</v>
      </c>
      <c r="AN127" s="177">
        <v>2.3820000000000001</v>
      </c>
      <c r="AO127" s="174"/>
      <c r="AP127" s="171">
        <v>8394</v>
      </c>
      <c r="AQ127" s="171">
        <v>72345</v>
      </c>
      <c r="AR127" s="175">
        <v>1</v>
      </c>
      <c r="AS127" s="175">
        <v>1</v>
      </c>
      <c r="AT127" s="176" t="s">
        <v>3286</v>
      </c>
      <c r="AU127" s="171"/>
      <c r="AV127" s="171">
        <v>-0.15409999999999999</v>
      </c>
      <c r="AW127" s="171">
        <v>-8.9700000000000002E-2</v>
      </c>
      <c r="AY127" t="s">
        <v>684</v>
      </c>
      <c r="AZ127" t="s">
        <v>685</v>
      </c>
      <c r="BA127" t="s">
        <v>1522</v>
      </c>
      <c r="BB127" t="s">
        <v>2492</v>
      </c>
    </row>
    <row r="128" spans="1:55">
      <c r="A128" s="169">
        <v>2.08</v>
      </c>
      <c r="B128" s="207"/>
      <c r="C128" t="s">
        <v>132</v>
      </c>
      <c r="D128" t="s">
        <v>3697</v>
      </c>
      <c r="F128" t="s">
        <v>1502</v>
      </c>
      <c r="G128" t="s">
        <v>1413</v>
      </c>
      <c r="H128" t="s">
        <v>1523</v>
      </c>
      <c r="I128" t="s">
        <v>2475</v>
      </c>
      <c r="J128" t="s">
        <v>2411</v>
      </c>
      <c r="K128" t="s">
        <v>2493</v>
      </c>
      <c r="M128" t="s">
        <v>3340</v>
      </c>
      <c r="N128" t="s">
        <v>132</v>
      </c>
      <c r="O128">
        <v>7</v>
      </c>
      <c r="Q128" t="s">
        <v>3486</v>
      </c>
      <c r="R128" t="s">
        <v>132</v>
      </c>
      <c r="S128">
        <v>2</v>
      </c>
      <c r="U128" t="s">
        <v>3635</v>
      </c>
      <c r="V128" t="s">
        <v>132</v>
      </c>
      <c r="W128">
        <v>1</v>
      </c>
      <c r="Y128">
        <v>16</v>
      </c>
      <c r="Z128">
        <v>93.3</v>
      </c>
      <c r="AA128">
        <v>20</v>
      </c>
      <c r="AB128">
        <v>9</v>
      </c>
      <c r="AC128">
        <v>91.5</v>
      </c>
      <c r="AD128">
        <v>24</v>
      </c>
      <c r="AF128" s="170" t="s">
        <v>133</v>
      </c>
      <c r="AG128" s="171">
        <v>0.29199999999999998</v>
      </c>
      <c r="AH128" s="172">
        <v>3.5790000000000002</v>
      </c>
      <c r="AI128" s="182">
        <v>0.436</v>
      </c>
      <c r="AJ128" s="193">
        <v>1.667</v>
      </c>
      <c r="AK128" s="173">
        <v>0.13600000000000001</v>
      </c>
      <c r="AL128" s="174"/>
      <c r="AM128" s="172">
        <v>3.5070000000000001</v>
      </c>
      <c r="AN128" s="186">
        <v>2.2690000000000001</v>
      </c>
      <c r="AO128" s="174"/>
      <c r="AP128" s="171">
        <v>9123</v>
      </c>
      <c r="AQ128" s="171">
        <v>153235.5</v>
      </c>
      <c r="AR128" s="175">
        <v>1</v>
      </c>
      <c r="AS128" s="175">
        <v>1</v>
      </c>
      <c r="AT128" s="176" t="s">
        <v>3286</v>
      </c>
      <c r="AU128" s="171"/>
      <c r="AV128" s="171">
        <v>-7.8399999999999997E-2</v>
      </c>
      <c r="AW128" s="171">
        <v>-4.2900000000000001E-2</v>
      </c>
      <c r="AY128" t="s">
        <v>1032</v>
      </c>
      <c r="AZ128" t="s">
        <v>1033</v>
      </c>
      <c r="BA128" t="s">
        <v>1525</v>
      </c>
      <c r="BB128" t="s">
        <v>2495</v>
      </c>
    </row>
    <row r="129" spans="1:55" ht="17" thickBot="1">
      <c r="A129" s="178">
        <v>2.08</v>
      </c>
      <c r="B129" s="208"/>
      <c r="C129" s="40" t="s">
        <v>134</v>
      </c>
      <c r="D129" s="40" t="s">
        <v>3697</v>
      </c>
      <c r="E129" s="40"/>
      <c r="F129" s="40" t="s">
        <v>1502</v>
      </c>
      <c r="G129" s="40" t="s">
        <v>1413</v>
      </c>
      <c r="H129" s="40" t="s">
        <v>1526</v>
      </c>
      <c r="I129" s="40" t="s">
        <v>2475</v>
      </c>
      <c r="J129" s="40" t="s">
        <v>2411</v>
      </c>
      <c r="K129" s="40" t="s">
        <v>2496</v>
      </c>
      <c r="L129" s="40"/>
      <c r="M129" s="40" t="s">
        <v>3340</v>
      </c>
      <c r="N129" s="40" t="s">
        <v>134</v>
      </c>
      <c r="O129" s="40">
        <v>7</v>
      </c>
      <c r="P129" s="40"/>
      <c r="Q129" s="40" t="s">
        <v>3486</v>
      </c>
      <c r="R129" s="40" t="s">
        <v>134</v>
      </c>
      <c r="S129" s="40">
        <v>2</v>
      </c>
      <c r="T129" s="40"/>
      <c r="U129" s="40" t="s">
        <v>3654</v>
      </c>
      <c r="V129" s="40" t="s">
        <v>134</v>
      </c>
      <c r="W129" s="40">
        <v>1</v>
      </c>
      <c r="X129" s="40"/>
      <c r="Y129" s="40">
        <v>16</v>
      </c>
      <c r="Z129" s="40">
        <v>96</v>
      </c>
      <c r="AA129" s="40">
        <v>12</v>
      </c>
      <c r="AB129" s="40">
        <v>9</v>
      </c>
      <c r="AC129" s="40">
        <v>96.5</v>
      </c>
      <c r="AD129" s="40">
        <v>10</v>
      </c>
      <c r="AE129" s="40"/>
      <c r="AF129" s="85" t="s">
        <v>135</v>
      </c>
      <c r="AG129" s="35">
        <v>0.37030000000000002</v>
      </c>
      <c r="AH129" s="102">
        <v>3.5750000000000002</v>
      </c>
      <c r="AI129" s="90">
        <v>0.20699999999999999</v>
      </c>
      <c r="AJ129" s="92">
        <v>0.57799999999999996</v>
      </c>
      <c r="AK129" s="90">
        <v>0.17199999999999999</v>
      </c>
      <c r="AL129" s="37"/>
      <c r="AM129" s="102">
        <v>3.56</v>
      </c>
      <c r="AN129" s="102">
        <v>2.52</v>
      </c>
      <c r="AO129" s="37"/>
      <c r="AP129" s="35">
        <v>11936.5</v>
      </c>
      <c r="AQ129" s="35">
        <v>69500</v>
      </c>
      <c r="AR129" s="93">
        <v>1</v>
      </c>
      <c r="AS129" s="93">
        <v>1</v>
      </c>
      <c r="AT129" s="94" t="s">
        <v>3286</v>
      </c>
      <c r="AU129" s="35"/>
      <c r="AV129" s="35">
        <v>-1.8599999999999998E-2</v>
      </c>
      <c r="AW129" s="35">
        <v>-4.6199999999999998E-2</v>
      </c>
      <c r="AX129" s="40"/>
      <c r="AY129" s="40" t="s">
        <v>1079</v>
      </c>
      <c r="AZ129" s="40" t="s">
        <v>1080</v>
      </c>
      <c r="BA129" s="40" t="s">
        <v>1528</v>
      </c>
      <c r="BB129" s="40" t="s">
        <v>2498</v>
      </c>
      <c r="BC129" s="40"/>
    </row>
    <row r="130" spans="1:55">
      <c r="A130" s="169">
        <v>2.09</v>
      </c>
      <c r="B130" s="206">
        <v>2.09</v>
      </c>
      <c r="C130" t="s">
        <v>51</v>
      </c>
      <c r="D130" t="s">
        <v>3694</v>
      </c>
      <c r="F130" t="s">
        <v>1729</v>
      </c>
      <c r="G130" t="s">
        <v>1421</v>
      </c>
      <c r="H130" t="s">
        <v>2221</v>
      </c>
      <c r="I130" t="s">
        <v>2451</v>
      </c>
      <c r="J130" t="s">
        <v>2404</v>
      </c>
      <c r="K130" t="s">
        <v>3108</v>
      </c>
      <c r="M130" t="s">
        <v>3333</v>
      </c>
      <c r="N130" t="s">
        <v>51</v>
      </c>
      <c r="O130">
        <v>6</v>
      </c>
      <c r="Q130" t="s">
        <v>3419</v>
      </c>
      <c r="R130" t="s">
        <v>51</v>
      </c>
      <c r="S130">
        <v>6</v>
      </c>
      <c r="U130" t="s">
        <v>3545</v>
      </c>
      <c r="V130" t="s">
        <v>51</v>
      </c>
      <c r="W130">
        <v>6</v>
      </c>
      <c r="Y130">
        <v>15</v>
      </c>
      <c r="Z130">
        <v>92.2</v>
      </c>
      <c r="AA130">
        <v>23</v>
      </c>
      <c r="AB130">
        <v>9</v>
      </c>
      <c r="AC130">
        <v>96.5</v>
      </c>
      <c r="AD130">
        <v>10</v>
      </c>
      <c r="AF130" s="170" t="s">
        <v>51</v>
      </c>
      <c r="AG130" s="171">
        <v>0.40989999999999999</v>
      </c>
      <c r="AH130" s="172">
        <v>3.573</v>
      </c>
      <c r="AI130" s="172">
        <v>3.5979999999999999</v>
      </c>
      <c r="AJ130" s="172">
        <v>3.6629999999999998</v>
      </c>
      <c r="AK130" s="173">
        <v>0.20599999999999999</v>
      </c>
      <c r="AL130" s="174"/>
      <c r="AM130" s="173">
        <v>0.16200000000000001</v>
      </c>
      <c r="AN130" s="173">
        <v>8.5000000000000006E-2</v>
      </c>
      <c r="AO130" s="174"/>
      <c r="AP130" s="171">
        <v>61278</v>
      </c>
      <c r="AQ130" s="171">
        <v>4508</v>
      </c>
      <c r="AR130" s="175">
        <v>1</v>
      </c>
      <c r="AS130" s="175">
        <v>0</v>
      </c>
      <c r="AT130" s="176" t="s">
        <v>3285</v>
      </c>
      <c r="AU130" s="171"/>
      <c r="AV130" s="171">
        <v>-1.23E-2</v>
      </c>
      <c r="AW130" s="171">
        <v>-2.8E-3</v>
      </c>
      <c r="AY130" t="s">
        <v>761</v>
      </c>
      <c r="AZ130" t="s">
        <v>762</v>
      </c>
      <c r="BA130" t="s">
        <v>2224</v>
      </c>
      <c r="BB130" t="s">
        <v>3111</v>
      </c>
    </row>
    <row r="131" spans="1:55">
      <c r="A131" s="169">
        <v>2.09</v>
      </c>
      <c r="B131" s="207"/>
      <c r="C131" t="s">
        <v>52</v>
      </c>
      <c r="D131" t="s">
        <v>3694</v>
      </c>
      <c r="F131" t="s">
        <v>1729</v>
      </c>
      <c r="G131" t="s">
        <v>1421</v>
      </c>
      <c r="H131" t="s">
        <v>2225</v>
      </c>
      <c r="I131" t="s">
        <v>2451</v>
      </c>
      <c r="J131" t="s">
        <v>2404</v>
      </c>
      <c r="K131" t="s">
        <v>3112</v>
      </c>
      <c r="M131" t="s">
        <v>3333</v>
      </c>
      <c r="N131" t="s">
        <v>52</v>
      </c>
      <c r="O131">
        <v>6</v>
      </c>
      <c r="Q131" t="s">
        <v>3419</v>
      </c>
      <c r="R131" t="s">
        <v>52</v>
      </c>
      <c r="S131">
        <v>6</v>
      </c>
      <c r="U131" t="s">
        <v>3545</v>
      </c>
      <c r="V131" t="s">
        <v>52</v>
      </c>
      <c r="W131">
        <v>6</v>
      </c>
      <c r="Y131">
        <v>15</v>
      </c>
      <c r="Z131">
        <v>93.6</v>
      </c>
      <c r="AA131">
        <v>19</v>
      </c>
      <c r="AB131">
        <v>9</v>
      </c>
      <c r="AC131">
        <v>96.9</v>
      </c>
      <c r="AD131">
        <v>9</v>
      </c>
      <c r="AF131" s="170" t="s">
        <v>52</v>
      </c>
      <c r="AG131" s="171">
        <v>0.41789999999999999</v>
      </c>
      <c r="AH131" s="172">
        <v>3.5219999999999998</v>
      </c>
      <c r="AI131" s="177">
        <v>3.4790000000000001</v>
      </c>
      <c r="AJ131" s="172">
        <v>3.6019999999999999</v>
      </c>
      <c r="AK131" s="173">
        <v>0.27400000000000002</v>
      </c>
      <c r="AL131" s="174"/>
      <c r="AM131" s="173">
        <v>0.109</v>
      </c>
      <c r="AN131" s="173">
        <v>9.7000000000000003E-2</v>
      </c>
      <c r="AO131" s="174"/>
      <c r="AP131" s="171">
        <v>6606</v>
      </c>
      <c r="AQ131" s="171">
        <v>1739</v>
      </c>
      <c r="AR131" s="175">
        <v>0</v>
      </c>
      <c r="AS131" s="175">
        <v>0</v>
      </c>
      <c r="AT131" s="176" t="s">
        <v>3285</v>
      </c>
      <c r="AU131" s="171"/>
      <c r="AV131" s="171">
        <v>-6.2300000000000001E-2</v>
      </c>
      <c r="AW131" s="171">
        <v>-1.2500000000000001E-2</v>
      </c>
      <c r="AY131" t="s">
        <v>558</v>
      </c>
      <c r="AZ131" t="s">
        <v>559</v>
      </c>
      <c r="BA131" t="s">
        <v>2227</v>
      </c>
      <c r="BB131" t="s">
        <v>3114</v>
      </c>
    </row>
    <row r="132" spans="1:55">
      <c r="A132" s="169">
        <v>2.09</v>
      </c>
      <c r="B132" s="207"/>
      <c r="C132" t="s">
        <v>53</v>
      </c>
      <c r="D132" t="s">
        <v>3694</v>
      </c>
      <c r="F132" t="s">
        <v>1729</v>
      </c>
      <c r="G132" t="s">
        <v>1421</v>
      </c>
      <c r="H132" t="s">
        <v>2229</v>
      </c>
      <c r="I132" t="s">
        <v>2451</v>
      </c>
      <c r="J132" t="s">
        <v>2404</v>
      </c>
      <c r="K132" t="s">
        <v>3116</v>
      </c>
      <c r="M132" t="s">
        <v>3333</v>
      </c>
      <c r="N132" t="s">
        <v>53</v>
      </c>
      <c r="O132">
        <v>6</v>
      </c>
      <c r="Q132" t="s">
        <v>3419</v>
      </c>
      <c r="R132" t="s">
        <v>53</v>
      </c>
      <c r="S132">
        <v>6</v>
      </c>
      <c r="U132" t="s">
        <v>3545</v>
      </c>
      <c r="V132" t="s">
        <v>53</v>
      </c>
      <c r="W132">
        <v>6</v>
      </c>
      <c r="Y132">
        <v>15</v>
      </c>
      <c r="Z132">
        <v>92.9</v>
      </c>
      <c r="AA132">
        <v>21</v>
      </c>
      <c r="AB132">
        <v>9</v>
      </c>
      <c r="AC132">
        <v>97.2</v>
      </c>
      <c r="AD132">
        <v>8</v>
      </c>
      <c r="AF132" s="170" t="s">
        <v>53</v>
      </c>
      <c r="AG132" s="171">
        <v>0.23250000000000001</v>
      </c>
      <c r="AH132" s="183">
        <v>3.5379999999999998</v>
      </c>
      <c r="AI132" s="183">
        <v>3.55</v>
      </c>
      <c r="AJ132" s="183">
        <v>3.5880000000000001</v>
      </c>
      <c r="AK132" s="188">
        <v>0.216</v>
      </c>
      <c r="AL132" s="185"/>
      <c r="AM132" s="173">
        <v>0.12</v>
      </c>
      <c r="AN132" s="173">
        <v>0.09</v>
      </c>
      <c r="AO132" s="174"/>
      <c r="AP132" s="171">
        <v>23070</v>
      </c>
      <c r="AQ132" s="171">
        <v>1661</v>
      </c>
      <c r="AR132" s="175">
        <v>1</v>
      </c>
      <c r="AS132" s="175">
        <v>0</v>
      </c>
      <c r="AT132" s="176" t="s">
        <v>3285</v>
      </c>
      <c r="AU132" s="171"/>
      <c r="AV132" s="171">
        <v>-0.13020000000000001</v>
      </c>
      <c r="AW132" s="171">
        <v>-7.0999999999999994E-2</v>
      </c>
      <c r="AY132" t="s">
        <v>664</v>
      </c>
      <c r="AZ132" t="s">
        <v>665</v>
      </c>
      <c r="BA132" t="s">
        <v>2231</v>
      </c>
      <c r="BB132" t="s">
        <v>3118</v>
      </c>
    </row>
    <row r="133" spans="1:55">
      <c r="A133" s="169">
        <v>2.09</v>
      </c>
      <c r="B133" s="207"/>
      <c r="C133" t="s">
        <v>54</v>
      </c>
      <c r="D133" t="s">
        <v>3694</v>
      </c>
      <c r="F133" t="s">
        <v>1729</v>
      </c>
      <c r="G133" t="s">
        <v>1421</v>
      </c>
      <c r="H133" t="s">
        <v>2232</v>
      </c>
      <c r="I133" t="s">
        <v>2451</v>
      </c>
      <c r="J133" t="s">
        <v>2404</v>
      </c>
      <c r="K133" t="s">
        <v>3119</v>
      </c>
      <c r="M133" t="s">
        <v>3333</v>
      </c>
      <c r="N133" t="s">
        <v>54</v>
      </c>
      <c r="O133">
        <v>6</v>
      </c>
      <c r="Q133" t="s">
        <v>3419</v>
      </c>
      <c r="R133" t="s">
        <v>54</v>
      </c>
      <c r="S133">
        <v>6</v>
      </c>
      <c r="U133" t="s">
        <v>3545</v>
      </c>
      <c r="V133" t="s">
        <v>54</v>
      </c>
      <c r="W133">
        <v>6</v>
      </c>
      <c r="Y133">
        <v>15</v>
      </c>
      <c r="Z133">
        <v>94.6</v>
      </c>
      <c r="AA133">
        <v>16</v>
      </c>
      <c r="AB133">
        <v>9</v>
      </c>
      <c r="AC133">
        <v>98.2</v>
      </c>
      <c r="AD133">
        <v>5</v>
      </c>
      <c r="AF133" s="170" t="s">
        <v>54</v>
      </c>
      <c r="AG133" s="171">
        <v>0.32619999999999999</v>
      </c>
      <c r="AH133" s="183">
        <v>3.605</v>
      </c>
      <c r="AI133" s="183">
        <v>3.5449999999999999</v>
      </c>
      <c r="AJ133" s="183">
        <v>3.6320000000000001</v>
      </c>
      <c r="AK133" s="188">
        <v>0.246</v>
      </c>
      <c r="AL133" s="185"/>
      <c r="AM133" s="173">
        <v>0.11600000000000001</v>
      </c>
      <c r="AN133" s="173">
        <v>9.2999999999999999E-2</v>
      </c>
      <c r="AO133" s="174"/>
      <c r="AP133" s="171">
        <v>15060</v>
      </c>
      <c r="AQ133" s="171">
        <v>6098</v>
      </c>
      <c r="AR133" s="175">
        <v>1</v>
      </c>
      <c r="AS133" s="175">
        <v>0</v>
      </c>
      <c r="AT133" s="176" t="s">
        <v>3285</v>
      </c>
      <c r="AU133" s="171"/>
      <c r="AV133" s="171">
        <v>-0.1022</v>
      </c>
      <c r="AW133" s="171">
        <v>-0.13009999999999999</v>
      </c>
      <c r="AY133" t="s">
        <v>686</v>
      </c>
      <c r="AZ133" t="s">
        <v>687</v>
      </c>
      <c r="BA133" t="s">
        <v>2234</v>
      </c>
      <c r="BB133" t="s">
        <v>3121</v>
      </c>
    </row>
    <row r="134" spans="1:55">
      <c r="A134" s="169">
        <v>2.09</v>
      </c>
      <c r="B134" s="207"/>
      <c r="C134" t="s">
        <v>55</v>
      </c>
      <c r="D134" t="s">
        <v>3694</v>
      </c>
      <c r="F134" t="s">
        <v>1729</v>
      </c>
      <c r="G134" t="s">
        <v>1421</v>
      </c>
      <c r="H134" t="s">
        <v>2225</v>
      </c>
      <c r="I134" t="s">
        <v>2451</v>
      </c>
      <c r="J134" t="s">
        <v>2404</v>
      </c>
      <c r="K134" t="s">
        <v>3119</v>
      </c>
      <c r="M134" t="s">
        <v>3333</v>
      </c>
      <c r="N134" t="s">
        <v>55</v>
      </c>
      <c r="O134">
        <v>6</v>
      </c>
      <c r="Q134" t="s">
        <v>3419</v>
      </c>
      <c r="R134" t="s">
        <v>55</v>
      </c>
      <c r="S134">
        <v>6</v>
      </c>
      <c r="U134" t="s">
        <v>3545</v>
      </c>
      <c r="V134" t="s">
        <v>55</v>
      </c>
      <c r="W134">
        <v>6</v>
      </c>
      <c r="Y134">
        <v>15</v>
      </c>
      <c r="Z134">
        <v>94.9</v>
      </c>
      <c r="AA134">
        <v>15</v>
      </c>
      <c r="AB134">
        <v>9</v>
      </c>
      <c r="AC134">
        <v>98.6</v>
      </c>
      <c r="AD134">
        <v>4</v>
      </c>
      <c r="AF134" s="170" t="s">
        <v>55</v>
      </c>
      <c r="AG134" s="171">
        <v>0.41599999999999998</v>
      </c>
      <c r="AH134" s="183">
        <v>3.536</v>
      </c>
      <c r="AI134" s="183">
        <v>3.54</v>
      </c>
      <c r="AJ134" s="183">
        <v>3.5910000000000002</v>
      </c>
      <c r="AK134" s="188">
        <v>0.24399999999999999</v>
      </c>
      <c r="AL134" s="185"/>
      <c r="AM134" s="173">
        <v>0.112</v>
      </c>
      <c r="AN134" s="173">
        <v>8.8999999999999996E-2</v>
      </c>
      <c r="AO134" s="174"/>
      <c r="AP134" s="171">
        <v>16207</v>
      </c>
      <c r="AQ134" s="171">
        <v>3864</v>
      </c>
      <c r="AR134" s="175">
        <v>1</v>
      </c>
      <c r="AS134" s="175">
        <v>0</v>
      </c>
      <c r="AT134" s="176" t="s">
        <v>3285</v>
      </c>
      <c r="AU134" s="171"/>
      <c r="AV134" s="171">
        <v>-8.6900000000000005E-2</v>
      </c>
      <c r="AW134" s="171">
        <v>-8.1600000000000006E-2</v>
      </c>
      <c r="AY134" t="s">
        <v>670</v>
      </c>
      <c r="AZ134" t="s">
        <v>671</v>
      </c>
      <c r="BA134" t="s">
        <v>2235</v>
      </c>
      <c r="BB134" t="s">
        <v>3123</v>
      </c>
    </row>
    <row r="135" spans="1:55" ht="17" thickBot="1">
      <c r="A135" s="169">
        <v>2.09</v>
      </c>
      <c r="B135" s="208"/>
      <c r="C135" t="s">
        <v>56</v>
      </c>
      <c r="D135" t="s">
        <v>3695</v>
      </c>
      <c r="F135" t="s">
        <v>1729</v>
      </c>
      <c r="G135" t="s">
        <v>1421</v>
      </c>
      <c r="H135" t="s">
        <v>2236</v>
      </c>
      <c r="I135" t="s">
        <v>2451</v>
      </c>
      <c r="J135" t="s">
        <v>2404</v>
      </c>
      <c r="K135" t="s">
        <v>3124</v>
      </c>
      <c r="M135" t="s">
        <v>3333</v>
      </c>
      <c r="N135" t="s">
        <v>56</v>
      </c>
      <c r="O135">
        <v>6</v>
      </c>
      <c r="Q135" t="s">
        <v>3419</v>
      </c>
      <c r="R135" t="s">
        <v>56</v>
      </c>
      <c r="S135">
        <v>6</v>
      </c>
      <c r="U135" t="s">
        <v>3545</v>
      </c>
      <c r="V135" t="s">
        <v>56</v>
      </c>
      <c r="W135">
        <v>6</v>
      </c>
      <c r="Y135">
        <v>15</v>
      </c>
      <c r="Z135">
        <v>96.3</v>
      </c>
      <c r="AA135">
        <v>11</v>
      </c>
      <c r="AB135">
        <v>9</v>
      </c>
      <c r="AC135">
        <v>97.2</v>
      </c>
      <c r="AD135">
        <v>8</v>
      </c>
      <c r="AF135" s="170" t="s">
        <v>56</v>
      </c>
      <c r="AG135" s="171">
        <v>0.56479999999999997</v>
      </c>
      <c r="AH135" s="172">
        <v>3.613</v>
      </c>
      <c r="AI135" s="172">
        <v>3.5339999999999998</v>
      </c>
      <c r="AJ135" s="172">
        <v>3.5960000000000001</v>
      </c>
      <c r="AK135" s="173">
        <v>0.26400000000000001</v>
      </c>
      <c r="AL135" s="174"/>
      <c r="AM135" s="173">
        <v>0.124</v>
      </c>
      <c r="AN135" s="173">
        <v>0.105</v>
      </c>
      <c r="AO135" s="174"/>
      <c r="AP135" s="171">
        <v>12838.5</v>
      </c>
      <c r="AQ135" s="171">
        <v>1868</v>
      </c>
      <c r="AR135" s="175">
        <v>1</v>
      </c>
      <c r="AS135" s="175">
        <v>0</v>
      </c>
      <c r="AT135" s="176" t="s">
        <v>3285</v>
      </c>
      <c r="AU135" s="171"/>
      <c r="AV135" s="171">
        <v>-6.5199999999999994E-2</v>
      </c>
      <c r="AW135" s="171">
        <v>-5.9900000000000002E-2</v>
      </c>
      <c r="AY135" t="s">
        <v>994</v>
      </c>
      <c r="AZ135" t="s">
        <v>995</v>
      </c>
      <c r="BA135" t="s">
        <v>2238</v>
      </c>
      <c r="BB135" t="s">
        <v>3126</v>
      </c>
    </row>
    <row r="136" spans="1:55">
      <c r="A136" s="168">
        <v>2.1</v>
      </c>
      <c r="B136" s="206">
        <v>2.1</v>
      </c>
      <c r="C136" s="81" t="s">
        <v>4</v>
      </c>
      <c r="D136" s="81" t="s">
        <v>3694</v>
      </c>
      <c r="E136" s="81"/>
      <c r="F136" s="81" t="s">
        <v>1412</v>
      </c>
      <c r="G136" s="81" t="s">
        <v>1413</v>
      </c>
      <c r="H136" s="81" t="s">
        <v>2052</v>
      </c>
      <c r="I136" s="81" t="s">
        <v>2403</v>
      </c>
      <c r="J136" s="81" t="s">
        <v>2404</v>
      </c>
      <c r="K136" s="81" t="s">
        <v>2960</v>
      </c>
      <c r="L136" s="81"/>
      <c r="M136" s="81" t="s">
        <v>3314</v>
      </c>
      <c r="N136" s="81" t="s">
        <v>4</v>
      </c>
      <c r="O136" s="81">
        <v>6</v>
      </c>
      <c r="P136" s="81"/>
      <c r="Q136" s="81" t="s">
        <v>3422</v>
      </c>
      <c r="R136" s="81" t="s">
        <v>4</v>
      </c>
      <c r="S136" s="81">
        <v>3</v>
      </c>
      <c r="T136" s="81"/>
      <c r="U136" s="81" t="s">
        <v>3549</v>
      </c>
      <c r="V136" s="81" t="s">
        <v>4</v>
      </c>
      <c r="W136" s="81">
        <v>3</v>
      </c>
      <c r="X136" s="81"/>
      <c r="Y136" s="81">
        <v>10</v>
      </c>
      <c r="Z136" s="81">
        <v>88.5</v>
      </c>
      <c r="AA136" s="81">
        <v>34</v>
      </c>
      <c r="AB136" s="81">
        <v>9</v>
      </c>
      <c r="AC136" s="81">
        <v>97.6</v>
      </c>
      <c r="AD136" s="81">
        <v>7</v>
      </c>
      <c r="AE136" s="81"/>
      <c r="AF136" s="83" t="s">
        <v>4</v>
      </c>
      <c r="AG136" s="33">
        <v>0.43569999999999998</v>
      </c>
      <c r="AH136" s="100">
        <v>3.5049999999999999</v>
      </c>
      <c r="AI136" s="100">
        <v>3.516</v>
      </c>
      <c r="AJ136" s="104">
        <v>0.48</v>
      </c>
      <c r="AK136" s="87">
        <v>0.14599999999999999</v>
      </c>
      <c r="AL136" s="34"/>
      <c r="AM136" s="87">
        <v>0.105</v>
      </c>
      <c r="AN136" s="87">
        <v>8.8999999999999996E-2</v>
      </c>
      <c r="AO136" s="34"/>
      <c r="AP136" s="33">
        <v>25014</v>
      </c>
      <c r="AQ136" s="33">
        <v>2344</v>
      </c>
      <c r="AR136" s="88">
        <v>1</v>
      </c>
      <c r="AS136" s="88">
        <v>0</v>
      </c>
      <c r="AT136" s="89" t="s">
        <v>3285</v>
      </c>
      <c r="AU136" s="33"/>
      <c r="AV136" s="33">
        <v>-8.9999999999999993E-3</v>
      </c>
      <c r="AW136" s="33">
        <v>-4.4999999999999997E-3</v>
      </c>
      <c r="AX136" s="81"/>
      <c r="AY136" s="81" t="s">
        <v>809</v>
      </c>
      <c r="AZ136" s="81" t="s">
        <v>810</v>
      </c>
      <c r="BA136" s="81" t="s">
        <v>2055</v>
      </c>
      <c r="BB136" s="81" t="s">
        <v>2962</v>
      </c>
      <c r="BC136" s="81"/>
    </row>
    <row r="137" spans="1:55">
      <c r="A137" s="169">
        <v>2.1</v>
      </c>
      <c r="B137" s="207"/>
      <c r="C137" t="s">
        <v>6</v>
      </c>
      <c r="D137" t="s">
        <v>3694</v>
      </c>
      <c r="F137" t="s">
        <v>1412</v>
      </c>
      <c r="G137" t="s">
        <v>1413</v>
      </c>
      <c r="H137" t="s">
        <v>2052</v>
      </c>
      <c r="I137" t="s">
        <v>2403</v>
      </c>
      <c r="J137" t="s">
        <v>2404</v>
      </c>
      <c r="K137" t="s">
        <v>2960</v>
      </c>
      <c r="M137" t="s">
        <v>3314</v>
      </c>
      <c r="N137" t="s">
        <v>6</v>
      </c>
      <c r="O137">
        <v>6</v>
      </c>
      <c r="Q137" t="s">
        <v>3422</v>
      </c>
      <c r="R137" t="s">
        <v>6</v>
      </c>
      <c r="S137">
        <v>3</v>
      </c>
      <c r="U137" t="s">
        <v>3549</v>
      </c>
      <c r="V137" t="s">
        <v>6</v>
      </c>
      <c r="W137">
        <v>3</v>
      </c>
      <c r="Y137">
        <v>10</v>
      </c>
      <c r="Z137">
        <v>88.9</v>
      </c>
      <c r="AA137">
        <v>33</v>
      </c>
      <c r="AB137">
        <v>9</v>
      </c>
      <c r="AC137">
        <v>97.6</v>
      </c>
      <c r="AD137">
        <v>7</v>
      </c>
      <c r="AF137" s="170" t="s">
        <v>6</v>
      </c>
      <c r="AG137" s="171">
        <v>0.41460000000000002</v>
      </c>
      <c r="AH137" s="172">
        <v>3.569</v>
      </c>
      <c r="AI137" s="172">
        <v>3.52</v>
      </c>
      <c r="AJ137" s="181">
        <v>0.66900000000000004</v>
      </c>
      <c r="AK137" s="173">
        <v>0.16900000000000001</v>
      </c>
      <c r="AL137" s="174"/>
      <c r="AM137" s="173">
        <v>0.112</v>
      </c>
      <c r="AN137" s="173">
        <v>8.1000000000000003E-2</v>
      </c>
      <c r="AO137" s="174"/>
      <c r="AP137" s="171">
        <v>38987</v>
      </c>
      <c r="AQ137" s="171">
        <v>1881</v>
      </c>
      <c r="AR137" s="175">
        <v>1</v>
      </c>
      <c r="AS137" s="175">
        <v>0</v>
      </c>
      <c r="AT137" s="176" t="s">
        <v>3285</v>
      </c>
      <c r="AU137" s="171"/>
      <c r="AV137" s="171">
        <v>-5.1700000000000003E-2</v>
      </c>
      <c r="AW137" s="171">
        <v>-1.15E-2</v>
      </c>
      <c r="AY137" t="s">
        <v>574</v>
      </c>
      <c r="AZ137" t="s">
        <v>575</v>
      </c>
      <c r="BA137" t="s">
        <v>2228</v>
      </c>
      <c r="BB137" t="s">
        <v>3115</v>
      </c>
    </row>
    <row r="138" spans="1:55">
      <c r="A138" s="169">
        <v>2.1</v>
      </c>
      <c r="B138" s="207"/>
      <c r="C138" t="s">
        <v>7</v>
      </c>
      <c r="D138" t="s">
        <v>3694</v>
      </c>
      <c r="F138" t="s">
        <v>1412</v>
      </c>
      <c r="G138" t="s">
        <v>1413</v>
      </c>
      <c r="H138" t="s">
        <v>2052</v>
      </c>
      <c r="I138" t="s">
        <v>2403</v>
      </c>
      <c r="J138" t="s">
        <v>2404</v>
      </c>
      <c r="K138" t="s">
        <v>2405</v>
      </c>
      <c r="M138" t="s">
        <v>3314</v>
      </c>
      <c r="N138" t="s">
        <v>7</v>
      </c>
      <c r="O138">
        <v>6</v>
      </c>
      <c r="Q138" t="s">
        <v>3422</v>
      </c>
      <c r="R138" t="s">
        <v>7</v>
      </c>
      <c r="S138">
        <v>3</v>
      </c>
      <c r="U138" t="s">
        <v>3549</v>
      </c>
      <c r="V138" t="s">
        <v>7</v>
      </c>
      <c r="W138">
        <v>3</v>
      </c>
      <c r="Y138">
        <v>10</v>
      </c>
      <c r="Z138">
        <v>89.5</v>
      </c>
      <c r="AA138">
        <v>31</v>
      </c>
      <c r="AB138">
        <v>9</v>
      </c>
      <c r="AC138">
        <v>97.6</v>
      </c>
      <c r="AD138">
        <v>7</v>
      </c>
      <c r="AF138" s="170" t="s">
        <v>7</v>
      </c>
      <c r="AG138" s="171">
        <v>0.36220000000000002</v>
      </c>
      <c r="AH138" s="183">
        <v>3.5379999999999998</v>
      </c>
      <c r="AI138" s="183">
        <v>3.5310000000000001</v>
      </c>
      <c r="AJ138" s="189">
        <v>0.77200000000000002</v>
      </c>
      <c r="AK138" s="188">
        <v>0.14699999999999999</v>
      </c>
      <c r="AL138" s="185"/>
      <c r="AM138" s="173">
        <v>0.128</v>
      </c>
      <c r="AN138" s="173">
        <v>0.12</v>
      </c>
      <c r="AO138" s="174"/>
      <c r="AP138" s="171">
        <v>10758</v>
      </c>
      <c r="AQ138" s="171">
        <v>1902.5</v>
      </c>
      <c r="AR138" s="175">
        <v>1</v>
      </c>
      <c r="AS138" s="175">
        <v>0</v>
      </c>
      <c r="AT138" s="176" t="s">
        <v>3285</v>
      </c>
      <c r="AU138" s="171"/>
      <c r="AV138" s="171">
        <v>-0.13719999999999999</v>
      </c>
      <c r="AW138" s="171">
        <v>-6.6900000000000001E-2</v>
      </c>
      <c r="AY138" t="s">
        <v>698</v>
      </c>
      <c r="AZ138" t="s">
        <v>699</v>
      </c>
      <c r="BA138" t="s">
        <v>2258</v>
      </c>
      <c r="BB138" t="s">
        <v>3143</v>
      </c>
    </row>
    <row r="139" spans="1:55">
      <c r="A139" s="169">
        <v>2.1</v>
      </c>
      <c r="B139" s="207"/>
      <c r="C139" t="s">
        <v>2</v>
      </c>
      <c r="D139" t="s">
        <v>3697</v>
      </c>
      <c r="F139" t="s">
        <v>1412</v>
      </c>
      <c r="G139" t="s">
        <v>1413</v>
      </c>
      <c r="H139" t="s">
        <v>1415</v>
      </c>
      <c r="I139" t="s">
        <v>2403</v>
      </c>
      <c r="J139" t="s">
        <v>2404</v>
      </c>
      <c r="K139" t="s">
        <v>2405</v>
      </c>
      <c r="M139" t="s">
        <v>3314</v>
      </c>
      <c r="N139" t="s">
        <v>2</v>
      </c>
      <c r="O139">
        <v>6</v>
      </c>
      <c r="Q139" t="s">
        <v>3394</v>
      </c>
      <c r="R139" t="s">
        <v>2</v>
      </c>
      <c r="S139">
        <v>3</v>
      </c>
      <c r="U139" t="s">
        <v>3518</v>
      </c>
      <c r="V139" t="s">
        <v>2</v>
      </c>
      <c r="W139">
        <v>2</v>
      </c>
      <c r="Y139">
        <v>10</v>
      </c>
      <c r="Z139">
        <v>97.1</v>
      </c>
      <c r="AA139">
        <v>8</v>
      </c>
      <c r="AB139">
        <v>9</v>
      </c>
      <c r="AC139">
        <v>99.6</v>
      </c>
      <c r="AD139">
        <v>1</v>
      </c>
      <c r="AF139" s="170" t="s">
        <v>2</v>
      </c>
      <c r="AG139" s="171">
        <v>0.39290000000000003</v>
      </c>
      <c r="AH139" s="177">
        <v>3.3559999999999999</v>
      </c>
      <c r="AI139" s="177">
        <v>3.3180000000000001</v>
      </c>
      <c r="AJ139" s="173">
        <v>0.13600000000000001</v>
      </c>
      <c r="AK139" s="173">
        <v>0.16900000000000001</v>
      </c>
      <c r="AL139" s="174"/>
      <c r="AM139" s="173">
        <v>0.12</v>
      </c>
      <c r="AN139" s="173">
        <v>0.107</v>
      </c>
      <c r="AO139" s="174"/>
      <c r="AP139" s="171">
        <v>44394</v>
      </c>
      <c r="AQ139" s="171">
        <v>2302</v>
      </c>
      <c r="AR139" s="175">
        <v>1</v>
      </c>
      <c r="AS139" s="175">
        <v>0</v>
      </c>
      <c r="AT139" s="176" t="s">
        <v>3285</v>
      </c>
      <c r="AU139" s="171"/>
      <c r="AV139" s="171">
        <v>-2.1399999999999999E-2</v>
      </c>
      <c r="AW139" s="171">
        <v>-1.6E-2</v>
      </c>
      <c r="AY139" t="s">
        <v>913</v>
      </c>
      <c r="AZ139" t="s">
        <v>914</v>
      </c>
      <c r="BA139" t="s">
        <v>1419</v>
      </c>
      <c r="BB139" t="s">
        <v>2409</v>
      </c>
    </row>
    <row r="140" spans="1:55">
      <c r="A140" s="169">
        <v>2.1</v>
      </c>
      <c r="B140" s="207"/>
      <c r="C140" t="s">
        <v>3</v>
      </c>
      <c r="D140" t="s">
        <v>3694</v>
      </c>
      <c r="F140" t="s">
        <v>1412</v>
      </c>
      <c r="G140" t="s">
        <v>1413</v>
      </c>
      <c r="H140" t="s">
        <v>1736</v>
      </c>
      <c r="I140" t="s">
        <v>2403</v>
      </c>
      <c r="J140" t="s">
        <v>2404</v>
      </c>
      <c r="K140" t="s">
        <v>2635</v>
      </c>
      <c r="M140" t="s">
        <v>3314</v>
      </c>
      <c r="N140" t="s">
        <v>3</v>
      </c>
      <c r="O140">
        <v>6</v>
      </c>
      <c r="Q140" t="s">
        <v>3394</v>
      </c>
      <c r="R140" t="s">
        <v>3</v>
      </c>
      <c r="S140">
        <v>3</v>
      </c>
      <c r="U140" t="s">
        <v>3518</v>
      </c>
      <c r="V140" t="s">
        <v>3</v>
      </c>
      <c r="W140">
        <v>2</v>
      </c>
      <c r="Y140">
        <v>10</v>
      </c>
      <c r="Z140">
        <v>93.9</v>
      </c>
      <c r="AA140">
        <v>18</v>
      </c>
      <c r="AB140">
        <v>9</v>
      </c>
      <c r="AC140">
        <v>99</v>
      </c>
      <c r="AD140">
        <v>3</v>
      </c>
      <c r="AF140" s="170" t="s">
        <v>3</v>
      </c>
      <c r="AG140" s="171">
        <v>0.30349999999999999</v>
      </c>
      <c r="AH140" s="172">
        <v>3.5760000000000001</v>
      </c>
      <c r="AI140" s="172">
        <v>3.5590000000000002</v>
      </c>
      <c r="AJ140" s="173">
        <v>0.13700000000000001</v>
      </c>
      <c r="AK140" s="173">
        <v>0.128</v>
      </c>
      <c r="AL140" s="174"/>
      <c r="AM140" s="173">
        <v>9.1999999999999998E-2</v>
      </c>
      <c r="AN140" s="173">
        <v>8.2000000000000003E-2</v>
      </c>
      <c r="AO140" s="174"/>
      <c r="AP140" s="171">
        <v>76562</v>
      </c>
      <c r="AQ140" s="171">
        <v>3131.5</v>
      </c>
      <c r="AR140" s="175">
        <v>1</v>
      </c>
      <c r="AS140" s="175">
        <v>0</v>
      </c>
      <c r="AT140" s="176" t="s">
        <v>3285</v>
      </c>
      <c r="AU140" s="171"/>
      <c r="AV140" s="171">
        <v>-1.6400000000000001E-2</v>
      </c>
      <c r="AW140" s="171">
        <v>-7.4999999999999997E-3</v>
      </c>
      <c r="AY140" t="s">
        <v>743</v>
      </c>
      <c r="AZ140" t="s">
        <v>744</v>
      </c>
      <c r="BA140" t="s">
        <v>1739</v>
      </c>
      <c r="BB140" t="s">
        <v>2686</v>
      </c>
    </row>
    <row r="141" spans="1:55" ht="17" thickBot="1">
      <c r="A141" s="178">
        <v>2.1</v>
      </c>
      <c r="B141" s="208"/>
      <c r="C141" s="40" t="s">
        <v>5</v>
      </c>
      <c r="D141" s="40" t="s">
        <v>3694</v>
      </c>
      <c r="E141" s="40"/>
      <c r="F141" s="40" t="s">
        <v>1412</v>
      </c>
      <c r="G141" s="40" t="s">
        <v>1413</v>
      </c>
      <c r="H141" s="40" t="s">
        <v>2193</v>
      </c>
      <c r="I141" s="40" t="s">
        <v>2403</v>
      </c>
      <c r="J141" s="40" t="s">
        <v>2404</v>
      </c>
      <c r="K141" s="40" t="s">
        <v>2635</v>
      </c>
      <c r="L141" s="40"/>
      <c r="M141" s="40" t="s">
        <v>3314</v>
      </c>
      <c r="N141" s="40" t="s">
        <v>5</v>
      </c>
      <c r="O141" s="40">
        <v>6</v>
      </c>
      <c r="P141" s="40"/>
      <c r="Q141" s="40" t="s">
        <v>3394</v>
      </c>
      <c r="R141" s="40" t="s">
        <v>5</v>
      </c>
      <c r="S141" s="40">
        <v>3</v>
      </c>
      <c r="T141" s="40"/>
      <c r="U141" s="40" t="s">
        <v>3612</v>
      </c>
      <c r="V141" s="40" t="s">
        <v>5</v>
      </c>
      <c r="W141" s="40">
        <v>1</v>
      </c>
      <c r="X141" s="40"/>
      <c r="Y141" s="40">
        <v>10</v>
      </c>
      <c r="Z141" s="40">
        <v>93.6</v>
      </c>
      <c r="AA141" s="40">
        <v>19</v>
      </c>
      <c r="AB141" s="40">
        <v>9</v>
      </c>
      <c r="AC141" s="40">
        <v>97.6</v>
      </c>
      <c r="AD141" s="40">
        <v>7</v>
      </c>
      <c r="AE141" s="40"/>
      <c r="AF141" s="85" t="s">
        <v>5</v>
      </c>
      <c r="AG141" s="35">
        <v>0.37269999999999998</v>
      </c>
      <c r="AH141" s="110">
        <v>3.4</v>
      </c>
      <c r="AI141" s="110">
        <v>3.379</v>
      </c>
      <c r="AJ141" s="90">
        <v>0.14599999999999999</v>
      </c>
      <c r="AK141" s="90">
        <v>0.14199999999999999</v>
      </c>
      <c r="AL141" s="37"/>
      <c r="AM141" s="90">
        <v>9.1999999999999998E-2</v>
      </c>
      <c r="AN141" s="90">
        <v>8.5999999999999993E-2</v>
      </c>
      <c r="AO141" s="37"/>
      <c r="AP141" s="35">
        <v>35250.5</v>
      </c>
      <c r="AQ141" s="35">
        <v>1726.5</v>
      </c>
      <c r="AR141" s="93">
        <v>1</v>
      </c>
      <c r="AS141" s="93">
        <v>0</v>
      </c>
      <c r="AT141" s="94" t="s">
        <v>3285</v>
      </c>
      <c r="AU141" s="35"/>
      <c r="AV141" s="35">
        <v>-1.6199999999999999E-2</v>
      </c>
      <c r="AW141" s="35">
        <v>-9.7999999999999997E-3</v>
      </c>
      <c r="AX141" s="40"/>
      <c r="AY141" s="40" t="s">
        <v>849</v>
      </c>
      <c r="AZ141" s="40" t="s">
        <v>850</v>
      </c>
      <c r="BA141" s="40" t="s">
        <v>2196</v>
      </c>
      <c r="BB141" s="40" t="s">
        <v>3085</v>
      </c>
      <c r="BC141" s="40"/>
    </row>
    <row r="142" spans="1:55">
      <c r="A142" s="168">
        <v>2.11</v>
      </c>
      <c r="B142" s="206">
        <v>2.11</v>
      </c>
      <c r="C142" s="81" t="s">
        <v>166</v>
      </c>
      <c r="D142" s="81" t="s">
        <v>3703</v>
      </c>
      <c r="E142" s="81"/>
      <c r="F142" s="81" t="s">
        <v>1602</v>
      </c>
      <c r="G142" s="81" t="s">
        <v>1428</v>
      </c>
      <c r="H142" s="81" t="s">
        <v>1613</v>
      </c>
      <c r="I142" s="81" t="s">
        <v>2451</v>
      </c>
      <c r="J142" s="81" t="s">
        <v>2404</v>
      </c>
      <c r="K142" s="81" t="s">
        <v>2584</v>
      </c>
      <c r="L142" s="81"/>
      <c r="M142" s="81" t="s">
        <v>3337</v>
      </c>
      <c r="N142" s="81" t="s">
        <v>166</v>
      </c>
      <c r="O142" s="81">
        <v>6</v>
      </c>
      <c r="P142" s="81"/>
      <c r="Q142" s="81" t="s">
        <v>3425</v>
      </c>
      <c r="R142" s="81" t="s">
        <v>166</v>
      </c>
      <c r="S142" s="81">
        <v>3</v>
      </c>
      <c r="T142" s="81"/>
      <c r="U142" s="81" t="s">
        <v>3554</v>
      </c>
      <c r="V142" s="81" t="s">
        <v>166</v>
      </c>
      <c r="W142" s="81">
        <v>2</v>
      </c>
      <c r="X142" s="81"/>
      <c r="Y142" s="81">
        <v>19</v>
      </c>
      <c r="Z142" s="81">
        <v>96.9</v>
      </c>
      <c r="AA142" s="81">
        <v>9</v>
      </c>
      <c r="AB142" s="81">
        <v>10</v>
      </c>
      <c r="AC142" s="81">
        <v>94.4</v>
      </c>
      <c r="AD142" s="81">
        <v>16</v>
      </c>
      <c r="AE142" s="81"/>
      <c r="AF142" s="83" t="s">
        <v>166</v>
      </c>
      <c r="AG142" s="33">
        <v>9.7009999999999999E-2</v>
      </c>
      <c r="AH142" s="100">
        <v>3.6190000000000002</v>
      </c>
      <c r="AI142" s="100">
        <v>3.5609999999999999</v>
      </c>
      <c r="AJ142" s="100">
        <v>3.65</v>
      </c>
      <c r="AK142" s="87">
        <v>0.14899999999999999</v>
      </c>
      <c r="AL142" s="34"/>
      <c r="AM142" s="100">
        <v>3.5510000000000002</v>
      </c>
      <c r="AN142" s="114">
        <v>2.202</v>
      </c>
      <c r="AO142" s="34"/>
      <c r="AP142" s="33">
        <v>15397</v>
      </c>
      <c r="AQ142" s="33">
        <v>116431</v>
      </c>
      <c r="AR142" s="88">
        <v>1</v>
      </c>
      <c r="AS142" s="88">
        <v>1</v>
      </c>
      <c r="AT142" s="89" t="s">
        <v>3286</v>
      </c>
      <c r="AU142" s="33"/>
      <c r="AV142" s="33">
        <v>4.9799999999999997E-2</v>
      </c>
      <c r="AW142" s="33">
        <v>3.3E-3</v>
      </c>
      <c r="AX142" s="81"/>
      <c r="AY142" s="81" t="s">
        <v>592</v>
      </c>
      <c r="AZ142" s="81" t="s">
        <v>593</v>
      </c>
      <c r="BA142" s="81" t="s">
        <v>1615</v>
      </c>
      <c r="BB142" s="81" t="s">
        <v>2586</v>
      </c>
      <c r="BC142" s="81"/>
    </row>
    <row r="143" spans="1:55">
      <c r="A143" s="169">
        <v>2.11</v>
      </c>
      <c r="B143" s="207"/>
      <c r="C143" t="s">
        <v>176</v>
      </c>
      <c r="D143" t="s">
        <v>3694</v>
      </c>
      <c r="F143" t="s">
        <v>1602</v>
      </c>
      <c r="G143" t="s">
        <v>1428</v>
      </c>
      <c r="H143" t="s">
        <v>1630</v>
      </c>
      <c r="I143" t="s">
        <v>2451</v>
      </c>
      <c r="J143" t="s">
        <v>2404</v>
      </c>
      <c r="K143" t="s">
        <v>2584</v>
      </c>
      <c r="M143" t="s">
        <v>3337</v>
      </c>
      <c r="N143" t="s">
        <v>176</v>
      </c>
      <c r="O143">
        <v>6</v>
      </c>
      <c r="Q143" t="s">
        <v>3425</v>
      </c>
      <c r="R143" t="s">
        <v>176</v>
      </c>
      <c r="S143">
        <v>3</v>
      </c>
      <c r="U143" t="s">
        <v>3554</v>
      </c>
      <c r="V143" t="s">
        <v>176</v>
      </c>
      <c r="W143">
        <v>2</v>
      </c>
      <c r="Y143">
        <v>19</v>
      </c>
      <c r="Z143">
        <v>96.6</v>
      </c>
      <c r="AA143">
        <v>10</v>
      </c>
      <c r="AB143">
        <v>10</v>
      </c>
      <c r="AC143">
        <v>95.1</v>
      </c>
      <c r="AD143">
        <v>14</v>
      </c>
      <c r="AF143" s="170" t="s">
        <v>176</v>
      </c>
      <c r="AG143" s="171">
        <v>0.15740000000000001</v>
      </c>
      <c r="AH143" s="183">
        <v>3.548</v>
      </c>
      <c r="AI143" s="183">
        <v>3.5049999999999999</v>
      </c>
      <c r="AJ143" s="183">
        <v>3.5339999999999998</v>
      </c>
      <c r="AK143" s="188">
        <v>0.156</v>
      </c>
      <c r="AL143" s="185"/>
      <c r="AM143" s="172">
        <v>3.4569999999999999</v>
      </c>
      <c r="AN143" s="177">
        <v>2.476</v>
      </c>
      <c r="AO143" s="174"/>
      <c r="AP143" s="171">
        <v>16154</v>
      </c>
      <c r="AQ143" s="171">
        <v>69834</v>
      </c>
      <c r="AR143" s="175">
        <v>1</v>
      </c>
      <c r="AS143" s="175">
        <v>1</v>
      </c>
      <c r="AT143" s="176" t="s">
        <v>3286</v>
      </c>
      <c r="AU143" s="171"/>
      <c r="AV143" s="171">
        <v>-1.5699999999999999E-2</v>
      </c>
      <c r="AW143" s="171">
        <v>6.8500000000000005E-2</v>
      </c>
      <c r="AY143" t="s">
        <v>708</v>
      </c>
      <c r="AZ143" t="s">
        <v>709</v>
      </c>
      <c r="BA143" t="s">
        <v>1632</v>
      </c>
      <c r="BB143" t="s">
        <v>2594</v>
      </c>
    </row>
    <row r="144" spans="1:55">
      <c r="A144" s="169">
        <v>2.11</v>
      </c>
      <c r="B144" s="207"/>
      <c r="C144" t="s">
        <v>170</v>
      </c>
      <c r="D144" t="s">
        <v>3694</v>
      </c>
      <c r="F144" t="s">
        <v>1602</v>
      </c>
      <c r="G144" t="s">
        <v>1428</v>
      </c>
      <c r="H144" t="s">
        <v>1620</v>
      </c>
      <c r="I144" t="s">
        <v>2451</v>
      </c>
      <c r="J144" t="s">
        <v>2404</v>
      </c>
      <c r="K144" t="s">
        <v>2574</v>
      </c>
      <c r="M144" t="s">
        <v>3337</v>
      </c>
      <c r="N144" t="s">
        <v>170</v>
      </c>
      <c r="O144">
        <v>6</v>
      </c>
      <c r="Q144" t="s">
        <v>3425</v>
      </c>
      <c r="R144" t="s">
        <v>170</v>
      </c>
      <c r="S144">
        <v>3</v>
      </c>
      <c r="U144" t="s">
        <v>3558</v>
      </c>
      <c r="V144" t="s">
        <v>170</v>
      </c>
      <c r="W144">
        <v>1</v>
      </c>
      <c r="Y144">
        <v>19</v>
      </c>
      <c r="Z144">
        <v>95.9</v>
      </c>
      <c r="AA144">
        <v>12</v>
      </c>
      <c r="AB144">
        <v>10</v>
      </c>
      <c r="AC144">
        <v>95.5</v>
      </c>
      <c r="AD144">
        <v>13</v>
      </c>
      <c r="AF144" s="170" t="s">
        <v>170</v>
      </c>
      <c r="AG144" s="171">
        <v>0.32079999999999997</v>
      </c>
      <c r="AH144" s="183">
        <v>3.6040000000000001</v>
      </c>
      <c r="AI144" s="183">
        <v>3.609</v>
      </c>
      <c r="AJ144" s="183">
        <v>3.6059999999999999</v>
      </c>
      <c r="AK144" s="188">
        <v>0.17</v>
      </c>
      <c r="AL144" s="185"/>
      <c r="AM144" s="172">
        <v>3.532</v>
      </c>
      <c r="AN144" s="172">
        <v>2.5459999999999998</v>
      </c>
      <c r="AO144" s="174"/>
      <c r="AP144" s="171">
        <v>10657</v>
      </c>
      <c r="AQ144" s="171">
        <v>42671</v>
      </c>
      <c r="AR144" s="175">
        <v>1</v>
      </c>
      <c r="AS144" s="175">
        <v>1</v>
      </c>
      <c r="AT144" s="176" t="s">
        <v>3286</v>
      </c>
      <c r="AU144" s="171"/>
      <c r="AV144" s="171">
        <v>-9.6299999999999997E-2</v>
      </c>
      <c r="AW144" s="171">
        <v>-4.2900000000000001E-2</v>
      </c>
      <c r="AY144" t="s">
        <v>612</v>
      </c>
      <c r="AZ144" t="s">
        <v>613</v>
      </c>
      <c r="BA144" t="s">
        <v>1622</v>
      </c>
      <c r="BB144" t="s">
        <v>2589</v>
      </c>
    </row>
    <row r="145" spans="1:55">
      <c r="A145" s="169">
        <v>2.11</v>
      </c>
      <c r="B145" s="207"/>
      <c r="C145" t="s">
        <v>174</v>
      </c>
      <c r="D145" t="s">
        <v>3694</v>
      </c>
      <c r="F145" t="s">
        <v>1602</v>
      </c>
      <c r="G145" t="s">
        <v>1428</v>
      </c>
      <c r="H145" t="s">
        <v>1626</v>
      </c>
      <c r="I145" t="s">
        <v>2451</v>
      </c>
      <c r="J145" t="s">
        <v>2404</v>
      </c>
      <c r="K145" t="s">
        <v>2591</v>
      </c>
      <c r="M145" t="s">
        <v>3337</v>
      </c>
      <c r="N145" t="s">
        <v>174</v>
      </c>
      <c r="O145">
        <v>6</v>
      </c>
      <c r="Q145" t="s">
        <v>3445</v>
      </c>
      <c r="R145" t="s">
        <v>174</v>
      </c>
      <c r="S145">
        <v>2</v>
      </c>
      <c r="U145" t="s">
        <v>3577</v>
      </c>
      <c r="V145" t="s">
        <v>174</v>
      </c>
      <c r="W145">
        <v>1</v>
      </c>
      <c r="Y145">
        <v>19</v>
      </c>
      <c r="Z145">
        <v>96.6</v>
      </c>
      <c r="AA145">
        <v>10</v>
      </c>
      <c r="AB145">
        <v>10</v>
      </c>
      <c r="AC145">
        <v>97.9</v>
      </c>
      <c r="AD145">
        <v>6</v>
      </c>
      <c r="AF145" s="170" t="s">
        <v>174</v>
      </c>
      <c r="AG145" s="171">
        <v>0.1512</v>
      </c>
      <c r="AH145" s="183">
        <v>3.6629999999999998</v>
      </c>
      <c r="AI145" s="183">
        <v>3.5750000000000002</v>
      </c>
      <c r="AJ145" s="183">
        <v>3.6160000000000001</v>
      </c>
      <c r="AK145" s="188">
        <v>0.13400000000000001</v>
      </c>
      <c r="AL145" s="185"/>
      <c r="AM145" s="172">
        <v>3.5680000000000001</v>
      </c>
      <c r="AN145" s="172">
        <v>2.601</v>
      </c>
      <c r="AO145" s="174"/>
      <c r="AP145" s="171">
        <v>15251</v>
      </c>
      <c r="AQ145" s="171">
        <v>109856.5</v>
      </c>
      <c r="AR145" s="175">
        <v>1</v>
      </c>
      <c r="AS145" s="175">
        <v>1</v>
      </c>
      <c r="AT145" s="176" t="s">
        <v>3286</v>
      </c>
      <c r="AU145" s="171"/>
      <c r="AV145" s="171">
        <v>-1.2999999999999999E-3</v>
      </c>
      <c r="AW145" s="171">
        <v>-7.6700000000000004E-2</v>
      </c>
      <c r="AY145" t="s">
        <v>672</v>
      </c>
      <c r="AZ145" t="s">
        <v>673</v>
      </c>
      <c r="BA145" t="s">
        <v>1629</v>
      </c>
      <c r="BB145" t="s">
        <v>2593</v>
      </c>
    </row>
    <row r="146" spans="1:55">
      <c r="A146" s="169">
        <v>2.11</v>
      </c>
      <c r="B146" s="207"/>
      <c r="C146" t="s">
        <v>180</v>
      </c>
      <c r="D146" t="s">
        <v>3693</v>
      </c>
      <c r="F146" t="s">
        <v>1602</v>
      </c>
      <c r="G146" t="s">
        <v>1428</v>
      </c>
      <c r="H146" t="s">
        <v>1639</v>
      </c>
      <c r="I146" t="s">
        <v>2451</v>
      </c>
      <c r="J146" t="s">
        <v>2404</v>
      </c>
      <c r="K146" t="s">
        <v>2600</v>
      </c>
      <c r="M146" t="s">
        <v>3337</v>
      </c>
      <c r="N146" t="s">
        <v>180</v>
      </c>
      <c r="O146">
        <v>6</v>
      </c>
      <c r="Q146" t="s">
        <v>3445</v>
      </c>
      <c r="R146" t="s">
        <v>180</v>
      </c>
      <c r="S146">
        <v>2</v>
      </c>
      <c r="U146" t="s">
        <v>3659</v>
      </c>
      <c r="V146" t="s">
        <v>180</v>
      </c>
      <c r="W146">
        <v>1</v>
      </c>
      <c r="Y146">
        <v>19</v>
      </c>
      <c r="Z146">
        <v>97.6</v>
      </c>
      <c r="AA146">
        <v>7</v>
      </c>
      <c r="AB146">
        <v>10</v>
      </c>
      <c r="AC146">
        <v>98.3</v>
      </c>
      <c r="AD146">
        <v>5</v>
      </c>
      <c r="AF146" s="170" t="s">
        <v>181</v>
      </c>
      <c r="AG146" s="171">
        <v>0.14319999999999999</v>
      </c>
      <c r="AH146" s="179">
        <v>2.653</v>
      </c>
      <c r="AI146" s="173">
        <v>0.14799999999999999</v>
      </c>
      <c r="AJ146" s="172">
        <v>3.6520000000000001</v>
      </c>
      <c r="AK146" s="173">
        <v>0.13</v>
      </c>
      <c r="AL146" s="174"/>
      <c r="AM146" s="172">
        <v>3.5489999999999999</v>
      </c>
      <c r="AN146" s="180">
        <v>1.9910000000000001</v>
      </c>
      <c r="AO146" s="174"/>
      <c r="AP146" s="171">
        <v>20314</v>
      </c>
      <c r="AQ146" s="171">
        <v>136045</v>
      </c>
      <c r="AR146" s="175">
        <v>1</v>
      </c>
      <c r="AS146" s="175">
        <v>1</v>
      </c>
      <c r="AT146" s="176" t="s">
        <v>3286</v>
      </c>
      <c r="AU146" s="171"/>
      <c r="AV146" s="171">
        <v>-5.9200000000000003E-2</v>
      </c>
      <c r="AW146" s="171">
        <v>-8.8999999999999999E-3</v>
      </c>
      <c r="AY146" t="s">
        <v>1093</v>
      </c>
      <c r="AZ146" t="s">
        <v>1094</v>
      </c>
      <c r="BA146" t="s">
        <v>1641</v>
      </c>
      <c r="BB146" t="s">
        <v>2602</v>
      </c>
    </row>
    <row r="147" spans="1:55" ht="17" thickBot="1">
      <c r="A147" s="178">
        <v>2.11</v>
      </c>
      <c r="B147" s="208"/>
      <c r="C147" s="40" t="s">
        <v>179</v>
      </c>
      <c r="D147" s="40" t="s">
        <v>3694</v>
      </c>
      <c r="E147" s="40"/>
      <c r="F147" s="40" t="s">
        <v>1602</v>
      </c>
      <c r="G147" s="40" t="s">
        <v>1428</v>
      </c>
      <c r="H147" s="40" t="s">
        <v>1633</v>
      </c>
      <c r="I147" s="40" t="s">
        <v>2451</v>
      </c>
      <c r="J147" s="40" t="s">
        <v>2404</v>
      </c>
      <c r="K147" s="40" t="s">
        <v>2595</v>
      </c>
      <c r="L147" s="40"/>
      <c r="M147" s="40" t="s">
        <v>3337</v>
      </c>
      <c r="N147" s="40" t="s">
        <v>179</v>
      </c>
      <c r="O147" s="40">
        <v>6</v>
      </c>
      <c r="P147" s="40"/>
      <c r="Q147" s="40" t="s">
        <v>3455</v>
      </c>
      <c r="R147" s="40" t="s">
        <v>179</v>
      </c>
      <c r="S147" s="40">
        <v>1</v>
      </c>
      <c r="T147" s="40"/>
      <c r="U147" s="40" t="s">
        <v>3587</v>
      </c>
      <c r="V147" s="40" t="s">
        <v>179</v>
      </c>
      <c r="W147" s="40">
        <v>1</v>
      </c>
      <c r="X147" s="40"/>
      <c r="Y147" s="40">
        <v>19</v>
      </c>
      <c r="Z147" s="40">
        <v>96.3</v>
      </c>
      <c r="AA147" s="40">
        <v>11</v>
      </c>
      <c r="AB147" s="40">
        <v>10</v>
      </c>
      <c r="AC147" s="40">
        <v>95.8</v>
      </c>
      <c r="AD147" s="40">
        <v>12</v>
      </c>
      <c r="AE147" s="40"/>
      <c r="AF147" s="85" t="s">
        <v>179</v>
      </c>
      <c r="AG147" s="35">
        <v>0.31380000000000002</v>
      </c>
      <c r="AH147" s="102">
        <v>3.68</v>
      </c>
      <c r="AI147" s="102">
        <v>3.6429999999999998</v>
      </c>
      <c r="AJ147" s="102">
        <v>3.6360000000000001</v>
      </c>
      <c r="AK147" s="90">
        <v>0.246</v>
      </c>
      <c r="AL147" s="37"/>
      <c r="AM147" s="102">
        <v>3.593</v>
      </c>
      <c r="AN147" s="102">
        <v>2.4769999999999999</v>
      </c>
      <c r="AO147" s="37"/>
      <c r="AP147" s="35">
        <v>15323</v>
      </c>
      <c r="AQ147" s="35">
        <v>64401</v>
      </c>
      <c r="AR147" s="93">
        <v>1</v>
      </c>
      <c r="AS147" s="93">
        <v>1</v>
      </c>
      <c r="AT147" s="94" t="s">
        <v>3286</v>
      </c>
      <c r="AU147" s="35"/>
      <c r="AV147" s="35">
        <v>1.4353</v>
      </c>
      <c r="AW147" s="35">
        <v>0.30499999999999999</v>
      </c>
      <c r="AX147" s="40"/>
      <c r="AY147" s="40" t="s">
        <v>721</v>
      </c>
      <c r="AZ147" s="40" t="s">
        <v>722</v>
      </c>
      <c r="BA147" s="40" t="s">
        <v>1635</v>
      </c>
      <c r="BB147" s="40" t="s">
        <v>2597</v>
      </c>
      <c r="BC147" s="40"/>
    </row>
    <row r="148" spans="1:55">
      <c r="A148" s="168">
        <v>2.12</v>
      </c>
      <c r="B148" s="206">
        <v>2.12</v>
      </c>
      <c r="C148" s="81" t="s">
        <v>57</v>
      </c>
      <c r="D148" s="81" t="s">
        <v>3694</v>
      </c>
      <c r="E148" s="81"/>
      <c r="F148" s="81" t="s">
        <v>1729</v>
      </c>
      <c r="G148" s="81" t="s">
        <v>1413</v>
      </c>
      <c r="H148" s="81" t="s">
        <v>2239</v>
      </c>
      <c r="I148" s="81" t="s">
        <v>2603</v>
      </c>
      <c r="J148" s="81" t="s">
        <v>2411</v>
      </c>
      <c r="K148" s="81" t="s">
        <v>3034</v>
      </c>
      <c r="L148" s="81"/>
      <c r="M148" s="81" t="s">
        <v>3327</v>
      </c>
      <c r="N148" s="81" t="s">
        <v>57</v>
      </c>
      <c r="O148" s="81">
        <v>5</v>
      </c>
      <c r="P148" s="81"/>
      <c r="Q148" s="81" t="s">
        <v>3408</v>
      </c>
      <c r="R148" s="81" t="s">
        <v>57</v>
      </c>
      <c r="S148" s="81">
        <v>5</v>
      </c>
      <c r="T148" s="81"/>
      <c r="U148" s="81" t="s">
        <v>3532</v>
      </c>
      <c r="V148" s="81" t="s">
        <v>57</v>
      </c>
      <c r="W148" s="81">
        <v>3</v>
      </c>
      <c r="X148" s="81"/>
      <c r="Y148" s="81">
        <v>14</v>
      </c>
      <c r="Z148" s="81">
        <v>99.3</v>
      </c>
      <c r="AA148" s="81">
        <v>2</v>
      </c>
      <c r="AB148" s="81">
        <v>9</v>
      </c>
      <c r="AC148" s="81">
        <v>100</v>
      </c>
      <c r="AD148" s="81">
        <v>0</v>
      </c>
      <c r="AE148" s="81"/>
      <c r="AF148" s="83" t="s">
        <v>57</v>
      </c>
      <c r="AG148" s="33">
        <v>0.4471</v>
      </c>
      <c r="AH148" s="113">
        <v>2.0169999999999999</v>
      </c>
      <c r="AI148" s="101">
        <v>2.758</v>
      </c>
      <c r="AJ148" s="100">
        <v>3.613</v>
      </c>
      <c r="AK148" s="87">
        <v>0.183</v>
      </c>
      <c r="AL148" s="34"/>
      <c r="AM148" s="87">
        <v>0.106</v>
      </c>
      <c r="AN148" s="87">
        <v>8.2000000000000003E-2</v>
      </c>
      <c r="AO148" s="34"/>
      <c r="AP148" s="33">
        <v>9311.5</v>
      </c>
      <c r="AQ148" s="33">
        <v>2154</v>
      </c>
      <c r="AR148" s="88">
        <v>1</v>
      </c>
      <c r="AS148" s="88">
        <v>0</v>
      </c>
      <c r="AT148" s="89" t="s">
        <v>3285</v>
      </c>
      <c r="AU148" s="33"/>
      <c r="AV148" s="33">
        <v>-5.16E-2</v>
      </c>
      <c r="AW148" s="33">
        <v>-6.1000000000000004E-3</v>
      </c>
      <c r="AX148" s="81"/>
      <c r="AY148" s="81" t="s">
        <v>519</v>
      </c>
      <c r="AZ148" s="81" t="s">
        <v>520</v>
      </c>
      <c r="BA148" s="81" t="s">
        <v>2241</v>
      </c>
      <c r="BB148" s="81" t="s">
        <v>3128</v>
      </c>
      <c r="BC148" s="81"/>
    </row>
    <row r="149" spans="1:55">
      <c r="A149" s="169">
        <v>2.12</v>
      </c>
      <c r="B149" s="207"/>
      <c r="C149" t="s">
        <v>59</v>
      </c>
      <c r="D149" t="s">
        <v>3694</v>
      </c>
      <c r="F149" t="s">
        <v>1729</v>
      </c>
      <c r="G149" t="s">
        <v>1413</v>
      </c>
      <c r="H149" t="s">
        <v>2245</v>
      </c>
      <c r="I149" t="s">
        <v>2603</v>
      </c>
      <c r="J149" t="s">
        <v>2411</v>
      </c>
      <c r="K149" t="s">
        <v>3132</v>
      </c>
      <c r="M149" t="s">
        <v>3327</v>
      </c>
      <c r="N149" t="s">
        <v>59</v>
      </c>
      <c r="O149">
        <v>5</v>
      </c>
      <c r="Q149" t="s">
        <v>3408</v>
      </c>
      <c r="R149" t="s">
        <v>59</v>
      </c>
      <c r="S149">
        <v>5</v>
      </c>
      <c r="U149" t="s">
        <v>3532</v>
      </c>
      <c r="V149" t="s">
        <v>59</v>
      </c>
      <c r="W149">
        <v>3</v>
      </c>
      <c r="Y149">
        <v>14</v>
      </c>
      <c r="Z149">
        <v>93.6</v>
      </c>
      <c r="AA149">
        <v>19</v>
      </c>
      <c r="AB149">
        <v>9</v>
      </c>
      <c r="AC149">
        <v>95.1</v>
      </c>
      <c r="AD149">
        <v>14</v>
      </c>
      <c r="AF149" s="170" t="s">
        <v>59</v>
      </c>
      <c r="AG149" s="171">
        <v>0.374</v>
      </c>
      <c r="AH149" s="172">
        <v>3.5510000000000002</v>
      </c>
      <c r="AI149" s="172">
        <v>3.536</v>
      </c>
      <c r="AJ149" s="172">
        <v>3.6589999999999998</v>
      </c>
      <c r="AK149" s="173">
        <v>0.26100000000000001</v>
      </c>
      <c r="AL149" s="174"/>
      <c r="AM149" s="173">
        <v>0.111</v>
      </c>
      <c r="AN149" s="173">
        <v>8.4000000000000005E-2</v>
      </c>
      <c r="AO149" s="174"/>
      <c r="AP149" s="171">
        <v>79205</v>
      </c>
      <c r="AQ149" s="171">
        <v>1867</v>
      </c>
      <c r="AR149" s="175">
        <v>1</v>
      </c>
      <c r="AS149" s="175">
        <v>0</v>
      </c>
      <c r="AT149" s="176" t="s">
        <v>3285</v>
      </c>
      <c r="AU149" s="171"/>
      <c r="AV149" s="171">
        <v>-4.36E-2</v>
      </c>
      <c r="AW149" s="171">
        <v>-1.01E-2</v>
      </c>
      <c r="AY149" t="s">
        <v>552</v>
      </c>
      <c r="AZ149" t="s">
        <v>553</v>
      </c>
      <c r="BA149" t="s">
        <v>2248</v>
      </c>
      <c r="BB149" t="s">
        <v>3134</v>
      </c>
    </row>
    <row r="150" spans="1:55">
      <c r="A150" s="169">
        <v>2.12</v>
      </c>
      <c r="B150" s="207"/>
      <c r="C150" t="s">
        <v>60</v>
      </c>
      <c r="D150" t="s">
        <v>3694</v>
      </c>
      <c r="F150" t="s">
        <v>1729</v>
      </c>
      <c r="G150" t="s">
        <v>1413</v>
      </c>
      <c r="H150" t="s">
        <v>2245</v>
      </c>
      <c r="I150" t="s">
        <v>2603</v>
      </c>
      <c r="J150" t="s">
        <v>2411</v>
      </c>
      <c r="K150" t="s">
        <v>3132</v>
      </c>
      <c r="M150" t="s">
        <v>3327</v>
      </c>
      <c r="N150" t="s">
        <v>60</v>
      </c>
      <c r="O150">
        <v>5</v>
      </c>
      <c r="Q150" t="s">
        <v>3408</v>
      </c>
      <c r="R150" t="s">
        <v>60</v>
      </c>
      <c r="S150">
        <v>5</v>
      </c>
      <c r="U150" t="s">
        <v>3532</v>
      </c>
      <c r="V150" t="s">
        <v>60</v>
      </c>
      <c r="W150">
        <v>3</v>
      </c>
      <c r="Y150">
        <v>14</v>
      </c>
      <c r="Z150">
        <v>93.9</v>
      </c>
      <c r="AA150">
        <v>18</v>
      </c>
      <c r="AB150">
        <v>9</v>
      </c>
      <c r="AC150">
        <v>94.8</v>
      </c>
      <c r="AD150">
        <v>15</v>
      </c>
      <c r="AF150" s="170" t="s">
        <v>60</v>
      </c>
      <c r="AG150" s="171">
        <v>0.2233</v>
      </c>
      <c r="AH150" s="172">
        <v>3.6150000000000002</v>
      </c>
      <c r="AI150" s="172">
        <v>3.6139999999999999</v>
      </c>
      <c r="AJ150" s="172">
        <v>3.6440000000000001</v>
      </c>
      <c r="AK150" s="173">
        <v>0.25700000000000001</v>
      </c>
      <c r="AL150" s="174"/>
      <c r="AM150" s="173">
        <v>0.109</v>
      </c>
      <c r="AN150" s="173">
        <v>9.2999999999999999E-2</v>
      </c>
      <c r="AO150" s="174"/>
      <c r="AP150" s="171">
        <v>26683</v>
      </c>
      <c r="AQ150" s="171">
        <v>1965</v>
      </c>
      <c r="AR150" s="175">
        <v>1</v>
      </c>
      <c r="AS150" s="175">
        <v>0</v>
      </c>
      <c r="AT150" s="176" t="s">
        <v>3285</v>
      </c>
      <c r="AU150" s="171"/>
      <c r="AV150" s="171">
        <v>-7.4200000000000002E-2</v>
      </c>
      <c r="AW150" s="171">
        <v>-8.6499999999999994E-2</v>
      </c>
      <c r="AY150" t="s">
        <v>751</v>
      </c>
      <c r="AZ150" t="s">
        <v>752</v>
      </c>
      <c r="BA150" t="s">
        <v>2250</v>
      </c>
      <c r="BB150" t="s">
        <v>3136</v>
      </c>
    </row>
    <row r="151" spans="1:55">
      <c r="A151" s="169">
        <v>2.12</v>
      </c>
      <c r="B151" s="207"/>
      <c r="C151" t="s">
        <v>58</v>
      </c>
      <c r="D151" t="s">
        <v>3694</v>
      </c>
      <c r="F151" t="s">
        <v>1729</v>
      </c>
      <c r="G151" t="s">
        <v>1413</v>
      </c>
      <c r="H151" t="s">
        <v>2242</v>
      </c>
      <c r="I151" t="s">
        <v>2603</v>
      </c>
      <c r="J151" t="s">
        <v>2411</v>
      </c>
      <c r="K151" t="s">
        <v>3129</v>
      </c>
      <c r="M151" t="s">
        <v>3327</v>
      </c>
      <c r="N151" t="s">
        <v>58</v>
      </c>
      <c r="O151">
        <v>5</v>
      </c>
      <c r="Q151" t="s">
        <v>3408</v>
      </c>
      <c r="R151" t="s">
        <v>58</v>
      </c>
      <c r="S151">
        <v>5</v>
      </c>
      <c r="U151" t="s">
        <v>3536</v>
      </c>
      <c r="V151" t="s">
        <v>58</v>
      </c>
      <c r="W151">
        <v>1</v>
      </c>
      <c r="Y151">
        <v>14</v>
      </c>
      <c r="Z151">
        <v>93.6</v>
      </c>
      <c r="AA151">
        <v>19</v>
      </c>
      <c r="AB151">
        <v>9</v>
      </c>
      <c r="AC151">
        <v>96.2</v>
      </c>
      <c r="AD151">
        <v>11</v>
      </c>
      <c r="AF151" s="170" t="s">
        <v>58</v>
      </c>
      <c r="AG151" s="171">
        <v>0.3962</v>
      </c>
      <c r="AH151" s="186">
        <v>3.16</v>
      </c>
      <c r="AI151" s="172">
        <v>3.6059999999999999</v>
      </c>
      <c r="AJ151" s="172">
        <v>3.6989999999999998</v>
      </c>
      <c r="AK151" s="173">
        <v>0.27300000000000002</v>
      </c>
      <c r="AL151" s="174"/>
      <c r="AM151" s="173">
        <v>0.108</v>
      </c>
      <c r="AN151" s="173">
        <v>8.6999999999999994E-2</v>
      </c>
      <c r="AO151" s="174"/>
      <c r="AP151" s="171">
        <v>19159</v>
      </c>
      <c r="AQ151" s="171">
        <v>1691</v>
      </c>
      <c r="AR151" s="175">
        <v>1</v>
      </c>
      <c r="AS151" s="175">
        <v>0</v>
      </c>
      <c r="AT151" s="176" t="s">
        <v>3285</v>
      </c>
      <c r="AU151" s="171"/>
      <c r="AV151" s="171">
        <v>-5.1799999999999999E-2</v>
      </c>
      <c r="AW151" s="171">
        <v>-6.4999999999999997E-3</v>
      </c>
      <c r="AY151" t="s">
        <v>531</v>
      </c>
      <c r="AZ151" t="s">
        <v>532</v>
      </c>
      <c r="BA151" t="s">
        <v>2244</v>
      </c>
      <c r="BB151" t="s">
        <v>3131</v>
      </c>
    </row>
    <row r="152" spans="1:55" ht="17" thickBot="1">
      <c r="A152" s="178">
        <v>2.12</v>
      </c>
      <c r="B152" s="208"/>
      <c r="C152" s="40" t="s">
        <v>61</v>
      </c>
      <c r="D152" s="40" t="s">
        <v>3693</v>
      </c>
      <c r="E152" s="40"/>
      <c r="F152" s="40" t="s">
        <v>1729</v>
      </c>
      <c r="G152" s="40" t="s">
        <v>1413</v>
      </c>
      <c r="H152" s="40" t="s">
        <v>2251</v>
      </c>
      <c r="I152" s="40" t="s">
        <v>2603</v>
      </c>
      <c r="J152" s="40" t="s">
        <v>2411</v>
      </c>
      <c r="K152" s="40" t="s">
        <v>3034</v>
      </c>
      <c r="L152" s="40"/>
      <c r="M152" s="40" t="s">
        <v>3327</v>
      </c>
      <c r="N152" s="40" t="s">
        <v>61</v>
      </c>
      <c r="O152" s="40">
        <v>5</v>
      </c>
      <c r="P152" s="40"/>
      <c r="Q152" s="40" t="s">
        <v>3408</v>
      </c>
      <c r="R152" s="40" t="s">
        <v>61</v>
      </c>
      <c r="S152" s="40">
        <v>5</v>
      </c>
      <c r="T152" s="40"/>
      <c r="U152" s="40" t="s">
        <v>3658</v>
      </c>
      <c r="V152" s="40" t="s">
        <v>61</v>
      </c>
      <c r="W152" s="40">
        <v>1</v>
      </c>
      <c r="X152" s="40"/>
      <c r="Y152" s="40">
        <v>14</v>
      </c>
      <c r="Z152" s="40">
        <v>97.3</v>
      </c>
      <c r="AA152" s="40">
        <v>8</v>
      </c>
      <c r="AB152" s="40">
        <v>9</v>
      </c>
      <c r="AC152" s="40">
        <v>100</v>
      </c>
      <c r="AD152" s="40">
        <v>0</v>
      </c>
      <c r="AE152" s="40"/>
      <c r="AF152" s="85" t="s">
        <v>62</v>
      </c>
      <c r="AG152" s="35">
        <v>0.37540000000000001</v>
      </c>
      <c r="AH152" s="102">
        <v>3.548</v>
      </c>
      <c r="AI152" s="102">
        <v>3.5209999999999999</v>
      </c>
      <c r="AJ152" s="102">
        <v>3.621</v>
      </c>
      <c r="AK152" s="90">
        <v>0.20399999999999999</v>
      </c>
      <c r="AL152" s="37"/>
      <c r="AM152" s="90">
        <v>0.13800000000000001</v>
      </c>
      <c r="AN152" s="90">
        <v>0.11</v>
      </c>
      <c r="AO152" s="37"/>
      <c r="AP152" s="35">
        <v>10347</v>
      </c>
      <c r="AQ152" s="35">
        <v>2012</v>
      </c>
      <c r="AR152" s="93">
        <v>1</v>
      </c>
      <c r="AS152" s="93">
        <v>0</v>
      </c>
      <c r="AT152" s="94" t="s">
        <v>3285</v>
      </c>
      <c r="AU152" s="35"/>
      <c r="AV152" s="35">
        <v>-9.5200000000000007E-2</v>
      </c>
      <c r="AW152" s="35">
        <v>-4.4499999999999998E-2</v>
      </c>
      <c r="AX152" s="40"/>
      <c r="AY152" s="40" t="s">
        <v>1087</v>
      </c>
      <c r="AZ152" s="40" t="s">
        <v>1088</v>
      </c>
      <c r="BA152" s="40" t="s">
        <v>2253</v>
      </c>
      <c r="BB152" s="40" t="s">
        <v>3128</v>
      </c>
      <c r="BC152" s="40"/>
    </row>
    <row r="153" spans="1:55">
      <c r="A153" s="168">
        <v>2.13</v>
      </c>
      <c r="B153" s="206">
        <v>2.13</v>
      </c>
      <c r="C153" s="81" t="s">
        <v>191</v>
      </c>
      <c r="D153" s="81" t="s">
        <v>3694</v>
      </c>
      <c r="E153" s="81"/>
      <c r="F153" s="81" t="s">
        <v>1412</v>
      </c>
      <c r="G153" s="81" t="s">
        <v>1413</v>
      </c>
      <c r="H153" s="81" t="s">
        <v>1684</v>
      </c>
      <c r="I153" s="81" t="s">
        <v>2403</v>
      </c>
      <c r="J153" s="81" t="s">
        <v>2404</v>
      </c>
      <c r="K153" s="81" t="s">
        <v>2639</v>
      </c>
      <c r="L153" s="81"/>
      <c r="M153" s="81" t="s">
        <v>3348</v>
      </c>
      <c r="N153" s="81" t="s">
        <v>191</v>
      </c>
      <c r="O153" s="81">
        <v>5</v>
      </c>
      <c r="P153" s="81"/>
      <c r="Q153" s="81" t="s">
        <v>3439</v>
      </c>
      <c r="R153" s="81" t="s">
        <v>191</v>
      </c>
      <c r="S153" s="81">
        <v>5</v>
      </c>
      <c r="T153" s="81"/>
      <c r="U153" s="81" t="s">
        <v>3571</v>
      </c>
      <c r="V153" s="81" t="s">
        <v>191</v>
      </c>
      <c r="W153" s="81">
        <v>3</v>
      </c>
      <c r="X153" s="81"/>
      <c r="Y153" s="81">
        <v>13</v>
      </c>
      <c r="Z153" s="81">
        <v>96.6</v>
      </c>
      <c r="AA153" s="81">
        <v>10</v>
      </c>
      <c r="AB153" s="81">
        <v>9</v>
      </c>
      <c r="AC153" s="81">
        <v>98.2</v>
      </c>
      <c r="AD153" s="81">
        <v>5</v>
      </c>
      <c r="AE153" s="81"/>
      <c r="AF153" s="83" t="s">
        <v>191</v>
      </c>
      <c r="AG153" s="33">
        <v>0.46039999999999998</v>
      </c>
      <c r="AH153" s="111">
        <v>3.5640000000000001</v>
      </c>
      <c r="AI153" s="111">
        <v>3.5449999999999999</v>
      </c>
      <c r="AJ153" s="112">
        <v>0.13600000000000001</v>
      </c>
      <c r="AK153" s="112">
        <v>0.159</v>
      </c>
      <c r="AL153" s="39"/>
      <c r="AM153" s="87">
        <v>0.11700000000000001</v>
      </c>
      <c r="AN153" s="87">
        <v>9.8000000000000004E-2</v>
      </c>
      <c r="AO153" s="34"/>
      <c r="AP153" s="33">
        <v>7020.5</v>
      </c>
      <c r="AQ153" s="33">
        <v>1832.5</v>
      </c>
      <c r="AR153" s="88">
        <v>0</v>
      </c>
      <c r="AS153" s="88">
        <v>0</v>
      </c>
      <c r="AT153" s="89" t="s">
        <v>3285</v>
      </c>
      <c r="AU153" s="33"/>
      <c r="AV153" s="33">
        <v>-0.14779999999999999</v>
      </c>
      <c r="AW153" s="33">
        <v>-7.3800000000000004E-2</v>
      </c>
      <c r="AX153" s="81"/>
      <c r="AY153" s="81" t="s">
        <v>648</v>
      </c>
      <c r="AZ153" s="81" t="s">
        <v>649</v>
      </c>
      <c r="BA153" s="81" t="s">
        <v>1686</v>
      </c>
      <c r="BB153" s="81" t="s">
        <v>2641</v>
      </c>
      <c r="BC153" s="81"/>
    </row>
    <row r="154" spans="1:55">
      <c r="A154" s="169">
        <v>2.13</v>
      </c>
      <c r="B154" s="207"/>
      <c r="C154" t="s">
        <v>192</v>
      </c>
      <c r="D154" t="s">
        <v>3694</v>
      </c>
      <c r="F154" t="s">
        <v>1412</v>
      </c>
      <c r="G154" t="s">
        <v>1413</v>
      </c>
      <c r="H154" t="s">
        <v>1687</v>
      </c>
      <c r="I154" t="s">
        <v>2403</v>
      </c>
      <c r="J154" t="s">
        <v>2404</v>
      </c>
      <c r="K154" t="s">
        <v>2642</v>
      </c>
      <c r="M154" t="s">
        <v>3348</v>
      </c>
      <c r="N154" t="s">
        <v>192</v>
      </c>
      <c r="O154">
        <v>5</v>
      </c>
      <c r="Q154" t="s">
        <v>3439</v>
      </c>
      <c r="R154" t="s">
        <v>192</v>
      </c>
      <c r="S154">
        <v>5</v>
      </c>
      <c r="U154" t="s">
        <v>3571</v>
      </c>
      <c r="V154" t="s">
        <v>192</v>
      </c>
      <c r="W154">
        <v>3</v>
      </c>
      <c r="Y154">
        <v>13</v>
      </c>
      <c r="Z154">
        <v>94.3</v>
      </c>
      <c r="AA154">
        <v>17</v>
      </c>
      <c r="AB154">
        <v>9</v>
      </c>
      <c r="AC154">
        <v>96.5</v>
      </c>
      <c r="AD154">
        <v>10</v>
      </c>
      <c r="AF154" s="170" t="s">
        <v>192</v>
      </c>
      <c r="AG154" s="171">
        <v>0.19040000000000001</v>
      </c>
      <c r="AH154" s="183">
        <v>3.5569999999999999</v>
      </c>
      <c r="AI154" s="187">
        <v>0.56200000000000006</v>
      </c>
      <c r="AJ154" s="188">
        <v>0.21199999999999999</v>
      </c>
      <c r="AK154" s="188">
        <v>0.14599999999999999</v>
      </c>
      <c r="AL154" s="185"/>
      <c r="AM154" s="172">
        <v>3.5259999999999998</v>
      </c>
      <c r="AN154" s="172">
        <v>2.6659999999999999</v>
      </c>
      <c r="AO154" s="174"/>
      <c r="AP154" s="171">
        <v>153181</v>
      </c>
      <c r="AQ154" s="171">
        <v>134441</v>
      </c>
      <c r="AR154" s="175">
        <v>1</v>
      </c>
      <c r="AS154" s="175">
        <v>1</v>
      </c>
      <c r="AT154" s="176" t="s">
        <v>3289</v>
      </c>
      <c r="AU154" s="171"/>
      <c r="AV154" s="171">
        <v>2.0945999999999998</v>
      </c>
      <c r="AW154" s="171">
        <v>1.6101000000000001</v>
      </c>
      <c r="AY154" t="s">
        <v>694</v>
      </c>
      <c r="AZ154" t="s">
        <v>695</v>
      </c>
      <c r="BA154" t="s">
        <v>1689</v>
      </c>
      <c r="BB154" t="s">
        <v>2644</v>
      </c>
    </row>
    <row r="155" spans="1:55">
      <c r="A155" s="169">
        <v>2.13</v>
      </c>
      <c r="B155" s="207"/>
      <c r="C155" t="s">
        <v>193</v>
      </c>
      <c r="D155" t="s">
        <v>3694</v>
      </c>
      <c r="F155" t="s">
        <v>1412</v>
      </c>
      <c r="G155" t="s">
        <v>1413</v>
      </c>
      <c r="H155" t="s">
        <v>1690</v>
      </c>
      <c r="I155" t="s">
        <v>2403</v>
      </c>
      <c r="J155" t="s">
        <v>2404</v>
      </c>
      <c r="K155" t="s">
        <v>2639</v>
      </c>
      <c r="M155" t="s">
        <v>3348</v>
      </c>
      <c r="N155" t="s">
        <v>193</v>
      </c>
      <c r="O155">
        <v>5</v>
      </c>
      <c r="Q155" t="s">
        <v>3439</v>
      </c>
      <c r="R155" t="s">
        <v>193</v>
      </c>
      <c r="S155">
        <v>5</v>
      </c>
      <c r="U155" t="s">
        <v>3571</v>
      </c>
      <c r="V155" t="s">
        <v>193</v>
      </c>
      <c r="W155">
        <v>3</v>
      </c>
      <c r="Y155">
        <v>13</v>
      </c>
      <c r="Z155">
        <v>95.6</v>
      </c>
      <c r="AA155">
        <v>13</v>
      </c>
      <c r="AB155">
        <v>9</v>
      </c>
      <c r="AC155">
        <v>98.9</v>
      </c>
      <c r="AD155">
        <v>3</v>
      </c>
      <c r="AF155" s="170" t="s">
        <v>193</v>
      </c>
      <c r="AG155" s="171">
        <v>0.40610000000000002</v>
      </c>
      <c r="AH155" s="172">
        <v>3.5779999999999998</v>
      </c>
      <c r="AI155" s="172">
        <v>3.52</v>
      </c>
      <c r="AJ155" s="173">
        <v>0.14699999999999999</v>
      </c>
      <c r="AK155" s="173">
        <v>0.13900000000000001</v>
      </c>
      <c r="AL155" s="174"/>
      <c r="AM155" s="173">
        <v>0.125</v>
      </c>
      <c r="AN155" s="173">
        <v>0.106</v>
      </c>
      <c r="AO155" s="174"/>
      <c r="AP155" s="171">
        <v>9714</v>
      </c>
      <c r="AQ155" s="171">
        <v>1583</v>
      </c>
      <c r="AR155" s="175">
        <v>1</v>
      </c>
      <c r="AS155" s="175">
        <v>0</v>
      </c>
      <c r="AT155" s="176" t="s">
        <v>3285</v>
      </c>
      <c r="AU155" s="171"/>
      <c r="AV155" s="171">
        <v>-0.1215</v>
      </c>
      <c r="AW155" s="171">
        <v>-8.8200000000000001E-2</v>
      </c>
      <c r="AY155" t="s">
        <v>714</v>
      </c>
      <c r="AZ155" t="s">
        <v>715</v>
      </c>
      <c r="BA155" t="s">
        <v>1692</v>
      </c>
      <c r="BB155" t="s">
        <v>2645</v>
      </c>
    </row>
    <row r="156" spans="1:55">
      <c r="A156" s="169">
        <v>2.13</v>
      </c>
      <c r="B156" s="207"/>
      <c r="C156" t="s">
        <v>190</v>
      </c>
      <c r="D156" t="s">
        <v>3694</v>
      </c>
      <c r="F156" t="s">
        <v>1412</v>
      </c>
      <c r="G156" t="s">
        <v>1413</v>
      </c>
      <c r="H156" t="s">
        <v>1680</v>
      </c>
      <c r="I156" t="s">
        <v>2403</v>
      </c>
      <c r="J156" t="s">
        <v>2404</v>
      </c>
      <c r="K156" t="s">
        <v>2635</v>
      </c>
      <c r="M156" t="s">
        <v>3348</v>
      </c>
      <c r="N156" t="s">
        <v>190</v>
      </c>
      <c r="O156">
        <v>5</v>
      </c>
      <c r="Q156" t="s">
        <v>3439</v>
      </c>
      <c r="R156" t="s">
        <v>190</v>
      </c>
      <c r="S156">
        <v>5</v>
      </c>
      <c r="U156" t="s">
        <v>3596</v>
      </c>
      <c r="V156" t="s">
        <v>190</v>
      </c>
      <c r="W156">
        <v>1</v>
      </c>
      <c r="Y156">
        <v>13</v>
      </c>
      <c r="Z156">
        <v>92.2</v>
      </c>
      <c r="AA156">
        <v>23</v>
      </c>
      <c r="AB156">
        <v>9</v>
      </c>
      <c r="AC156">
        <v>95.1</v>
      </c>
      <c r="AD156">
        <v>14</v>
      </c>
      <c r="AF156" s="170" t="s">
        <v>190</v>
      </c>
      <c r="AG156" s="171">
        <v>0.40029999999999999</v>
      </c>
      <c r="AH156" s="172">
        <v>3.6320000000000001</v>
      </c>
      <c r="AI156" s="172">
        <v>3.59</v>
      </c>
      <c r="AJ156" s="173">
        <v>0.154</v>
      </c>
      <c r="AK156" s="173">
        <v>0.157</v>
      </c>
      <c r="AL156" s="174"/>
      <c r="AM156" s="173">
        <v>0.14499999999999999</v>
      </c>
      <c r="AN156" s="173">
        <v>0.09</v>
      </c>
      <c r="AO156" s="174"/>
      <c r="AP156" s="171">
        <v>62968</v>
      </c>
      <c r="AQ156" s="171">
        <v>1811</v>
      </c>
      <c r="AR156" s="175">
        <v>1</v>
      </c>
      <c r="AS156" s="175">
        <v>0</v>
      </c>
      <c r="AT156" s="176" t="s">
        <v>3285</v>
      </c>
      <c r="AU156" s="171"/>
      <c r="AV156" s="171">
        <v>-2.63E-2</v>
      </c>
      <c r="AW156" s="171">
        <v>-1.3599999999999999E-2</v>
      </c>
      <c r="AY156" t="s">
        <v>753</v>
      </c>
      <c r="AZ156" t="s">
        <v>754</v>
      </c>
      <c r="BA156" t="s">
        <v>1683</v>
      </c>
      <c r="BB156" t="s">
        <v>2638</v>
      </c>
    </row>
    <row r="157" spans="1:55" ht="17" thickBot="1">
      <c r="A157" s="178">
        <v>2.13</v>
      </c>
      <c r="B157" s="208"/>
      <c r="C157" s="40" t="s">
        <v>194</v>
      </c>
      <c r="D157" s="40" t="s">
        <v>3697</v>
      </c>
      <c r="E157" s="40"/>
      <c r="F157" s="40" t="s">
        <v>1412</v>
      </c>
      <c r="G157" s="40" t="s">
        <v>1413</v>
      </c>
      <c r="H157" s="40" t="s">
        <v>1693</v>
      </c>
      <c r="I157" s="40" t="s">
        <v>2403</v>
      </c>
      <c r="J157" s="40" t="s">
        <v>2404</v>
      </c>
      <c r="K157" s="40" t="s">
        <v>2405</v>
      </c>
      <c r="L157" s="40"/>
      <c r="M157" s="40" t="s">
        <v>3348</v>
      </c>
      <c r="N157" s="40" t="s">
        <v>194</v>
      </c>
      <c r="O157" s="40">
        <v>5</v>
      </c>
      <c r="P157" s="40"/>
      <c r="Q157" s="40" t="s">
        <v>3439</v>
      </c>
      <c r="R157" s="40" t="s">
        <v>194</v>
      </c>
      <c r="S157" s="40">
        <v>5</v>
      </c>
      <c r="T157" s="40"/>
      <c r="U157" s="40" t="s">
        <v>3647</v>
      </c>
      <c r="V157" s="40" t="s">
        <v>194</v>
      </c>
      <c r="W157" s="40">
        <v>1</v>
      </c>
      <c r="X157" s="40"/>
      <c r="Y157" s="40">
        <v>13</v>
      </c>
      <c r="Z157" s="40">
        <v>93.9</v>
      </c>
      <c r="AA157" s="40">
        <v>18</v>
      </c>
      <c r="AB157" s="40">
        <v>9</v>
      </c>
      <c r="AC157" s="40">
        <v>98.6</v>
      </c>
      <c r="AD157" s="40">
        <v>4</v>
      </c>
      <c r="AE157" s="40"/>
      <c r="AF157" s="85" t="s">
        <v>195</v>
      </c>
      <c r="AG157" s="35">
        <v>0.63829999999999998</v>
      </c>
      <c r="AH157" s="102">
        <v>3.5419999999999998</v>
      </c>
      <c r="AI157" s="102">
        <v>3.5569999999999999</v>
      </c>
      <c r="AJ157" s="90">
        <v>0.30599999999999999</v>
      </c>
      <c r="AK157" s="90">
        <v>0.16200000000000001</v>
      </c>
      <c r="AL157" s="37"/>
      <c r="AM157" s="90">
        <v>0.13600000000000001</v>
      </c>
      <c r="AN157" s="90">
        <v>0.10199999999999999</v>
      </c>
      <c r="AO157" s="37"/>
      <c r="AP157" s="35">
        <v>5308.5</v>
      </c>
      <c r="AQ157" s="35">
        <v>2356</v>
      </c>
      <c r="AR157" s="93">
        <v>0</v>
      </c>
      <c r="AS157" s="93">
        <v>0</v>
      </c>
      <c r="AT157" s="94" t="s">
        <v>3285</v>
      </c>
      <c r="AU157" s="35"/>
      <c r="AV157" s="35">
        <v>-6.4100000000000004E-2</v>
      </c>
      <c r="AW157" s="35">
        <v>-7.0000000000000007E-2</v>
      </c>
      <c r="AX157" s="40"/>
      <c r="AY157" s="40" t="s">
        <v>1063</v>
      </c>
      <c r="AZ157" s="40" t="s">
        <v>1064</v>
      </c>
      <c r="BA157" s="40" t="s">
        <v>1695</v>
      </c>
      <c r="BB157" s="40" t="s">
        <v>2647</v>
      </c>
      <c r="BC157" s="40"/>
    </row>
    <row r="158" spans="1:55">
      <c r="A158" s="169">
        <v>2.14</v>
      </c>
      <c r="B158" s="206">
        <v>2.14</v>
      </c>
      <c r="C158" t="s">
        <v>63</v>
      </c>
      <c r="D158" t="s">
        <v>3694</v>
      </c>
      <c r="F158" t="s">
        <v>1642</v>
      </c>
      <c r="G158" t="s">
        <v>1767</v>
      </c>
      <c r="H158" t="s">
        <v>2254</v>
      </c>
      <c r="I158" t="s">
        <v>2603</v>
      </c>
      <c r="J158" t="s">
        <v>2404</v>
      </c>
      <c r="K158" t="s">
        <v>3138</v>
      </c>
      <c r="M158" t="s">
        <v>3326</v>
      </c>
      <c r="N158" t="s">
        <v>63</v>
      </c>
      <c r="O158">
        <v>5</v>
      </c>
      <c r="Q158" t="s">
        <v>3407</v>
      </c>
      <c r="R158" t="s">
        <v>63</v>
      </c>
      <c r="S158">
        <v>3</v>
      </c>
      <c r="U158" t="s">
        <v>3589</v>
      </c>
      <c r="V158" t="s">
        <v>63</v>
      </c>
      <c r="W158">
        <v>2</v>
      </c>
      <c r="Y158">
        <v>12</v>
      </c>
      <c r="Z158">
        <v>93.8</v>
      </c>
      <c r="AA158">
        <v>18</v>
      </c>
      <c r="AB158">
        <v>9</v>
      </c>
      <c r="AC158">
        <v>95.2</v>
      </c>
      <c r="AD158">
        <v>11</v>
      </c>
      <c r="AF158" s="170" t="s">
        <v>63</v>
      </c>
      <c r="AG158" s="171">
        <v>0.19639999999999999</v>
      </c>
      <c r="AH158" s="172">
        <v>3.6219999999999999</v>
      </c>
      <c r="AI158" s="173">
        <v>0.14299999999999999</v>
      </c>
      <c r="AJ158" s="173">
        <v>0.124</v>
      </c>
      <c r="AK158" s="173">
        <v>0.156</v>
      </c>
      <c r="AL158" s="174"/>
      <c r="AM158" s="172">
        <v>3.6179999999999999</v>
      </c>
      <c r="AN158" s="177">
        <v>2.3439999999999999</v>
      </c>
      <c r="AO158" s="174"/>
      <c r="AP158" s="171">
        <v>312337.5</v>
      </c>
      <c r="AQ158" s="171">
        <v>185402</v>
      </c>
      <c r="AR158" s="175">
        <v>1</v>
      </c>
      <c r="AS158" s="175">
        <v>1</v>
      </c>
      <c r="AT158" s="176" t="s">
        <v>3285</v>
      </c>
      <c r="AU158" s="171"/>
      <c r="AV158" s="171">
        <v>1.5434000000000001</v>
      </c>
      <c r="AW158" s="171">
        <v>1.1642999999999999</v>
      </c>
      <c r="AY158" t="s">
        <v>727</v>
      </c>
      <c r="AZ158" t="s">
        <v>728</v>
      </c>
      <c r="BA158" t="s">
        <v>2257</v>
      </c>
      <c r="BB158" t="s">
        <v>3141</v>
      </c>
    </row>
    <row r="159" spans="1:55">
      <c r="A159" s="169">
        <v>2.14</v>
      </c>
      <c r="B159" s="207"/>
      <c r="C159" t="s">
        <v>67</v>
      </c>
      <c r="D159" t="s">
        <v>3698</v>
      </c>
      <c r="F159" t="s">
        <v>1642</v>
      </c>
      <c r="G159" t="s">
        <v>1767</v>
      </c>
      <c r="H159" t="s">
        <v>2268</v>
      </c>
      <c r="I159" t="s">
        <v>2603</v>
      </c>
      <c r="J159" t="s">
        <v>2404</v>
      </c>
      <c r="K159" t="s">
        <v>2620</v>
      </c>
      <c r="M159" t="s">
        <v>3326</v>
      </c>
      <c r="N159" t="s">
        <v>67</v>
      </c>
      <c r="O159">
        <v>5</v>
      </c>
      <c r="Q159" t="s">
        <v>3407</v>
      </c>
      <c r="R159" t="s">
        <v>67</v>
      </c>
      <c r="S159">
        <v>3</v>
      </c>
      <c r="U159" t="s">
        <v>3589</v>
      </c>
      <c r="V159" t="s">
        <v>67</v>
      </c>
      <c r="W159">
        <v>2</v>
      </c>
      <c r="Y159">
        <v>12</v>
      </c>
      <c r="Z159">
        <v>98.6</v>
      </c>
      <c r="AA159">
        <v>4</v>
      </c>
      <c r="AB159">
        <v>9</v>
      </c>
      <c r="AC159">
        <v>96.5</v>
      </c>
      <c r="AD159">
        <v>10</v>
      </c>
      <c r="AF159" s="170" t="s">
        <v>67</v>
      </c>
      <c r="AG159" s="171">
        <v>0.4501</v>
      </c>
      <c r="AH159" s="172">
        <v>3.5670000000000002</v>
      </c>
      <c r="AI159" s="173">
        <v>0.19900000000000001</v>
      </c>
      <c r="AJ159" s="173">
        <v>0.153</v>
      </c>
      <c r="AK159" s="173">
        <v>0.17699999999999999</v>
      </c>
      <c r="AL159" s="174"/>
      <c r="AM159" s="172">
        <v>3.4529999999999998</v>
      </c>
      <c r="AN159" s="177">
        <v>2.395</v>
      </c>
      <c r="AO159" s="174"/>
      <c r="AP159" s="171">
        <v>104729</v>
      </c>
      <c r="AQ159" s="171">
        <v>148509</v>
      </c>
      <c r="AR159" s="175">
        <v>1</v>
      </c>
      <c r="AS159" s="175">
        <v>1</v>
      </c>
      <c r="AT159" s="176" t="s">
        <v>3286</v>
      </c>
      <c r="AU159" s="171"/>
      <c r="AV159" s="171">
        <v>1.6941999999999999</v>
      </c>
      <c r="AW159" s="171">
        <v>1.8769</v>
      </c>
      <c r="AY159" t="s">
        <v>969</v>
      </c>
      <c r="AZ159" t="s">
        <v>970</v>
      </c>
      <c r="BA159" t="s">
        <v>2270</v>
      </c>
      <c r="BB159" t="s">
        <v>3153</v>
      </c>
    </row>
    <row r="160" spans="1:55">
      <c r="A160" s="169">
        <v>2.14</v>
      </c>
      <c r="B160" s="207"/>
      <c r="C160" t="s">
        <v>64</v>
      </c>
      <c r="D160" t="s">
        <v>3694</v>
      </c>
      <c r="F160" t="s">
        <v>1642</v>
      </c>
      <c r="G160" t="s">
        <v>1767</v>
      </c>
      <c r="H160" t="s">
        <v>2259</v>
      </c>
      <c r="I160" t="s">
        <v>2603</v>
      </c>
      <c r="J160" t="s">
        <v>2404</v>
      </c>
      <c r="K160" t="s">
        <v>3144</v>
      </c>
      <c r="M160" t="s">
        <v>3326</v>
      </c>
      <c r="N160" t="s">
        <v>64</v>
      </c>
      <c r="O160">
        <v>5</v>
      </c>
      <c r="Q160" t="s">
        <v>3407</v>
      </c>
      <c r="R160" t="s">
        <v>64</v>
      </c>
      <c r="S160">
        <v>3</v>
      </c>
      <c r="U160" t="s">
        <v>3531</v>
      </c>
      <c r="V160" t="s">
        <v>64</v>
      </c>
      <c r="W160">
        <v>1</v>
      </c>
      <c r="Y160">
        <v>12</v>
      </c>
      <c r="Z160">
        <v>96.6</v>
      </c>
      <c r="AA160">
        <v>10</v>
      </c>
      <c r="AB160">
        <v>9</v>
      </c>
      <c r="AC160">
        <v>96.5</v>
      </c>
      <c r="AD160">
        <v>10</v>
      </c>
      <c r="AF160" s="170" t="s">
        <v>64</v>
      </c>
      <c r="AG160" s="171">
        <v>6.5629999999999994E-2</v>
      </c>
      <c r="AH160" s="172">
        <v>3.6629999999999998</v>
      </c>
      <c r="AI160" s="173">
        <v>0.13800000000000001</v>
      </c>
      <c r="AJ160" s="173">
        <v>0.129</v>
      </c>
      <c r="AK160" s="173">
        <v>0.11899999999999999</v>
      </c>
      <c r="AL160" s="174"/>
      <c r="AM160" s="172">
        <v>3.6070000000000002</v>
      </c>
      <c r="AN160" s="177">
        <v>2.3210000000000002</v>
      </c>
      <c r="AO160" s="174"/>
      <c r="AP160" s="171">
        <v>201863.5</v>
      </c>
      <c r="AQ160" s="171">
        <v>265654</v>
      </c>
      <c r="AR160" s="175">
        <v>1</v>
      </c>
      <c r="AS160" s="175">
        <v>1</v>
      </c>
      <c r="AT160" s="176" t="s">
        <v>3286</v>
      </c>
      <c r="AU160" s="171"/>
      <c r="AV160" s="171">
        <v>3.2925</v>
      </c>
      <c r="AW160" s="171">
        <v>1.3421000000000001</v>
      </c>
      <c r="AY160" t="s">
        <v>517</v>
      </c>
      <c r="AZ160" t="s">
        <v>518</v>
      </c>
      <c r="BA160" t="s">
        <v>2261</v>
      </c>
      <c r="BB160" t="s">
        <v>3146</v>
      </c>
    </row>
    <row r="161" spans="1:55">
      <c r="A161" s="169">
        <v>2.14</v>
      </c>
      <c r="B161" s="207"/>
      <c r="C161" t="s">
        <v>65</v>
      </c>
      <c r="D161" t="s">
        <v>3694</v>
      </c>
      <c r="F161" t="s">
        <v>1642</v>
      </c>
      <c r="G161" t="s">
        <v>1767</v>
      </c>
      <c r="H161" t="s">
        <v>2262</v>
      </c>
      <c r="I161" t="s">
        <v>2603</v>
      </c>
      <c r="J161" t="s">
        <v>2404</v>
      </c>
      <c r="K161" t="s">
        <v>3147</v>
      </c>
      <c r="M161" t="s">
        <v>3326</v>
      </c>
      <c r="N161" t="s">
        <v>65</v>
      </c>
      <c r="O161">
        <v>5</v>
      </c>
      <c r="Q161" t="s">
        <v>3416</v>
      </c>
      <c r="R161" t="s">
        <v>65</v>
      </c>
      <c r="S161">
        <v>2</v>
      </c>
      <c r="U161" t="s">
        <v>3542</v>
      </c>
      <c r="V161" t="s">
        <v>65</v>
      </c>
      <c r="W161">
        <v>2</v>
      </c>
      <c r="Y161">
        <v>12</v>
      </c>
      <c r="Z161">
        <v>91.1</v>
      </c>
      <c r="AA161">
        <v>26</v>
      </c>
      <c r="AB161">
        <v>9</v>
      </c>
      <c r="AC161">
        <v>94.1</v>
      </c>
      <c r="AD161">
        <v>17</v>
      </c>
      <c r="AF161" s="170" t="s">
        <v>65</v>
      </c>
      <c r="AG161" s="171">
        <v>8.1500000000000003E-2</v>
      </c>
      <c r="AH161" s="172">
        <v>3.597</v>
      </c>
      <c r="AI161" s="192">
        <v>1.119</v>
      </c>
      <c r="AJ161" s="173">
        <v>0.13700000000000001</v>
      </c>
      <c r="AK161" s="173">
        <v>0.125</v>
      </c>
      <c r="AL161" s="174"/>
      <c r="AM161" s="172">
        <v>3.5449999999999999</v>
      </c>
      <c r="AN161" s="177">
        <v>2.3290000000000002</v>
      </c>
      <c r="AO161" s="174"/>
      <c r="AP161" s="171">
        <v>161568</v>
      </c>
      <c r="AQ161" s="171">
        <v>217766</v>
      </c>
      <c r="AR161" s="175">
        <v>1</v>
      </c>
      <c r="AS161" s="175">
        <v>1</v>
      </c>
      <c r="AT161" s="176" t="s">
        <v>3286</v>
      </c>
      <c r="AU161" s="171"/>
      <c r="AV161" s="171">
        <v>2.7128000000000001</v>
      </c>
      <c r="AW161" s="171">
        <v>1.2141</v>
      </c>
      <c r="AY161" t="s">
        <v>545</v>
      </c>
      <c r="AZ161" t="s">
        <v>546</v>
      </c>
      <c r="BA161" t="s">
        <v>2264</v>
      </c>
      <c r="BB161" t="s">
        <v>3149</v>
      </c>
    </row>
    <row r="162" spans="1:55" ht="17" thickBot="1">
      <c r="A162" s="169">
        <v>2.14</v>
      </c>
      <c r="B162" s="208"/>
      <c r="C162" t="s">
        <v>66</v>
      </c>
      <c r="D162" t="s">
        <v>3694</v>
      </c>
      <c r="F162" t="s">
        <v>1642</v>
      </c>
      <c r="G162" t="s">
        <v>1767</v>
      </c>
      <c r="H162" t="s">
        <v>2265</v>
      </c>
      <c r="I162" t="s">
        <v>2603</v>
      </c>
      <c r="J162" t="s">
        <v>2404</v>
      </c>
      <c r="K162" t="s">
        <v>2737</v>
      </c>
      <c r="M162" t="s">
        <v>3326</v>
      </c>
      <c r="N162" t="s">
        <v>66</v>
      </c>
      <c r="O162">
        <v>5</v>
      </c>
      <c r="Q162" t="s">
        <v>3416</v>
      </c>
      <c r="R162" t="s">
        <v>66</v>
      </c>
      <c r="S162">
        <v>2</v>
      </c>
      <c r="U162" t="s">
        <v>3542</v>
      </c>
      <c r="V162" t="s">
        <v>66</v>
      </c>
      <c r="W162">
        <v>2</v>
      </c>
      <c r="Y162">
        <v>12</v>
      </c>
      <c r="Z162">
        <v>94.5</v>
      </c>
      <c r="AA162">
        <v>16</v>
      </c>
      <c r="AB162">
        <v>9</v>
      </c>
      <c r="AC162">
        <v>97.2</v>
      </c>
      <c r="AD162">
        <v>8</v>
      </c>
      <c r="AF162" s="170" t="s">
        <v>66</v>
      </c>
      <c r="AG162" s="171">
        <v>9.1670000000000001E-2</v>
      </c>
      <c r="AH162" s="183">
        <v>3.6080000000000001</v>
      </c>
      <c r="AI162" s="188">
        <v>0.157</v>
      </c>
      <c r="AJ162" s="188">
        <v>0.11600000000000001</v>
      </c>
      <c r="AK162" s="188">
        <v>0.15</v>
      </c>
      <c r="AL162" s="185"/>
      <c r="AM162" s="172">
        <v>3.5579999999999998</v>
      </c>
      <c r="AN162" s="172">
        <v>2.6989999999999998</v>
      </c>
      <c r="AO162" s="174"/>
      <c r="AP162" s="171">
        <v>29301.5</v>
      </c>
      <c r="AQ162" s="171">
        <v>154409</v>
      </c>
      <c r="AR162" s="175">
        <v>1</v>
      </c>
      <c r="AS162" s="175">
        <v>1</v>
      </c>
      <c r="AT162" s="176" t="s">
        <v>3286</v>
      </c>
      <c r="AU162" s="171"/>
      <c r="AV162" s="171">
        <v>-0.13239999999999999</v>
      </c>
      <c r="AW162" s="171">
        <v>-2.3400000000000001E-2</v>
      </c>
      <c r="AY162" t="s">
        <v>706</v>
      </c>
      <c r="AZ162" t="s">
        <v>707</v>
      </c>
      <c r="BA162" t="s">
        <v>2267</v>
      </c>
      <c r="BB162" t="s">
        <v>3151</v>
      </c>
    </row>
    <row r="163" spans="1:55">
      <c r="A163" s="168">
        <v>2.15</v>
      </c>
      <c r="B163" s="206">
        <v>2.15</v>
      </c>
      <c r="C163" s="81" t="s">
        <v>197</v>
      </c>
      <c r="D163" s="81" t="s">
        <v>3694</v>
      </c>
      <c r="E163" s="81"/>
      <c r="F163" s="81" t="s">
        <v>1642</v>
      </c>
      <c r="G163" s="81" t="s">
        <v>1413</v>
      </c>
      <c r="H163" s="81" t="s">
        <v>1701</v>
      </c>
      <c r="I163" s="81" t="s">
        <v>2603</v>
      </c>
      <c r="J163" s="81" t="s">
        <v>2452</v>
      </c>
      <c r="K163" s="81" t="s">
        <v>2652</v>
      </c>
      <c r="L163" s="81"/>
      <c r="M163" s="81" t="s">
        <v>3307</v>
      </c>
      <c r="N163" s="81" t="s">
        <v>197</v>
      </c>
      <c r="O163" s="81">
        <v>5</v>
      </c>
      <c r="P163" s="81"/>
      <c r="Q163" s="81" t="s">
        <v>3417</v>
      </c>
      <c r="R163" s="81" t="s">
        <v>197</v>
      </c>
      <c r="S163" s="81">
        <v>4</v>
      </c>
      <c r="T163" s="81"/>
      <c r="U163" s="81" t="s">
        <v>3543</v>
      </c>
      <c r="V163" s="81" t="s">
        <v>197</v>
      </c>
      <c r="W163" s="81">
        <v>4</v>
      </c>
      <c r="X163" s="81"/>
      <c r="Y163" s="81">
        <v>10</v>
      </c>
      <c r="Z163" s="81">
        <v>98.3</v>
      </c>
      <c r="AA163" s="81">
        <v>5</v>
      </c>
      <c r="AB163" s="81">
        <v>9</v>
      </c>
      <c r="AC163" s="81">
        <v>95.1</v>
      </c>
      <c r="AD163" s="81">
        <v>14</v>
      </c>
      <c r="AE163" s="81"/>
      <c r="AF163" s="83" t="s">
        <v>197</v>
      </c>
      <c r="AG163" s="33">
        <v>0.1603</v>
      </c>
      <c r="AH163" s="100">
        <v>3.6070000000000002</v>
      </c>
      <c r="AI163" s="100">
        <v>3.4660000000000002</v>
      </c>
      <c r="AJ163" s="100">
        <v>3.5739999999999998</v>
      </c>
      <c r="AK163" s="87">
        <v>0.16</v>
      </c>
      <c r="AL163" s="34"/>
      <c r="AM163" s="87">
        <v>0.106</v>
      </c>
      <c r="AN163" s="87">
        <v>8.1000000000000003E-2</v>
      </c>
      <c r="AO163" s="34"/>
      <c r="AP163" s="33">
        <v>93110</v>
      </c>
      <c r="AQ163" s="33">
        <v>1906</v>
      </c>
      <c r="AR163" s="88">
        <v>1</v>
      </c>
      <c r="AS163" s="88">
        <v>0</v>
      </c>
      <c r="AT163" s="89" t="s">
        <v>3285</v>
      </c>
      <c r="AU163" s="33"/>
      <c r="AV163" s="33">
        <v>0.70069999999999999</v>
      </c>
      <c r="AW163" s="33">
        <v>-6.7999999999999996E-3</v>
      </c>
      <c r="AX163" s="81"/>
      <c r="AY163" s="81" t="s">
        <v>797</v>
      </c>
      <c r="AZ163" s="81" t="s">
        <v>798</v>
      </c>
      <c r="BA163" s="81" t="s">
        <v>1704</v>
      </c>
      <c r="BB163" s="81" t="s">
        <v>2655</v>
      </c>
      <c r="BC163" s="81"/>
    </row>
    <row r="164" spans="1:55">
      <c r="A164" s="169">
        <v>2.15</v>
      </c>
      <c r="B164" s="207"/>
      <c r="C164" t="s">
        <v>198</v>
      </c>
      <c r="D164" t="s">
        <v>3694</v>
      </c>
      <c r="F164" t="s">
        <v>1642</v>
      </c>
      <c r="G164" t="s">
        <v>1413</v>
      </c>
      <c r="H164" t="s">
        <v>1708</v>
      </c>
      <c r="I164" t="s">
        <v>2603</v>
      </c>
      <c r="J164" t="s">
        <v>2452</v>
      </c>
      <c r="K164" t="s">
        <v>2658</v>
      </c>
      <c r="M164" t="s">
        <v>3307</v>
      </c>
      <c r="N164" t="s">
        <v>198</v>
      </c>
      <c r="O164">
        <v>5</v>
      </c>
      <c r="Q164" t="s">
        <v>3417</v>
      </c>
      <c r="R164" t="s">
        <v>198</v>
      </c>
      <c r="S164">
        <v>4</v>
      </c>
      <c r="U164" t="s">
        <v>3543</v>
      </c>
      <c r="V164" t="s">
        <v>198</v>
      </c>
      <c r="W164">
        <v>4</v>
      </c>
      <c r="Y164">
        <v>10</v>
      </c>
      <c r="Z164">
        <v>94.5</v>
      </c>
      <c r="AA164">
        <v>16</v>
      </c>
      <c r="AB164">
        <v>9</v>
      </c>
      <c r="AC164">
        <v>95.5</v>
      </c>
      <c r="AD164">
        <v>13</v>
      </c>
      <c r="AF164" s="170" t="s">
        <v>198</v>
      </c>
      <c r="AG164" s="171">
        <v>0.2195</v>
      </c>
      <c r="AH164" s="177">
        <v>3.32</v>
      </c>
      <c r="AI164" s="172">
        <v>3.5680000000000001</v>
      </c>
      <c r="AJ164" s="172">
        <v>3.5569999999999999</v>
      </c>
      <c r="AK164" s="173">
        <v>0.188</v>
      </c>
      <c r="AL164" s="174"/>
      <c r="AM164" s="173">
        <v>0.10100000000000001</v>
      </c>
      <c r="AN164" s="173">
        <v>8.2000000000000003E-2</v>
      </c>
      <c r="AO164" s="174"/>
      <c r="AP164" s="171">
        <v>36235</v>
      </c>
      <c r="AQ164" s="171">
        <v>1908</v>
      </c>
      <c r="AR164" s="175">
        <v>1</v>
      </c>
      <c r="AS164" s="175">
        <v>0</v>
      </c>
      <c r="AT164" s="176" t="s">
        <v>3285</v>
      </c>
      <c r="AU164" s="171"/>
      <c r="AV164" s="171">
        <v>-6.1100000000000002E-2</v>
      </c>
      <c r="AW164" s="171">
        <v>-5.8999999999999999E-3</v>
      </c>
      <c r="AY164" t="s">
        <v>548</v>
      </c>
      <c r="AZ164" t="s">
        <v>549</v>
      </c>
      <c r="BA164" t="s">
        <v>1710</v>
      </c>
      <c r="BB164" t="s">
        <v>2660</v>
      </c>
    </row>
    <row r="165" spans="1:55">
      <c r="A165" s="169">
        <v>2.15</v>
      </c>
      <c r="B165" s="207"/>
      <c r="C165" t="s">
        <v>199</v>
      </c>
      <c r="D165" t="s">
        <v>3694</v>
      </c>
      <c r="F165" t="s">
        <v>3299</v>
      </c>
      <c r="G165" t="s">
        <v>1413</v>
      </c>
      <c r="H165" t="s">
        <v>1711</v>
      </c>
      <c r="I165" t="s">
        <v>2603</v>
      </c>
      <c r="J165" t="s">
        <v>2452</v>
      </c>
      <c r="K165" t="s">
        <v>2658</v>
      </c>
      <c r="M165" t="s">
        <v>3307</v>
      </c>
      <c r="N165" t="s">
        <v>199</v>
      </c>
      <c r="O165">
        <v>5</v>
      </c>
      <c r="Q165" t="s">
        <v>3417</v>
      </c>
      <c r="R165" t="s">
        <v>199</v>
      </c>
      <c r="S165">
        <v>4</v>
      </c>
      <c r="U165" t="s">
        <v>3543</v>
      </c>
      <c r="V165" t="s">
        <v>199</v>
      </c>
      <c r="W165">
        <v>4</v>
      </c>
      <c r="Y165">
        <v>10</v>
      </c>
      <c r="Z165">
        <v>97.3</v>
      </c>
      <c r="AA165">
        <v>8</v>
      </c>
      <c r="AB165">
        <v>9</v>
      </c>
      <c r="AC165">
        <v>97.2</v>
      </c>
      <c r="AD165">
        <v>8</v>
      </c>
      <c r="AF165" s="170" t="s">
        <v>199</v>
      </c>
      <c r="AG165" s="171">
        <v>0.18049999999999999</v>
      </c>
      <c r="AH165" s="172">
        <v>3.4830000000000001</v>
      </c>
      <c r="AI165" s="172">
        <v>3.536</v>
      </c>
      <c r="AJ165" s="172">
        <v>3.6070000000000002</v>
      </c>
      <c r="AK165" s="173">
        <v>0.16500000000000001</v>
      </c>
      <c r="AL165" s="174"/>
      <c r="AM165" s="173">
        <v>0.111</v>
      </c>
      <c r="AN165" s="173">
        <v>0.09</v>
      </c>
      <c r="AO165" s="174"/>
      <c r="AP165" s="171">
        <v>18080.5</v>
      </c>
      <c r="AQ165" s="171">
        <v>1912</v>
      </c>
      <c r="AR165" s="175">
        <v>1</v>
      </c>
      <c r="AS165" s="175">
        <v>0</v>
      </c>
      <c r="AT165" s="176" t="s">
        <v>3285</v>
      </c>
      <c r="AU165" s="171"/>
      <c r="AV165" s="171">
        <v>-4.9399999999999999E-2</v>
      </c>
      <c r="AW165" s="171">
        <v>-9.4999999999999998E-3</v>
      </c>
      <c r="AY165" t="s">
        <v>572</v>
      </c>
      <c r="AZ165" t="s">
        <v>573</v>
      </c>
      <c r="BA165" t="s">
        <v>1713</v>
      </c>
      <c r="BB165" t="s">
        <v>2661</v>
      </c>
    </row>
    <row r="166" spans="1:55">
      <c r="A166" s="169">
        <v>2.15</v>
      </c>
      <c r="B166" s="207"/>
      <c r="C166" t="s">
        <v>200</v>
      </c>
      <c r="D166" t="s">
        <v>3694</v>
      </c>
      <c r="F166" t="s">
        <v>1642</v>
      </c>
      <c r="G166" t="s">
        <v>1413</v>
      </c>
      <c r="H166" t="s">
        <v>1711</v>
      </c>
      <c r="I166" t="s">
        <v>2603</v>
      </c>
      <c r="J166" t="s">
        <v>2452</v>
      </c>
      <c r="K166" t="s">
        <v>2658</v>
      </c>
      <c r="M166" t="s">
        <v>3307</v>
      </c>
      <c r="N166" t="s">
        <v>200</v>
      </c>
      <c r="O166">
        <v>5</v>
      </c>
      <c r="Q166" t="s">
        <v>3417</v>
      </c>
      <c r="R166" t="s">
        <v>200</v>
      </c>
      <c r="S166">
        <v>4</v>
      </c>
      <c r="U166" t="s">
        <v>3543</v>
      </c>
      <c r="V166" t="s">
        <v>200</v>
      </c>
      <c r="W166">
        <v>4</v>
      </c>
      <c r="Y166">
        <v>10</v>
      </c>
      <c r="Z166">
        <v>97.6</v>
      </c>
      <c r="AA166">
        <v>7</v>
      </c>
      <c r="AB166">
        <v>9</v>
      </c>
      <c r="AC166">
        <v>97.6</v>
      </c>
      <c r="AD166">
        <v>7</v>
      </c>
      <c r="AF166" s="170" t="s">
        <v>200</v>
      </c>
      <c r="AG166" s="171">
        <v>0.15640000000000001</v>
      </c>
      <c r="AH166" s="183">
        <v>3.5760000000000001</v>
      </c>
      <c r="AI166" s="183">
        <v>3.5430000000000001</v>
      </c>
      <c r="AJ166" s="183">
        <v>3.6110000000000002</v>
      </c>
      <c r="AK166" s="188">
        <v>0.184</v>
      </c>
      <c r="AL166" s="185"/>
      <c r="AM166" s="173">
        <v>0.11600000000000001</v>
      </c>
      <c r="AN166" s="173">
        <v>9.8000000000000004E-2</v>
      </c>
      <c r="AO166" s="174"/>
      <c r="AP166" s="171">
        <v>70401</v>
      </c>
      <c r="AQ166" s="171">
        <v>3869</v>
      </c>
      <c r="AR166" s="175">
        <v>1</v>
      </c>
      <c r="AS166" s="175">
        <v>0</v>
      </c>
      <c r="AT166" s="176" t="s">
        <v>3285</v>
      </c>
      <c r="AU166" s="171"/>
      <c r="AV166" s="171">
        <v>-0.18440000000000001</v>
      </c>
      <c r="AW166" s="171">
        <v>-0.14180000000000001</v>
      </c>
      <c r="AY166" t="s">
        <v>704</v>
      </c>
      <c r="AZ166" t="s">
        <v>705</v>
      </c>
      <c r="BA166" t="s">
        <v>1714</v>
      </c>
      <c r="BB166" t="s">
        <v>2662</v>
      </c>
    </row>
    <row r="167" spans="1:55" ht="17" thickBot="1">
      <c r="A167" s="178">
        <v>2.15</v>
      </c>
      <c r="B167" s="208"/>
      <c r="C167" s="40" t="s">
        <v>196</v>
      </c>
      <c r="D167" s="40" t="s">
        <v>3697</v>
      </c>
      <c r="E167" s="40"/>
      <c r="F167" s="40" t="s">
        <v>1642</v>
      </c>
      <c r="G167" s="40" t="s">
        <v>1413</v>
      </c>
      <c r="H167" s="40" t="s">
        <v>1696</v>
      </c>
      <c r="I167" s="40" t="s">
        <v>2603</v>
      </c>
      <c r="J167" s="40" t="s">
        <v>2452</v>
      </c>
      <c r="K167" s="40" t="s">
        <v>2648</v>
      </c>
      <c r="L167" s="40"/>
      <c r="M167" s="40" t="s">
        <v>3307</v>
      </c>
      <c r="N167" s="40" t="s">
        <v>196</v>
      </c>
      <c r="O167" s="40">
        <v>5</v>
      </c>
      <c r="P167" s="40"/>
      <c r="Q167" s="40" t="s">
        <v>3387</v>
      </c>
      <c r="R167" s="40" t="s">
        <v>196</v>
      </c>
      <c r="S167" s="40">
        <v>1</v>
      </c>
      <c r="T167" s="40"/>
      <c r="U167" s="40" t="s">
        <v>3511</v>
      </c>
      <c r="V167" s="40" t="s">
        <v>196</v>
      </c>
      <c r="W167" s="40">
        <v>1</v>
      </c>
      <c r="X167" s="40"/>
      <c r="Y167" s="40">
        <v>10</v>
      </c>
      <c r="Z167" s="40">
        <v>96.7</v>
      </c>
      <c r="AA167" s="40">
        <v>9</v>
      </c>
      <c r="AB167" s="40">
        <v>9</v>
      </c>
      <c r="AC167" s="40">
        <v>98.5</v>
      </c>
      <c r="AD167" s="40">
        <v>4</v>
      </c>
      <c r="AE167" s="40"/>
      <c r="AF167" s="85" t="s">
        <v>196</v>
      </c>
      <c r="AG167" s="35">
        <v>0.24260000000000001</v>
      </c>
      <c r="AH167" s="110">
        <v>3.2349999999999999</v>
      </c>
      <c r="AI167" s="110">
        <v>3.2290000000000001</v>
      </c>
      <c r="AJ167" s="102">
        <v>3.5310000000000001</v>
      </c>
      <c r="AK167" s="90">
        <v>0.16500000000000001</v>
      </c>
      <c r="AL167" s="37"/>
      <c r="AM167" s="90">
        <v>0.109</v>
      </c>
      <c r="AN167" s="90">
        <v>8.6999999999999994E-2</v>
      </c>
      <c r="AO167" s="37"/>
      <c r="AP167" s="35">
        <v>52621</v>
      </c>
      <c r="AQ167" s="35">
        <v>2170</v>
      </c>
      <c r="AR167" s="93">
        <v>1</v>
      </c>
      <c r="AS167" s="93">
        <v>0</v>
      </c>
      <c r="AT167" s="94" t="s">
        <v>3285</v>
      </c>
      <c r="AU167" s="35"/>
      <c r="AV167" s="35">
        <v>-2.53E-2</v>
      </c>
      <c r="AW167" s="35">
        <v>-2.07E-2</v>
      </c>
      <c r="AX167" s="40"/>
      <c r="AY167" s="40" t="s">
        <v>899</v>
      </c>
      <c r="AZ167" s="40" t="s">
        <v>900</v>
      </c>
      <c r="BA167" s="40" t="s">
        <v>1700</v>
      </c>
      <c r="BB167" s="40" t="s">
        <v>2651</v>
      </c>
      <c r="BC167" s="40"/>
    </row>
    <row r="168" spans="1:55">
      <c r="A168" s="169">
        <v>2.16</v>
      </c>
      <c r="B168" s="206">
        <v>2.16</v>
      </c>
      <c r="C168" t="s">
        <v>201</v>
      </c>
      <c r="D168" t="s">
        <v>3694</v>
      </c>
      <c r="F168" t="s">
        <v>1529</v>
      </c>
      <c r="G168" t="s">
        <v>1428</v>
      </c>
      <c r="H168" t="s">
        <v>1715</v>
      </c>
      <c r="I168" t="s">
        <v>2475</v>
      </c>
      <c r="J168" t="s">
        <v>2452</v>
      </c>
      <c r="K168" t="s">
        <v>2663</v>
      </c>
      <c r="M168" t="s">
        <v>3349</v>
      </c>
      <c r="N168" t="s">
        <v>201</v>
      </c>
      <c r="O168">
        <v>5</v>
      </c>
      <c r="Q168" t="s">
        <v>3440</v>
      </c>
      <c r="R168" t="s">
        <v>201</v>
      </c>
      <c r="S168">
        <v>2</v>
      </c>
      <c r="U168" t="s">
        <v>3572</v>
      </c>
      <c r="V168" t="s">
        <v>201</v>
      </c>
      <c r="W168">
        <v>2</v>
      </c>
      <c r="Y168">
        <v>18</v>
      </c>
      <c r="Z168">
        <v>92.2</v>
      </c>
      <c r="AA168">
        <v>23</v>
      </c>
      <c r="AB168">
        <v>9</v>
      </c>
      <c r="AC168">
        <v>97.5</v>
      </c>
      <c r="AD168">
        <v>7</v>
      </c>
      <c r="AF168" s="170" t="s">
        <v>201</v>
      </c>
      <c r="AG168" s="171">
        <v>0.19109999999999999</v>
      </c>
      <c r="AH168" s="172">
        <v>3.536</v>
      </c>
      <c r="AI168" s="172">
        <v>3.4390000000000001</v>
      </c>
      <c r="AJ168" s="173">
        <v>0.127</v>
      </c>
      <c r="AK168" s="173">
        <v>0.124</v>
      </c>
      <c r="AL168" s="174"/>
      <c r="AM168" s="172">
        <v>3.5339999999999998</v>
      </c>
      <c r="AN168" s="172">
        <v>2.4500000000000002</v>
      </c>
      <c r="AO168" s="174"/>
      <c r="AP168" s="171">
        <v>277025</v>
      </c>
      <c r="AQ168" s="171">
        <v>107788</v>
      </c>
      <c r="AR168" s="175">
        <v>1</v>
      </c>
      <c r="AS168" s="175">
        <v>1</v>
      </c>
      <c r="AT168" s="176" t="s">
        <v>3285</v>
      </c>
      <c r="AU168" s="171"/>
      <c r="AV168" s="171">
        <v>1.7811999999999999</v>
      </c>
      <c r="AW168" s="171">
        <v>1.1698999999999999</v>
      </c>
      <c r="AY168" t="s">
        <v>739</v>
      </c>
      <c r="AZ168" t="s">
        <v>740</v>
      </c>
      <c r="BA168" t="s">
        <v>1718</v>
      </c>
      <c r="BB168" t="s">
        <v>2666</v>
      </c>
    </row>
    <row r="169" spans="1:55">
      <c r="A169" s="169">
        <v>2.16</v>
      </c>
      <c r="B169" s="207"/>
      <c r="C169" t="s">
        <v>202</v>
      </c>
      <c r="D169" t="s">
        <v>3694</v>
      </c>
      <c r="F169" t="s">
        <v>1529</v>
      </c>
      <c r="G169" t="s">
        <v>1428</v>
      </c>
      <c r="H169" t="s">
        <v>1719</v>
      </c>
      <c r="I169" t="s">
        <v>2475</v>
      </c>
      <c r="J169" t="s">
        <v>2452</v>
      </c>
      <c r="K169" t="s">
        <v>2667</v>
      </c>
      <c r="M169" t="s">
        <v>3349</v>
      </c>
      <c r="N169" t="s">
        <v>202</v>
      </c>
      <c r="O169">
        <v>5</v>
      </c>
      <c r="Q169" t="s">
        <v>3450</v>
      </c>
      <c r="R169" t="s">
        <v>202</v>
      </c>
      <c r="S169">
        <v>2</v>
      </c>
      <c r="U169" t="s">
        <v>3582</v>
      </c>
      <c r="V169" t="s">
        <v>202</v>
      </c>
      <c r="W169">
        <v>2</v>
      </c>
      <c r="Y169">
        <v>18</v>
      </c>
      <c r="Z169">
        <v>93.9</v>
      </c>
      <c r="AA169">
        <v>18</v>
      </c>
      <c r="AB169">
        <v>9</v>
      </c>
      <c r="AC169">
        <v>92.6</v>
      </c>
      <c r="AD169">
        <v>21</v>
      </c>
      <c r="AF169" s="170" t="s">
        <v>202</v>
      </c>
      <c r="AG169" s="171">
        <v>0.20130000000000001</v>
      </c>
      <c r="AH169" s="177">
        <v>3.4340000000000002</v>
      </c>
      <c r="AI169" s="186">
        <v>3.004</v>
      </c>
      <c r="AJ169" s="173">
        <v>0.14099999999999999</v>
      </c>
      <c r="AK169" s="173">
        <v>0.14699999999999999</v>
      </c>
      <c r="AL169" s="174"/>
      <c r="AM169" s="172">
        <v>3.5630000000000002</v>
      </c>
      <c r="AN169" s="172">
        <v>2.4159999999999999</v>
      </c>
      <c r="AO169" s="174"/>
      <c r="AP169" s="171">
        <v>93709</v>
      </c>
      <c r="AQ169" s="171">
        <v>111493</v>
      </c>
      <c r="AR169" s="175">
        <v>1</v>
      </c>
      <c r="AS169" s="175">
        <v>1</v>
      </c>
      <c r="AT169" s="176" t="s">
        <v>3289</v>
      </c>
      <c r="AU169" s="171"/>
      <c r="AV169" s="171">
        <v>2.4744999999999999</v>
      </c>
      <c r="AW169" s="171">
        <v>-1.77E-2</v>
      </c>
      <c r="AY169" t="s">
        <v>863</v>
      </c>
      <c r="AZ169" t="s">
        <v>864</v>
      </c>
      <c r="BA169" t="s">
        <v>1722</v>
      </c>
      <c r="BB169" t="s">
        <v>2670</v>
      </c>
    </row>
    <row r="170" spans="1:55">
      <c r="A170" s="169">
        <v>2.16</v>
      </c>
      <c r="B170" s="207"/>
      <c r="C170" t="s">
        <v>203</v>
      </c>
      <c r="D170" t="s">
        <v>3694</v>
      </c>
      <c r="F170" t="s">
        <v>1529</v>
      </c>
      <c r="G170" t="s">
        <v>1428</v>
      </c>
      <c r="H170" t="s">
        <v>1723</v>
      </c>
      <c r="I170" t="s">
        <v>2475</v>
      </c>
      <c r="J170" t="s">
        <v>2452</v>
      </c>
      <c r="K170" t="s">
        <v>2671</v>
      </c>
      <c r="M170" t="s">
        <v>3349</v>
      </c>
      <c r="N170" t="s">
        <v>203</v>
      </c>
      <c r="O170">
        <v>5</v>
      </c>
      <c r="Q170" t="s">
        <v>3440</v>
      </c>
      <c r="R170" t="s">
        <v>203</v>
      </c>
      <c r="S170">
        <v>2</v>
      </c>
      <c r="U170" t="s">
        <v>3572</v>
      </c>
      <c r="V170" t="s">
        <v>203</v>
      </c>
      <c r="W170">
        <v>2</v>
      </c>
      <c r="Y170">
        <v>18</v>
      </c>
      <c r="Z170">
        <v>94.6</v>
      </c>
      <c r="AA170">
        <v>16</v>
      </c>
      <c r="AB170">
        <v>9</v>
      </c>
      <c r="AC170">
        <v>96.8</v>
      </c>
      <c r="AD170">
        <v>9</v>
      </c>
      <c r="AF170" s="170" t="s">
        <v>203</v>
      </c>
      <c r="AG170" s="171">
        <v>0.1973</v>
      </c>
      <c r="AH170" s="183">
        <v>3.6459999999999999</v>
      </c>
      <c r="AI170" s="183">
        <v>3.593</v>
      </c>
      <c r="AJ170" s="188">
        <v>0.114</v>
      </c>
      <c r="AK170" s="188">
        <v>0.13200000000000001</v>
      </c>
      <c r="AL170" s="185"/>
      <c r="AM170" s="172">
        <v>3.552</v>
      </c>
      <c r="AN170" s="172">
        <v>2.56</v>
      </c>
      <c r="AO170" s="174"/>
      <c r="AP170" s="171">
        <v>130597.5</v>
      </c>
      <c r="AQ170" s="171">
        <v>96029</v>
      </c>
      <c r="AR170" s="175">
        <v>1</v>
      </c>
      <c r="AS170" s="175">
        <v>1</v>
      </c>
      <c r="AT170" s="176" t="s">
        <v>3285</v>
      </c>
      <c r="AU170" s="171"/>
      <c r="AV170" s="171">
        <v>2.0722</v>
      </c>
      <c r="AW170" s="171">
        <v>0.55189999999999995</v>
      </c>
      <c r="AY170" t="s">
        <v>650</v>
      </c>
      <c r="AZ170" t="s">
        <v>651</v>
      </c>
      <c r="BA170" t="s">
        <v>1725</v>
      </c>
      <c r="BB170" t="s">
        <v>2673</v>
      </c>
    </row>
    <row r="171" spans="1:55">
      <c r="A171" s="169">
        <v>2.16</v>
      </c>
      <c r="B171" s="207"/>
      <c r="C171" t="s">
        <v>204</v>
      </c>
      <c r="D171" t="s">
        <v>3694</v>
      </c>
      <c r="F171" t="s">
        <v>1529</v>
      </c>
      <c r="G171" t="s">
        <v>1428</v>
      </c>
      <c r="H171" t="s">
        <v>1719</v>
      </c>
      <c r="I171" t="s">
        <v>2475</v>
      </c>
      <c r="J171" t="s">
        <v>2452</v>
      </c>
      <c r="K171" t="s">
        <v>2667</v>
      </c>
      <c r="M171" t="s">
        <v>3349</v>
      </c>
      <c r="N171" t="s">
        <v>204</v>
      </c>
      <c r="O171">
        <v>5</v>
      </c>
      <c r="Q171" t="s">
        <v>3450</v>
      </c>
      <c r="R171" t="s">
        <v>204</v>
      </c>
      <c r="S171">
        <v>2</v>
      </c>
      <c r="U171" t="s">
        <v>3582</v>
      </c>
      <c r="V171" t="s">
        <v>204</v>
      </c>
      <c r="W171">
        <v>2</v>
      </c>
      <c r="Y171">
        <v>18</v>
      </c>
      <c r="Z171">
        <v>94.2</v>
      </c>
      <c r="AA171">
        <v>17</v>
      </c>
      <c r="AB171">
        <v>9</v>
      </c>
      <c r="AC171">
        <v>93.3</v>
      </c>
      <c r="AD171">
        <v>19</v>
      </c>
      <c r="AF171" s="170" t="s">
        <v>204</v>
      </c>
      <c r="AG171" s="171">
        <v>0.1603</v>
      </c>
      <c r="AH171" s="183">
        <v>3.6070000000000002</v>
      </c>
      <c r="AI171" s="191">
        <v>3.3029999999999999</v>
      </c>
      <c r="AJ171" s="188">
        <v>0.11799999999999999</v>
      </c>
      <c r="AK171" s="188">
        <v>0.14299999999999999</v>
      </c>
      <c r="AL171" s="185"/>
      <c r="AM171" s="172">
        <v>3.5070000000000001</v>
      </c>
      <c r="AN171" s="172">
        <v>2.5750000000000002</v>
      </c>
      <c r="AO171" s="174"/>
      <c r="AP171" s="171">
        <v>87289.5</v>
      </c>
      <c r="AQ171" s="171">
        <v>101070</v>
      </c>
      <c r="AR171" s="175">
        <v>1</v>
      </c>
      <c r="AS171" s="175">
        <v>1</v>
      </c>
      <c r="AT171" s="176" t="s">
        <v>3289</v>
      </c>
      <c r="AU171" s="171"/>
      <c r="AV171" s="171">
        <v>2.2521</v>
      </c>
      <c r="AW171" s="171">
        <v>2.1185999999999998</v>
      </c>
      <c r="AY171" t="s">
        <v>692</v>
      </c>
      <c r="AZ171" t="s">
        <v>693</v>
      </c>
      <c r="BA171" t="s">
        <v>1722</v>
      </c>
      <c r="BB171" t="s">
        <v>2674</v>
      </c>
    </row>
    <row r="172" spans="1:55" ht="17" thickBot="1">
      <c r="A172" s="169">
        <v>2.16</v>
      </c>
      <c r="B172" s="208"/>
      <c r="C172" t="s">
        <v>205</v>
      </c>
      <c r="D172" t="s">
        <v>3698</v>
      </c>
      <c r="F172" t="s">
        <v>1529</v>
      </c>
      <c r="G172" t="s">
        <v>1428</v>
      </c>
      <c r="H172" t="s">
        <v>1726</v>
      </c>
      <c r="I172" t="s">
        <v>2475</v>
      </c>
      <c r="J172" t="s">
        <v>2452</v>
      </c>
      <c r="K172" t="s">
        <v>2675</v>
      </c>
      <c r="M172" t="s">
        <v>3349</v>
      </c>
      <c r="N172" t="s">
        <v>205</v>
      </c>
      <c r="O172">
        <v>5</v>
      </c>
      <c r="Q172" t="s">
        <v>3481</v>
      </c>
      <c r="R172" t="s">
        <v>205</v>
      </c>
      <c r="S172">
        <v>1</v>
      </c>
      <c r="U172" t="s">
        <v>3624</v>
      </c>
      <c r="V172" t="s">
        <v>205</v>
      </c>
      <c r="W172">
        <v>1</v>
      </c>
      <c r="Y172">
        <v>18</v>
      </c>
      <c r="Z172">
        <v>95.9</v>
      </c>
      <c r="AA172">
        <v>12</v>
      </c>
      <c r="AB172">
        <v>9</v>
      </c>
      <c r="AC172">
        <v>93.7</v>
      </c>
      <c r="AD172">
        <v>18</v>
      </c>
      <c r="AF172" s="170" t="s">
        <v>205</v>
      </c>
      <c r="AG172" s="171">
        <v>0.13880000000000001</v>
      </c>
      <c r="AH172" s="172">
        <v>3.5720000000000001</v>
      </c>
      <c r="AI172" s="173">
        <v>0.18099999999999999</v>
      </c>
      <c r="AJ172" s="173">
        <v>0.11700000000000001</v>
      </c>
      <c r="AK172" s="173">
        <v>0.11600000000000001</v>
      </c>
      <c r="AL172" s="174"/>
      <c r="AM172" s="172">
        <v>3.51</v>
      </c>
      <c r="AN172" s="177">
        <v>2.3479999999999999</v>
      </c>
      <c r="AO172" s="174"/>
      <c r="AP172" s="171">
        <v>247508</v>
      </c>
      <c r="AQ172" s="171">
        <v>211461</v>
      </c>
      <c r="AR172" s="175">
        <v>1</v>
      </c>
      <c r="AS172" s="175">
        <v>1</v>
      </c>
      <c r="AT172" s="176" t="s">
        <v>3289</v>
      </c>
      <c r="AU172" s="171"/>
      <c r="AV172" s="171">
        <v>2.2873999999999999</v>
      </c>
      <c r="AW172" s="171">
        <v>1.7754000000000001</v>
      </c>
      <c r="AY172" t="s">
        <v>955</v>
      </c>
      <c r="AZ172" t="s">
        <v>956</v>
      </c>
      <c r="BA172" t="s">
        <v>1728</v>
      </c>
      <c r="BB172" t="s">
        <v>2677</v>
      </c>
    </row>
    <row r="173" spans="1:55">
      <c r="A173" s="168">
        <v>2.17</v>
      </c>
      <c r="B173" s="206">
        <v>2.17</v>
      </c>
      <c r="C173" s="81" t="s">
        <v>68</v>
      </c>
      <c r="D173" s="81" t="s">
        <v>3697</v>
      </c>
      <c r="E173" s="81"/>
      <c r="F173" s="81" t="s">
        <v>2271</v>
      </c>
      <c r="G173" s="81" t="s">
        <v>1428</v>
      </c>
      <c r="H173" s="81" t="s">
        <v>2272</v>
      </c>
      <c r="I173" s="81" t="s">
        <v>2841</v>
      </c>
      <c r="J173" s="81" t="s">
        <v>2404</v>
      </c>
      <c r="K173" s="81" t="s">
        <v>3154</v>
      </c>
      <c r="L173" s="81"/>
      <c r="M173" s="81" t="s">
        <v>3316</v>
      </c>
      <c r="N173" s="81" t="s">
        <v>68</v>
      </c>
      <c r="O173" s="81">
        <v>5</v>
      </c>
      <c r="P173" s="81"/>
      <c r="Q173" s="81" t="s">
        <v>3396</v>
      </c>
      <c r="R173" s="81" t="s">
        <v>68</v>
      </c>
      <c r="S173" s="81">
        <v>4</v>
      </c>
      <c r="T173" s="81"/>
      <c r="U173" s="81" t="s">
        <v>3316</v>
      </c>
      <c r="V173" s="81" t="s">
        <v>68</v>
      </c>
      <c r="W173" s="81">
        <v>2</v>
      </c>
      <c r="X173" s="81"/>
      <c r="Y173" s="81">
        <v>13</v>
      </c>
      <c r="Z173" s="81">
        <v>99.3</v>
      </c>
      <c r="AA173" s="81">
        <v>2</v>
      </c>
      <c r="AB173" s="81">
        <v>9</v>
      </c>
      <c r="AC173" s="81">
        <v>98.9</v>
      </c>
      <c r="AD173" s="81">
        <v>3</v>
      </c>
      <c r="AE173" s="81"/>
      <c r="AF173" s="83" t="s">
        <v>68</v>
      </c>
      <c r="AG173" s="33">
        <v>0.218</v>
      </c>
      <c r="AH173" s="100">
        <v>3.5350000000000001</v>
      </c>
      <c r="AI173" s="100">
        <v>3.5070000000000001</v>
      </c>
      <c r="AJ173" s="100">
        <v>3.621</v>
      </c>
      <c r="AK173" s="104">
        <v>0.56499999999999995</v>
      </c>
      <c r="AL173" s="34"/>
      <c r="AM173" s="87">
        <v>0.09</v>
      </c>
      <c r="AN173" s="87">
        <v>8.2000000000000003E-2</v>
      </c>
      <c r="AO173" s="34"/>
      <c r="AP173" s="33">
        <v>44408</v>
      </c>
      <c r="AQ173" s="33">
        <v>2166.5</v>
      </c>
      <c r="AR173" s="88">
        <v>1</v>
      </c>
      <c r="AS173" s="88">
        <v>0</v>
      </c>
      <c r="AT173" s="89" t="s">
        <v>3285</v>
      </c>
      <c r="AU173" s="33"/>
      <c r="AV173" s="33">
        <v>-2.53E-2</v>
      </c>
      <c r="AW173" s="33">
        <v>-1.2500000000000001E-2</v>
      </c>
      <c r="AX173" s="81"/>
      <c r="AY173" s="81" t="s">
        <v>919</v>
      </c>
      <c r="AZ173" s="81" t="s">
        <v>920</v>
      </c>
      <c r="BA173" s="81" t="s">
        <v>2275</v>
      </c>
      <c r="BB173" s="81" t="s">
        <v>3157</v>
      </c>
      <c r="BC173" s="81"/>
    </row>
    <row r="174" spans="1:55">
      <c r="A174" s="169">
        <v>2.17</v>
      </c>
      <c r="B174" s="207"/>
      <c r="C174" t="s">
        <v>70</v>
      </c>
      <c r="D174" t="s">
        <v>3694</v>
      </c>
      <c r="F174" t="s">
        <v>2271</v>
      </c>
      <c r="G174" t="s">
        <v>1428</v>
      </c>
      <c r="H174" t="s">
        <v>2280</v>
      </c>
      <c r="I174" t="s">
        <v>2841</v>
      </c>
      <c r="J174" t="s">
        <v>2404</v>
      </c>
      <c r="K174" t="s">
        <v>3158</v>
      </c>
      <c r="M174" t="s">
        <v>3316</v>
      </c>
      <c r="N174" t="s">
        <v>70</v>
      </c>
      <c r="O174">
        <v>5</v>
      </c>
      <c r="Q174" t="s">
        <v>3396</v>
      </c>
      <c r="R174" t="s">
        <v>70</v>
      </c>
      <c r="S174">
        <v>4</v>
      </c>
      <c r="U174" t="s">
        <v>3316</v>
      </c>
      <c r="V174" t="s">
        <v>70</v>
      </c>
      <c r="W174">
        <v>2</v>
      </c>
      <c r="Y174">
        <v>13</v>
      </c>
      <c r="Z174">
        <v>95.2</v>
      </c>
      <c r="AA174">
        <v>14</v>
      </c>
      <c r="AB174">
        <v>9</v>
      </c>
      <c r="AC174">
        <v>97.2</v>
      </c>
      <c r="AD174">
        <v>8</v>
      </c>
      <c r="AF174" s="170" t="s">
        <v>70</v>
      </c>
      <c r="AG174" s="171">
        <v>9.9040000000000003E-2</v>
      </c>
      <c r="AH174" s="172">
        <v>3.4940000000000002</v>
      </c>
      <c r="AI174" s="172">
        <v>3.4569999999999999</v>
      </c>
      <c r="AJ174" s="172">
        <v>3.5310000000000001</v>
      </c>
      <c r="AK174" s="181">
        <v>0.76400000000000001</v>
      </c>
      <c r="AL174" s="174"/>
      <c r="AM174" s="173">
        <v>0.113</v>
      </c>
      <c r="AN174" s="173">
        <v>9.0999999999999998E-2</v>
      </c>
      <c r="AO174" s="174"/>
      <c r="AP174" s="171">
        <v>21377</v>
      </c>
      <c r="AQ174" s="171">
        <v>1988</v>
      </c>
      <c r="AR174" s="175">
        <v>1</v>
      </c>
      <c r="AS174" s="175">
        <v>0</v>
      </c>
      <c r="AT174" s="176" t="s">
        <v>3285</v>
      </c>
      <c r="AU174" s="171"/>
      <c r="AV174" s="171">
        <v>-1.29E-2</v>
      </c>
      <c r="AW174" s="171">
        <v>-1.1599999999999999E-2</v>
      </c>
      <c r="AY174" t="s">
        <v>853</v>
      </c>
      <c r="AZ174" t="s">
        <v>854</v>
      </c>
      <c r="BA174" t="s">
        <v>2283</v>
      </c>
      <c r="BB174" t="s">
        <v>3164</v>
      </c>
    </row>
    <row r="175" spans="1:55">
      <c r="A175" s="169">
        <v>2.17</v>
      </c>
      <c r="B175" s="207"/>
      <c r="C175" t="s">
        <v>71</v>
      </c>
      <c r="D175" t="s">
        <v>3694</v>
      </c>
      <c r="F175" t="s">
        <v>2271</v>
      </c>
      <c r="G175" t="s">
        <v>1428</v>
      </c>
      <c r="H175" t="s">
        <v>2284</v>
      </c>
      <c r="I175" t="s">
        <v>2841</v>
      </c>
      <c r="J175" t="s">
        <v>2404</v>
      </c>
      <c r="K175" t="s">
        <v>3154</v>
      </c>
      <c r="M175" t="s">
        <v>3316</v>
      </c>
      <c r="N175" t="s">
        <v>71</v>
      </c>
      <c r="O175">
        <v>5</v>
      </c>
      <c r="Q175" t="s">
        <v>3396</v>
      </c>
      <c r="R175" t="s">
        <v>71</v>
      </c>
      <c r="S175">
        <v>4</v>
      </c>
      <c r="U175" t="s">
        <v>3541</v>
      </c>
      <c r="V175" t="s">
        <v>71</v>
      </c>
      <c r="W175">
        <v>1</v>
      </c>
      <c r="Y175">
        <v>13</v>
      </c>
      <c r="Z175">
        <v>96.2</v>
      </c>
      <c r="AA175">
        <v>11</v>
      </c>
      <c r="AB175">
        <v>9</v>
      </c>
      <c r="AC175">
        <v>97.2</v>
      </c>
      <c r="AD175">
        <v>8</v>
      </c>
      <c r="AF175" s="170" t="s">
        <v>71</v>
      </c>
      <c r="AG175" s="171">
        <v>7.4429999999999996E-2</v>
      </c>
      <c r="AH175" s="172">
        <v>3.5680000000000001</v>
      </c>
      <c r="AI175" s="172">
        <v>3.5609999999999999</v>
      </c>
      <c r="AJ175" s="172">
        <v>3.5859999999999999</v>
      </c>
      <c r="AK175" s="197">
        <v>1.407</v>
      </c>
      <c r="AL175" s="174"/>
      <c r="AM175" s="173">
        <v>0.10299999999999999</v>
      </c>
      <c r="AN175" s="173">
        <v>8.4000000000000005E-2</v>
      </c>
      <c r="AO175" s="174"/>
      <c r="AP175" s="171">
        <v>28695</v>
      </c>
      <c r="AQ175" s="171">
        <v>1822</v>
      </c>
      <c r="AR175" s="175">
        <v>1</v>
      </c>
      <c r="AS175" s="175">
        <v>0</v>
      </c>
      <c r="AT175" s="176" t="s">
        <v>3285</v>
      </c>
      <c r="AU175" s="171"/>
      <c r="AV175" s="171">
        <v>-8.2699999999999996E-2</v>
      </c>
      <c r="AW175" s="171">
        <v>-1.46E-2</v>
      </c>
      <c r="AY175" t="s">
        <v>543</v>
      </c>
      <c r="AZ175" t="s">
        <v>544</v>
      </c>
      <c r="BA175" t="s">
        <v>2286</v>
      </c>
      <c r="BB175" t="s">
        <v>3167</v>
      </c>
    </row>
    <row r="176" spans="1:55">
      <c r="A176" s="169">
        <v>2.17</v>
      </c>
      <c r="B176" s="207"/>
      <c r="C176" t="s">
        <v>72</v>
      </c>
      <c r="D176" t="s">
        <v>3694</v>
      </c>
      <c r="F176" t="s">
        <v>2271</v>
      </c>
      <c r="G176" t="s">
        <v>1428</v>
      </c>
      <c r="H176" t="s">
        <v>2290</v>
      </c>
      <c r="I176" t="s">
        <v>2841</v>
      </c>
      <c r="J176" t="s">
        <v>2404</v>
      </c>
      <c r="K176" t="s">
        <v>3154</v>
      </c>
      <c r="M176" t="s">
        <v>3316</v>
      </c>
      <c r="N176" t="s">
        <v>72</v>
      </c>
      <c r="O176">
        <v>5</v>
      </c>
      <c r="Q176" t="s">
        <v>3396</v>
      </c>
      <c r="R176" t="s">
        <v>72</v>
      </c>
      <c r="S176">
        <v>4</v>
      </c>
      <c r="U176" t="s">
        <v>3588</v>
      </c>
      <c r="V176" t="s">
        <v>72</v>
      </c>
      <c r="W176">
        <v>1</v>
      </c>
      <c r="Y176">
        <v>13</v>
      </c>
      <c r="Z176">
        <v>99</v>
      </c>
      <c r="AA176">
        <v>3</v>
      </c>
      <c r="AB176">
        <v>9</v>
      </c>
      <c r="AC176">
        <v>97.6</v>
      </c>
      <c r="AD176">
        <v>7</v>
      </c>
      <c r="AF176" s="170" t="s">
        <v>72</v>
      </c>
      <c r="AG176" s="171">
        <v>0.254</v>
      </c>
      <c r="AH176" s="172">
        <v>3.5059999999999998</v>
      </c>
      <c r="AI176" s="177">
        <v>3.3079999999999998</v>
      </c>
      <c r="AJ176" s="172">
        <v>3.5409999999999999</v>
      </c>
      <c r="AK176" s="173">
        <v>0.23300000000000001</v>
      </c>
      <c r="AL176" s="174"/>
      <c r="AM176" s="173">
        <v>0.12</v>
      </c>
      <c r="AN176" s="173">
        <v>0.108</v>
      </c>
      <c r="AO176" s="174"/>
      <c r="AP176" s="171">
        <v>16519</v>
      </c>
      <c r="AQ176" s="171">
        <v>1920</v>
      </c>
      <c r="AR176" s="175">
        <v>1</v>
      </c>
      <c r="AS176" s="175">
        <v>0</v>
      </c>
      <c r="AT176" s="176" t="s">
        <v>3285</v>
      </c>
      <c r="AU176" s="171"/>
      <c r="AV176" s="171">
        <v>-0.10829999999999999</v>
      </c>
      <c r="AW176" s="171">
        <v>-7.5999999999999998E-2</v>
      </c>
      <c r="AY176" t="s">
        <v>725</v>
      </c>
      <c r="AZ176" t="s">
        <v>726</v>
      </c>
      <c r="BA176" t="s">
        <v>2292</v>
      </c>
      <c r="BB176" t="s">
        <v>3171</v>
      </c>
    </row>
    <row r="177" spans="1:55" ht="17" thickBot="1">
      <c r="A177" s="178">
        <v>2.17</v>
      </c>
      <c r="B177" s="208"/>
      <c r="C177" s="40" t="s">
        <v>69</v>
      </c>
      <c r="D177" s="40" t="s">
        <v>3694</v>
      </c>
      <c r="E177" s="40"/>
      <c r="F177" s="40" t="s">
        <v>2271</v>
      </c>
      <c r="G177" s="40" t="s">
        <v>1428</v>
      </c>
      <c r="H177" s="40" t="s">
        <v>2276</v>
      </c>
      <c r="I177" s="40" t="s">
        <v>2841</v>
      </c>
      <c r="J177" s="40" t="s">
        <v>2404</v>
      </c>
      <c r="K177" s="40" t="s">
        <v>3158</v>
      </c>
      <c r="L177" s="40"/>
      <c r="M177" s="40" t="s">
        <v>3316</v>
      </c>
      <c r="N177" s="40" t="s">
        <v>69</v>
      </c>
      <c r="O177" s="40">
        <v>5</v>
      </c>
      <c r="P177" s="40"/>
      <c r="Q177" s="40" t="s">
        <v>3471</v>
      </c>
      <c r="R177" s="40" t="s">
        <v>69</v>
      </c>
      <c r="S177" s="40">
        <v>1</v>
      </c>
      <c r="T177" s="40"/>
      <c r="U177" s="40" t="s">
        <v>3610</v>
      </c>
      <c r="V177" s="40" t="s">
        <v>69</v>
      </c>
      <c r="W177" s="40">
        <v>1</v>
      </c>
      <c r="X177" s="40"/>
      <c r="Y177" s="40">
        <v>13</v>
      </c>
      <c r="Z177" s="40">
        <v>94.1</v>
      </c>
      <c r="AA177" s="40">
        <v>17</v>
      </c>
      <c r="AB177" s="40">
        <v>9</v>
      </c>
      <c r="AC177" s="40">
        <v>97.5</v>
      </c>
      <c r="AD177" s="40">
        <v>7</v>
      </c>
      <c r="AE177" s="40"/>
      <c r="AF177" s="85" t="s">
        <v>69</v>
      </c>
      <c r="AG177" s="35">
        <v>9.5949999999999994E-2</v>
      </c>
      <c r="AH177" s="102">
        <v>3.528</v>
      </c>
      <c r="AI177" s="102">
        <v>3.4670000000000001</v>
      </c>
      <c r="AJ177" s="117">
        <v>2.9510000000000001</v>
      </c>
      <c r="AK177" s="92">
        <v>0.436</v>
      </c>
      <c r="AL177" s="37"/>
      <c r="AM177" s="92">
        <v>0.60099999999999998</v>
      </c>
      <c r="AN177" s="90">
        <v>0.18099999999999999</v>
      </c>
      <c r="AO177" s="37"/>
      <c r="AP177" s="35">
        <v>23142</v>
      </c>
      <c r="AQ177" s="35">
        <v>13311</v>
      </c>
      <c r="AR177" s="93">
        <v>1</v>
      </c>
      <c r="AS177" s="93">
        <v>1</v>
      </c>
      <c r="AT177" s="94" t="s">
        <v>3285</v>
      </c>
      <c r="AU177" s="35"/>
      <c r="AV177" s="35">
        <v>-1.8800000000000001E-2</v>
      </c>
      <c r="AW177" s="35">
        <v>-1.06E-2</v>
      </c>
      <c r="AX177" s="40"/>
      <c r="AY177" s="40" t="s">
        <v>831</v>
      </c>
      <c r="AZ177" s="40" t="s">
        <v>832</v>
      </c>
      <c r="BA177" s="40" t="s">
        <v>2279</v>
      </c>
      <c r="BB177" s="40" t="s">
        <v>3161</v>
      </c>
      <c r="BC177" s="40"/>
    </row>
    <row r="178" spans="1:55">
      <c r="A178" s="169">
        <v>2.1800000000000002</v>
      </c>
      <c r="B178" s="206">
        <v>2.1800000000000002</v>
      </c>
      <c r="C178" t="s">
        <v>79</v>
      </c>
      <c r="D178" t="s">
        <v>3697</v>
      </c>
      <c r="F178" t="s">
        <v>1602</v>
      </c>
      <c r="G178" t="s">
        <v>1767</v>
      </c>
      <c r="H178" t="s">
        <v>2310</v>
      </c>
      <c r="I178" t="s">
        <v>2451</v>
      </c>
      <c r="J178" t="s">
        <v>2411</v>
      </c>
      <c r="K178" t="s">
        <v>3193</v>
      </c>
      <c r="M178" t="s">
        <v>3330</v>
      </c>
      <c r="N178" t="s">
        <v>79</v>
      </c>
      <c r="O178">
        <v>5</v>
      </c>
      <c r="Q178" t="s">
        <v>3412</v>
      </c>
      <c r="R178" t="s">
        <v>79</v>
      </c>
      <c r="S178">
        <v>3</v>
      </c>
      <c r="U178" t="s">
        <v>3640</v>
      </c>
      <c r="V178" t="s">
        <v>79</v>
      </c>
      <c r="W178">
        <v>2</v>
      </c>
      <c r="Y178">
        <v>16</v>
      </c>
      <c r="Z178">
        <v>96.3</v>
      </c>
      <c r="AA178">
        <v>11</v>
      </c>
      <c r="AB178">
        <v>10</v>
      </c>
      <c r="AC178">
        <v>98.2</v>
      </c>
      <c r="AD178">
        <v>5</v>
      </c>
      <c r="AF178" s="170" t="s">
        <v>80</v>
      </c>
      <c r="AG178" s="171">
        <v>0.16309999999999999</v>
      </c>
      <c r="AH178" s="172">
        <v>3.5089999999999999</v>
      </c>
      <c r="AI178" s="172">
        <v>3.5150000000000001</v>
      </c>
      <c r="AJ178" s="172">
        <v>3.5139999999999998</v>
      </c>
      <c r="AK178" s="173">
        <v>0.128</v>
      </c>
      <c r="AL178" s="174"/>
      <c r="AM178" s="172">
        <v>3.4689999999999999</v>
      </c>
      <c r="AN178" s="186">
        <v>2.165</v>
      </c>
      <c r="AO178" s="174"/>
      <c r="AP178" s="171">
        <v>10188</v>
      </c>
      <c r="AQ178" s="171">
        <v>104746.5</v>
      </c>
      <c r="AR178" s="175">
        <v>1</v>
      </c>
      <c r="AS178" s="175">
        <v>1</v>
      </c>
      <c r="AT178" s="176" t="s">
        <v>3286</v>
      </c>
      <c r="AU178" s="171"/>
      <c r="AV178" s="171">
        <v>-6.6799999999999998E-2</v>
      </c>
      <c r="AW178" s="171">
        <v>-6.3E-2</v>
      </c>
      <c r="AY178" t="s">
        <v>1045</v>
      </c>
      <c r="AZ178" t="s">
        <v>1046</v>
      </c>
      <c r="BA178" t="s">
        <v>2312</v>
      </c>
      <c r="BB178" t="s">
        <v>3195</v>
      </c>
    </row>
    <row r="179" spans="1:55">
      <c r="A179" s="169">
        <v>2.1800000000000002</v>
      </c>
      <c r="B179" s="207"/>
      <c r="C179" t="s">
        <v>81</v>
      </c>
      <c r="D179" t="s">
        <v>3697</v>
      </c>
      <c r="F179" t="s">
        <v>1602</v>
      </c>
      <c r="G179" t="s">
        <v>1767</v>
      </c>
      <c r="H179" t="s">
        <v>2313</v>
      </c>
      <c r="I179" t="s">
        <v>2451</v>
      </c>
      <c r="J179" t="s">
        <v>2411</v>
      </c>
      <c r="K179" t="s">
        <v>3196</v>
      </c>
      <c r="M179" t="s">
        <v>3330</v>
      </c>
      <c r="N179" t="s">
        <v>81</v>
      </c>
      <c r="O179">
        <v>5</v>
      </c>
      <c r="Q179" t="s">
        <v>3412</v>
      </c>
      <c r="R179" t="s">
        <v>81</v>
      </c>
      <c r="S179">
        <v>3</v>
      </c>
      <c r="U179" t="s">
        <v>3640</v>
      </c>
      <c r="V179" t="s">
        <v>81</v>
      </c>
      <c r="W179">
        <v>2</v>
      </c>
      <c r="Y179">
        <v>16</v>
      </c>
      <c r="Z179">
        <v>98.3</v>
      </c>
      <c r="AA179">
        <v>5</v>
      </c>
      <c r="AB179">
        <v>10</v>
      </c>
      <c r="AC179">
        <v>99.3</v>
      </c>
      <c r="AD179">
        <v>2</v>
      </c>
      <c r="AF179" s="170" t="s">
        <v>82</v>
      </c>
      <c r="AG179" s="171">
        <v>0.10249999999999999</v>
      </c>
      <c r="AH179" s="179">
        <v>2.665</v>
      </c>
      <c r="AI179" s="173">
        <v>0.191</v>
      </c>
      <c r="AJ179" s="173">
        <v>0.13900000000000001</v>
      </c>
      <c r="AK179" s="173">
        <v>0.108</v>
      </c>
      <c r="AL179" s="174"/>
      <c r="AM179" s="186">
        <v>3.0880000000000001</v>
      </c>
      <c r="AN179" s="190">
        <v>1.591</v>
      </c>
      <c r="AO179" s="174"/>
      <c r="AP179" s="171">
        <v>11733</v>
      </c>
      <c r="AQ179" s="171">
        <v>108560</v>
      </c>
      <c r="AR179" s="175">
        <v>1</v>
      </c>
      <c r="AS179" s="175">
        <v>1</v>
      </c>
      <c r="AT179" s="176" t="s">
        <v>3286</v>
      </c>
      <c r="AU179" s="171"/>
      <c r="AV179" s="171">
        <v>-8.14E-2</v>
      </c>
      <c r="AW179" s="171">
        <v>-4.3400000000000001E-2</v>
      </c>
      <c r="AY179" t="s">
        <v>1053</v>
      </c>
      <c r="AZ179" t="s">
        <v>1054</v>
      </c>
      <c r="BA179" t="s">
        <v>2315</v>
      </c>
      <c r="BB179" t="s">
        <v>3198</v>
      </c>
    </row>
    <row r="180" spans="1:55">
      <c r="A180" s="169">
        <v>2.1800000000000002</v>
      </c>
      <c r="B180" s="207"/>
      <c r="C180" t="s">
        <v>77</v>
      </c>
      <c r="D180" t="s">
        <v>3694</v>
      </c>
      <c r="F180" t="s">
        <v>1602</v>
      </c>
      <c r="G180" t="s">
        <v>1767</v>
      </c>
      <c r="H180" t="s">
        <v>2306</v>
      </c>
      <c r="I180" t="s">
        <v>2451</v>
      </c>
      <c r="J180" t="s">
        <v>2411</v>
      </c>
      <c r="K180" t="s">
        <v>3188</v>
      </c>
      <c r="M180" t="s">
        <v>3330</v>
      </c>
      <c r="N180" t="s">
        <v>77</v>
      </c>
      <c r="O180">
        <v>5</v>
      </c>
      <c r="Q180" t="s">
        <v>3412</v>
      </c>
      <c r="R180" t="s">
        <v>77</v>
      </c>
      <c r="S180">
        <v>3</v>
      </c>
      <c r="U180" t="s">
        <v>3537</v>
      </c>
      <c r="V180" t="s">
        <v>77</v>
      </c>
      <c r="W180">
        <v>1</v>
      </c>
      <c r="Y180">
        <v>16</v>
      </c>
      <c r="Z180">
        <v>94.6</v>
      </c>
      <c r="AA180">
        <v>16</v>
      </c>
      <c r="AB180">
        <v>10</v>
      </c>
      <c r="AC180">
        <v>96.9</v>
      </c>
      <c r="AD180">
        <v>9</v>
      </c>
      <c r="AF180" s="170" t="s">
        <v>77</v>
      </c>
      <c r="AG180" s="171">
        <v>0.1176</v>
      </c>
      <c r="AH180" s="172">
        <v>3.6259999999999999</v>
      </c>
      <c r="AI180" s="172">
        <v>3.569</v>
      </c>
      <c r="AJ180" s="172">
        <v>3.6389999999999998</v>
      </c>
      <c r="AK180" s="173">
        <v>0.14499999999999999</v>
      </c>
      <c r="AL180" s="174"/>
      <c r="AM180" s="172">
        <v>3.573</v>
      </c>
      <c r="AN180" s="186">
        <v>2.1190000000000002</v>
      </c>
      <c r="AO180" s="174"/>
      <c r="AP180" s="171">
        <v>14275</v>
      </c>
      <c r="AQ180" s="171">
        <v>122545.5</v>
      </c>
      <c r="AR180" s="175">
        <v>1</v>
      </c>
      <c r="AS180" s="175">
        <v>1</v>
      </c>
      <c r="AT180" s="176" t="s">
        <v>3286</v>
      </c>
      <c r="AU180" s="171"/>
      <c r="AV180" s="171">
        <v>5.8999999999999999E-3</v>
      </c>
      <c r="AW180" s="171">
        <v>8.8000000000000005E-3</v>
      </c>
      <c r="AY180" t="s">
        <v>533</v>
      </c>
      <c r="AZ180" t="s">
        <v>534</v>
      </c>
      <c r="BA180" t="s">
        <v>2308</v>
      </c>
      <c r="BB180" t="s">
        <v>3190</v>
      </c>
    </row>
    <row r="181" spans="1:55">
      <c r="A181" s="169">
        <v>2.1800000000000002</v>
      </c>
      <c r="B181" s="207"/>
      <c r="C181" t="s">
        <v>76</v>
      </c>
      <c r="D181" t="s">
        <v>3694</v>
      </c>
      <c r="F181" t="s">
        <v>1602</v>
      </c>
      <c r="G181" t="s">
        <v>1767</v>
      </c>
      <c r="H181" t="s">
        <v>2302</v>
      </c>
      <c r="I181" t="s">
        <v>2451</v>
      </c>
      <c r="J181" t="s">
        <v>2411</v>
      </c>
      <c r="K181" t="s">
        <v>3184</v>
      </c>
      <c r="M181" t="s">
        <v>3330</v>
      </c>
      <c r="N181" t="s">
        <v>76</v>
      </c>
      <c r="O181">
        <v>5</v>
      </c>
      <c r="Q181" t="s">
        <v>3454</v>
      </c>
      <c r="R181" t="s">
        <v>76</v>
      </c>
      <c r="S181">
        <v>2</v>
      </c>
      <c r="U181" t="s">
        <v>3586</v>
      </c>
      <c r="V181" t="s">
        <v>76</v>
      </c>
      <c r="W181">
        <v>2</v>
      </c>
      <c r="Y181">
        <v>16</v>
      </c>
      <c r="Z181">
        <v>96.6</v>
      </c>
      <c r="AA181">
        <v>10</v>
      </c>
      <c r="AB181">
        <v>10</v>
      </c>
      <c r="AC181">
        <v>95.1</v>
      </c>
      <c r="AD181">
        <v>14</v>
      </c>
      <c r="AF181" s="170" t="s">
        <v>76</v>
      </c>
      <c r="AG181" s="171">
        <v>0.246</v>
      </c>
      <c r="AH181" s="172">
        <v>3.65</v>
      </c>
      <c r="AI181" s="172">
        <v>3.6309999999999998</v>
      </c>
      <c r="AJ181" s="172">
        <v>3.589</v>
      </c>
      <c r="AK181" s="173">
        <v>0.151</v>
      </c>
      <c r="AL181" s="174"/>
      <c r="AM181" s="172">
        <v>3.6190000000000002</v>
      </c>
      <c r="AN181" s="177">
        <v>2.2930000000000001</v>
      </c>
      <c r="AO181" s="174"/>
      <c r="AP181" s="171">
        <v>37195.5</v>
      </c>
      <c r="AQ181" s="171">
        <v>53564</v>
      </c>
      <c r="AR181" s="175">
        <v>1</v>
      </c>
      <c r="AS181" s="175">
        <v>1</v>
      </c>
      <c r="AT181" s="176" t="s">
        <v>3286</v>
      </c>
      <c r="AU181" s="171"/>
      <c r="AV181" s="171">
        <v>0.33090000000000003</v>
      </c>
      <c r="AW181" s="171">
        <v>0.1022</v>
      </c>
      <c r="AY181" t="s">
        <v>745</v>
      </c>
      <c r="AZ181" t="s">
        <v>746</v>
      </c>
      <c r="BA181" t="s">
        <v>2305</v>
      </c>
      <c r="BB181" t="s">
        <v>3187</v>
      </c>
    </row>
    <row r="182" spans="1:55" ht="17" thickBot="1">
      <c r="A182" s="169">
        <v>2.1800000000000002</v>
      </c>
      <c r="B182" s="208"/>
      <c r="C182" t="s">
        <v>78</v>
      </c>
      <c r="D182" t="s">
        <v>3694</v>
      </c>
      <c r="F182" t="s">
        <v>1602</v>
      </c>
      <c r="G182" t="s">
        <v>1767</v>
      </c>
      <c r="H182" t="s">
        <v>2302</v>
      </c>
      <c r="I182" t="s">
        <v>2451</v>
      </c>
      <c r="J182" t="s">
        <v>2411</v>
      </c>
      <c r="K182" t="s">
        <v>3184</v>
      </c>
      <c r="M182" t="s">
        <v>3330</v>
      </c>
      <c r="N182" t="s">
        <v>78</v>
      </c>
      <c r="O182">
        <v>5</v>
      </c>
      <c r="Q182" t="s">
        <v>3454</v>
      </c>
      <c r="R182" t="s">
        <v>78</v>
      </c>
      <c r="S182">
        <v>2</v>
      </c>
      <c r="U182" t="s">
        <v>3586</v>
      </c>
      <c r="V182" t="s">
        <v>78</v>
      </c>
      <c r="W182">
        <v>2</v>
      </c>
      <c r="Y182">
        <v>16</v>
      </c>
      <c r="Z182">
        <v>96.6</v>
      </c>
      <c r="AA182">
        <v>10</v>
      </c>
      <c r="AB182">
        <v>10</v>
      </c>
      <c r="AC182">
        <v>97.6</v>
      </c>
      <c r="AD182">
        <v>7</v>
      </c>
      <c r="AF182" s="170" t="s">
        <v>78</v>
      </c>
      <c r="AG182" s="171">
        <v>0.26729999999999998</v>
      </c>
      <c r="AH182" s="172">
        <v>3.59</v>
      </c>
      <c r="AI182" s="172">
        <v>3.5670000000000002</v>
      </c>
      <c r="AJ182" s="172">
        <v>3.5369999999999999</v>
      </c>
      <c r="AK182" s="173">
        <v>0.14399999999999999</v>
      </c>
      <c r="AL182" s="174"/>
      <c r="AM182" s="172">
        <v>3.5529999999999999</v>
      </c>
      <c r="AN182" s="177">
        <v>2.4039999999999999</v>
      </c>
      <c r="AO182" s="174"/>
      <c r="AP182" s="171">
        <v>12881</v>
      </c>
      <c r="AQ182" s="171">
        <v>60465.5</v>
      </c>
      <c r="AR182" s="175">
        <v>1</v>
      </c>
      <c r="AS182" s="175">
        <v>1</v>
      </c>
      <c r="AT182" s="176" t="s">
        <v>3286</v>
      </c>
      <c r="AU182" s="171"/>
      <c r="AV182" s="171">
        <v>0.14149999999999999</v>
      </c>
      <c r="AW182" s="171">
        <v>0.26700000000000002</v>
      </c>
      <c r="AY182" t="s">
        <v>719</v>
      </c>
      <c r="AZ182" t="s">
        <v>720</v>
      </c>
      <c r="BA182" t="s">
        <v>2309</v>
      </c>
      <c r="BB182" t="s">
        <v>3192</v>
      </c>
    </row>
    <row r="183" spans="1:55">
      <c r="A183" s="168">
        <v>2.19</v>
      </c>
      <c r="B183" s="206">
        <v>2.19</v>
      </c>
      <c r="C183" s="81" t="s">
        <v>207</v>
      </c>
      <c r="D183" s="81" t="s">
        <v>3694</v>
      </c>
      <c r="E183" s="81"/>
      <c r="F183" s="81" t="s">
        <v>1729</v>
      </c>
      <c r="G183" s="81" t="s">
        <v>1428</v>
      </c>
      <c r="H183" s="81" t="s">
        <v>1733</v>
      </c>
      <c r="I183" s="81" t="s">
        <v>2603</v>
      </c>
      <c r="J183" s="81" t="s">
        <v>2452</v>
      </c>
      <c r="K183" s="81" t="s">
        <v>2681</v>
      </c>
      <c r="L183" s="81"/>
      <c r="M183" s="81" t="s">
        <v>3329</v>
      </c>
      <c r="N183" s="81" t="s">
        <v>207</v>
      </c>
      <c r="O183" s="81">
        <v>4</v>
      </c>
      <c r="P183" s="81"/>
      <c r="Q183" s="81" t="s">
        <v>3411</v>
      </c>
      <c r="R183" s="81" t="s">
        <v>207</v>
      </c>
      <c r="S183" s="81">
        <v>4</v>
      </c>
      <c r="T183" s="81"/>
      <c r="U183" s="81" t="s">
        <v>3551</v>
      </c>
      <c r="V183" s="81" t="s">
        <v>207</v>
      </c>
      <c r="W183" s="81">
        <v>3</v>
      </c>
      <c r="X183" s="81"/>
      <c r="Y183" s="81">
        <v>14</v>
      </c>
      <c r="Z183" s="81">
        <v>93.2</v>
      </c>
      <c r="AA183" s="81">
        <v>20</v>
      </c>
      <c r="AB183" s="81">
        <v>9</v>
      </c>
      <c r="AC183" s="81">
        <v>98.6</v>
      </c>
      <c r="AD183" s="81">
        <v>4</v>
      </c>
      <c r="AE183" s="81"/>
      <c r="AF183" s="83" t="s">
        <v>207</v>
      </c>
      <c r="AG183" s="33">
        <v>0.3251</v>
      </c>
      <c r="AH183" s="100">
        <v>3.597</v>
      </c>
      <c r="AI183" s="100">
        <v>3.573</v>
      </c>
      <c r="AJ183" s="100">
        <v>3.6560000000000001</v>
      </c>
      <c r="AK183" s="87">
        <v>0.215</v>
      </c>
      <c r="AL183" s="34"/>
      <c r="AM183" s="87">
        <v>0.12</v>
      </c>
      <c r="AN183" s="87">
        <v>8.8999999999999996E-2</v>
      </c>
      <c r="AO183" s="34"/>
      <c r="AP183" s="33">
        <v>9219.5</v>
      </c>
      <c r="AQ183" s="33">
        <v>1685</v>
      </c>
      <c r="AR183" s="88">
        <v>1</v>
      </c>
      <c r="AS183" s="88">
        <v>0</v>
      </c>
      <c r="AT183" s="89" t="s">
        <v>3285</v>
      </c>
      <c r="AU183" s="33"/>
      <c r="AV183" s="33">
        <v>0.28079999999999999</v>
      </c>
      <c r="AW183" s="33">
        <v>-7.6E-3</v>
      </c>
      <c r="AX183" s="81"/>
      <c r="AY183" s="81" t="s">
        <v>582</v>
      </c>
      <c r="AZ183" s="81" t="s">
        <v>583</v>
      </c>
      <c r="BA183" s="81" t="s">
        <v>1735</v>
      </c>
      <c r="BB183" s="81" t="s">
        <v>2683</v>
      </c>
      <c r="BC183" s="81"/>
    </row>
    <row r="184" spans="1:55">
      <c r="A184" s="169">
        <v>2.19</v>
      </c>
      <c r="B184" s="207"/>
      <c r="C184" t="s">
        <v>208</v>
      </c>
      <c r="D184" t="s">
        <v>3694</v>
      </c>
      <c r="F184" t="s">
        <v>1729</v>
      </c>
      <c r="G184" t="s">
        <v>1428</v>
      </c>
      <c r="H184" t="s">
        <v>1743</v>
      </c>
      <c r="I184" t="s">
        <v>2603</v>
      </c>
      <c r="J184" t="s">
        <v>2452</v>
      </c>
      <c r="K184" t="s">
        <v>2688</v>
      </c>
      <c r="M184" t="s">
        <v>3329</v>
      </c>
      <c r="N184" t="s">
        <v>208</v>
      </c>
      <c r="O184">
        <v>4</v>
      </c>
      <c r="Q184" t="s">
        <v>3411</v>
      </c>
      <c r="R184" t="s">
        <v>208</v>
      </c>
      <c r="S184">
        <v>4</v>
      </c>
      <c r="U184" t="s">
        <v>3551</v>
      </c>
      <c r="V184" t="s">
        <v>208</v>
      </c>
      <c r="W184">
        <v>3</v>
      </c>
      <c r="Y184">
        <v>14</v>
      </c>
      <c r="Z184">
        <v>98</v>
      </c>
      <c r="AA184">
        <v>6</v>
      </c>
      <c r="AB184">
        <v>8</v>
      </c>
      <c r="AC184">
        <v>97.9</v>
      </c>
      <c r="AD184">
        <v>6</v>
      </c>
      <c r="AF184" s="170" t="s">
        <v>3293</v>
      </c>
      <c r="AG184" s="171">
        <v>0.62350000000000005</v>
      </c>
      <c r="AH184" s="172">
        <v>3.5529999999999999</v>
      </c>
      <c r="AI184" s="186">
        <v>3.17</v>
      </c>
      <c r="AJ184" s="172">
        <v>3.57</v>
      </c>
      <c r="AK184" s="173">
        <v>0.35199999999999998</v>
      </c>
      <c r="AL184" s="174"/>
      <c r="AM184" s="173">
        <v>0.14399999999999999</v>
      </c>
      <c r="AN184" s="173">
        <v>0.104</v>
      </c>
      <c r="AO184" s="174"/>
      <c r="AP184" s="171">
        <v>10918</v>
      </c>
      <c r="AQ184" s="171">
        <v>1611.5</v>
      </c>
      <c r="AR184" s="175">
        <v>1</v>
      </c>
      <c r="AS184" s="175">
        <v>0</v>
      </c>
      <c r="AT184" s="176" t="s">
        <v>3285</v>
      </c>
      <c r="AU184" s="171"/>
      <c r="AV184" s="171">
        <v>-8.4199999999999997E-2</v>
      </c>
      <c r="AW184" s="171">
        <v>-5.7799999999999997E-2</v>
      </c>
      <c r="AY184" t="s">
        <v>825</v>
      </c>
      <c r="AZ184" t="s">
        <v>826</v>
      </c>
      <c r="BA184" t="s">
        <v>1747</v>
      </c>
      <c r="BB184" t="s">
        <v>2691</v>
      </c>
    </row>
    <row r="185" spans="1:55">
      <c r="A185" s="169">
        <v>2.19</v>
      </c>
      <c r="B185" s="207"/>
      <c r="C185" t="s">
        <v>209</v>
      </c>
      <c r="D185" t="s">
        <v>3693</v>
      </c>
      <c r="F185" t="s">
        <v>1729</v>
      </c>
      <c r="G185" t="s">
        <v>1428</v>
      </c>
      <c r="H185" t="s">
        <v>1748</v>
      </c>
      <c r="I185" t="s">
        <v>2603</v>
      </c>
      <c r="J185" t="s">
        <v>2452</v>
      </c>
      <c r="K185" t="s">
        <v>2692</v>
      </c>
      <c r="M185" t="s">
        <v>3329</v>
      </c>
      <c r="N185" t="s">
        <v>209</v>
      </c>
      <c r="O185">
        <v>4</v>
      </c>
      <c r="Q185" t="s">
        <v>3411</v>
      </c>
      <c r="R185" t="s">
        <v>209</v>
      </c>
      <c r="S185">
        <v>4</v>
      </c>
      <c r="U185" t="s">
        <v>3551</v>
      </c>
      <c r="V185" t="s">
        <v>209</v>
      </c>
      <c r="W185">
        <v>3</v>
      </c>
      <c r="Y185">
        <v>14</v>
      </c>
      <c r="Z185">
        <v>97.3</v>
      </c>
      <c r="AA185">
        <v>8</v>
      </c>
      <c r="AB185">
        <v>8</v>
      </c>
      <c r="AC185">
        <v>96.5</v>
      </c>
      <c r="AD185">
        <v>10</v>
      </c>
      <c r="AF185" s="170" t="s">
        <v>210</v>
      </c>
      <c r="AG185" s="171">
        <v>0.47610000000000002</v>
      </c>
      <c r="AH185" s="172">
        <v>3.6120000000000001</v>
      </c>
      <c r="AI185" s="172">
        <v>3.5840000000000001</v>
      </c>
      <c r="AJ185" s="172">
        <v>3.64</v>
      </c>
      <c r="AK185" s="173">
        <v>0.307</v>
      </c>
      <c r="AL185" s="174"/>
      <c r="AM185" s="173">
        <v>0.11600000000000001</v>
      </c>
      <c r="AN185" s="173">
        <v>0.109</v>
      </c>
      <c r="AO185" s="174"/>
      <c r="AP185" s="171">
        <v>9515</v>
      </c>
      <c r="AQ185" s="171">
        <v>2088</v>
      </c>
      <c r="AR185" s="175">
        <v>1</v>
      </c>
      <c r="AS185" s="175">
        <v>0</v>
      </c>
      <c r="AT185" s="176" t="s">
        <v>3285</v>
      </c>
      <c r="AU185" s="171"/>
      <c r="AV185" s="171">
        <v>-7.4700000000000003E-2</v>
      </c>
      <c r="AW185" s="171">
        <v>-4.1399999999999999E-2</v>
      </c>
      <c r="AY185" t="s">
        <v>1089</v>
      </c>
      <c r="AZ185" t="s">
        <v>1090</v>
      </c>
      <c r="BA185" t="s">
        <v>1750</v>
      </c>
      <c r="BB185" t="s">
        <v>2694</v>
      </c>
    </row>
    <row r="186" spans="1:55" ht="17" thickBot="1">
      <c r="A186" s="178">
        <v>2.19</v>
      </c>
      <c r="B186" s="208"/>
      <c r="C186" s="40" t="s">
        <v>206</v>
      </c>
      <c r="D186" s="40" t="s">
        <v>3694</v>
      </c>
      <c r="E186" s="40"/>
      <c r="F186" s="40" t="s">
        <v>1729</v>
      </c>
      <c r="G186" s="40" t="s">
        <v>1428</v>
      </c>
      <c r="H186" s="40" t="s">
        <v>1730</v>
      </c>
      <c r="I186" s="40" t="s">
        <v>2603</v>
      </c>
      <c r="J186" s="40" t="s">
        <v>2452</v>
      </c>
      <c r="K186" s="40" t="s">
        <v>2678</v>
      </c>
      <c r="L186" s="40"/>
      <c r="M186" s="40" t="s">
        <v>3329</v>
      </c>
      <c r="N186" s="40" t="s">
        <v>206</v>
      </c>
      <c r="O186" s="40">
        <v>4</v>
      </c>
      <c r="P186" s="40"/>
      <c r="Q186" s="40" t="s">
        <v>3411</v>
      </c>
      <c r="R186" s="40" t="s">
        <v>206</v>
      </c>
      <c r="S186" s="40">
        <v>4</v>
      </c>
      <c r="T186" s="40"/>
      <c r="U186" s="40" t="s">
        <v>3535</v>
      </c>
      <c r="V186" s="40" t="s">
        <v>206</v>
      </c>
      <c r="W186" s="40">
        <v>1</v>
      </c>
      <c r="X186" s="40"/>
      <c r="Y186" s="40">
        <v>14</v>
      </c>
      <c r="Z186" s="40">
        <v>93.9</v>
      </c>
      <c r="AA186" s="40">
        <v>18</v>
      </c>
      <c r="AB186" s="40">
        <v>8</v>
      </c>
      <c r="AC186" s="40">
        <v>96.5</v>
      </c>
      <c r="AD186" s="40">
        <v>10</v>
      </c>
      <c r="AE186" s="40"/>
      <c r="AF186" s="85" t="s">
        <v>206</v>
      </c>
      <c r="AG186" s="35">
        <v>0.3659</v>
      </c>
      <c r="AH186" s="102">
        <v>3.5449999999999999</v>
      </c>
      <c r="AI186" s="102">
        <v>3.544</v>
      </c>
      <c r="AJ186" s="102">
        <v>3.6320000000000001</v>
      </c>
      <c r="AK186" s="90">
        <v>0.27200000000000002</v>
      </c>
      <c r="AL186" s="37"/>
      <c r="AM186" s="90">
        <v>0.14699999999999999</v>
      </c>
      <c r="AN186" s="90">
        <v>8.7999999999999995E-2</v>
      </c>
      <c r="AO186" s="37"/>
      <c r="AP186" s="35">
        <v>12029</v>
      </c>
      <c r="AQ186" s="35">
        <v>2089.5</v>
      </c>
      <c r="AR186" s="93">
        <v>1</v>
      </c>
      <c r="AS186" s="93">
        <v>0</v>
      </c>
      <c r="AT186" s="94" t="s">
        <v>3285</v>
      </c>
      <c r="AU186" s="35"/>
      <c r="AV186" s="35">
        <v>0.1149</v>
      </c>
      <c r="AW186" s="35">
        <v>-8.6E-3</v>
      </c>
      <c r="AX186" s="40"/>
      <c r="AY186" s="40" t="s">
        <v>527</v>
      </c>
      <c r="AZ186" s="40" t="s">
        <v>528</v>
      </c>
      <c r="BA186" s="40" t="s">
        <v>1732</v>
      </c>
      <c r="BB186" s="40" t="s">
        <v>2680</v>
      </c>
      <c r="BC186" s="40"/>
    </row>
    <row r="187" spans="1:55">
      <c r="A187" s="168">
        <v>2.2000000000000002</v>
      </c>
      <c r="B187" s="206">
        <v>2.2000000000000002</v>
      </c>
      <c r="C187" s="81" t="s">
        <v>211</v>
      </c>
      <c r="D187" s="81" t="s">
        <v>3704</v>
      </c>
      <c r="E187" s="81"/>
      <c r="F187" s="81" t="s">
        <v>1481</v>
      </c>
      <c r="G187" s="81" t="s">
        <v>1428</v>
      </c>
      <c r="H187" s="81" t="s">
        <v>1751</v>
      </c>
      <c r="I187" s="81" t="s">
        <v>2695</v>
      </c>
      <c r="J187" s="81" t="s">
        <v>2460</v>
      </c>
      <c r="K187" s="81" t="s">
        <v>2696</v>
      </c>
      <c r="L187" s="81"/>
      <c r="M187" s="81" t="s">
        <v>3310</v>
      </c>
      <c r="N187" s="81" t="s">
        <v>211</v>
      </c>
      <c r="O187" s="81">
        <v>4</v>
      </c>
      <c r="P187" s="81"/>
      <c r="Q187" s="81" t="s">
        <v>3390</v>
      </c>
      <c r="R187" s="81" t="s">
        <v>211</v>
      </c>
      <c r="S187" s="81">
        <v>2</v>
      </c>
      <c r="T187" s="81"/>
      <c r="U187" s="81" t="s">
        <v>3514</v>
      </c>
      <c r="V187" s="81" t="s">
        <v>211</v>
      </c>
      <c r="W187" s="81">
        <v>1</v>
      </c>
      <c r="X187" s="81"/>
      <c r="Y187" s="81">
        <v>17</v>
      </c>
      <c r="Z187" s="81">
        <v>96</v>
      </c>
      <c r="AA187" s="81">
        <v>11</v>
      </c>
      <c r="AB187" s="81">
        <v>9</v>
      </c>
      <c r="AC187" s="81">
        <v>98.5</v>
      </c>
      <c r="AD187" s="81">
        <v>4</v>
      </c>
      <c r="AE187" s="81"/>
      <c r="AF187" s="83" t="s">
        <v>211</v>
      </c>
      <c r="AG187" s="33">
        <v>0.3095</v>
      </c>
      <c r="AH187" s="100">
        <v>3.641</v>
      </c>
      <c r="AI187" s="100">
        <v>3.6309999999999998</v>
      </c>
      <c r="AJ187" s="101">
        <v>2.7959999999999998</v>
      </c>
      <c r="AK187" s="87">
        <v>0.14799999999999999</v>
      </c>
      <c r="AL187" s="34"/>
      <c r="AM187" s="100">
        <v>3.6070000000000002</v>
      </c>
      <c r="AN187" s="114">
        <v>2.004</v>
      </c>
      <c r="AO187" s="34"/>
      <c r="AP187" s="33">
        <v>43530</v>
      </c>
      <c r="AQ187" s="33">
        <v>47366</v>
      </c>
      <c r="AR187" s="88">
        <v>1</v>
      </c>
      <c r="AS187" s="88">
        <v>1</v>
      </c>
      <c r="AT187" s="89" t="s">
        <v>3289</v>
      </c>
      <c r="AU187" s="33"/>
      <c r="AV187" s="33">
        <v>7.4399999999999994E-2</v>
      </c>
      <c r="AW187" s="33">
        <v>2.3E-2</v>
      </c>
      <c r="AX187" s="81"/>
      <c r="AY187" s="81" t="s">
        <v>905</v>
      </c>
      <c r="AZ187" s="81" t="s">
        <v>906</v>
      </c>
      <c r="BA187" s="81" t="s">
        <v>1754</v>
      </c>
      <c r="BB187" s="81" t="s">
        <v>2699</v>
      </c>
      <c r="BC187" s="81"/>
    </row>
    <row r="188" spans="1:55">
      <c r="A188" s="169">
        <v>2.2000000000000002</v>
      </c>
      <c r="B188" s="207"/>
      <c r="C188" t="s">
        <v>212</v>
      </c>
      <c r="D188" t="s">
        <v>3694</v>
      </c>
      <c r="F188" t="s">
        <v>1481</v>
      </c>
      <c r="G188" t="s">
        <v>1428</v>
      </c>
      <c r="H188" t="s">
        <v>1755</v>
      </c>
      <c r="I188" t="s">
        <v>2695</v>
      </c>
      <c r="J188" t="s">
        <v>2460</v>
      </c>
      <c r="K188" t="s">
        <v>2700</v>
      </c>
      <c r="M188" t="s">
        <v>3310</v>
      </c>
      <c r="N188" t="s">
        <v>212</v>
      </c>
      <c r="O188">
        <v>4</v>
      </c>
      <c r="Q188" t="s">
        <v>3437</v>
      </c>
      <c r="R188" t="s">
        <v>212</v>
      </c>
      <c r="S188">
        <v>2</v>
      </c>
      <c r="U188" t="s">
        <v>3616</v>
      </c>
      <c r="V188" t="s">
        <v>212</v>
      </c>
      <c r="W188">
        <v>1</v>
      </c>
      <c r="Y188">
        <v>17</v>
      </c>
      <c r="Z188">
        <v>93.9</v>
      </c>
      <c r="AA188">
        <v>18</v>
      </c>
      <c r="AB188">
        <v>9</v>
      </c>
      <c r="AC188">
        <v>97.5</v>
      </c>
      <c r="AD188">
        <v>7</v>
      </c>
      <c r="AF188" s="170" t="s">
        <v>212</v>
      </c>
      <c r="AG188" s="171">
        <v>0.43780000000000002</v>
      </c>
      <c r="AH188" s="172">
        <v>3.669</v>
      </c>
      <c r="AI188" s="172">
        <v>3.7250000000000001</v>
      </c>
      <c r="AJ188" s="172">
        <v>3.5960000000000001</v>
      </c>
      <c r="AK188" s="173">
        <v>0.16200000000000001</v>
      </c>
      <c r="AL188" s="174"/>
      <c r="AM188" s="172">
        <v>3.56</v>
      </c>
      <c r="AN188" s="177">
        <v>2.42</v>
      </c>
      <c r="AO188" s="174"/>
      <c r="AP188" s="171">
        <v>4706</v>
      </c>
      <c r="AQ188" s="171">
        <v>42818</v>
      </c>
      <c r="AR188" s="175">
        <v>0</v>
      </c>
      <c r="AS188" s="175">
        <v>1</v>
      </c>
      <c r="AT188" s="176" t="s">
        <v>3286</v>
      </c>
      <c r="AU188" s="171"/>
      <c r="AV188" s="171">
        <v>1.2E-2</v>
      </c>
      <c r="AW188" s="171">
        <v>7.9000000000000008E-3</v>
      </c>
      <c r="AY188" t="s">
        <v>873</v>
      </c>
      <c r="AZ188" t="s">
        <v>874</v>
      </c>
      <c r="BA188" t="s">
        <v>1758</v>
      </c>
      <c r="BB188" t="s">
        <v>2703</v>
      </c>
    </row>
    <row r="189" spans="1:55">
      <c r="A189" s="169">
        <v>2.2000000000000002</v>
      </c>
      <c r="B189" s="207"/>
      <c r="C189" t="s">
        <v>213</v>
      </c>
      <c r="D189" t="s">
        <v>3694</v>
      </c>
      <c r="F189" t="s">
        <v>1481</v>
      </c>
      <c r="G189" t="s">
        <v>1428</v>
      </c>
      <c r="H189" t="s">
        <v>1759</v>
      </c>
      <c r="I189" t="s">
        <v>2695</v>
      </c>
      <c r="J189" t="s">
        <v>2460</v>
      </c>
      <c r="K189" t="s">
        <v>2704</v>
      </c>
      <c r="M189" t="s">
        <v>3310</v>
      </c>
      <c r="N189" t="s">
        <v>213</v>
      </c>
      <c r="O189">
        <v>4</v>
      </c>
      <c r="Q189" t="s">
        <v>3437</v>
      </c>
      <c r="R189" t="s">
        <v>213</v>
      </c>
      <c r="S189">
        <v>2</v>
      </c>
      <c r="U189" t="s">
        <v>3567</v>
      </c>
      <c r="V189" t="s">
        <v>213</v>
      </c>
      <c r="W189">
        <v>1</v>
      </c>
      <c r="Y189">
        <v>17</v>
      </c>
      <c r="Z189">
        <v>93.9</v>
      </c>
      <c r="AA189">
        <v>18</v>
      </c>
      <c r="AB189">
        <v>9</v>
      </c>
      <c r="AC189">
        <v>95.8</v>
      </c>
      <c r="AD189">
        <v>12</v>
      </c>
      <c r="AF189" s="170" t="s">
        <v>213</v>
      </c>
      <c r="AG189" s="171">
        <v>0.121</v>
      </c>
      <c r="AH189" s="183">
        <v>3.649</v>
      </c>
      <c r="AI189" s="183">
        <v>3.5819999999999999</v>
      </c>
      <c r="AJ189" s="191">
        <v>3.431</v>
      </c>
      <c r="AK189" s="188">
        <v>0.125</v>
      </c>
      <c r="AL189" s="185"/>
      <c r="AM189" s="172">
        <v>3.4550000000000001</v>
      </c>
      <c r="AN189" s="179">
        <v>1.9139999999999999</v>
      </c>
      <c r="AO189" s="174"/>
      <c r="AP189" s="171">
        <v>13417</v>
      </c>
      <c r="AQ189" s="171">
        <v>100347</v>
      </c>
      <c r="AR189" s="175">
        <v>1</v>
      </c>
      <c r="AS189" s="175">
        <v>1</v>
      </c>
      <c r="AT189" s="176" t="s">
        <v>3286</v>
      </c>
      <c r="AU189" s="171"/>
      <c r="AV189" s="171">
        <v>-9.8699999999999996E-2</v>
      </c>
      <c r="AW189" s="171">
        <v>-8.48E-2</v>
      </c>
      <c r="AY189" t="s">
        <v>635</v>
      </c>
      <c r="AZ189" t="s">
        <v>636</v>
      </c>
      <c r="BA189" t="s">
        <v>1761</v>
      </c>
      <c r="BB189" t="s">
        <v>2706</v>
      </c>
    </row>
    <row r="190" spans="1:55" ht="17" thickBot="1">
      <c r="A190" s="178">
        <v>2.2000000000000002</v>
      </c>
      <c r="B190" s="208"/>
      <c r="C190" s="40" t="s">
        <v>214</v>
      </c>
      <c r="D190" s="40" t="s">
        <v>3697</v>
      </c>
      <c r="E190" s="40"/>
      <c r="F190" s="40" t="s">
        <v>1481</v>
      </c>
      <c r="G190" s="40" t="s">
        <v>1428</v>
      </c>
      <c r="H190" s="40" t="s">
        <v>1762</v>
      </c>
      <c r="I190" s="40" t="s">
        <v>2695</v>
      </c>
      <c r="J190" s="40" t="s">
        <v>2460</v>
      </c>
      <c r="K190" s="40" t="s">
        <v>2707</v>
      </c>
      <c r="L190" s="40"/>
      <c r="M190" s="40" t="s">
        <v>3310</v>
      </c>
      <c r="N190" s="40" t="s">
        <v>214</v>
      </c>
      <c r="O190" s="40">
        <v>4</v>
      </c>
      <c r="P190" s="40"/>
      <c r="Q190" s="40" t="s">
        <v>3390</v>
      </c>
      <c r="R190" s="40" t="s">
        <v>214</v>
      </c>
      <c r="S190" s="40">
        <v>2</v>
      </c>
      <c r="T190" s="40"/>
      <c r="U190" s="40" t="s">
        <v>3648</v>
      </c>
      <c r="V190" s="40" t="s">
        <v>214</v>
      </c>
      <c r="W190" s="40">
        <v>1</v>
      </c>
      <c r="X190" s="40"/>
      <c r="Y190" s="40">
        <v>17</v>
      </c>
      <c r="Z190" s="40">
        <v>91.9</v>
      </c>
      <c r="AA190" s="40">
        <v>24</v>
      </c>
      <c r="AB190" s="40">
        <v>9</v>
      </c>
      <c r="AC190" s="40">
        <v>97.9</v>
      </c>
      <c r="AD190" s="40">
        <v>6</v>
      </c>
      <c r="AE190" s="40"/>
      <c r="AF190" s="85" t="s">
        <v>215</v>
      </c>
      <c r="AG190" s="35">
        <v>0.2331</v>
      </c>
      <c r="AH190" s="102">
        <v>3.59</v>
      </c>
      <c r="AI190" s="102">
        <v>3.6160000000000001</v>
      </c>
      <c r="AJ190" s="102">
        <v>3.5</v>
      </c>
      <c r="AK190" s="90">
        <v>0.13800000000000001</v>
      </c>
      <c r="AL190" s="37"/>
      <c r="AM190" s="102">
        <v>3.54</v>
      </c>
      <c r="AN190" s="117">
        <v>2.2210000000000001</v>
      </c>
      <c r="AO190" s="37"/>
      <c r="AP190" s="35">
        <v>8220</v>
      </c>
      <c r="AQ190" s="35">
        <v>93479.5</v>
      </c>
      <c r="AR190" s="93">
        <v>1</v>
      </c>
      <c r="AS190" s="93">
        <v>1</v>
      </c>
      <c r="AT190" s="94" t="s">
        <v>3286</v>
      </c>
      <c r="AU190" s="35"/>
      <c r="AV190" s="35">
        <v>-9.0399999999999994E-2</v>
      </c>
      <c r="AW190" s="35">
        <v>-2.6200000000000001E-2</v>
      </c>
      <c r="AX190" s="40"/>
      <c r="AY190" s="40" t="s">
        <v>1067</v>
      </c>
      <c r="AZ190" s="40" t="s">
        <v>1068</v>
      </c>
      <c r="BA190" s="40" t="s">
        <v>1766</v>
      </c>
      <c r="BB190" s="40" t="s">
        <v>2709</v>
      </c>
      <c r="BC190" s="40"/>
    </row>
    <row r="191" spans="1:55">
      <c r="A191" s="169">
        <v>2.21</v>
      </c>
      <c r="B191" s="206">
        <v>2.21</v>
      </c>
      <c r="C191" t="s">
        <v>168</v>
      </c>
      <c r="D191" t="s">
        <v>3694</v>
      </c>
      <c r="F191" t="s">
        <v>1602</v>
      </c>
      <c r="G191" t="s">
        <v>1428</v>
      </c>
      <c r="H191" t="s">
        <v>1616</v>
      </c>
      <c r="I191" t="s">
        <v>2451</v>
      </c>
      <c r="J191" t="s">
        <v>2404</v>
      </c>
      <c r="K191" t="s">
        <v>2574</v>
      </c>
      <c r="M191" t="s">
        <v>3338</v>
      </c>
      <c r="N191" t="s">
        <v>168</v>
      </c>
      <c r="O191">
        <v>4</v>
      </c>
      <c r="Q191" t="s">
        <v>3426</v>
      </c>
      <c r="R191" t="s">
        <v>168</v>
      </c>
      <c r="S191">
        <v>2</v>
      </c>
      <c r="U191" t="s">
        <v>3555</v>
      </c>
      <c r="V191" t="s">
        <v>168</v>
      </c>
      <c r="W191">
        <v>2</v>
      </c>
      <c r="Y191">
        <v>19</v>
      </c>
      <c r="Z191">
        <v>96.3</v>
      </c>
      <c r="AA191">
        <v>11</v>
      </c>
      <c r="AB191">
        <v>10</v>
      </c>
      <c r="AC191">
        <v>97.9</v>
      </c>
      <c r="AD191">
        <v>6</v>
      </c>
      <c r="AF191" s="170" t="s">
        <v>168</v>
      </c>
      <c r="AG191" s="171">
        <v>0.29680000000000001</v>
      </c>
      <c r="AH191" s="172">
        <v>3.569</v>
      </c>
      <c r="AI191" s="192">
        <v>1.107</v>
      </c>
      <c r="AJ191" s="172">
        <v>3.585</v>
      </c>
      <c r="AK191" s="173">
        <v>0.157</v>
      </c>
      <c r="AL191" s="174"/>
      <c r="AM191" s="172">
        <v>3.5270000000000001</v>
      </c>
      <c r="AN191" s="177">
        <v>2.3170000000000002</v>
      </c>
      <c r="AO191" s="174"/>
      <c r="AP191" s="171">
        <v>8467</v>
      </c>
      <c r="AQ191" s="171">
        <v>67947</v>
      </c>
      <c r="AR191" s="175">
        <v>1</v>
      </c>
      <c r="AS191" s="175">
        <v>1</v>
      </c>
      <c r="AT191" s="176" t="s">
        <v>3286</v>
      </c>
      <c r="AU191" s="171"/>
      <c r="AV191" s="171">
        <v>0.1444</v>
      </c>
      <c r="AW191" s="171">
        <v>4.4699999999999997E-2</v>
      </c>
      <c r="AY191" t="s">
        <v>594</v>
      </c>
      <c r="AZ191" t="s">
        <v>595</v>
      </c>
      <c r="BA191" t="s">
        <v>1619</v>
      </c>
      <c r="BB191" t="s">
        <v>2588</v>
      </c>
    </row>
    <row r="192" spans="1:55">
      <c r="A192" s="169">
        <v>2.21</v>
      </c>
      <c r="B192" s="207"/>
      <c r="C192" t="s">
        <v>172</v>
      </c>
      <c r="D192" t="s">
        <v>3694</v>
      </c>
      <c r="F192" t="s">
        <v>1602</v>
      </c>
      <c r="G192" t="s">
        <v>1428</v>
      </c>
      <c r="H192" t="s">
        <v>1623</v>
      </c>
      <c r="I192" t="s">
        <v>2451</v>
      </c>
      <c r="J192" t="s">
        <v>2404</v>
      </c>
      <c r="K192" t="s">
        <v>2574</v>
      </c>
      <c r="M192" t="s">
        <v>3338</v>
      </c>
      <c r="N192" t="s">
        <v>172</v>
      </c>
      <c r="O192">
        <v>4</v>
      </c>
      <c r="Q192" t="s">
        <v>3426</v>
      </c>
      <c r="R192" t="s">
        <v>172</v>
      </c>
      <c r="S192">
        <v>2</v>
      </c>
      <c r="U192" t="s">
        <v>3555</v>
      </c>
      <c r="V192" t="s">
        <v>172</v>
      </c>
      <c r="W192">
        <v>2</v>
      </c>
      <c r="Y192">
        <v>19</v>
      </c>
      <c r="Z192">
        <v>94.2</v>
      </c>
      <c r="AA192">
        <v>17</v>
      </c>
      <c r="AB192">
        <v>10</v>
      </c>
      <c r="AC192">
        <v>95.8</v>
      </c>
      <c r="AD192">
        <v>12</v>
      </c>
      <c r="AF192" s="170" t="s">
        <v>172</v>
      </c>
      <c r="AG192" s="171">
        <v>0.2273</v>
      </c>
      <c r="AH192" s="183">
        <v>3.548</v>
      </c>
      <c r="AI192" s="183">
        <v>3.4910000000000001</v>
      </c>
      <c r="AJ192" s="183">
        <v>3.5790000000000002</v>
      </c>
      <c r="AK192" s="188">
        <v>0.14899999999999999</v>
      </c>
      <c r="AL192" s="185"/>
      <c r="AM192" s="172">
        <v>3.5019999999999998</v>
      </c>
      <c r="AN192" s="177">
        <v>2.4660000000000002</v>
      </c>
      <c r="AO192" s="174"/>
      <c r="AP192" s="171">
        <v>11155</v>
      </c>
      <c r="AQ192" s="171">
        <v>85861</v>
      </c>
      <c r="AR192" s="175">
        <v>1</v>
      </c>
      <c r="AS192" s="175">
        <v>1</v>
      </c>
      <c r="AT192" s="176" t="s">
        <v>3286</v>
      </c>
      <c r="AU192" s="171"/>
      <c r="AV192" s="171">
        <v>0.11799999999999999</v>
      </c>
      <c r="AW192" s="171">
        <v>-5.3600000000000002E-2</v>
      </c>
      <c r="AY192" t="s">
        <v>654</v>
      </c>
      <c r="AZ192" t="s">
        <v>655</v>
      </c>
      <c r="BA192" t="s">
        <v>1625</v>
      </c>
      <c r="BB192" t="s">
        <v>2590</v>
      </c>
    </row>
    <row r="193" spans="1:55">
      <c r="A193" s="169">
        <v>2.21</v>
      </c>
      <c r="B193" s="207"/>
      <c r="C193" t="s">
        <v>162</v>
      </c>
      <c r="D193" t="s">
        <v>3694</v>
      </c>
      <c r="F193" t="s">
        <v>1602</v>
      </c>
      <c r="G193" t="s">
        <v>1428</v>
      </c>
      <c r="H193" t="s">
        <v>1603</v>
      </c>
      <c r="I193" t="s">
        <v>2451</v>
      </c>
      <c r="J193" t="s">
        <v>2404</v>
      </c>
      <c r="K193" t="s">
        <v>2574</v>
      </c>
      <c r="M193" t="s">
        <v>3338</v>
      </c>
      <c r="N193" t="s">
        <v>162</v>
      </c>
      <c r="O193">
        <v>4</v>
      </c>
      <c r="Q193" t="s">
        <v>3453</v>
      </c>
      <c r="R193" t="s">
        <v>162</v>
      </c>
      <c r="S193">
        <v>2</v>
      </c>
      <c r="U193" t="s">
        <v>3585</v>
      </c>
      <c r="V193" t="s">
        <v>162</v>
      </c>
      <c r="W193">
        <v>1</v>
      </c>
      <c r="Y193">
        <v>19</v>
      </c>
      <c r="Z193">
        <v>94.2</v>
      </c>
      <c r="AA193">
        <v>17</v>
      </c>
      <c r="AB193">
        <v>10</v>
      </c>
      <c r="AC193">
        <v>96.9</v>
      </c>
      <c r="AD193">
        <v>9</v>
      </c>
      <c r="AF193" s="170" t="s">
        <v>162</v>
      </c>
      <c r="AG193" s="171">
        <v>0.1915</v>
      </c>
      <c r="AH193" s="172">
        <v>3.53</v>
      </c>
      <c r="AI193" s="192">
        <v>0.90300000000000002</v>
      </c>
      <c r="AJ193" s="172">
        <v>3.5579999999999998</v>
      </c>
      <c r="AK193" s="173">
        <v>0.13</v>
      </c>
      <c r="AL193" s="174"/>
      <c r="AM193" s="172">
        <v>3.52</v>
      </c>
      <c r="AN193" s="177">
        <v>2.4049999999999998</v>
      </c>
      <c r="AO193" s="174"/>
      <c r="AP193" s="171">
        <v>19519</v>
      </c>
      <c r="AQ193" s="171">
        <v>80896</v>
      </c>
      <c r="AR193" s="175">
        <v>1</v>
      </c>
      <c r="AS193" s="175">
        <v>1</v>
      </c>
      <c r="AT193" s="176" t="s">
        <v>3286</v>
      </c>
      <c r="AU193" s="171"/>
      <c r="AV193" s="171">
        <v>-7.6499999999999999E-2</v>
      </c>
      <c r="AW193" s="171">
        <v>-3.6499999999999998E-2</v>
      </c>
      <c r="AY193" t="s">
        <v>716</v>
      </c>
      <c r="AZ193" t="s">
        <v>717</v>
      </c>
      <c r="BA193" t="s">
        <v>1606</v>
      </c>
      <c r="BB193" t="s">
        <v>2576</v>
      </c>
    </row>
    <row r="194" spans="1:55" ht="17" thickBot="1">
      <c r="A194" s="169">
        <v>2.21</v>
      </c>
      <c r="B194" s="208"/>
      <c r="C194" t="s">
        <v>163</v>
      </c>
      <c r="D194" t="s">
        <v>3697</v>
      </c>
      <c r="F194" t="s">
        <v>1602</v>
      </c>
      <c r="G194" t="s">
        <v>1428</v>
      </c>
      <c r="H194" t="s">
        <v>1610</v>
      </c>
      <c r="I194" t="s">
        <v>2451</v>
      </c>
      <c r="J194" t="s">
        <v>2404</v>
      </c>
      <c r="K194" t="s">
        <v>2581</v>
      </c>
      <c r="M194" t="s">
        <v>3338</v>
      </c>
      <c r="N194" t="s">
        <v>163</v>
      </c>
      <c r="O194">
        <v>4</v>
      </c>
      <c r="Q194" t="s">
        <v>3453</v>
      </c>
      <c r="R194" t="s">
        <v>163</v>
      </c>
      <c r="S194">
        <v>2</v>
      </c>
      <c r="U194" t="s">
        <v>3639</v>
      </c>
      <c r="V194" t="s">
        <v>163</v>
      </c>
      <c r="W194">
        <v>1</v>
      </c>
      <c r="Y194">
        <v>19</v>
      </c>
      <c r="Z194">
        <v>96.9</v>
      </c>
      <c r="AA194">
        <v>9</v>
      </c>
      <c r="AB194">
        <v>10</v>
      </c>
      <c r="AC194">
        <v>96.9</v>
      </c>
      <c r="AD194">
        <v>9</v>
      </c>
      <c r="AF194" s="170" t="s">
        <v>164</v>
      </c>
      <c r="AG194" s="171">
        <v>0.1022</v>
      </c>
      <c r="AH194" s="172">
        <v>3.6160000000000001</v>
      </c>
      <c r="AI194" s="190">
        <v>2.2799999999999998</v>
      </c>
      <c r="AJ194" s="172">
        <v>3.5489999999999999</v>
      </c>
      <c r="AK194" s="173">
        <v>0.14799999999999999</v>
      </c>
      <c r="AL194" s="174"/>
      <c r="AM194" s="172">
        <v>3.5739999999999998</v>
      </c>
      <c r="AN194" s="177">
        <v>2.359</v>
      </c>
      <c r="AO194" s="174"/>
      <c r="AP194" s="171">
        <v>16416</v>
      </c>
      <c r="AQ194" s="171">
        <v>113402</v>
      </c>
      <c r="AR194" s="175">
        <v>1</v>
      </c>
      <c r="AS194" s="175">
        <v>1</v>
      </c>
      <c r="AT194" s="176" t="s">
        <v>3286</v>
      </c>
      <c r="AU194" s="171"/>
      <c r="AV194" s="171">
        <v>-6.08E-2</v>
      </c>
      <c r="AW194" s="171">
        <v>-4.7199999999999999E-2</v>
      </c>
      <c r="AY194" t="s">
        <v>1043</v>
      </c>
      <c r="AZ194" t="s">
        <v>1044</v>
      </c>
      <c r="BA194" t="s">
        <v>1612</v>
      </c>
      <c r="BB194" t="s">
        <v>2583</v>
      </c>
    </row>
    <row r="195" spans="1:55">
      <c r="A195" s="168">
        <v>2.2200000000000002</v>
      </c>
      <c r="B195" s="206">
        <v>2.2200000000000002</v>
      </c>
      <c r="C195" s="81" t="s">
        <v>216</v>
      </c>
      <c r="D195" s="81" t="s">
        <v>3694</v>
      </c>
      <c r="E195" s="81"/>
      <c r="F195" s="81" t="s">
        <v>1420</v>
      </c>
      <c r="G195" s="81" t="s">
        <v>1767</v>
      </c>
      <c r="H195" s="81" t="s">
        <v>1768</v>
      </c>
      <c r="I195" s="81" t="s">
        <v>2710</v>
      </c>
      <c r="J195" s="81" t="s">
        <v>2433</v>
      </c>
      <c r="K195" s="81" t="s">
        <v>2711</v>
      </c>
      <c r="L195" s="81"/>
      <c r="M195" s="81" t="s">
        <v>3356</v>
      </c>
      <c r="N195" s="81" t="s">
        <v>216</v>
      </c>
      <c r="O195" s="81">
        <v>3</v>
      </c>
      <c r="P195" s="81"/>
      <c r="Q195" s="81" t="s">
        <v>3451</v>
      </c>
      <c r="R195" s="81" t="s">
        <v>216</v>
      </c>
      <c r="S195" s="81">
        <v>3</v>
      </c>
      <c r="T195" s="81"/>
      <c r="U195" s="81" t="s">
        <v>3583</v>
      </c>
      <c r="V195" s="81" t="s">
        <v>216</v>
      </c>
      <c r="W195" s="81">
        <v>2</v>
      </c>
      <c r="X195" s="81"/>
      <c r="Y195" s="81">
        <v>17</v>
      </c>
      <c r="Z195" s="81">
        <v>91.2</v>
      </c>
      <c r="AA195" s="81">
        <v>26</v>
      </c>
      <c r="AB195" s="81">
        <v>10</v>
      </c>
      <c r="AC195" s="81">
        <v>93.6</v>
      </c>
      <c r="AD195" s="81">
        <v>19</v>
      </c>
      <c r="AE195" s="81"/>
      <c r="AF195" s="83" t="s">
        <v>216</v>
      </c>
      <c r="AG195" s="33">
        <v>0.44059999999999999</v>
      </c>
      <c r="AH195" s="100">
        <v>3.593</v>
      </c>
      <c r="AI195" s="100">
        <v>3.5230000000000001</v>
      </c>
      <c r="AJ195" s="87">
        <v>0.17799999999999999</v>
      </c>
      <c r="AK195" s="87">
        <v>0.14799999999999999</v>
      </c>
      <c r="AL195" s="34"/>
      <c r="AM195" s="100">
        <v>3.472</v>
      </c>
      <c r="AN195" s="100">
        <v>2.427</v>
      </c>
      <c r="AO195" s="34"/>
      <c r="AP195" s="33">
        <v>3254</v>
      </c>
      <c r="AQ195" s="33">
        <v>62283</v>
      </c>
      <c r="AR195" s="88">
        <v>0</v>
      </c>
      <c r="AS195" s="88">
        <v>1</v>
      </c>
      <c r="AT195" s="89" t="s">
        <v>3286</v>
      </c>
      <c r="AU195" s="33"/>
      <c r="AV195" s="33">
        <v>2.6956000000000002</v>
      </c>
      <c r="AW195" s="33">
        <v>1.0771999999999999</v>
      </c>
      <c r="AX195" s="81"/>
      <c r="AY195" s="81" t="s">
        <v>857</v>
      </c>
      <c r="AZ195" s="81" t="s">
        <v>858</v>
      </c>
      <c r="BA195" s="81" t="s">
        <v>1771</v>
      </c>
      <c r="BB195" s="81" t="s">
        <v>2714</v>
      </c>
      <c r="BC195" s="81"/>
    </row>
    <row r="196" spans="1:55">
      <c r="A196" s="169">
        <v>2.2200000000000002</v>
      </c>
      <c r="B196" s="207"/>
      <c r="C196" t="s">
        <v>219</v>
      </c>
      <c r="D196" t="s">
        <v>3694</v>
      </c>
      <c r="F196" t="s">
        <v>1420</v>
      </c>
      <c r="G196" t="s">
        <v>1767</v>
      </c>
      <c r="H196" t="s">
        <v>1775</v>
      </c>
      <c r="I196" t="s">
        <v>2710</v>
      </c>
      <c r="J196" t="s">
        <v>2433</v>
      </c>
      <c r="K196" t="s">
        <v>2711</v>
      </c>
      <c r="M196" t="s">
        <v>3356</v>
      </c>
      <c r="N196" t="s">
        <v>219</v>
      </c>
      <c r="O196">
        <v>3</v>
      </c>
      <c r="Q196" t="s">
        <v>3451</v>
      </c>
      <c r="R196" t="s">
        <v>219</v>
      </c>
      <c r="S196">
        <v>3</v>
      </c>
      <c r="U196" t="s">
        <v>3583</v>
      </c>
      <c r="V196" t="s">
        <v>219</v>
      </c>
      <c r="W196">
        <v>2</v>
      </c>
      <c r="Y196">
        <v>17</v>
      </c>
      <c r="Z196">
        <v>93.9</v>
      </c>
      <c r="AA196">
        <v>18</v>
      </c>
      <c r="AB196">
        <v>10</v>
      </c>
      <c r="AC196">
        <v>95.6</v>
      </c>
      <c r="AD196">
        <v>13</v>
      </c>
      <c r="AF196" s="170" t="s">
        <v>219</v>
      </c>
      <c r="AG196" s="171">
        <v>0.2626</v>
      </c>
      <c r="AH196" s="183">
        <v>3.6190000000000002</v>
      </c>
      <c r="AI196" s="183">
        <v>3.4950000000000001</v>
      </c>
      <c r="AJ196" s="191">
        <v>3.327</v>
      </c>
      <c r="AK196" s="188">
        <v>0.157</v>
      </c>
      <c r="AL196" s="185"/>
      <c r="AM196" s="173">
        <v>0.115</v>
      </c>
      <c r="AN196" s="192">
        <v>0.71799999999999997</v>
      </c>
      <c r="AO196" s="174"/>
      <c r="AP196" s="171">
        <v>32821</v>
      </c>
      <c r="AQ196" s="171">
        <v>203367</v>
      </c>
      <c r="AR196" s="175">
        <v>1</v>
      </c>
      <c r="AS196" s="175">
        <v>1</v>
      </c>
      <c r="AT196" s="176" t="s">
        <v>3286</v>
      </c>
      <c r="AU196" s="171"/>
      <c r="AV196" s="171">
        <v>1.7789999999999999</v>
      </c>
      <c r="AW196" s="171">
        <v>1.5558000000000001</v>
      </c>
      <c r="AY196" t="s">
        <v>696</v>
      </c>
      <c r="AZ196" t="s">
        <v>697</v>
      </c>
      <c r="BA196" t="s">
        <v>1777</v>
      </c>
      <c r="BB196" t="s">
        <v>2718</v>
      </c>
    </row>
    <row r="197" spans="1:55" ht="17" thickBot="1">
      <c r="A197" s="178">
        <v>2.2200000000000002</v>
      </c>
      <c r="B197" s="208"/>
      <c r="C197" s="40" t="s">
        <v>217</v>
      </c>
      <c r="D197" s="40" t="s">
        <v>3705</v>
      </c>
      <c r="E197" s="40"/>
      <c r="F197" s="40" t="s">
        <v>1420</v>
      </c>
      <c r="G197" s="40" t="s">
        <v>1767</v>
      </c>
      <c r="H197" s="40" t="s">
        <v>1772</v>
      </c>
      <c r="I197" s="40" t="s">
        <v>2710</v>
      </c>
      <c r="J197" s="40" t="s">
        <v>2433</v>
      </c>
      <c r="K197" s="40" t="s">
        <v>2715</v>
      </c>
      <c r="L197" s="40"/>
      <c r="M197" s="40" t="s">
        <v>3356</v>
      </c>
      <c r="N197" s="40" t="s">
        <v>217</v>
      </c>
      <c r="O197" s="40">
        <v>3</v>
      </c>
      <c r="P197" s="40"/>
      <c r="Q197" s="40" t="s">
        <v>3451</v>
      </c>
      <c r="R197" s="40" t="s">
        <v>217</v>
      </c>
      <c r="S197" s="40">
        <v>3</v>
      </c>
      <c r="T197" s="40"/>
      <c r="U197" s="40" t="s">
        <v>3661</v>
      </c>
      <c r="V197" s="40" t="s">
        <v>217</v>
      </c>
      <c r="W197" s="40">
        <v>1</v>
      </c>
      <c r="X197" s="40"/>
      <c r="Y197" s="40">
        <v>17</v>
      </c>
      <c r="Z197" s="40">
        <v>98.6</v>
      </c>
      <c r="AA197" s="40">
        <v>4</v>
      </c>
      <c r="AB197" s="40">
        <v>12</v>
      </c>
      <c r="AC197" s="40">
        <v>99.3</v>
      </c>
      <c r="AD197" s="40">
        <v>2</v>
      </c>
      <c r="AE197" s="40"/>
      <c r="AF197" s="85" t="s">
        <v>218</v>
      </c>
      <c r="AG197" s="35">
        <v>0.27550000000000002</v>
      </c>
      <c r="AH197" s="102">
        <v>3.5979999999999999</v>
      </c>
      <c r="AI197" s="102">
        <v>3.5819999999999999</v>
      </c>
      <c r="AJ197" s="90">
        <v>0.13700000000000001</v>
      </c>
      <c r="AK197" s="90">
        <v>0.14599999999999999</v>
      </c>
      <c r="AL197" s="37"/>
      <c r="AM197" s="102">
        <v>3.5350000000000001</v>
      </c>
      <c r="AN197" s="110">
        <v>2.35</v>
      </c>
      <c r="AO197" s="37"/>
      <c r="AP197" s="35">
        <v>92000.5</v>
      </c>
      <c r="AQ197" s="35">
        <v>79655</v>
      </c>
      <c r="AR197" s="93">
        <v>1</v>
      </c>
      <c r="AS197" s="93">
        <v>1</v>
      </c>
      <c r="AT197" s="94" t="s">
        <v>3289</v>
      </c>
      <c r="AU197" s="35"/>
      <c r="AV197" s="35">
        <v>1.1386000000000001</v>
      </c>
      <c r="AW197" s="35">
        <v>2.0849000000000002</v>
      </c>
      <c r="AX197" s="40"/>
      <c r="AY197" s="40" t="s">
        <v>1097</v>
      </c>
      <c r="AZ197" s="40" t="s">
        <v>1098</v>
      </c>
      <c r="BA197" s="40" t="s">
        <v>1774</v>
      </c>
      <c r="BB197" s="40" t="s">
        <v>2717</v>
      </c>
      <c r="BC197" s="40"/>
    </row>
    <row r="198" spans="1:55">
      <c r="A198" s="168">
        <v>2.23</v>
      </c>
      <c r="B198" s="206">
        <v>2.23</v>
      </c>
      <c r="C198" s="81" t="s">
        <v>220</v>
      </c>
      <c r="D198" s="81" t="s">
        <v>3694</v>
      </c>
      <c r="E198" s="81"/>
      <c r="F198" s="81" t="s">
        <v>1412</v>
      </c>
      <c r="G198" s="81" t="s">
        <v>1421</v>
      </c>
      <c r="H198" s="81" t="s">
        <v>1778</v>
      </c>
      <c r="I198" s="81" t="s">
        <v>2719</v>
      </c>
      <c r="J198" s="81" t="s">
        <v>2508</v>
      </c>
      <c r="K198" s="81" t="s">
        <v>2720</v>
      </c>
      <c r="L198" s="81"/>
      <c r="M198" s="81" t="s">
        <v>3344</v>
      </c>
      <c r="N198" s="81" t="s">
        <v>220</v>
      </c>
      <c r="O198" s="81">
        <v>3</v>
      </c>
      <c r="P198" s="81"/>
      <c r="Q198" s="81" t="s">
        <v>3434</v>
      </c>
      <c r="R198" s="81" t="s">
        <v>220</v>
      </c>
      <c r="S198" s="81">
        <v>2</v>
      </c>
      <c r="T198" s="81"/>
      <c r="U198" s="81" t="s">
        <v>3591</v>
      </c>
      <c r="V198" s="81" t="s">
        <v>220</v>
      </c>
      <c r="W198" s="81">
        <v>1</v>
      </c>
      <c r="X198" s="81"/>
      <c r="Y198" s="81">
        <v>17</v>
      </c>
      <c r="Z198" s="81">
        <v>92.6</v>
      </c>
      <c r="AA198" s="81">
        <v>22</v>
      </c>
      <c r="AB198" s="81">
        <v>11</v>
      </c>
      <c r="AC198" s="81">
        <v>95.9</v>
      </c>
      <c r="AD198" s="81">
        <v>12</v>
      </c>
      <c r="AE198" s="81"/>
      <c r="AF198" s="83" t="s">
        <v>220</v>
      </c>
      <c r="AG198" s="33">
        <v>2.955E-2</v>
      </c>
      <c r="AH198" s="100">
        <v>3.6179999999999999</v>
      </c>
      <c r="AI198" s="100">
        <v>3.6019999999999999</v>
      </c>
      <c r="AJ198" s="87">
        <v>0.125</v>
      </c>
      <c r="AK198" s="87">
        <v>0.14099999999999999</v>
      </c>
      <c r="AL198" s="34"/>
      <c r="AM198" s="100">
        <v>3.653</v>
      </c>
      <c r="AN198" s="100">
        <v>2.4220000000000002</v>
      </c>
      <c r="AO198" s="34"/>
      <c r="AP198" s="33">
        <v>56963.5</v>
      </c>
      <c r="AQ198" s="33">
        <v>220962</v>
      </c>
      <c r="AR198" s="88">
        <v>1</v>
      </c>
      <c r="AS198" s="88">
        <v>1</v>
      </c>
      <c r="AT198" s="89" t="s">
        <v>3286</v>
      </c>
      <c r="AU198" s="33"/>
      <c r="AV198" s="33">
        <v>0.1037</v>
      </c>
      <c r="AW198" s="33">
        <v>7.6700000000000004E-2</v>
      </c>
      <c r="AX198" s="81"/>
      <c r="AY198" s="81" t="s">
        <v>735</v>
      </c>
      <c r="AZ198" s="81" t="s">
        <v>736</v>
      </c>
      <c r="BA198" s="81" t="s">
        <v>1781</v>
      </c>
      <c r="BB198" s="81" t="s">
        <v>2723</v>
      </c>
      <c r="BC198" s="81"/>
    </row>
    <row r="199" spans="1:55">
      <c r="A199" s="169">
        <v>2.23</v>
      </c>
      <c r="B199" s="207"/>
      <c r="C199" t="s">
        <v>221</v>
      </c>
      <c r="D199" t="s">
        <v>3694</v>
      </c>
      <c r="F199" t="s">
        <v>1412</v>
      </c>
      <c r="G199" t="s">
        <v>1421</v>
      </c>
      <c r="H199" t="s">
        <v>1783</v>
      </c>
      <c r="I199" t="s">
        <v>2719</v>
      </c>
      <c r="J199" t="s">
        <v>2508</v>
      </c>
      <c r="K199" t="s">
        <v>2724</v>
      </c>
      <c r="M199" t="s">
        <v>3344</v>
      </c>
      <c r="N199" t="s">
        <v>221</v>
      </c>
      <c r="O199">
        <v>3</v>
      </c>
      <c r="Q199" t="s">
        <v>3434</v>
      </c>
      <c r="R199" t="s">
        <v>221</v>
      </c>
      <c r="S199">
        <v>2</v>
      </c>
      <c r="U199" t="s">
        <v>3564</v>
      </c>
      <c r="V199" t="s">
        <v>221</v>
      </c>
      <c r="W199">
        <v>1</v>
      </c>
      <c r="Y199">
        <v>17</v>
      </c>
      <c r="Z199">
        <v>95.3</v>
      </c>
      <c r="AA199">
        <v>14</v>
      </c>
      <c r="AB199">
        <v>11</v>
      </c>
      <c r="AC199">
        <v>99.3</v>
      </c>
      <c r="AD199">
        <v>2</v>
      </c>
      <c r="AF199" s="170" t="s">
        <v>221</v>
      </c>
      <c r="AG199" s="171">
        <v>0.35170000000000001</v>
      </c>
      <c r="AH199" s="172">
        <v>3.617</v>
      </c>
      <c r="AI199" s="172">
        <v>3.601</v>
      </c>
      <c r="AJ199" s="173">
        <v>0.13</v>
      </c>
      <c r="AK199" s="173">
        <v>0.13500000000000001</v>
      </c>
      <c r="AL199" s="174"/>
      <c r="AM199" s="172">
        <v>3.532</v>
      </c>
      <c r="AN199" s="177">
        <v>2.2530000000000001</v>
      </c>
      <c r="AO199" s="174"/>
      <c r="AP199" s="171">
        <v>130652</v>
      </c>
      <c r="AQ199" s="171">
        <v>87411</v>
      </c>
      <c r="AR199" s="175">
        <v>1</v>
      </c>
      <c r="AS199" s="175">
        <v>1</v>
      </c>
      <c r="AT199" s="176" t="s">
        <v>3285</v>
      </c>
      <c r="AU199" s="171"/>
      <c r="AV199" s="171">
        <v>2.1095999999999999</v>
      </c>
      <c r="AW199" s="171">
        <v>1.5359</v>
      </c>
      <c r="AY199" t="s">
        <v>629</v>
      </c>
      <c r="AZ199" t="s">
        <v>630</v>
      </c>
      <c r="BA199" t="s">
        <v>1785</v>
      </c>
      <c r="BB199" t="s">
        <v>2727</v>
      </c>
    </row>
    <row r="200" spans="1:55" ht="17" thickBot="1">
      <c r="A200" s="178">
        <v>2.23</v>
      </c>
      <c r="B200" s="208"/>
      <c r="C200" s="40" t="s">
        <v>222</v>
      </c>
      <c r="D200" s="40" t="s">
        <v>3698</v>
      </c>
      <c r="E200" s="40"/>
      <c r="F200" s="40" t="s">
        <v>1412</v>
      </c>
      <c r="G200" s="40" t="s">
        <v>1421</v>
      </c>
      <c r="H200" s="40" t="s">
        <v>1786</v>
      </c>
      <c r="I200" s="40" t="s">
        <v>2719</v>
      </c>
      <c r="J200" s="40" t="s">
        <v>2508</v>
      </c>
      <c r="K200" s="40" t="s">
        <v>2728</v>
      </c>
      <c r="L200" s="40"/>
      <c r="M200" s="40" t="s">
        <v>3344</v>
      </c>
      <c r="N200" s="40" t="s">
        <v>222</v>
      </c>
      <c r="O200" s="40">
        <v>3</v>
      </c>
      <c r="P200" s="40"/>
      <c r="Q200" s="40" t="s">
        <v>3480</v>
      </c>
      <c r="R200" s="40" t="s">
        <v>222</v>
      </c>
      <c r="S200" s="40">
        <v>1</v>
      </c>
      <c r="T200" s="40"/>
      <c r="U200" s="40" t="s">
        <v>3623</v>
      </c>
      <c r="V200" s="40" t="s">
        <v>222</v>
      </c>
      <c r="W200" s="40">
        <v>1</v>
      </c>
      <c r="X200" s="40"/>
      <c r="Y200" s="40">
        <v>17</v>
      </c>
      <c r="Z200" s="40">
        <v>95.9</v>
      </c>
      <c r="AA200" s="40">
        <v>12</v>
      </c>
      <c r="AB200" s="40">
        <v>11</v>
      </c>
      <c r="AC200" s="40">
        <v>97.3</v>
      </c>
      <c r="AD200" s="40">
        <v>8</v>
      </c>
      <c r="AE200" s="40"/>
      <c r="AF200" s="85" t="s">
        <v>222</v>
      </c>
      <c r="AG200" s="35">
        <v>0.5897</v>
      </c>
      <c r="AH200" s="102">
        <v>3.5939999999999999</v>
      </c>
      <c r="AI200" s="102">
        <v>3.61</v>
      </c>
      <c r="AJ200" s="90">
        <v>0.14899999999999999</v>
      </c>
      <c r="AK200" s="90">
        <v>0.158</v>
      </c>
      <c r="AL200" s="37"/>
      <c r="AM200" s="102">
        <v>3.5409999999999999</v>
      </c>
      <c r="AN200" s="110">
        <v>2.282</v>
      </c>
      <c r="AO200" s="37"/>
      <c r="AP200" s="35">
        <v>70553</v>
      </c>
      <c r="AQ200" s="35">
        <v>35224</v>
      </c>
      <c r="AR200" s="93">
        <v>1</v>
      </c>
      <c r="AS200" s="93">
        <v>1</v>
      </c>
      <c r="AT200" s="94" t="s">
        <v>3285</v>
      </c>
      <c r="AU200" s="35"/>
      <c r="AV200" s="35">
        <v>1.2791999999999999</v>
      </c>
      <c r="AW200" s="35">
        <v>2.1011000000000002</v>
      </c>
      <c r="AX200" s="40"/>
      <c r="AY200" s="40" t="s">
        <v>953</v>
      </c>
      <c r="AZ200" s="40" t="s">
        <v>954</v>
      </c>
      <c r="BA200" s="40" t="s">
        <v>1788</v>
      </c>
      <c r="BB200" s="40" t="s">
        <v>2730</v>
      </c>
      <c r="BC200" s="40"/>
    </row>
    <row r="201" spans="1:55">
      <c r="A201" s="169">
        <v>2.2400000000000002</v>
      </c>
      <c r="B201" s="206">
        <v>2.2400000000000002</v>
      </c>
      <c r="C201" t="s">
        <v>223</v>
      </c>
      <c r="D201" t="s">
        <v>3697</v>
      </c>
      <c r="F201" t="s">
        <v>1642</v>
      </c>
      <c r="G201" t="s">
        <v>1413</v>
      </c>
      <c r="H201" t="s">
        <v>1789</v>
      </c>
      <c r="I201" t="s">
        <v>2603</v>
      </c>
      <c r="J201" t="s">
        <v>2452</v>
      </c>
      <c r="K201" t="s">
        <v>2620</v>
      </c>
      <c r="M201" t="s">
        <v>3318</v>
      </c>
      <c r="N201" t="s">
        <v>223</v>
      </c>
      <c r="O201">
        <v>3</v>
      </c>
      <c r="Q201" t="s">
        <v>3398</v>
      </c>
      <c r="R201" t="s">
        <v>223</v>
      </c>
      <c r="S201">
        <v>2</v>
      </c>
      <c r="U201" t="s">
        <v>3521</v>
      </c>
      <c r="V201" t="s">
        <v>223</v>
      </c>
      <c r="W201">
        <v>2</v>
      </c>
      <c r="Y201">
        <v>12</v>
      </c>
      <c r="Z201">
        <v>94.5</v>
      </c>
      <c r="AA201">
        <v>15</v>
      </c>
      <c r="AB201">
        <v>9</v>
      </c>
      <c r="AC201">
        <v>95.5</v>
      </c>
      <c r="AD201">
        <v>12</v>
      </c>
      <c r="AF201" s="170" t="s">
        <v>223</v>
      </c>
      <c r="AG201" s="171">
        <v>0.18990000000000001</v>
      </c>
      <c r="AH201" s="172">
        <v>3.5910000000000002</v>
      </c>
      <c r="AI201" s="173">
        <v>0.13600000000000001</v>
      </c>
      <c r="AJ201" s="173">
        <v>0.129</v>
      </c>
      <c r="AK201" s="173">
        <v>0.14899999999999999</v>
      </c>
      <c r="AL201" s="174"/>
      <c r="AM201" s="172">
        <v>3.5209999999999999</v>
      </c>
      <c r="AN201" s="177">
        <v>2.327</v>
      </c>
      <c r="AO201" s="174"/>
      <c r="AP201" s="171">
        <v>286837.5</v>
      </c>
      <c r="AQ201" s="171">
        <v>174591</v>
      </c>
      <c r="AR201" s="175">
        <v>1</v>
      </c>
      <c r="AS201" s="175">
        <v>1</v>
      </c>
      <c r="AT201" s="176" t="s">
        <v>3285</v>
      </c>
      <c r="AU201" s="171"/>
      <c r="AV201" s="171">
        <v>1.5760000000000001</v>
      </c>
      <c r="AW201" s="171">
        <v>-1.09E-2</v>
      </c>
      <c r="AY201" t="s">
        <v>923</v>
      </c>
      <c r="AZ201" t="s">
        <v>924</v>
      </c>
      <c r="BA201" t="s">
        <v>1792</v>
      </c>
      <c r="BB201" t="s">
        <v>2733</v>
      </c>
    </row>
    <row r="202" spans="1:55">
      <c r="A202" s="169">
        <v>2.2400000000000002</v>
      </c>
      <c r="B202" s="207"/>
      <c r="C202" t="s">
        <v>225</v>
      </c>
      <c r="D202" t="s">
        <v>3697</v>
      </c>
      <c r="F202" t="s">
        <v>1642</v>
      </c>
      <c r="G202" t="s">
        <v>1413</v>
      </c>
      <c r="H202" t="s">
        <v>1796</v>
      </c>
      <c r="I202" t="s">
        <v>2603</v>
      </c>
      <c r="J202" t="s">
        <v>2452</v>
      </c>
      <c r="K202" t="s">
        <v>2737</v>
      </c>
      <c r="M202" t="s">
        <v>3318</v>
      </c>
      <c r="N202" t="s">
        <v>225</v>
      </c>
      <c r="O202">
        <v>3</v>
      </c>
      <c r="Q202" t="s">
        <v>3398</v>
      </c>
      <c r="R202" t="s">
        <v>225</v>
      </c>
      <c r="S202">
        <v>2</v>
      </c>
      <c r="U202" t="s">
        <v>3521</v>
      </c>
      <c r="V202" t="s">
        <v>225</v>
      </c>
      <c r="W202">
        <v>2</v>
      </c>
      <c r="Y202">
        <v>12</v>
      </c>
      <c r="Z202">
        <v>91.1</v>
      </c>
      <c r="AA202">
        <v>26</v>
      </c>
      <c r="AB202">
        <v>9</v>
      </c>
      <c r="AC202">
        <v>96.2</v>
      </c>
      <c r="AD202">
        <v>11</v>
      </c>
      <c r="AF202" s="170" t="s">
        <v>226</v>
      </c>
      <c r="AG202" s="171">
        <v>0.12509999999999999</v>
      </c>
      <c r="AH202" s="172">
        <v>3.6560000000000001</v>
      </c>
      <c r="AI202" s="173">
        <v>0.186</v>
      </c>
      <c r="AJ202" s="173">
        <v>0.14099999999999999</v>
      </c>
      <c r="AK202" s="173">
        <v>0.16600000000000001</v>
      </c>
      <c r="AL202" s="174"/>
      <c r="AM202" s="172">
        <v>3.5489999999999999</v>
      </c>
      <c r="AN202" s="172">
        <v>2.5720000000000001</v>
      </c>
      <c r="AO202" s="174"/>
      <c r="AP202" s="171">
        <v>360121</v>
      </c>
      <c r="AQ202" s="171">
        <v>280987</v>
      </c>
      <c r="AR202" s="175">
        <v>1</v>
      </c>
      <c r="AS202" s="175">
        <v>1</v>
      </c>
      <c r="AT202" s="176" t="s">
        <v>3285</v>
      </c>
      <c r="AU202" s="171"/>
      <c r="AV202" s="171">
        <v>2.3614000000000002</v>
      </c>
      <c r="AW202" s="171">
        <v>2.3043999999999998</v>
      </c>
      <c r="AY202" t="s">
        <v>1039</v>
      </c>
      <c r="AZ202" t="s">
        <v>1040</v>
      </c>
      <c r="BA202" t="s">
        <v>1798</v>
      </c>
      <c r="BB202" t="s">
        <v>2739</v>
      </c>
    </row>
    <row r="203" spans="1:55" ht="17" thickBot="1">
      <c r="A203" s="169">
        <v>2.2400000000000002</v>
      </c>
      <c r="B203" s="208"/>
      <c r="C203" t="s">
        <v>224</v>
      </c>
      <c r="D203" t="s">
        <v>3694</v>
      </c>
      <c r="F203" t="s">
        <v>1642</v>
      </c>
      <c r="G203" t="s">
        <v>1413</v>
      </c>
      <c r="H203" t="s">
        <v>1793</v>
      </c>
      <c r="I203" t="s">
        <v>2603</v>
      </c>
      <c r="J203" t="s">
        <v>2452</v>
      </c>
      <c r="K203" t="s">
        <v>2734</v>
      </c>
      <c r="M203" t="s">
        <v>3318</v>
      </c>
      <c r="N203" t="s">
        <v>224</v>
      </c>
      <c r="O203">
        <v>3</v>
      </c>
      <c r="Q203" t="s">
        <v>3432</v>
      </c>
      <c r="R203" t="s">
        <v>224</v>
      </c>
      <c r="S203">
        <v>1</v>
      </c>
      <c r="U203" t="s">
        <v>3562</v>
      </c>
      <c r="V203" t="s">
        <v>224</v>
      </c>
      <c r="W203">
        <v>1</v>
      </c>
      <c r="Y203">
        <v>12</v>
      </c>
      <c r="Z203">
        <v>96.6</v>
      </c>
      <c r="AA203">
        <v>10</v>
      </c>
      <c r="AB203">
        <v>9</v>
      </c>
      <c r="AC203">
        <v>95.8</v>
      </c>
      <c r="AD203">
        <v>12</v>
      </c>
      <c r="AF203" s="170" t="s">
        <v>224</v>
      </c>
      <c r="AG203" s="171">
        <v>0.22850000000000001</v>
      </c>
      <c r="AH203" s="183">
        <v>3.6280000000000001</v>
      </c>
      <c r="AI203" s="188">
        <v>0.16900000000000001</v>
      </c>
      <c r="AJ203" s="188">
        <v>0.13700000000000001</v>
      </c>
      <c r="AK203" s="188">
        <v>0.14399999999999999</v>
      </c>
      <c r="AL203" s="185"/>
      <c r="AM203" s="172">
        <v>3.55</v>
      </c>
      <c r="AN203" s="177">
        <v>2.5209999999999999</v>
      </c>
      <c r="AO203" s="174"/>
      <c r="AP203" s="171">
        <v>183091</v>
      </c>
      <c r="AQ203" s="171">
        <v>171804</v>
      </c>
      <c r="AR203" s="175">
        <v>1</v>
      </c>
      <c r="AS203" s="175">
        <v>1</v>
      </c>
      <c r="AT203" s="176" t="s">
        <v>3289</v>
      </c>
      <c r="AU203" s="171"/>
      <c r="AV203" s="171">
        <v>2.1387</v>
      </c>
      <c r="AW203" s="171">
        <v>1.3824000000000001</v>
      </c>
      <c r="AY203" t="s">
        <v>623</v>
      </c>
      <c r="AZ203" t="s">
        <v>624</v>
      </c>
      <c r="BA203" t="s">
        <v>1795</v>
      </c>
      <c r="BB203" t="s">
        <v>2736</v>
      </c>
    </row>
    <row r="204" spans="1:55">
      <c r="A204" s="168">
        <v>2.25</v>
      </c>
      <c r="B204" s="206">
        <v>2.25</v>
      </c>
      <c r="C204" s="81" t="s">
        <v>8</v>
      </c>
      <c r="D204" s="81" t="s">
        <v>3694</v>
      </c>
      <c r="E204" s="81"/>
      <c r="F204" s="81" t="s">
        <v>1452</v>
      </c>
      <c r="G204" s="81" t="s">
        <v>1413</v>
      </c>
      <c r="H204" s="81" t="s">
        <v>2287</v>
      </c>
      <c r="I204" s="81" t="s">
        <v>2479</v>
      </c>
      <c r="J204" s="81" t="s">
        <v>2480</v>
      </c>
      <c r="K204" s="81" t="s">
        <v>3168</v>
      </c>
      <c r="L204" s="81"/>
      <c r="M204" s="81" t="s">
        <v>3342</v>
      </c>
      <c r="N204" s="81" t="s">
        <v>8</v>
      </c>
      <c r="O204" s="81">
        <v>3</v>
      </c>
      <c r="P204" s="81"/>
      <c r="Q204" s="81" t="s">
        <v>3431</v>
      </c>
      <c r="R204" s="81" t="s">
        <v>8</v>
      </c>
      <c r="S204" s="81">
        <v>3</v>
      </c>
      <c r="T204" s="81"/>
      <c r="U204" s="81" t="s">
        <v>3560</v>
      </c>
      <c r="V204" s="81" t="s">
        <v>8</v>
      </c>
      <c r="W204" s="81">
        <v>3</v>
      </c>
      <c r="X204" s="81"/>
      <c r="Y204" s="81">
        <v>15</v>
      </c>
      <c r="Z204" s="81">
        <v>97.6</v>
      </c>
      <c r="AA204" s="81">
        <v>7</v>
      </c>
      <c r="AB204" s="81">
        <v>11</v>
      </c>
      <c r="AC204" s="81">
        <v>99.3</v>
      </c>
      <c r="AD204" s="81">
        <v>2</v>
      </c>
      <c r="AE204" s="81"/>
      <c r="AF204" s="83" t="s">
        <v>146</v>
      </c>
      <c r="AG204" s="33">
        <v>0.34770000000000001</v>
      </c>
      <c r="AH204" s="100">
        <v>3.665</v>
      </c>
      <c r="AI204" s="100">
        <v>3.6589999999999998</v>
      </c>
      <c r="AJ204" s="100">
        <v>3.6560000000000001</v>
      </c>
      <c r="AK204" s="87">
        <v>0.16200000000000001</v>
      </c>
      <c r="AL204" s="34"/>
      <c r="AM204" s="100">
        <v>3.5910000000000002</v>
      </c>
      <c r="AN204" s="114">
        <v>2.2109999999999999</v>
      </c>
      <c r="AO204" s="34"/>
      <c r="AP204" s="33">
        <v>8300</v>
      </c>
      <c r="AQ204" s="33">
        <v>90925</v>
      </c>
      <c r="AR204" s="88">
        <v>1</v>
      </c>
      <c r="AS204" s="88">
        <v>1</v>
      </c>
      <c r="AT204" s="89" t="s">
        <v>3286</v>
      </c>
      <c r="AU204" s="33"/>
      <c r="AV204" s="33">
        <v>-0.11269999999999999</v>
      </c>
      <c r="AW204" s="33">
        <v>-6.7599999999999993E-2</v>
      </c>
      <c r="AX204" s="81"/>
      <c r="AY204" s="81" t="s">
        <v>616</v>
      </c>
      <c r="AZ204" s="81" t="s">
        <v>617</v>
      </c>
      <c r="BA204" s="81" t="s">
        <v>2289</v>
      </c>
      <c r="BB204" s="81" t="s">
        <v>3170</v>
      </c>
      <c r="BC204" s="81"/>
    </row>
    <row r="205" spans="1:55">
      <c r="A205" s="169">
        <v>2.25</v>
      </c>
      <c r="B205" s="207"/>
      <c r="C205" t="s">
        <v>10</v>
      </c>
      <c r="D205" t="s">
        <v>3694</v>
      </c>
      <c r="F205" t="s">
        <v>1452</v>
      </c>
      <c r="G205" t="s">
        <v>1413</v>
      </c>
      <c r="H205" t="s">
        <v>2319</v>
      </c>
      <c r="I205" t="s">
        <v>2479</v>
      </c>
      <c r="J205" t="s">
        <v>2480</v>
      </c>
      <c r="K205" t="s">
        <v>3202</v>
      </c>
      <c r="M205" t="s">
        <v>3342</v>
      </c>
      <c r="N205" t="s">
        <v>10</v>
      </c>
      <c r="O205">
        <v>3</v>
      </c>
      <c r="Q205" t="s">
        <v>3431</v>
      </c>
      <c r="R205" t="s">
        <v>10</v>
      </c>
      <c r="S205">
        <v>3</v>
      </c>
      <c r="U205" t="s">
        <v>3560</v>
      </c>
      <c r="V205" t="s">
        <v>10</v>
      </c>
      <c r="W205">
        <v>3</v>
      </c>
      <c r="Y205">
        <v>15</v>
      </c>
      <c r="Z205">
        <v>95.3</v>
      </c>
      <c r="AA205">
        <v>14</v>
      </c>
      <c r="AB205">
        <v>11</v>
      </c>
      <c r="AC205">
        <v>97.6</v>
      </c>
      <c r="AD205">
        <v>7</v>
      </c>
      <c r="AF205" s="170" t="s">
        <v>10</v>
      </c>
      <c r="AG205" s="171">
        <v>0.45429999999999998</v>
      </c>
      <c r="AH205" s="172">
        <v>3.6640000000000001</v>
      </c>
      <c r="AI205" s="173">
        <v>0.28000000000000003</v>
      </c>
      <c r="AJ205" s="172">
        <v>3.6480000000000001</v>
      </c>
      <c r="AK205" s="173">
        <v>0.248</v>
      </c>
      <c r="AL205" s="174"/>
      <c r="AM205" s="172">
        <v>3.6219999999999999</v>
      </c>
      <c r="AN205" s="172">
        <v>2.4340000000000002</v>
      </c>
      <c r="AO205" s="174"/>
      <c r="AP205" s="171">
        <v>41000</v>
      </c>
      <c r="AQ205" s="171">
        <v>2037</v>
      </c>
      <c r="AR205" s="175">
        <v>1</v>
      </c>
      <c r="AS205" s="175">
        <v>0</v>
      </c>
      <c r="AT205" s="176" t="s">
        <v>3285</v>
      </c>
      <c r="AU205" s="171"/>
      <c r="AV205" s="171">
        <v>-0.1241</v>
      </c>
      <c r="AW205" s="171">
        <v>-8.1100000000000005E-2</v>
      </c>
      <c r="AY205" t="s">
        <v>619</v>
      </c>
      <c r="AZ205" t="s">
        <v>620</v>
      </c>
      <c r="BA205" t="s">
        <v>2321</v>
      </c>
      <c r="BB205" t="s">
        <v>3204</v>
      </c>
    </row>
    <row r="206" spans="1:55" ht="17" thickBot="1">
      <c r="A206" s="178">
        <v>2.25</v>
      </c>
      <c r="B206" s="208"/>
      <c r="C206" s="40" t="s">
        <v>11</v>
      </c>
      <c r="D206" s="40" t="s">
        <v>3706</v>
      </c>
      <c r="E206" s="40"/>
      <c r="F206" s="40" t="s">
        <v>1452</v>
      </c>
      <c r="G206" s="40" t="s">
        <v>1413</v>
      </c>
      <c r="H206" s="40" t="s">
        <v>2358</v>
      </c>
      <c r="I206" s="40" t="s">
        <v>2479</v>
      </c>
      <c r="J206" s="40" t="s">
        <v>2480</v>
      </c>
      <c r="K206" s="40" t="s">
        <v>2827</v>
      </c>
      <c r="L206" s="40"/>
      <c r="M206" s="40" t="s">
        <v>3342</v>
      </c>
      <c r="N206" s="40" t="s">
        <v>11</v>
      </c>
      <c r="O206" s="40">
        <v>3</v>
      </c>
      <c r="P206" s="40"/>
      <c r="Q206" s="40" t="s">
        <v>3431</v>
      </c>
      <c r="R206" s="40" t="s">
        <v>11</v>
      </c>
      <c r="S206" s="40">
        <v>3</v>
      </c>
      <c r="T206" s="40"/>
      <c r="U206" s="40" t="s">
        <v>3560</v>
      </c>
      <c r="V206" s="40" t="s">
        <v>11</v>
      </c>
      <c r="W206" s="40">
        <v>3</v>
      </c>
      <c r="X206" s="40"/>
      <c r="Y206" s="40">
        <v>15</v>
      </c>
      <c r="Z206" s="40">
        <v>97.3</v>
      </c>
      <c r="AA206" s="40">
        <v>8</v>
      </c>
      <c r="AB206" s="40">
        <v>11</v>
      </c>
      <c r="AC206" s="40">
        <v>99.3</v>
      </c>
      <c r="AD206" s="40">
        <v>2</v>
      </c>
      <c r="AE206" s="40"/>
      <c r="AF206" s="85" t="s">
        <v>12</v>
      </c>
      <c r="AG206" s="35">
        <v>0.43969999999999998</v>
      </c>
      <c r="AH206" s="102">
        <v>3.6360000000000001</v>
      </c>
      <c r="AI206" s="90">
        <v>0.17299999999999999</v>
      </c>
      <c r="AJ206" s="102">
        <v>3.653</v>
      </c>
      <c r="AK206" s="90">
        <v>0.16800000000000001</v>
      </c>
      <c r="AL206" s="37"/>
      <c r="AM206" s="102">
        <v>3.6110000000000002</v>
      </c>
      <c r="AN206" s="110">
        <v>2.2879999999999998</v>
      </c>
      <c r="AO206" s="37"/>
      <c r="AP206" s="35">
        <v>22373</v>
      </c>
      <c r="AQ206" s="35">
        <v>1892</v>
      </c>
      <c r="AR206" s="93">
        <v>1</v>
      </c>
      <c r="AS206" s="93">
        <v>0</v>
      </c>
      <c r="AT206" s="94" t="s">
        <v>3285</v>
      </c>
      <c r="AU206" s="35"/>
      <c r="AV206" s="35">
        <v>-0.1017</v>
      </c>
      <c r="AW206" s="35">
        <v>-7.4300000000000005E-2</v>
      </c>
      <c r="AX206" s="40"/>
      <c r="AY206" s="40" t="s">
        <v>1101</v>
      </c>
      <c r="AZ206" s="40" t="s">
        <v>1102</v>
      </c>
      <c r="BA206" s="40" t="s">
        <v>2360</v>
      </c>
      <c r="BB206" s="40" t="s">
        <v>3238</v>
      </c>
      <c r="BC206" s="40"/>
    </row>
    <row r="207" spans="1:55">
      <c r="A207" s="169">
        <v>2.2599999999999998</v>
      </c>
      <c r="B207" s="206">
        <v>2.2599999999999998</v>
      </c>
      <c r="C207" t="s">
        <v>119</v>
      </c>
      <c r="D207" t="s">
        <v>3699</v>
      </c>
      <c r="F207" t="s">
        <v>1481</v>
      </c>
      <c r="G207" t="s">
        <v>1413</v>
      </c>
      <c r="H207" t="s">
        <v>1482</v>
      </c>
      <c r="I207" t="s">
        <v>2451</v>
      </c>
      <c r="J207" t="s">
        <v>2460</v>
      </c>
      <c r="K207" t="s">
        <v>2461</v>
      </c>
      <c r="M207" t="s">
        <v>3302</v>
      </c>
      <c r="N207" t="s">
        <v>119</v>
      </c>
      <c r="O207">
        <v>3</v>
      </c>
      <c r="Q207" t="s">
        <v>3382</v>
      </c>
      <c r="R207" t="s">
        <v>119</v>
      </c>
      <c r="S207">
        <v>3</v>
      </c>
      <c r="U207" t="s">
        <v>3506</v>
      </c>
      <c r="V207" t="s">
        <v>119</v>
      </c>
      <c r="W207">
        <v>2</v>
      </c>
      <c r="Y207">
        <v>17</v>
      </c>
      <c r="Z207">
        <v>99.3</v>
      </c>
      <c r="AA207">
        <v>2</v>
      </c>
      <c r="AB207">
        <v>10</v>
      </c>
      <c r="AC207">
        <v>99.6</v>
      </c>
      <c r="AD207">
        <v>1</v>
      </c>
      <c r="AF207" s="170" t="s">
        <v>119</v>
      </c>
      <c r="AG207" s="171">
        <v>0.24429999999999999</v>
      </c>
      <c r="AH207" s="172">
        <v>3.536</v>
      </c>
      <c r="AI207" s="173">
        <v>0.13300000000000001</v>
      </c>
      <c r="AJ207" s="182">
        <v>0.52600000000000002</v>
      </c>
      <c r="AK207" s="173">
        <v>0.14299999999999999</v>
      </c>
      <c r="AL207" s="174"/>
      <c r="AM207" s="172">
        <v>3.6749999999999998</v>
      </c>
      <c r="AN207" s="186">
        <v>2.1720000000000002</v>
      </c>
      <c r="AO207" s="174"/>
      <c r="AP207" s="171">
        <v>42466</v>
      </c>
      <c r="AQ207" s="171">
        <v>61687.5</v>
      </c>
      <c r="AR207" s="175">
        <v>1</v>
      </c>
      <c r="AS207" s="175">
        <v>1</v>
      </c>
      <c r="AT207" s="176" t="s">
        <v>3286</v>
      </c>
      <c r="AU207" s="171"/>
      <c r="AV207" s="171">
        <v>9.1499999999999998E-2</v>
      </c>
      <c r="AW207" s="171">
        <v>3.9199999999999999E-2</v>
      </c>
      <c r="AY207" t="s">
        <v>887</v>
      </c>
      <c r="AZ207" t="s">
        <v>888</v>
      </c>
      <c r="BA207" t="s">
        <v>1485</v>
      </c>
      <c r="BB207" t="s">
        <v>2464</v>
      </c>
    </row>
    <row r="208" spans="1:55">
      <c r="A208" s="169">
        <v>2.2599999999999998</v>
      </c>
      <c r="B208" s="207"/>
      <c r="C208" t="s">
        <v>120</v>
      </c>
      <c r="D208" t="s">
        <v>3697</v>
      </c>
      <c r="F208" t="s">
        <v>1481</v>
      </c>
      <c r="G208" t="s">
        <v>1413</v>
      </c>
      <c r="H208" t="s">
        <v>1486</v>
      </c>
      <c r="I208" t="s">
        <v>2451</v>
      </c>
      <c r="J208" t="s">
        <v>2460</v>
      </c>
      <c r="K208" t="s">
        <v>2461</v>
      </c>
      <c r="M208" t="s">
        <v>3302</v>
      </c>
      <c r="N208" t="s">
        <v>120</v>
      </c>
      <c r="O208">
        <v>3</v>
      </c>
      <c r="Q208" t="s">
        <v>3382</v>
      </c>
      <c r="R208" t="s">
        <v>120</v>
      </c>
      <c r="S208">
        <v>3</v>
      </c>
      <c r="U208" t="s">
        <v>3506</v>
      </c>
      <c r="V208" t="s">
        <v>120</v>
      </c>
      <c r="W208">
        <v>2</v>
      </c>
      <c r="Y208">
        <v>17</v>
      </c>
      <c r="Z208">
        <v>98.2</v>
      </c>
      <c r="AA208">
        <v>5</v>
      </c>
      <c r="AB208">
        <v>10</v>
      </c>
      <c r="AC208">
        <v>98.5</v>
      </c>
      <c r="AD208">
        <v>4</v>
      </c>
      <c r="AF208" s="170" t="s">
        <v>120</v>
      </c>
      <c r="AG208" s="171">
        <v>0.2142</v>
      </c>
      <c r="AH208" s="172">
        <v>3.6219999999999999</v>
      </c>
      <c r="AI208" s="173">
        <v>0.13300000000000001</v>
      </c>
      <c r="AJ208" s="182">
        <v>0.55500000000000005</v>
      </c>
      <c r="AK208" s="173">
        <v>0.13100000000000001</v>
      </c>
      <c r="AL208" s="174"/>
      <c r="AM208" s="172">
        <v>3.5259999999999998</v>
      </c>
      <c r="AN208" s="177">
        <v>2.282</v>
      </c>
      <c r="AO208" s="174"/>
      <c r="AP208" s="171">
        <v>61154.5</v>
      </c>
      <c r="AQ208" s="171">
        <v>64799</v>
      </c>
      <c r="AR208" s="175">
        <v>1</v>
      </c>
      <c r="AS208" s="175">
        <v>1</v>
      </c>
      <c r="AT208" s="176" t="s">
        <v>3289</v>
      </c>
      <c r="AU208" s="171"/>
      <c r="AV208" s="171">
        <v>6.7900000000000002E-2</v>
      </c>
      <c r="AW208" s="171">
        <v>3.9600000000000003E-2</v>
      </c>
      <c r="AY208" t="s">
        <v>925</v>
      </c>
      <c r="AZ208" t="s">
        <v>926</v>
      </c>
      <c r="BA208" t="s">
        <v>1489</v>
      </c>
      <c r="BB208" t="s">
        <v>2466</v>
      </c>
    </row>
    <row r="209" spans="1:55" ht="17" thickBot="1">
      <c r="A209" s="169">
        <v>2.2599999999999998</v>
      </c>
      <c r="B209" s="208"/>
      <c r="C209" t="s">
        <v>121</v>
      </c>
      <c r="D209" t="s">
        <v>3697</v>
      </c>
      <c r="F209" t="s">
        <v>1481</v>
      </c>
      <c r="G209" t="s">
        <v>1413</v>
      </c>
      <c r="H209" t="s">
        <v>1490</v>
      </c>
      <c r="I209" t="s">
        <v>2451</v>
      </c>
      <c r="J209" t="s">
        <v>2460</v>
      </c>
      <c r="K209" t="s">
        <v>2461</v>
      </c>
      <c r="M209" t="s">
        <v>3302</v>
      </c>
      <c r="N209" t="s">
        <v>121</v>
      </c>
      <c r="O209">
        <v>3</v>
      </c>
      <c r="Q209" t="s">
        <v>3382</v>
      </c>
      <c r="R209" t="s">
        <v>121</v>
      </c>
      <c r="S209">
        <v>3</v>
      </c>
      <c r="U209" t="s">
        <v>3522</v>
      </c>
      <c r="V209" t="s">
        <v>121</v>
      </c>
      <c r="W209">
        <v>1</v>
      </c>
      <c r="Y209">
        <v>17</v>
      </c>
      <c r="Z209">
        <v>99.3</v>
      </c>
      <c r="AA209">
        <v>2</v>
      </c>
      <c r="AB209">
        <v>10</v>
      </c>
      <c r="AC209">
        <v>98.5</v>
      </c>
      <c r="AD209">
        <v>4</v>
      </c>
      <c r="AF209" s="170" t="s">
        <v>121</v>
      </c>
      <c r="AG209" s="171">
        <v>0.42670000000000002</v>
      </c>
      <c r="AH209" s="179">
        <v>2.4950000000000001</v>
      </c>
      <c r="AI209" s="173">
        <v>0.14599999999999999</v>
      </c>
      <c r="AJ209" s="173">
        <v>0.13400000000000001</v>
      </c>
      <c r="AK209" s="173">
        <v>0.14599999999999999</v>
      </c>
      <c r="AL209" s="174"/>
      <c r="AM209" s="172">
        <v>3.52</v>
      </c>
      <c r="AN209" s="186">
        <v>2.0529999999999999</v>
      </c>
      <c r="AO209" s="174"/>
      <c r="AP209" s="171">
        <v>50443.5</v>
      </c>
      <c r="AQ209" s="171">
        <v>30352</v>
      </c>
      <c r="AR209" s="175">
        <v>1</v>
      </c>
      <c r="AS209" s="175">
        <v>1</v>
      </c>
      <c r="AT209" s="176" t="s">
        <v>3285</v>
      </c>
      <c r="AU209" s="171"/>
      <c r="AV209" s="171">
        <v>0.1055</v>
      </c>
      <c r="AW209" s="171">
        <v>1.6299999999999999E-2</v>
      </c>
      <c r="AY209" t="s">
        <v>927</v>
      </c>
      <c r="AZ209" t="s">
        <v>928</v>
      </c>
      <c r="BA209" t="s">
        <v>1493</v>
      </c>
      <c r="BB209" t="s">
        <v>2469</v>
      </c>
    </row>
    <row r="210" spans="1:55">
      <c r="A210" s="168">
        <v>2.27</v>
      </c>
      <c r="B210" s="206">
        <v>2.27</v>
      </c>
      <c r="C210" s="81" t="s">
        <v>230</v>
      </c>
      <c r="D210" s="81" t="s">
        <v>3697</v>
      </c>
      <c r="E210" s="81"/>
      <c r="F210" s="81" t="s">
        <v>1502</v>
      </c>
      <c r="G210" s="81" t="s">
        <v>1428</v>
      </c>
      <c r="H210" s="81" t="s">
        <v>1809</v>
      </c>
      <c r="I210" s="81" t="s">
        <v>2695</v>
      </c>
      <c r="J210" s="81" t="s">
        <v>2452</v>
      </c>
      <c r="K210" s="81" t="s">
        <v>2749</v>
      </c>
      <c r="L210" s="81"/>
      <c r="M210" s="81" t="s">
        <v>3313</v>
      </c>
      <c r="N210" s="81" t="s">
        <v>230</v>
      </c>
      <c r="O210" s="81">
        <v>3</v>
      </c>
      <c r="P210" s="81"/>
      <c r="Q210" s="81" t="s">
        <v>3393</v>
      </c>
      <c r="R210" s="81" t="s">
        <v>230</v>
      </c>
      <c r="S210" s="81">
        <v>2</v>
      </c>
      <c r="T210" s="81"/>
      <c r="U210" s="81" t="s">
        <v>3517</v>
      </c>
      <c r="V210" s="81" t="s">
        <v>230</v>
      </c>
      <c r="W210" s="81">
        <v>1</v>
      </c>
      <c r="X210" s="81"/>
      <c r="Y210" s="81">
        <v>17</v>
      </c>
      <c r="Z210" s="81">
        <v>97.5</v>
      </c>
      <c r="AA210" s="81">
        <v>7</v>
      </c>
      <c r="AB210" s="81">
        <v>9</v>
      </c>
      <c r="AC210" s="81">
        <v>98.9</v>
      </c>
      <c r="AD210" s="81">
        <v>3</v>
      </c>
      <c r="AE210" s="81"/>
      <c r="AF210" s="83" t="s">
        <v>230</v>
      </c>
      <c r="AG210" s="33">
        <v>0.17899999999999999</v>
      </c>
      <c r="AH210" s="100">
        <v>3.476</v>
      </c>
      <c r="AI210" s="100">
        <v>3.5179999999999998</v>
      </c>
      <c r="AJ210" s="87">
        <v>0.217</v>
      </c>
      <c r="AK210" s="87">
        <v>0.13400000000000001</v>
      </c>
      <c r="AL210" s="34"/>
      <c r="AM210" s="100">
        <v>3.5049999999999999</v>
      </c>
      <c r="AN210" s="115">
        <v>1.7430000000000001</v>
      </c>
      <c r="AO210" s="34"/>
      <c r="AP210" s="33">
        <v>23551.5</v>
      </c>
      <c r="AQ210" s="33">
        <v>49976.5</v>
      </c>
      <c r="AR210" s="88">
        <v>1</v>
      </c>
      <c r="AS210" s="88">
        <v>1</v>
      </c>
      <c r="AT210" s="89" t="s">
        <v>3286</v>
      </c>
      <c r="AU210" s="33"/>
      <c r="AV210" s="33">
        <v>2.0999999999999999E-3</v>
      </c>
      <c r="AW210" s="33">
        <v>-1.11E-2</v>
      </c>
      <c r="AX210" s="81"/>
      <c r="AY210" s="81" t="s">
        <v>911</v>
      </c>
      <c r="AZ210" s="81" t="s">
        <v>912</v>
      </c>
      <c r="BA210" s="81" t="s">
        <v>1812</v>
      </c>
      <c r="BB210" s="81" t="s">
        <v>2752</v>
      </c>
      <c r="BC210" s="81"/>
    </row>
    <row r="211" spans="1:55">
      <c r="A211" s="169">
        <v>2.27</v>
      </c>
      <c r="B211" s="207"/>
      <c r="C211" t="s">
        <v>232</v>
      </c>
      <c r="D211" t="s">
        <v>3697</v>
      </c>
      <c r="F211" t="s">
        <v>1502</v>
      </c>
      <c r="G211" t="s">
        <v>1428</v>
      </c>
      <c r="H211" t="s">
        <v>1819</v>
      </c>
      <c r="I211" t="s">
        <v>2695</v>
      </c>
      <c r="J211" t="s">
        <v>2452</v>
      </c>
      <c r="K211" t="s">
        <v>2749</v>
      </c>
      <c r="M211" t="s">
        <v>3313</v>
      </c>
      <c r="N211" t="s">
        <v>232</v>
      </c>
      <c r="O211">
        <v>3</v>
      </c>
      <c r="Q211" t="s">
        <v>3393</v>
      </c>
      <c r="R211" t="s">
        <v>232</v>
      </c>
      <c r="S211">
        <v>2</v>
      </c>
      <c r="U211" t="s">
        <v>3632</v>
      </c>
      <c r="V211" t="s">
        <v>232</v>
      </c>
      <c r="W211">
        <v>1</v>
      </c>
      <c r="Y211">
        <v>17</v>
      </c>
      <c r="Z211">
        <v>97.5</v>
      </c>
      <c r="AA211">
        <v>7</v>
      </c>
      <c r="AB211">
        <v>9</v>
      </c>
      <c r="AC211">
        <v>98.9</v>
      </c>
      <c r="AD211">
        <v>3</v>
      </c>
      <c r="AF211" s="198" t="s">
        <v>233</v>
      </c>
      <c r="AG211" s="199">
        <v>9.3270000000000002E-3</v>
      </c>
      <c r="AH211" s="200">
        <v>0.109</v>
      </c>
      <c r="AI211" s="200">
        <v>0.106</v>
      </c>
      <c r="AJ211" s="200">
        <v>0.10199999999999999</v>
      </c>
      <c r="AK211" s="200">
        <v>0.105</v>
      </c>
      <c r="AL211" s="174"/>
      <c r="AM211" s="200">
        <v>0.11799999999999999</v>
      </c>
      <c r="AN211" s="200">
        <v>9.5000000000000001E-2</v>
      </c>
      <c r="AO211" s="174"/>
      <c r="AP211">
        <v>1735</v>
      </c>
      <c r="AQ211">
        <v>1367</v>
      </c>
      <c r="AR211" s="201">
        <f>IF(AP211&gt;$AP$53,1,0)</f>
        <v>0</v>
      </c>
      <c r="AS211" s="201">
        <f>IF(AQ211&gt;$AP$53,1,0)</f>
        <v>0</v>
      </c>
      <c r="AT211" s="45" t="str">
        <f>IF((AP211/AQ211)&gt;1.2,"Intact",IF((AP211/AQ211)&lt;0.8,"Cleaved","Non-cryptic"))</f>
        <v>Intact</v>
      </c>
      <c r="AV211">
        <v>-0.1249</v>
      </c>
      <c r="AW211">
        <v>-4.8300000000000003E-2</v>
      </c>
      <c r="AY211" t="s">
        <v>1026</v>
      </c>
      <c r="AZ211" t="s">
        <v>1027</v>
      </c>
      <c r="BA211" t="s">
        <v>1821</v>
      </c>
      <c r="BB211" t="s">
        <v>2756</v>
      </c>
    </row>
    <row r="212" spans="1:55" ht="17" thickBot="1">
      <c r="A212" s="178">
        <v>2.27</v>
      </c>
      <c r="B212" s="208"/>
      <c r="C212" s="40" t="s">
        <v>231</v>
      </c>
      <c r="D212" s="40" t="s">
        <v>3694</v>
      </c>
      <c r="E212" s="40"/>
      <c r="F212" s="40" t="s">
        <v>1502</v>
      </c>
      <c r="G212" s="40" t="s">
        <v>1428</v>
      </c>
      <c r="H212" s="40" t="s">
        <v>1813</v>
      </c>
      <c r="I212" s="40" t="s">
        <v>2695</v>
      </c>
      <c r="J212" s="40" t="s">
        <v>2452</v>
      </c>
      <c r="K212" s="40" t="s">
        <v>2749</v>
      </c>
      <c r="L212" s="40"/>
      <c r="M212" s="40" t="s">
        <v>3313</v>
      </c>
      <c r="N212" s="40" t="s">
        <v>231</v>
      </c>
      <c r="O212" s="40">
        <v>3</v>
      </c>
      <c r="P212" s="40"/>
      <c r="Q212" s="40" t="s">
        <v>3449</v>
      </c>
      <c r="R212" s="40" t="s">
        <v>231</v>
      </c>
      <c r="S212" s="40">
        <v>1</v>
      </c>
      <c r="T212" s="40"/>
      <c r="U212" s="40" t="s">
        <v>3581</v>
      </c>
      <c r="V212" s="40" t="s">
        <v>231</v>
      </c>
      <c r="W212" s="40">
        <v>1</v>
      </c>
      <c r="X212" s="40"/>
      <c r="Y212" s="40">
        <v>17</v>
      </c>
      <c r="Z212" s="40">
        <v>95.9</v>
      </c>
      <c r="AA212" s="40">
        <v>12</v>
      </c>
      <c r="AB212" s="40">
        <v>9</v>
      </c>
      <c r="AC212" s="40">
        <v>96.1</v>
      </c>
      <c r="AD212" s="40">
        <v>11</v>
      </c>
      <c r="AE212" s="40"/>
      <c r="AF212" s="85" t="s">
        <v>231</v>
      </c>
      <c r="AG212" s="35">
        <v>0.30869999999999997</v>
      </c>
      <c r="AH212" s="108">
        <v>3.6030000000000002</v>
      </c>
      <c r="AI212" s="118">
        <v>3.278</v>
      </c>
      <c r="AJ212" s="118">
        <v>3.4729999999999999</v>
      </c>
      <c r="AK212" s="109">
        <v>0.159</v>
      </c>
      <c r="AL212" s="36"/>
      <c r="AM212" s="102">
        <v>3.512</v>
      </c>
      <c r="AN212" s="110">
        <v>2.4620000000000002</v>
      </c>
      <c r="AO212" s="37"/>
      <c r="AP212" s="35">
        <v>8670</v>
      </c>
      <c r="AQ212" s="35">
        <v>47320</v>
      </c>
      <c r="AR212" s="93">
        <v>1</v>
      </c>
      <c r="AS212" s="93">
        <v>1</v>
      </c>
      <c r="AT212" s="94" t="s">
        <v>3286</v>
      </c>
      <c r="AU212" s="35"/>
      <c r="AV212" s="35">
        <v>-9.3299999999999994E-2</v>
      </c>
      <c r="AW212" s="35">
        <v>-7.5200000000000003E-2</v>
      </c>
      <c r="AX212" s="40"/>
      <c r="AY212" s="40" t="s">
        <v>690</v>
      </c>
      <c r="AZ212" s="40" t="s">
        <v>691</v>
      </c>
      <c r="BA212" s="40" t="s">
        <v>1815</v>
      </c>
      <c r="BB212" s="40" t="s">
        <v>2754</v>
      </c>
      <c r="BC212" s="40"/>
    </row>
    <row r="213" spans="1:55">
      <c r="A213" s="169">
        <v>2.2799999999999998</v>
      </c>
      <c r="B213" s="206">
        <v>2.2799999999999998</v>
      </c>
      <c r="C213" t="s">
        <v>74</v>
      </c>
      <c r="D213" t="s">
        <v>3694</v>
      </c>
      <c r="F213" t="s">
        <v>2271</v>
      </c>
      <c r="G213" t="s">
        <v>1428</v>
      </c>
      <c r="H213" t="s">
        <v>2297</v>
      </c>
      <c r="I213" t="s">
        <v>2416</v>
      </c>
      <c r="J213" t="s">
        <v>2452</v>
      </c>
      <c r="K213" t="s">
        <v>3176</v>
      </c>
      <c r="M213" t="s">
        <v>3319</v>
      </c>
      <c r="N213" t="s">
        <v>74</v>
      </c>
      <c r="O213">
        <v>3</v>
      </c>
      <c r="Q213" t="s">
        <v>3399</v>
      </c>
      <c r="R213" t="s">
        <v>74</v>
      </c>
      <c r="S213">
        <v>3</v>
      </c>
      <c r="U213" t="s">
        <v>3561</v>
      </c>
      <c r="V213" t="s">
        <v>74</v>
      </c>
      <c r="W213">
        <v>2</v>
      </c>
      <c r="Y213">
        <v>16</v>
      </c>
      <c r="Z213">
        <v>91.1</v>
      </c>
      <c r="AA213">
        <v>26</v>
      </c>
      <c r="AB213">
        <v>9</v>
      </c>
      <c r="AC213">
        <v>95.2</v>
      </c>
      <c r="AD213">
        <v>14</v>
      </c>
      <c r="AF213" s="170" t="s">
        <v>74</v>
      </c>
      <c r="AG213" s="171">
        <v>0.28039999999999998</v>
      </c>
      <c r="AH213" s="173">
        <v>0.35399999999999998</v>
      </c>
      <c r="AI213" s="202">
        <v>1.214</v>
      </c>
      <c r="AJ213" s="173">
        <v>0.121</v>
      </c>
      <c r="AK213" s="173">
        <v>0.14000000000000001</v>
      </c>
      <c r="AL213" s="174"/>
      <c r="AM213" s="173">
        <v>0.13600000000000001</v>
      </c>
      <c r="AN213" s="173">
        <v>8.1000000000000003E-2</v>
      </c>
      <c r="AO213" s="174"/>
      <c r="AP213" s="171">
        <v>173276</v>
      </c>
      <c r="AQ213" s="171">
        <v>215909</v>
      </c>
      <c r="AR213" s="175">
        <v>1</v>
      </c>
      <c r="AS213" s="175">
        <v>1</v>
      </c>
      <c r="AT213" s="176" t="s">
        <v>3289</v>
      </c>
      <c r="AU213" s="171"/>
      <c r="AV213" s="171">
        <v>1.8720000000000001</v>
      </c>
      <c r="AW213" s="171">
        <v>1.3431999999999999</v>
      </c>
      <c r="AY213" t="s">
        <v>731</v>
      </c>
      <c r="AZ213" t="s">
        <v>732</v>
      </c>
      <c r="BA213" t="s">
        <v>2300</v>
      </c>
      <c r="BB213" t="s">
        <v>3179</v>
      </c>
    </row>
    <row r="214" spans="1:55">
      <c r="A214" s="169">
        <v>2.2799999999999998</v>
      </c>
      <c r="B214" s="207"/>
      <c r="C214" t="s">
        <v>75</v>
      </c>
      <c r="D214" t="s">
        <v>3694</v>
      </c>
      <c r="F214" t="s">
        <v>2271</v>
      </c>
      <c r="G214" t="s">
        <v>1428</v>
      </c>
      <c r="H214" t="s">
        <v>2297</v>
      </c>
      <c r="I214" t="s">
        <v>2416</v>
      </c>
      <c r="J214" t="s">
        <v>2452</v>
      </c>
      <c r="K214" t="s">
        <v>3180</v>
      </c>
      <c r="M214" t="s">
        <v>3319</v>
      </c>
      <c r="N214" t="s">
        <v>75</v>
      </c>
      <c r="O214">
        <v>3</v>
      </c>
      <c r="Q214" t="s">
        <v>3399</v>
      </c>
      <c r="R214" t="s">
        <v>75</v>
      </c>
      <c r="S214">
        <v>3</v>
      </c>
      <c r="U214" t="s">
        <v>3561</v>
      </c>
      <c r="V214" t="s">
        <v>75</v>
      </c>
      <c r="W214">
        <v>2</v>
      </c>
      <c r="Y214">
        <v>16</v>
      </c>
      <c r="Z214">
        <v>91.4</v>
      </c>
      <c r="AA214">
        <v>25</v>
      </c>
      <c r="AB214">
        <v>9</v>
      </c>
      <c r="AC214">
        <v>95.2</v>
      </c>
      <c r="AD214">
        <v>14</v>
      </c>
      <c r="AF214" s="170" t="s">
        <v>75</v>
      </c>
      <c r="AG214" s="171">
        <v>0.26640000000000003</v>
      </c>
      <c r="AH214" s="187">
        <v>0.433</v>
      </c>
      <c r="AI214" s="195">
        <v>1.841</v>
      </c>
      <c r="AJ214" s="188">
        <v>0.122</v>
      </c>
      <c r="AK214" s="188">
        <v>0.124</v>
      </c>
      <c r="AL214" s="185"/>
      <c r="AM214" s="173">
        <v>0.115</v>
      </c>
      <c r="AN214" s="173">
        <v>8.8999999999999996E-2</v>
      </c>
      <c r="AO214" s="174"/>
      <c r="AP214" s="171">
        <v>75711</v>
      </c>
      <c r="AQ214" s="171">
        <v>309062</v>
      </c>
      <c r="AR214" s="175">
        <v>1</v>
      </c>
      <c r="AS214" s="175">
        <v>1</v>
      </c>
      <c r="AT214" s="176" t="s">
        <v>3286</v>
      </c>
      <c r="AU214" s="171"/>
      <c r="AV214" s="171">
        <v>2.6063999999999998</v>
      </c>
      <c r="AW214" s="171">
        <v>2.0888</v>
      </c>
      <c r="AY214" t="s">
        <v>621</v>
      </c>
      <c r="AZ214" t="s">
        <v>622</v>
      </c>
      <c r="BA214" t="s">
        <v>2301</v>
      </c>
      <c r="BB214" t="s">
        <v>3183</v>
      </c>
    </row>
    <row r="215" spans="1:55" ht="17" thickBot="1">
      <c r="A215" s="169">
        <v>2.2799999999999998</v>
      </c>
      <c r="B215" s="208"/>
      <c r="C215" t="s">
        <v>73</v>
      </c>
      <c r="D215" t="s">
        <v>3697</v>
      </c>
      <c r="F215" t="s">
        <v>2271</v>
      </c>
      <c r="G215" t="s">
        <v>1428</v>
      </c>
      <c r="H215" t="s">
        <v>2293</v>
      </c>
      <c r="I215" t="s">
        <v>2416</v>
      </c>
      <c r="J215" t="s">
        <v>2452</v>
      </c>
      <c r="K215" t="s">
        <v>3172</v>
      </c>
      <c r="M215" t="s">
        <v>3319</v>
      </c>
      <c r="N215" t="s">
        <v>73</v>
      </c>
      <c r="O215">
        <v>3</v>
      </c>
      <c r="Q215" t="s">
        <v>3399</v>
      </c>
      <c r="R215" t="s">
        <v>73</v>
      </c>
      <c r="S215">
        <v>3</v>
      </c>
      <c r="U215" t="s">
        <v>3523</v>
      </c>
      <c r="V215" t="s">
        <v>73</v>
      </c>
      <c r="W215">
        <v>1</v>
      </c>
      <c r="Y215">
        <v>16</v>
      </c>
      <c r="Z215">
        <v>93</v>
      </c>
      <c r="AA215">
        <v>19</v>
      </c>
      <c r="AB215">
        <v>10</v>
      </c>
      <c r="AC215">
        <v>97.8</v>
      </c>
      <c r="AD215">
        <v>6</v>
      </c>
      <c r="AF215" s="170" t="s">
        <v>73</v>
      </c>
      <c r="AG215" s="171">
        <v>0.13200000000000001</v>
      </c>
      <c r="AH215" s="173">
        <v>0.19500000000000001</v>
      </c>
      <c r="AI215" s="182">
        <v>0.41499999999999998</v>
      </c>
      <c r="AJ215" s="173">
        <v>0.112</v>
      </c>
      <c r="AK215" s="173">
        <v>0.13</v>
      </c>
      <c r="AL215" s="174"/>
      <c r="AM215" s="173">
        <v>0.105</v>
      </c>
      <c r="AN215" s="173">
        <v>8.2000000000000003E-2</v>
      </c>
      <c r="AO215" s="174"/>
      <c r="AP215" s="171">
        <v>124947.5</v>
      </c>
      <c r="AQ215" s="171">
        <v>595873.5</v>
      </c>
      <c r="AR215" s="175">
        <v>1</v>
      </c>
      <c r="AS215" s="175">
        <v>1</v>
      </c>
      <c r="AT215" s="176" t="s">
        <v>3286</v>
      </c>
      <c r="AU215" s="171"/>
      <c r="AV215" s="171">
        <v>0.39100000000000001</v>
      </c>
      <c r="AW215" s="171">
        <v>1.1273</v>
      </c>
      <c r="AY215" t="s">
        <v>933</v>
      </c>
      <c r="AZ215" t="s">
        <v>934</v>
      </c>
      <c r="BA215" t="s">
        <v>2296</v>
      </c>
      <c r="BB215" t="s">
        <v>3175</v>
      </c>
    </row>
    <row r="216" spans="1:55">
      <c r="A216" s="168">
        <v>2.29</v>
      </c>
      <c r="B216" s="206">
        <v>2.29</v>
      </c>
      <c r="C216" s="81" t="s">
        <v>234</v>
      </c>
      <c r="D216" s="81" t="s">
        <v>3697</v>
      </c>
      <c r="E216" s="81"/>
      <c r="F216" s="81" t="s">
        <v>1822</v>
      </c>
      <c r="G216" s="81" t="s">
        <v>1428</v>
      </c>
      <c r="H216" s="81" t="s">
        <v>1823</v>
      </c>
      <c r="I216" s="81" t="s">
        <v>2603</v>
      </c>
      <c r="J216" s="81" t="s">
        <v>2452</v>
      </c>
      <c r="K216" s="81" t="s">
        <v>2757</v>
      </c>
      <c r="L216" s="81"/>
      <c r="M216" s="81" t="s">
        <v>3320</v>
      </c>
      <c r="N216" s="81" t="s">
        <v>234</v>
      </c>
      <c r="O216" s="81">
        <v>3</v>
      </c>
      <c r="P216" s="81"/>
      <c r="Q216" s="81" t="s">
        <v>3400</v>
      </c>
      <c r="R216" s="81" t="s">
        <v>234</v>
      </c>
      <c r="S216" s="81">
        <v>3</v>
      </c>
      <c r="T216" s="81"/>
      <c r="U216" s="81" t="s">
        <v>3524</v>
      </c>
      <c r="V216" s="81" t="s">
        <v>234</v>
      </c>
      <c r="W216" s="81">
        <v>2</v>
      </c>
      <c r="X216" s="81"/>
      <c r="Y216" s="81">
        <v>12</v>
      </c>
      <c r="Z216" s="81">
        <v>95.2</v>
      </c>
      <c r="AA216" s="81">
        <v>13</v>
      </c>
      <c r="AB216" s="81">
        <v>10</v>
      </c>
      <c r="AC216" s="81">
        <v>98.9</v>
      </c>
      <c r="AD216" s="81">
        <v>3</v>
      </c>
      <c r="AE216" s="81"/>
      <c r="AF216" s="83" t="s">
        <v>234</v>
      </c>
      <c r="AG216" s="33">
        <v>7.6100000000000001E-2</v>
      </c>
      <c r="AH216" s="105">
        <v>3.2989999999999999</v>
      </c>
      <c r="AI216" s="100">
        <v>3.492</v>
      </c>
      <c r="AJ216" s="100">
        <v>3.6230000000000002</v>
      </c>
      <c r="AK216" s="87">
        <v>0.20100000000000001</v>
      </c>
      <c r="AL216" s="34"/>
      <c r="AM216" s="87">
        <v>0.11</v>
      </c>
      <c r="AN216" s="87">
        <v>8.5000000000000006E-2</v>
      </c>
      <c r="AO216" s="34"/>
      <c r="AP216" s="33">
        <v>35170</v>
      </c>
      <c r="AQ216" s="33">
        <v>2719.5</v>
      </c>
      <c r="AR216" s="88">
        <v>1</v>
      </c>
      <c r="AS216" s="88">
        <v>0</v>
      </c>
      <c r="AT216" s="89" t="s">
        <v>3285</v>
      </c>
      <c r="AU216" s="33"/>
      <c r="AV216" s="33">
        <v>-2.29E-2</v>
      </c>
      <c r="AW216" s="33">
        <v>-1.54E-2</v>
      </c>
      <c r="AX216" s="81"/>
      <c r="AY216" s="81" t="s">
        <v>935</v>
      </c>
      <c r="AZ216" s="81" t="s">
        <v>936</v>
      </c>
      <c r="BA216" s="81" t="s">
        <v>1826</v>
      </c>
      <c r="BB216" s="81" t="s">
        <v>2760</v>
      </c>
      <c r="BC216" s="81"/>
    </row>
    <row r="217" spans="1:55">
      <c r="A217" s="169">
        <v>2.29</v>
      </c>
      <c r="B217" s="207"/>
      <c r="C217" t="s">
        <v>236</v>
      </c>
      <c r="D217" t="s">
        <v>3697</v>
      </c>
      <c r="F217" t="s">
        <v>1822</v>
      </c>
      <c r="G217" t="s">
        <v>1428</v>
      </c>
      <c r="H217" t="s">
        <v>1831</v>
      </c>
      <c r="I217" t="s">
        <v>2603</v>
      </c>
      <c r="J217" t="s">
        <v>2452</v>
      </c>
      <c r="K217" t="s">
        <v>2757</v>
      </c>
      <c r="M217" t="s">
        <v>3320</v>
      </c>
      <c r="N217" t="s">
        <v>236</v>
      </c>
      <c r="O217">
        <v>3</v>
      </c>
      <c r="Q217" t="s">
        <v>3400</v>
      </c>
      <c r="R217" t="s">
        <v>236</v>
      </c>
      <c r="S217">
        <v>3</v>
      </c>
      <c r="U217" t="s">
        <v>3524</v>
      </c>
      <c r="V217" t="s">
        <v>236</v>
      </c>
      <c r="W217">
        <v>2</v>
      </c>
      <c r="Y217">
        <v>12</v>
      </c>
      <c r="Z217">
        <v>96.9</v>
      </c>
      <c r="AA217">
        <v>9</v>
      </c>
      <c r="AB217">
        <v>10</v>
      </c>
      <c r="AC217">
        <v>98.3</v>
      </c>
      <c r="AD217">
        <v>5</v>
      </c>
      <c r="AF217" s="170" t="s">
        <v>237</v>
      </c>
      <c r="AG217" s="171">
        <v>0.1323</v>
      </c>
      <c r="AH217" s="172">
        <v>3.55</v>
      </c>
      <c r="AI217" s="172">
        <v>3.5470000000000002</v>
      </c>
      <c r="AJ217" s="172">
        <v>3.5630000000000002</v>
      </c>
      <c r="AK217" s="173">
        <v>0.23599999999999999</v>
      </c>
      <c r="AL217" s="174"/>
      <c r="AM217" s="173">
        <v>0.121</v>
      </c>
      <c r="AN217" s="173">
        <v>0.127</v>
      </c>
      <c r="AO217" s="174"/>
      <c r="AP217" s="171">
        <v>18434</v>
      </c>
      <c r="AQ217" s="171">
        <v>1897</v>
      </c>
      <c r="AR217" s="175">
        <v>1</v>
      </c>
      <c r="AS217" s="175">
        <v>0</v>
      </c>
      <c r="AT217" s="176" t="s">
        <v>3285</v>
      </c>
      <c r="AU217" s="171"/>
      <c r="AV217" s="171">
        <v>-8.2500000000000004E-2</v>
      </c>
      <c r="AW217" s="171">
        <v>-5.8700000000000002E-2</v>
      </c>
      <c r="AY217" t="s">
        <v>1065</v>
      </c>
      <c r="AZ217" t="s">
        <v>1066</v>
      </c>
      <c r="BA217" t="s">
        <v>1833</v>
      </c>
      <c r="BB217" t="s">
        <v>2765</v>
      </c>
    </row>
    <row r="218" spans="1:55" ht="17" thickBot="1">
      <c r="A218" s="178">
        <v>2.29</v>
      </c>
      <c r="B218" s="208"/>
      <c r="C218" s="40" t="s">
        <v>235</v>
      </c>
      <c r="D218" s="40" t="s">
        <v>3694</v>
      </c>
      <c r="E218" s="40"/>
      <c r="F218" s="40" t="s">
        <v>1822</v>
      </c>
      <c r="G218" s="40" t="s">
        <v>1428</v>
      </c>
      <c r="H218" s="40" t="s">
        <v>1827</v>
      </c>
      <c r="I218" s="40" t="s">
        <v>2603</v>
      </c>
      <c r="J218" s="40" t="s">
        <v>2452</v>
      </c>
      <c r="K218" s="40" t="s">
        <v>2761</v>
      </c>
      <c r="L218" s="40"/>
      <c r="M218" s="40" t="s">
        <v>3320</v>
      </c>
      <c r="N218" s="40" t="s">
        <v>235</v>
      </c>
      <c r="O218" s="40">
        <v>3</v>
      </c>
      <c r="P218" s="40"/>
      <c r="Q218" s="40" t="s">
        <v>3400</v>
      </c>
      <c r="R218" s="40" t="s">
        <v>235</v>
      </c>
      <c r="S218" s="40">
        <v>3</v>
      </c>
      <c r="T218" s="40"/>
      <c r="U218" s="40" t="s">
        <v>3614</v>
      </c>
      <c r="V218" s="40" t="s">
        <v>235</v>
      </c>
      <c r="W218" s="40">
        <v>1</v>
      </c>
      <c r="X218" s="40"/>
      <c r="Y218" s="40">
        <v>12</v>
      </c>
      <c r="Z218" s="40">
        <v>96.9</v>
      </c>
      <c r="AA218" s="40">
        <v>9</v>
      </c>
      <c r="AB218" s="40">
        <v>10</v>
      </c>
      <c r="AC218" s="40">
        <v>97.2</v>
      </c>
      <c r="AD218" s="40">
        <v>8</v>
      </c>
      <c r="AE218" s="40"/>
      <c r="AF218" s="85" t="s">
        <v>235</v>
      </c>
      <c r="AG218" s="35">
        <v>1.601</v>
      </c>
      <c r="AH218" s="110">
        <v>3.274</v>
      </c>
      <c r="AI218" s="103">
        <v>2.8759999999999999</v>
      </c>
      <c r="AJ218" s="102">
        <v>3.504</v>
      </c>
      <c r="AK218" s="90">
        <v>0.16</v>
      </c>
      <c r="AL218" s="37"/>
      <c r="AM218" s="90">
        <v>0.126</v>
      </c>
      <c r="AN218" s="90">
        <v>8.4000000000000005E-2</v>
      </c>
      <c r="AO218" s="37"/>
      <c r="AP218" s="35">
        <v>7379</v>
      </c>
      <c r="AQ218" s="35">
        <v>1905</v>
      </c>
      <c r="AR218" s="93">
        <v>0</v>
      </c>
      <c r="AS218" s="93">
        <v>0</v>
      </c>
      <c r="AT218" s="94" t="s">
        <v>3285</v>
      </c>
      <c r="AU218" s="35"/>
      <c r="AV218" s="35">
        <v>-3.0700000000000002E-2</v>
      </c>
      <c r="AW218" s="35">
        <v>-7.7799999999999994E-2</v>
      </c>
      <c r="AX218" s="40"/>
      <c r="AY218" s="40" t="s">
        <v>859</v>
      </c>
      <c r="AZ218" s="40" t="s">
        <v>860</v>
      </c>
      <c r="BA218" s="40" t="s">
        <v>1830</v>
      </c>
      <c r="BB218" s="40" t="s">
        <v>2764</v>
      </c>
      <c r="BC218" s="40"/>
    </row>
    <row r="219" spans="1:55">
      <c r="A219" s="169">
        <v>2.2999999999999998</v>
      </c>
      <c r="B219" s="206">
        <v>2.2999999999999998</v>
      </c>
      <c r="C219" t="s">
        <v>238</v>
      </c>
      <c r="D219" t="s">
        <v>3694</v>
      </c>
      <c r="F219" t="s">
        <v>1602</v>
      </c>
      <c r="G219" t="s">
        <v>1413</v>
      </c>
      <c r="H219" t="s">
        <v>1834</v>
      </c>
      <c r="I219" t="s">
        <v>2451</v>
      </c>
      <c r="J219" t="s">
        <v>2404</v>
      </c>
      <c r="K219" t="s">
        <v>2766</v>
      </c>
      <c r="M219" t="s">
        <v>3359</v>
      </c>
      <c r="N219" t="s">
        <v>238</v>
      </c>
      <c r="O219">
        <v>3</v>
      </c>
      <c r="Q219" t="s">
        <v>3457</v>
      </c>
      <c r="R219" t="s">
        <v>238</v>
      </c>
      <c r="S219">
        <v>2</v>
      </c>
      <c r="U219" t="s">
        <v>3592</v>
      </c>
      <c r="V219" t="s">
        <v>238</v>
      </c>
      <c r="W219">
        <v>1</v>
      </c>
      <c r="Y219">
        <v>17</v>
      </c>
      <c r="Z219">
        <v>95.9</v>
      </c>
      <c r="AA219">
        <v>12</v>
      </c>
      <c r="AB219">
        <v>10</v>
      </c>
      <c r="AC219">
        <v>97.2</v>
      </c>
      <c r="AD219">
        <v>8</v>
      </c>
      <c r="AF219" s="170" t="s">
        <v>238</v>
      </c>
      <c r="AG219" s="171">
        <v>0.3281</v>
      </c>
      <c r="AH219" s="172">
        <v>3.5979999999999999</v>
      </c>
      <c r="AI219" s="202">
        <v>1.1519999999999999</v>
      </c>
      <c r="AJ219" s="172">
        <v>3.5470000000000002</v>
      </c>
      <c r="AK219" s="173">
        <v>0.155</v>
      </c>
      <c r="AL219" s="174"/>
      <c r="AM219" s="172">
        <v>3.55</v>
      </c>
      <c r="AN219" s="177">
        <v>2.3090000000000002</v>
      </c>
      <c r="AO219" s="174"/>
      <c r="AP219" s="171">
        <v>12938</v>
      </c>
      <c r="AQ219" s="171">
        <v>45923</v>
      </c>
      <c r="AR219" s="175">
        <v>1</v>
      </c>
      <c r="AS219" s="175">
        <v>1</v>
      </c>
      <c r="AT219" s="176" t="s">
        <v>3286</v>
      </c>
      <c r="AU219" s="171"/>
      <c r="AV219" s="171">
        <v>0.1812</v>
      </c>
      <c r="AW219" s="171">
        <v>0.99439999999999995</v>
      </c>
      <c r="AY219" t="s">
        <v>737</v>
      </c>
      <c r="AZ219" t="s">
        <v>738</v>
      </c>
      <c r="BA219" t="s">
        <v>1837</v>
      </c>
      <c r="BB219" t="s">
        <v>2768</v>
      </c>
    </row>
    <row r="220" spans="1:55">
      <c r="A220" s="169">
        <v>2.2999999999999998</v>
      </c>
      <c r="B220" s="207"/>
      <c r="C220" t="s">
        <v>239</v>
      </c>
      <c r="D220" t="s">
        <v>3697</v>
      </c>
      <c r="F220" t="s">
        <v>1602</v>
      </c>
      <c r="G220" t="s">
        <v>1413</v>
      </c>
      <c r="H220" t="s">
        <v>1838</v>
      </c>
      <c r="I220" t="s">
        <v>2451</v>
      </c>
      <c r="J220" t="s">
        <v>2404</v>
      </c>
      <c r="K220" t="s">
        <v>2766</v>
      </c>
      <c r="M220" t="s">
        <v>3359</v>
      </c>
      <c r="N220" t="s">
        <v>239</v>
      </c>
      <c r="O220">
        <v>3</v>
      </c>
      <c r="Q220" t="s">
        <v>3457</v>
      </c>
      <c r="R220" t="s">
        <v>239</v>
      </c>
      <c r="S220">
        <v>2</v>
      </c>
      <c r="U220" t="s">
        <v>3646</v>
      </c>
      <c r="V220" t="s">
        <v>239</v>
      </c>
      <c r="W220">
        <v>1</v>
      </c>
      <c r="Y220">
        <v>17</v>
      </c>
      <c r="Z220">
        <v>95.9</v>
      </c>
      <c r="AA220">
        <v>12</v>
      </c>
      <c r="AB220">
        <v>10</v>
      </c>
      <c r="AC220">
        <v>96.9</v>
      </c>
      <c r="AD220">
        <v>9</v>
      </c>
      <c r="AF220" s="170" t="s">
        <v>240</v>
      </c>
      <c r="AG220" s="171">
        <v>0.19020000000000001</v>
      </c>
      <c r="AH220" s="172">
        <v>3.61</v>
      </c>
      <c r="AI220" s="173">
        <v>0.27</v>
      </c>
      <c r="AJ220" s="181">
        <v>0.81100000000000005</v>
      </c>
      <c r="AK220" s="173">
        <v>0.16600000000000001</v>
      </c>
      <c r="AL220" s="174"/>
      <c r="AM220" s="172">
        <v>3.5230000000000001</v>
      </c>
      <c r="AN220" s="177">
        <v>2.302</v>
      </c>
      <c r="AO220" s="174"/>
      <c r="AP220" s="171">
        <v>19919</v>
      </c>
      <c r="AQ220" s="171">
        <v>92009.5</v>
      </c>
      <c r="AR220" s="175">
        <v>1</v>
      </c>
      <c r="AS220" s="175">
        <v>1</v>
      </c>
      <c r="AT220" s="176" t="s">
        <v>3286</v>
      </c>
      <c r="AU220" s="171"/>
      <c r="AV220" s="171">
        <v>0.25769999999999998</v>
      </c>
      <c r="AW220" s="171">
        <v>0.38540000000000002</v>
      </c>
      <c r="AY220" t="s">
        <v>1061</v>
      </c>
      <c r="AZ220" t="s">
        <v>1062</v>
      </c>
      <c r="BA220" t="s">
        <v>1840</v>
      </c>
      <c r="BB220" t="s">
        <v>2770</v>
      </c>
    </row>
    <row r="221" spans="1:55" ht="17" thickBot="1">
      <c r="A221" s="169">
        <v>2.2999999999999998</v>
      </c>
      <c r="B221" s="208"/>
      <c r="C221" t="s">
        <v>241</v>
      </c>
      <c r="D221" t="s">
        <v>3697</v>
      </c>
      <c r="F221" t="s">
        <v>1602</v>
      </c>
      <c r="G221" t="s">
        <v>1413</v>
      </c>
      <c r="H221" t="s">
        <v>1841</v>
      </c>
      <c r="I221" t="s">
        <v>2451</v>
      </c>
      <c r="J221" t="s">
        <v>2404</v>
      </c>
      <c r="K221" t="s">
        <v>2461</v>
      </c>
      <c r="M221" t="s">
        <v>3359</v>
      </c>
      <c r="N221" t="s">
        <v>241</v>
      </c>
      <c r="O221">
        <v>3</v>
      </c>
      <c r="Q221" t="s">
        <v>3496</v>
      </c>
      <c r="R221" t="s">
        <v>241</v>
      </c>
      <c r="S221">
        <v>1</v>
      </c>
      <c r="U221" t="s">
        <v>3652</v>
      </c>
      <c r="V221" t="s">
        <v>241</v>
      </c>
      <c r="W221">
        <v>1</v>
      </c>
      <c r="Y221">
        <v>17</v>
      </c>
      <c r="Z221">
        <v>97</v>
      </c>
      <c r="AA221">
        <v>9</v>
      </c>
      <c r="AB221">
        <v>10</v>
      </c>
      <c r="AC221">
        <v>98.3</v>
      </c>
      <c r="AD221">
        <v>5</v>
      </c>
      <c r="AF221" s="170" t="s">
        <v>242</v>
      </c>
      <c r="AG221" s="171">
        <v>6.4439999999999997E-2</v>
      </c>
      <c r="AH221" s="172">
        <v>3.5230000000000001</v>
      </c>
      <c r="AI221" s="173">
        <v>0.18</v>
      </c>
      <c r="AJ221" s="179">
        <v>2.4590000000000001</v>
      </c>
      <c r="AK221" s="173">
        <v>0.11799999999999999</v>
      </c>
      <c r="AL221" s="174"/>
      <c r="AM221" s="172">
        <v>3.5070000000000001</v>
      </c>
      <c r="AN221" s="186">
        <v>2.1259999999999999</v>
      </c>
      <c r="AO221" s="174"/>
      <c r="AP221" s="171">
        <v>11980</v>
      </c>
      <c r="AQ221" s="171">
        <v>133059</v>
      </c>
      <c r="AR221" s="175">
        <v>1</v>
      </c>
      <c r="AS221" s="175">
        <v>1</v>
      </c>
      <c r="AT221" s="176" t="s">
        <v>3286</v>
      </c>
      <c r="AU221" s="171"/>
      <c r="AV221" s="171">
        <v>-8.6199999999999999E-2</v>
      </c>
      <c r="AW221" s="171">
        <v>-4.9599999999999998E-2</v>
      </c>
      <c r="AY221" t="s">
        <v>1075</v>
      </c>
      <c r="AZ221" t="s">
        <v>1076</v>
      </c>
      <c r="BA221" t="s">
        <v>1843</v>
      </c>
      <c r="BB221" t="s">
        <v>2772</v>
      </c>
    </row>
    <row r="222" spans="1:55">
      <c r="A222" s="168">
        <v>2.31</v>
      </c>
      <c r="B222" s="206">
        <v>2.31</v>
      </c>
      <c r="C222" s="81" t="s">
        <v>140</v>
      </c>
      <c r="D222" s="81" t="s">
        <v>3694</v>
      </c>
      <c r="E222" s="81"/>
      <c r="F222" s="81" t="s">
        <v>1544</v>
      </c>
      <c r="G222" s="81" t="s">
        <v>1413</v>
      </c>
      <c r="H222" s="81" t="s">
        <v>1545</v>
      </c>
      <c r="I222" s="81" t="s">
        <v>2515</v>
      </c>
      <c r="J222" s="81" t="s">
        <v>2433</v>
      </c>
      <c r="K222" s="81" t="s">
        <v>2516</v>
      </c>
      <c r="L222" s="81"/>
      <c r="M222" s="81" t="s">
        <v>3323</v>
      </c>
      <c r="N222" s="81" t="s">
        <v>140</v>
      </c>
      <c r="O222" s="81">
        <v>3</v>
      </c>
      <c r="P222" s="81"/>
      <c r="Q222" s="81" t="s">
        <v>3404</v>
      </c>
      <c r="R222" s="81" t="s">
        <v>140</v>
      </c>
      <c r="S222" s="81">
        <v>2</v>
      </c>
      <c r="T222" s="81"/>
      <c r="U222" s="81"/>
      <c r="V222" s="81" t="s">
        <v>140</v>
      </c>
      <c r="W222" s="81">
        <v>1</v>
      </c>
      <c r="X222" s="81"/>
      <c r="Y222" s="81">
        <v>13</v>
      </c>
      <c r="Z222" s="81">
        <v>94.3</v>
      </c>
      <c r="AA222" s="81">
        <v>17</v>
      </c>
      <c r="AB222" s="81">
        <v>9</v>
      </c>
      <c r="AC222" s="81">
        <v>93.1</v>
      </c>
      <c r="AD222" s="81">
        <v>14</v>
      </c>
      <c r="AE222" s="81"/>
      <c r="AF222" s="83" t="s">
        <v>140</v>
      </c>
      <c r="AG222" s="33">
        <v>0.2366</v>
      </c>
      <c r="AH222" s="105">
        <v>3.468</v>
      </c>
      <c r="AI222" s="105">
        <v>3.4540000000000002</v>
      </c>
      <c r="AJ222" s="87">
        <v>0.153</v>
      </c>
      <c r="AK222" s="87">
        <v>0.13700000000000001</v>
      </c>
      <c r="AL222" s="34"/>
      <c r="AM222" s="87">
        <v>0.108</v>
      </c>
      <c r="AN222" s="87">
        <v>8.5999999999999993E-2</v>
      </c>
      <c r="AO222" s="34"/>
      <c r="AP222" s="33">
        <v>7229.5</v>
      </c>
      <c r="AQ222" s="33">
        <v>2166</v>
      </c>
      <c r="AR222" s="88">
        <v>0</v>
      </c>
      <c r="AS222" s="88">
        <v>0</v>
      </c>
      <c r="AT222" s="89" t="s">
        <v>3285</v>
      </c>
      <c r="AU222" s="33"/>
      <c r="AV222" s="33">
        <v>-3.78E-2</v>
      </c>
      <c r="AW222" s="33">
        <v>-1.2800000000000001E-2</v>
      </c>
      <c r="AX222" s="81"/>
      <c r="AY222" s="81" t="s">
        <v>879</v>
      </c>
      <c r="AZ222" s="81" t="s">
        <v>880</v>
      </c>
      <c r="BA222" s="81" t="s">
        <v>1548</v>
      </c>
      <c r="BB222" s="81" t="s">
        <v>2519</v>
      </c>
      <c r="BC222" s="81"/>
    </row>
    <row r="223" spans="1:55">
      <c r="A223" s="169">
        <v>2.31</v>
      </c>
      <c r="B223" s="207"/>
      <c r="C223" t="s">
        <v>142</v>
      </c>
      <c r="D223" t="s">
        <v>3697</v>
      </c>
      <c r="F223" t="s">
        <v>1544</v>
      </c>
      <c r="G223" t="s">
        <v>1413</v>
      </c>
      <c r="H223" t="s">
        <v>1554</v>
      </c>
      <c r="I223" t="s">
        <v>2515</v>
      </c>
      <c r="J223" t="s">
        <v>2433</v>
      </c>
      <c r="K223" t="s">
        <v>2523</v>
      </c>
      <c r="M223" t="s">
        <v>3323</v>
      </c>
      <c r="N223" t="s">
        <v>142</v>
      </c>
      <c r="O223">
        <v>3</v>
      </c>
      <c r="Q223" t="s">
        <v>3404</v>
      </c>
      <c r="R223" t="s">
        <v>142</v>
      </c>
      <c r="S223">
        <v>2</v>
      </c>
      <c r="U223" t="s">
        <v>3649</v>
      </c>
      <c r="V223" t="s">
        <v>142</v>
      </c>
      <c r="W223">
        <v>1</v>
      </c>
      <c r="Y223">
        <v>13</v>
      </c>
      <c r="Z223">
        <v>94.3</v>
      </c>
      <c r="AA223">
        <v>17</v>
      </c>
      <c r="AB223">
        <v>11</v>
      </c>
      <c r="AC223">
        <v>95.9</v>
      </c>
      <c r="AD223">
        <v>12</v>
      </c>
      <c r="AF223" s="170" t="s">
        <v>143</v>
      </c>
      <c r="AG223" s="171">
        <v>0.17760000000000001</v>
      </c>
      <c r="AH223" s="172">
        <v>3.4769999999999999</v>
      </c>
      <c r="AI223" s="172">
        <v>3.61</v>
      </c>
      <c r="AJ223" s="173">
        <v>0.16800000000000001</v>
      </c>
      <c r="AK223" s="173">
        <v>0.16400000000000001</v>
      </c>
      <c r="AL223" s="174"/>
      <c r="AM223" s="173">
        <v>0.114</v>
      </c>
      <c r="AN223" s="173">
        <v>8.6999999999999994E-2</v>
      </c>
      <c r="AO223" s="174"/>
      <c r="AP223" s="171">
        <v>12737</v>
      </c>
      <c r="AQ223" s="171">
        <v>2300</v>
      </c>
      <c r="AR223" s="175">
        <v>1</v>
      </c>
      <c r="AS223" s="175">
        <v>0</v>
      </c>
      <c r="AT223" s="176" t="s">
        <v>3285</v>
      </c>
      <c r="AU223" s="171"/>
      <c r="AV223" s="171">
        <v>-0.1313</v>
      </c>
      <c r="AW223" s="171">
        <v>-8.1799999999999998E-2</v>
      </c>
      <c r="AY223" t="s">
        <v>1069</v>
      </c>
      <c r="AZ223" t="s">
        <v>1070</v>
      </c>
      <c r="BA223" t="s">
        <v>1557</v>
      </c>
      <c r="BB223" t="s">
        <v>2527</v>
      </c>
    </row>
    <row r="224" spans="1:55" ht="17" thickBot="1">
      <c r="A224" s="178">
        <v>2.31</v>
      </c>
      <c r="B224" s="208"/>
      <c r="C224" s="40" t="s">
        <v>141</v>
      </c>
      <c r="D224" s="40" t="s">
        <v>3694</v>
      </c>
      <c r="E224" s="40"/>
      <c r="F224" s="40" t="s">
        <v>1544</v>
      </c>
      <c r="G224" s="40" t="s">
        <v>1413</v>
      </c>
      <c r="H224" s="40" t="s">
        <v>1550</v>
      </c>
      <c r="I224" s="40" t="s">
        <v>2515</v>
      </c>
      <c r="J224" s="40" t="s">
        <v>2433</v>
      </c>
      <c r="K224" s="40" t="s">
        <v>2523</v>
      </c>
      <c r="L224" s="40"/>
      <c r="M224" s="40" t="s">
        <v>3323</v>
      </c>
      <c r="N224" s="40" t="s">
        <v>141</v>
      </c>
      <c r="O224" s="40">
        <v>3</v>
      </c>
      <c r="P224" s="40"/>
      <c r="Q224" s="40" t="s">
        <v>3404</v>
      </c>
      <c r="R224" s="40" t="s">
        <v>141</v>
      </c>
      <c r="S224" s="40">
        <v>1</v>
      </c>
      <c r="T224" s="40"/>
      <c r="U224" s="40" t="s">
        <v>3528</v>
      </c>
      <c r="V224" s="40" t="s">
        <v>141</v>
      </c>
      <c r="W224" s="40">
        <v>1</v>
      </c>
      <c r="X224" s="40"/>
      <c r="Y224" s="40">
        <v>13</v>
      </c>
      <c r="Z224" s="40">
        <v>99.7</v>
      </c>
      <c r="AA224" s="40">
        <v>1</v>
      </c>
      <c r="AB224" s="40">
        <v>11</v>
      </c>
      <c r="AC224" s="40">
        <v>98.3</v>
      </c>
      <c r="AD224" s="40">
        <v>5</v>
      </c>
      <c r="AE224" s="40"/>
      <c r="AF224" s="85" t="s">
        <v>34</v>
      </c>
      <c r="AG224" s="35">
        <v>0.37290000000000001</v>
      </c>
      <c r="AH224" s="102">
        <v>3.74</v>
      </c>
      <c r="AI224" s="102">
        <v>3.621</v>
      </c>
      <c r="AJ224" s="90">
        <v>0.17199999999999999</v>
      </c>
      <c r="AK224" s="90">
        <v>0.17499999999999999</v>
      </c>
      <c r="AL224" s="37"/>
      <c r="AM224" s="102">
        <v>3.6280000000000001</v>
      </c>
      <c r="AN224" s="110">
        <v>2.3260000000000001</v>
      </c>
      <c r="AO224" s="37"/>
      <c r="AP224" s="35">
        <v>22511</v>
      </c>
      <c r="AQ224" s="35">
        <v>59754</v>
      </c>
      <c r="AR224" s="93">
        <v>1</v>
      </c>
      <c r="AS224" s="93">
        <v>1</v>
      </c>
      <c r="AT224" s="94" t="s">
        <v>3286</v>
      </c>
      <c r="AU224" s="35"/>
      <c r="AV224" s="35">
        <v>1.8471</v>
      </c>
      <c r="AW224" s="35">
        <v>0.96020000000000005</v>
      </c>
      <c r="AX224" s="40"/>
      <c r="AY224" s="40" t="s">
        <v>511</v>
      </c>
      <c r="AZ224" s="40" t="s">
        <v>512</v>
      </c>
      <c r="BA224" s="40" t="s">
        <v>1553</v>
      </c>
      <c r="BB224" s="40" t="s">
        <v>2525</v>
      </c>
      <c r="BC224" s="40"/>
    </row>
    <row r="225" spans="1:55">
      <c r="A225" s="169">
        <v>2.3199999999999998</v>
      </c>
      <c r="B225" s="206">
        <v>2.3199999999999998</v>
      </c>
      <c r="C225" t="s">
        <v>83</v>
      </c>
      <c r="D225" t="s">
        <v>3694</v>
      </c>
      <c r="F225" t="s">
        <v>1579</v>
      </c>
      <c r="G225" t="s">
        <v>1421</v>
      </c>
      <c r="H225" t="s">
        <v>2316</v>
      </c>
      <c r="I225" t="s">
        <v>2475</v>
      </c>
      <c r="J225" t="s">
        <v>2404</v>
      </c>
      <c r="K225" t="s">
        <v>2889</v>
      </c>
      <c r="M225" t="s">
        <v>3362</v>
      </c>
      <c r="N225" t="s">
        <v>83</v>
      </c>
      <c r="O225">
        <v>3</v>
      </c>
      <c r="Q225" t="s">
        <v>3462</v>
      </c>
      <c r="R225" t="s">
        <v>83</v>
      </c>
      <c r="S225">
        <v>2</v>
      </c>
      <c r="U225" t="s">
        <v>3598</v>
      </c>
      <c r="V225" t="s">
        <v>83</v>
      </c>
      <c r="W225">
        <v>2</v>
      </c>
      <c r="Y225">
        <v>20</v>
      </c>
      <c r="Z225">
        <v>96.2</v>
      </c>
      <c r="AA225">
        <v>11</v>
      </c>
      <c r="AB225">
        <v>9</v>
      </c>
      <c r="AC225">
        <v>96.8</v>
      </c>
      <c r="AD225">
        <v>9</v>
      </c>
      <c r="AF225" s="170" t="s">
        <v>83</v>
      </c>
      <c r="AG225" s="171">
        <v>0.43130000000000002</v>
      </c>
      <c r="AH225" s="172">
        <v>3.5750000000000002</v>
      </c>
      <c r="AI225" s="173">
        <v>0.14000000000000001</v>
      </c>
      <c r="AJ225" s="173">
        <v>0.13100000000000001</v>
      </c>
      <c r="AK225" s="173">
        <v>0.14699999999999999</v>
      </c>
      <c r="AL225" s="174"/>
      <c r="AM225" s="173">
        <v>0.104</v>
      </c>
      <c r="AN225" s="173">
        <v>8.6999999999999994E-2</v>
      </c>
      <c r="AO225" s="174"/>
      <c r="AP225" s="171">
        <v>99795</v>
      </c>
      <c r="AQ225" s="171">
        <v>265419</v>
      </c>
      <c r="AR225" s="175">
        <v>1</v>
      </c>
      <c r="AS225" s="175">
        <v>1</v>
      </c>
      <c r="AT225" s="176" t="s">
        <v>3286</v>
      </c>
      <c r="AU225" s="171"/>
      <c r="AV225" s="171">
        <v>1.2297</v>
      </c>
      <c r="AW225" s="171">
        <v>1.2826</v>
      </c>
      <c r="AY225" t="s">
        <v>757</v>
      </c>
      <c r="AZ225" t="s">
        <v>758</v>
      </c>
      <c r="BA225" t="s">
        <v>2318</v>
      </c>
      <c r="BB225" t="s">
        <v>3201</v>
      </c>
    </row>
    <row r="226" spans="1:55">
      <c r="A226" s="169">
        <v>2.3199999999999998</v>
      </c>
      <c r="B226" s="207"/>
      <c r="C226" t="s">
        <v>84</v>
      </c>
      <c r="D226" t="s">
        <v>3694</v>
      </c>
      <c r="F226" t="s">
        <v>1579</v>
      </c>
      <c r="G226" t="s">
        <v>1421</v>
      </c>
      <c r="H226" t="s">
        <v>2322</v>
      </c>
      <c r="I226" t="s">
        <v>2475</v>
      </c>
      <c r="J226" t="s">
        <v>2404</v>
      </c>
      <c r="K226" t="s">
        <v>3205</v>
      </c>
      <c r="M226" t="s">
        <v>3362</v>
      </c>
      <c r="N226" t="s">
        <v>84</v>
      </c>
      <c r="O226">
        <v>3</v>
      </c>
      <c r="Q226" t="s">
        <v>3462</v>
      </c>
      <c r="R226" t="s">
        <v>84</v>
      </c>
      <c r="S226">
        <v>2</v>
      </c>
      <c r="U226" t="s">
        <v>3598</v>
      </c>
      <c r="V226" t="s">
        <v>84</v>
      </c>
      <c r="W226">
        <v>2</v>
      </c>
      <c r="Y226">
        <v>20</v>
      </c>
      <c r="Z226">
        <v>97.3</v>
      </c>
      <c r="AA226">
        <v>8</v>
      </c>
      <c r="AB226">
        <v>9</v>
      </c>
      <c r="AC226">
        <v>94.7</v>
      </c>
      <c r="AD226">
        <v>15</v>
      </c>
      <c r="AF226" s="170" t="s">
        <v>84</v>
      </c>
      <c r="AG226" s="171">
        <v>0.41670000000000001</v>
      </c>
      <c r="AH226" s="172">
        <v>3.5920000000000001</v>
      </c>
      <c r="AI226" s="173">
        <v>0.13500000000000001</v>
      </c>
      <c r="AJ226" s="173">
        <v>0.11799999999999999</v>
      </c>
      <c r="AK226" s="173">
        <v>0.126</v>
      </c>
      <c r="AL226" s="174"/>
      <c r="AM226" s="173">
        <v>0.108</v>
      </c>
      <c r="AN226" s="173">
        <v>7.6999999999999999E-2</v>
      </c>
      <c r="AO226" s="174"/>
      <c r="AP226" s="171">
        <v>139097</v>
      </c>
      <c r="AQ226" s="171">
        <v>243797</v>
      </c>
      <c r="AR226" s="175">
        <v>1</v>
      </c>
      <c r="AS226" s="175">
        <v>1</v>
      </c>
      <c r="AT226" s="176" t="s">
        <v>3286</v>
      </c>
      <c r="AU226" s="171"/>
      <c r="AV226" s="171">
        <v>1.3622000000000001</v>
      </c>
      <c r="AW226" s="171">
        <v>1.3493999999999999</v>
      </c>
      <c r="AY226" t="s">
        <v>789</v>
      </c>
      <c r="AZ226" t="s">
        <v>790</v>
      </c>
      <c r="BA226" t="s">
        <v>2325</v>
      </c>
      <c r="BB226" t="s">
        <v>3208</v>
      </c>
    </row>
    <row r="227" spans="1:55" ht="17" thickBot="1">
      <c r="A227" s="169">
        <v>2.3199999999999998</v>
      </c>
      <c r="B227" s="208"/>
      <c r="C227" t="s">
        <v>85</v>
      </c>
      <c r="D227" t="s">
        <v>3697</v>
      </c>
      <c r="F227" t="s">
        <v>1579</v>
      </c>
      <c r="G227" t="s">
        <v>1421</v>
      </c>
      <c r="H227" t="s">
        <v>2326</v>
      </c>
      <c r="I227" t="s">
        <v>2475</v>
      </c>
      <c r="J227" t="s">
        <v>2404</v>
      </c>
      <c r="K227" t="s">
        <v>3209</v>
      </c>
      <c r="M227" t="s">
        <v>3362</v>
      </c>
      <c r="N227" t="s">
        <v>85</v>
      </c>
      <c r="O227">
        <v>3</v>
      </c>
      <c r="Q227" t="s">
        <v>3492</v>
      </c>
      <c r="R227" t="s">
        <v>85</v>
      </c>
      <c r="S227">
        <v>1</v>
      </c>
      <c r="U227" t="s">
        <v>3643</v>
      </c>
      <c r="V227" t="s">
        <v>85</v>
      </c>
      <c r="W227">
        <v>1</v>
      </c>
      <c r="Y227">
        <v>20</v>
      </c>
      <c r="Z227">
        <v>94.5</v>
      </c>
      <c r="AA227">
        <v>16</v>
      </c>
      <c r="AB227">
        <v>9</v>
      </c>
      <c r="AC227">
        <v>96.5</v>
      </c>
      <c r="AD227">
        <v>10</v>
      </c>
      <c r="AF227" s="170" t="s">
        <v>86</v>
      </c>
      <c r="AG227" s="171">
        <v>0.38150000000000001</v>
      </c>
      <c r="AH227" s="172">
        <v>3.6269999999999998</v>
      </c>
      <c r="AI227" s="173">
        <v>0.18</v>
      </c>
      <c r="AJ227" s="173">
        <v>0.13900000000000001</v>
      </c>
      <c r="AK227" s="173">
        <v>0.13900000000000001</v>
      </c>
      <c r="AL227" s="174"/>
      <c r="AM227" s="173">
        <v>0.126</v>
      </c>
      <c r="AN227" s="173">
        <v>0.1</v>
      </c>
      <c r="AO227" s="174"/>
      <c r="AP227" s="171">
        <v>62118</v>
      </c>
      <c r="AQ227" s="171">
        <v>435988.5</v>
      </c>
      <c r="AR227" s="175">
        <v>1</v>
      </c>
      <c r="AS227" s="175">
        <v>1</v>
      </c>
      <c r="AT227" s="176" t="s">
        <v>3286</v>
      </c>
      <c r="AU227" s="171"/>
      <c r="AV227" s="171">
        <v>2.1816</v>
      </c>
      <c r="AW227" s="171">
        <v>1.9403999999999999</v>
      </c>
      <c r="AY227" t="s">
        <v>1051</v>
      </c>
      <c r="AZ227" t="s">
        <v>1052</v>
      </c>
      <c r="BA227" t="s">
        <v>2328</v>
      </c>
      <c r="BB227" t="s">
        <v>3211</v>
      </c>
    </row>
    <row r="228" spans="1:55">
      <c r="A228" s="168">
        <v>2.33</v>
      </c>
      <c r="B228" s="206">
        <v>2.33</v>
      </c>
      <c r="C228" s="81" t="s">
        <v>88</v>
      </c>
      <c r="D228" s="81" t="s">
        <v>3698</v>
      </c>
      <c r="E228" s="81"/>
      <c r="F228" s="81" t="s">
        <v>1579</v>
      </c>
      <c r="G228" s="81" t="s">
        <v>1428</v>
      </c>
      <c r="H228" s="81" t="s">
        <v>2333</v>
      </c>
      <c r="I228" s="81" t="s">
        <v>2603</v>
      </c>
      <c r="J228" s="81" t="s">
        <v>2404</v>
      </c>
      <c r="K228" s="81" t="s">
        <v>3216</v>
      </c>
      <c r="L228" s="81"/>
      <c r="M228" s="81" t="s">
        <v>3370</v>
      </c>
      <c r="N228" s="81" t="s">
        <v>88</v>
      </c>
      <c r="O228" s="81">
        <v>3</v>
      </c>
      <c r="P228" s="81"/>
      <c r="Q228" s="81" t="s">
        <v>3473</v>
      </c>
      <c r="R228" s="81" t="s">
        <v>88</v>
      </c>
      <c r="S228" s="81">
        <v>3</v>
      </c>
      <c r="T228" s="81"/>
      <c r="U228" s="81" t="s">
        <v>3627</v>
      </c>
      <c r="V228" s="81" t="s">
        <v>88</v>
      </c>
      <c r="W228" s="81">
        <v>2</v>
      </c>
      <c r="X228" s="81"/>
      <c r="Y228" s="81">
        <v>13</v>
      </c>
      <c r="Z228" s="81">
        <v>98.3</v>
      </c>
      <c r="AA228" s="81">
        <v>5</v>
      </c>
      <c r="AB228" s="81">
        <v>10</v>
      </c>
      <c r="AC228" s="81">
        <v>98.6</v>
      </c>
      <c r="AD228" s="81">
        <v>4</v>
      </c>
      <c r="AE228" s="81"/>
      <c r="AF228" s="83" t="s">
        <v>88</v>
      </c>
      <c r="AG228" s="33">
        <v>0.33029999999999998</v>
      </c>
      <c r="AH228" s="104">
        <v>0.54800000000000004</v>
      </c>
      <c r="AI228" s="87">
        <v>0.16</v>
      </c>
      <c r="AJ228" s="104">
        <v>0.46100000000000002</v>
      </c>
      <c r="AK228" s="87">
        <v>0.14799999999999999</v>
      </c>
      <c r="AL228" s="34"/>
      <c r="AM228" s="87">
        <v>0.11799999999999999</v>
      </c>
      <c r="AN228" s="87">
        <v>0.112</v>
      </c>
      <c r="AO228" s="34"/>
      <c r="AP228" s="33">
        <v>82645</v>
      </c>
      <c r="AQ228" s="33">
        <v>320187.5</v>
      </c>
      <c r="AR228" s="88">
        <v>1</v>
      </c>
      <c r="AS228" s="88">
        <v>1</v>
      </c>
      <c r="AT228" s="89" t="s">
        <v>3286</v>
      </c>
      <c r="AU228" s="33"/>
      <c r="AV228" s="33">
        <v>-0.245</v>
      </c>
      <c r="AW228" s="33">
        <v>-6.6199999999999995E-2</v>
      </c>
      <c r="AX228" s="81"/>
      <c r="AY228" s="81" t="s">
        <v>963</v>
      </c>
      <c r="AZ228" s="81" t="s">
        <v>964</v>
      </c>
      <c r="BA228" s="81" t="s">
        <v>2335</v>
      </c>
      <c r="BB228" s="81" t="s">
        <v>3218</v>
      </c>
      <c r="BC228" s="81"/>
    </row>
    <row r="229" spans="1:55">
      <c r="A229" s="169">
        <v>2.33</v>
      </c>
      <c r="B229" s="207"/>
      <c r="C229" t="s">
        <v>89</v>
      </c>
      <c r="D229" t="s">
        <v>3698</v>
      </c>
      <c r="F229" t="s">
        <v>1579</v>
      </c>
      <c r="G229" t="s">
        <v>1428</v>
      </c>
      <c r="H229" t="s">
        <v>2336</v>
      </c>
      <c r="I229" t="s">
        <v>2603</v>
      </c>
      <c r="J229" t="s">
        <v>2404</v>
      </c>
      <c r="K229" t="s">
        <v>3219</v>
      </c>
      <c r="M229" t="s">
        <v>3370</v>
      </c>
      <c r="N229" t="s">
        <v>89</v>
      </c>
      <c r="O229">
        <v>3</v>
      </c>
      <c r="Q229" t="s">
        <v>3473</v>
      </c>
      <c r="R229" t="s">
        <v>89</v>
      </c>
      <c r="S229">
        <v>3</v>
      </c>
      <c r="U229" t="s">
        <v>3627</v>
      </c>
      <c r="V229" t="s">
        <v>89</v>
      </c>
      <c r="W229">
        <v>2</v>
      </c>
      <c r="Y229">
        <v>13</v>
      </c>
      <c r="Z229">
        <v>95.2</v>
      </c>
      <c r="AA229">
        <v>14</v>
      </c>
      <c r="AB229">
        <v>10</v>
      </c>
      <c r="AC229">
        <v>95.8</v>
      </c>
      <c r="AD229">
        <v>12</v>
      </c>
      <c r="AF229" s="170" t="s">
        <v>89</v>
      </c>
      <c r="AG229" s="171">
        <v>5.5140000000000002E-2</v>
      </c>
      <c r="AH229" s="182">
        <v>0.38400000000000001</v>
      </c>
      <c r="AI229" s="173">
        <v>0.11899999999999999</v>
      </c>
      <c r="AJ229" s="182">
        <v>0.41499999999999998</v>
      </c>
      <c r="AK229" s="173">
        <v>0.109</v>
      </c>
      <c r="AL229" s="174"/>
      <c r="AM229" s="173">
        <v>0.123</v>
      </c>
      <c r="AN229" s="173">
        <v>9.1999999999999998E-2</v>
      </c>
      <c r="AO229" s="174"/>
      <c r="AP229" s="171">
        <v>115229.5</v>
      </c>
      <c r="AQ229" s="171">
        <v>996659.5</v>
      </c>
      <c r="AR229" s="175">
        <v>1</v>
      </c>
      <c r="AS229" s="175">
        <v>1</v>
      </c>
      <c r="AT229" s="176" t="s">
        <v>3286</v>
      </c>
      <c r="AU229" s="171"/>
      <c r="AV229" s="171">
        <v>-9.1899999999999996E-2</v>
      </c>
      <c r="AW229" s="171">
        <v>0.34920000000000001</v>
      </c>
      <c r="AY229" t="s">
        <v>978</v>
      </c>
      <c r="AZ229" t="s">
        <v>979</v>
      </c>
      <c r="BA229" t="s">
        <v>2338</v>
      </c>
      <c r="BB229" t="s">
        <v>3221</v>
      </c>
    </row>
    <row r="230" spans="1:55" ht="17" thickBot="1">
      <c r="A230" s="178">
        <v>2.33</v>
      </c>
      <c r="B230" s="208"/>
      <c r="C230" s="40" t="s">
        <v>87</v>
      </c>
      <c r="D230" s="40" t="s">
        <v>3694</v>
      </c>
      <c r="E230" s="40"/>
      <c r="F230" s="40" t="s">
        <v>1579</v>
      </c>
      <c r="G230" s="40" t="s">
        <v>1428</v>
      </c>
      <c r="H230" s="40" t="s">
        <v>2329</v>
      </c>
      <c r="I230" s="40" t="s">
        <v>2603</v>
      </c>
      <c r="J230" s="40" t="s">
        <v>2404</v>
      </c>
      <c r="K230" s="40" t="s">
        <v>3212</v>
      </c>
      <c r="L230" s="40"/>
      <c r="M230" s="40" t="s">
        <v>3370</v>
      </c>
      <c r="N230" s="40" t="s">
        <v>87</v>
      </c>
      <c r="O230" s="40">
        <v>3</v>
      </c>
      <c r="P230" s="40"/>
      <c r="Q230" s="40" t="s">
        <v>3473</v>
      </c>
      <c r="R230" s="40" t="s">
        <v>87</v>
      </c>
      <c r="S230" s="40">
        <v>3</v>
      </c>
      <c r="T230" s="40"/>
      <c r="U230" s="40" t="s">
        <v>3615</v>
      </c>
      <c r="V230" s="40" t="s">
        <v>87</v>
      </c>
      <c r="W230" s="40">
        <v>1</v>
      </c>
      <c r="X230" s="40"/>
      <c r="Y230" s="40">
        <v>13</v>
      </c>
      <c r="Z230" s="40">
        <v>95.5</v>
      </c>
      <c r="AA230" s="40">
        <v>13</v>
      </c>
      <c r="AB230" s="40">
        <v>10</v>
      </c>
      <c r="AC230" s="40">
        <v>95.5</v>
      </c>
      <c r="AD230" s="40">
        <v>13</v>
      </c>
      <c r="AE230" s="40"/>
      <c r="AF230" s="85" t="s">
        <v>87</v>
      </c>
      <c r="AG230" s="35">
        <v>0.4325</v>
      </c>
      <c r="AH230" s="117">
        <v>3.1379999999999999</v>
      </c>
      <c r="AI230" s="90">
        <v>0.13900000000000001</v>
      </c>
      <c r="AJ230" s="90">
        <v>0.20399999999999999</v>
      </c>
      <c r="AK230" s="90">
        <v>0.13300000000000001</v>
      </c>
      <c r="AL230" s="37"/>
      <c r="AM230" s="90">
        <v>0.107</v>
      </c>
      <c r="AN230" s="90">
        <v>0.09</v>
      </c>
      <c r="AO230" s="37"/>
      <c r="AP230" s="35">
        <v>37625</v>
      </c>
      <c r="AQ230" s="35">
        <v>295898.5</v>
      </c>
      <c r="AR230" s="93">
        <v>1</v>
      </c>
      <c r="AS230" s="93">
        <v>1</v>
      </c>
      <c r="AT230" s="94" t="s">
        <v>3286</v>
      </c>
      <c r="AU230" s="35"/>
      <c r="AV230" s="35">
        <v>0.55859999999999999</v>
      </c>
      <c r="AW230" s="35">
        <v>0.3226</v>
      </c>
      <c r="AX230" s="40"/>
      <c r="AY230" s="40" t="s">
        <v>861</v>
      </c>
      <c r="AZ230" s="40" t="s">
        <v>862</v>
      </c>
      <c r="BA230" s="40" t="s">
        <v>2332</v>
      </c>
      <c r="BB230" s="40" t="s">
        <v>3215</v>
      </c>
      <c r="BC230" s="40"/>
    </row>
    <row r="231" spans="1:55">
      <c r="A231" s="169">
        <v>2.34</v>
      </c>
      <c r="B231" s="206">
        <v>2.34</v>
      </c>
      <c r="C231" t="s">
        <v>1036</v>
      </c>
      <c r="D231" t="s">
        <v>3697</v>
      </c>
      <c r="F231" t="s">
        <v>1844</v>
      </c>
      <c r="G231" t="s">
        <v>1421</v>
      </c>
      <c r="H231" t="s">
        <v>1848</v>
      </c>
      <c r="I231" t="s">
        <v>2695</v>
      </c>
      <c r="J231" t="s">
        <v>2773</v>
      </c>
      <c r="K231" t="s">
        <v>2777</v>
      </c>
      <c r="M231" t="s">
        <v>3354</v>
      </c>
      <c r="N231" t="s">
        <v>1036</v>
      </c>
      <c r="O231">
        <v>3</v>
      </c>
      <c r="Q231" t="s">
        <v>3488</v>
      </c>
      <c r="R231" t="s">
        <v>1036</v>
      </c>
      <c r="S231">
        <v>2</v>
      </c>
      <c r="U231" t="s">
        <v>3637</v>
      </c>
      <c r="V231" t="s">
        <v>1036</v>
      </c>
      <c r="W231">
        <v>2</v>
      </c>
      <c r="Y231">
        <v>17</v>
      </c>
      <c r="Z231">
        <v>95.6</v>
      </c>
      <c r="AA231">
        <v>13</v>
      </c>
      <c r="AB231">
        <v>9</v>
      </c>
      <c r="AC231">
        <v>96.1</v>
      </c>
      <c r="AD231">
        <v>11</v>
      </c>
      <c r="AF231" s="170" t="s">
        <v>245</v>
      </c>
      <c r="AG231" s="171">
        <v>0.48309999999999997</v>
      </c>
      <c r="AH231" s="172">
        <v>3.6030000000000002</v>
      </c>
      <c r="AI231" s="172">
        <v>3.5750000000000002</v>
      </c>
      <c r="AJ231" s="172">
        <v>3.585</v>
      </c>
      <c r="AK231" s="173">
        <v>0.16700000000000001</v>
      </c>
      <c r="AL231" s="174"/>
      <c r="AM231" s="172">
        <v>3.5209999999999999</v>
      </c>
      <c r="AN231" s="177">
        <v>2.38</v>
      </c>
      <c r="AO231" s="174"/>
      <c r="AP231" s="171">
        <v>8061.5</v>
      </c>
      <c r="AQ231" s="171">
        <v>47124.5</v>
      </c>
      <c r="AR231" s="175">
        <v>0</v>
      </c>
      <c r="AS231" s="175">
        <v>1</v>
      </c>
      <c r="AT231" s="176" t="s">
        <v>3286</v>
      </c>
      <c r="AU231" s="171"/>
      <c r="AV231" s="171">
        <v>4.7100000000000003E-2</v>
      </c>
      <c r="AW231" s="171">
        <v>0.5323</v>
      </c>
      <c r="AY231" t="s">
        <v>1037</v>
      </c>
      <c r="AZ231" t="s">
        <v>1038</v>
      </c>
      <c r="BA231" t="s">
        <v>1850</v>
      </c>
      <c r="BB231" t="s">
        <v>2779</v>
      </c>
    </row>
    <row r="232" spans="1:55">
      <c r="A232" s="169">
        <v>2.34</v>
      </c>
      <c r="B232" s="207"/>
      <c r="C232" t="s">
        <v>244</v>
      </c>
      <c r="D232" t="s">
        <v>3697</v>
      </c>
      <c r="F232" t="s">
        <v>1844</v>
      </c>
      <c r="G232" t="s">
        <v>1421</v>
      </c>
      <c r="H232" t="s">
        <v>1848</v>
      </c>
      <c r="I232" t="s">
        <v>2695</v>
      </c>
      <c r="J232" t="s">
        <v>2773</v>
      </c>
      <c r="K232" t="s">
        <v>2777</v>
      </c>
      <c r="M232" t="s">
        <v>3354</v>
      </c>
      <c r="N232" t="s">
        <v>244</v>
      </c>
      <c r="O232">
        <v>3</v>
      </c>
      <c r="Q232" t="s">
        <v>3488</v>
      </c>
      <c r="R232" t="s">
        <v>244</v>
      </c>
      <c r="S232">
        <v>2</v>
      </c>
      <c r="U232" t="s">
        <v>3637</v>
      </c>
      <c r="V232" t="s">
        <v>244</v>
      </c>
      <c r="W232">
        <v>2</v>
      </c>
      <c r="Y232">
        <v>17</v>
      </c>
      <c r="Z232">
        <v>95.6</v>
      </c>
      <c r="AA232">
        <v>13</v>
      </c>
      <c r="AB232">
        <v>9</v>
      </c>
      <c r="AC232">
        <v>96.1</v>
      </c>
      <c r="AD232">
        <v>11</v>
      </c>
      <c r="AF232" s="170" t="s">
        <v>245</v>
      </c>
      <c r="AG232" s="171">
        <v>0.48309999999999997</v>
      </c>
      <c r="AH232" s="172">
        <v>3.6030000000000002</v>
      </c>
      <c r="AI232" s="172">
        <v>3.5750000000000002</v>
      </c>
      <c r="AJ232" s="172">
        <v>3.585</v>
      </c>
      <c r="AK232" s="173">
        <v>0.16700000000000001</v>
      </c>
      <c r="AL232" s="174"/>
      <c r="AM232" s="172">
        <v>3.5209999999999999</v>
      </c>
      <c r="AN232" s="177">
        <v>2.38</v>
      </c>
      <c r="AO232" s="174"/>
      <c r="AP232" s="171">
        <v>8061.5</v>
      </c>
      <c r="AQ232" s="171">
        <v>47124.5</v>
      </c>
      <c r="AR232" s="175">
        <v>0</v>
      </c>
      <c r="AS232" s="175">
        <v>1</v>
      </c>
      <c r="AT232" s="176" t="s">
        <v>3286</v>
      </c>
      <c r="AU232" s="171"/>
      <c r="AV232" s="171">
        <v>4.7100000000000003E-2</v>
      </c>
      <c r="AW232" s="171">
        <v>0.5323</v>
      </c>
      <c r="AY232" t="s">
        <v>1037</v>
      </c>
      <c r="AZ232" t="s">
        <v>1038</v>
      </c>
      <c r="BA232" t="s">
        <v>1850</v>
      </c>
      <c r="BB232" t="s">
        <v>2779</v>
      </c>
    </row>
    <row r="233" spans="1:55" ht="17" thickBot="1">
      <c r="A233" s="169">
        <v>2.34</v>
      </c>
      <c r="B233" s="208"/>
      <c r="C233" t="s">
        <v>243</v>
      </c>
      <c r="D233" t="s">
        <v>3694</v>
      </c>
      <c r="F233" t="s">
        <v>1844</v>
      </c>
      <c r="G233" t="s">
        <v>1421</v>
      </c>
      <c r="H233" t="s">
        <v>1845</v>
      </c>
      <c r="I233" t="s">
        <v>2695</v>
      </c>
      <c r="J233" t="s">
        <v>2773</v>
      </c>
      <c r="K233" t="s">
        <v>2774</v>
      </c>
      <c r="M233" t="s">
        <v>3354</v>
      </c>
      <c r="N233" t="s">
        <v>243</v>
      </c>
      <c r="O233">
        <v>3</v>
      </c>
      <c r="Q233" t="s">
        <v>3447</v>
      </c>
      <c r="R233" t="s">
        <v>243</v>
      </c>
      <c r="S233">
        <v>1</v>
      </c>
      <c r="U233" t="s">
        <v>3579</v>
      </c>
      <c r="V233" t="s">
        <v>243</v>
      </c>
      <c r="W233">
        <v>1</v>
      </c>
      <c r="Y233">
        <v>17</v>
      </c>
      <c r="Z233">
        <v>93</v>
      </c>
      <c r="AA233">
        <v>21</v>
      </c>
      <c r="AB233">
        <v>9</v>
      </c>
      <c r="AC233">
        <v>94.1</v>
      </c>
      <c r="AD233">
        <v>17</v>
      </c>
      <c r="AF233" s="170" t="s">
        <v>243</v>
      </c>
      <c r="AG233" s="171">
        <v>0.50139999999999996</v>
      </c>
      <c r="AH233" s="183">
        <v>3.5259999999999998</v>
      </c>
      <c r="AI233" s="183">
        <v>3.52</v>
      </c>
      <c r="AJ233" s="183">
        <v>3.5630000000000002</v>
      </c>
      <c r="AK233" s="188">
        <v>0.16900000000000001</v>
      </c>
      <c r="AL233" s="185"/>
      <c r="AM233" s="172">
        <v>3.496</v>
      </c>
      <c r="AN233" s="177">
        <v>2.524</v>
      </c>
      <c r="AO233" s="174"/>
      <c r="AP233" s="171">
        <v>3715</v>
      </c>
      <c r="AQ233" s="171">
        <v>40641</v>
      </c>
      <c r="AR233" s="175">
        <v>0</v>
      </c>
      <c r="AS233" s="175">
        <v>1</v>
      </c>
      <c r="AT233" s="176" t="s">
        <v>3286</v>
      </c>
      <c r="AU233" s="171"/>
      <c r="AV233" s="171">
        <v>0.11749999999999999</v>
      </c>
      <c r="AW233" s="171">
        <v>0.22320000000000001</v>
      </c>
      <c r="AY233" t="s">
        <v>682</v>
      </c>
      <c r="AZ233" t="s">
        <v>683</v>
      </c>
      <c r="BA233" t="s">
        <v>1847</v>
      </c>
      <c r="BB233" t="s">
        <v>2776</v>
      </c>
    </row>
    <row r="234" spans="1:55">
      <c r="A234" s="168">
        <v>2.35</v>
      </c>
      <c r="B234" s="206">
        <v>2.35</v>
      </c>
      <c r="C234" s="81" t="s">
        <v>246</v>
      </c>
      <c r="D234" s="81" t="s">
        <v>3694</v>
      </c>
      <c r="E234" s="81"/>
      <c r="F234" s="81" t="s">
        <v>1558</v>
      </c>
      <c r="G234" s="81" t="s">
        <v>1413</v>
      </c>
      <c r="H234" s="81" t="s">
        <v>1855</v>
      </c>
      <c r="I234" s="81" t="s">
        <v>2475</v>
      </c>
      <c r="J234" s="81" t="s">
        <v>2411</v>
      </c>
      <c r="K234" s="81" t="s">
        <v>2782</v>
      </c>
      <c r="L234" s="81"/>
      <c r="M234" s="81" t="s">
        <v>3352</v>
      </c>
      <c r="N234" s="81" t="s">
        <v>246</v>
      </c>
      <c r="O234" s="81">
        <v>3</v>
      </c>
      <c r="P234" s="81"/>
      <c r="Q234" s="81" t="s">
        <v>3443</v>
      </c>
      <c r="R234" s="81" t="s">
        <v>246</v>
      </c>
      <c r="S234" s="81">
        <v>2</v>
      </c>
      <c r="T234" s="81"/>
      <c r="U234" s="81" t="s">
        <v>3575</v>
      </c>
      <c r="V234" s="81" t="s">
        <v>246</v>
      </c>
      <c r="W234" s="81">
        <v>2</v>
      </c>
      <c r="X234" s="81"/>
      <c r="Y234" s="81">
        <v>20</v>
      </c>
      <c r="Z234" s="81">
        <v>92.5</v>
      </c>
      <c r="AA234" s="81">
        <v>22</v>
      </c>
      <c r="AB234" s="81">
        <v>9</v>
      </c>
      <c r="AC234" s="81">
        <v>94.7</v>
      </c>
      <c r="AD234" s="81">
        <v>15</v>
      </c>
      <c r="AE234" s="81"/>
      <c r="AF234" s="83" t="s">
        <v>246</v>
      </c>
      <c r="AG234" s="33">
        <v>0.30559999999999998</v>
      </c>
      <c r="AH234" s="100">
        <v>3.6520000000000001</v>
      </c>
      <c r="AI234" s="100">
        <v>3.609</v>
      </c>
      <c r="AJ234" s="87">
        <v>0.11899999999999999</v>
      </c>
      <c r="AK234" s="87">
        <v>0.13400000000000001</v>
      </c>
      <c r="AL234" s="34"/>
      <c r="AM234" s="100">
        <v>3.6110000000000002</v>
      </c>
      <c r="AN234" s="100">
        <v>2.4209999999999998</v>
      </c>
      <c r="AO234" s="34"/>
      <c r="AP234" s="33">
        <v>286194</v>
      </c>
      <c r="AQ234" s="33">
        <v>80312.5</v>
      </c>
      <c r="AR234" s="88">
        <v>1</v>
      </c>
      <c r="AS234" s="88">
        <v>1</v>
      </c>
      <c r="AT234" s="89" t="s">
        <v>3285</v>
      </c>
      <c r="AU234" s="33"/>
      <c r="AV234" s="33">
        <v>1.8586</v>
      </c>
      <c r="AW234" s="33">
        <v>1.3115000000000001</v>
      </c>
      <c r="AX234" s="81"/>
      <c r="AY234" s="81" t="s">
        <v>839</v>
      </c>
      <c r="AZ234" s="81" t="s">
        <v>840</v>
      </c>
      <c r="BA234" s="81" t="s">
        <v>1858</v>
      </c>
      <c r="BB234" s="81" t="s">
        <v>2785</v>
      </c>
      <c r="BC234" s="81"/>
    </row>
    <row r="235" spans="1:55">
      <c r="A235" s="169">
        <v>2.35</v>
      </c>
      <c r="B235" s="207"/>
      <c r="C235" t="s">
        <v>247</v>
      </c>
      <c r="D235" t="s">
        <v>3694</v>
      </c>
      <c r="F235" t="s">
        <v>1558</v>
      </c>
      <c r="G235" t="s">
        <v>1413</v>
      </c>
      <c r="H235" t="s">
        <v>1855</v>
      </c>
      <c r="I235" t="s">
        <v>2475</v>
      </c>
      <c r="J235" t="s">
        <v>2411</v>
      </c>
      <c r="K235" t="s">
        <v>2782</v>
      </c>
      <c r="M235" t="s">
        <v>3352</v>
      </c>
      <c r="N235" t="s">
        <v>247</v>
      </c>
      <c r="O235">
        <v>3</v>
      </c>
      <c r="Q235" t="s">
        <v>3443</v>
      </c>
      <c r="R235" t="s">
        <v>247</v>
      </c>
      <c r="S235">
        <v>2</v>
      </c>
      <c r="U235" t="s">
        <v>3575</v>
      </c>
      <c r="V235" t="s">
        <v>247</v>
      </c>
      <c r="W235">
        <v>2</v>
      </c>
      <c r="Y235">
        <v>20</v>
      </c>
      <c r="Z235">
        <v>92.2</v>
      </c>
      <c r="AA235">
        <v>23</v>
      </c>
      <c r="AB235">
        <v>9</v>
      </c>
      <c r="AC235">
        <v>94</v>
      </c>
      <c r="AD235">
        <v>17</v>
      </c>
      <c r="AF235" s="170" t="s">
        <v>247</v>
      </c>
      <c r="AG235" s="171">
        <v>0.32319999999999999</v>
      </c>
      <c r="AH235" s="183">
        <v>3.5529999999999999</v>
      </c>
      <c r="AI235" s="183">
        <v>3.532</v>
      </c>
      <c r="AJ235" s="188">
        <v>0.12</v>
      </c>
      <c r="AK235" s="188">
        <v>0.13100000000000001</v>
      </c>
      <c r="AL235" s="185"/>
      <c r="AM235" s="172">
        <v>3.5150000000000001</v>
      </c>
      <c r="AN235" s="177">
        <v>2.448</v>
      </c>
      <c r="AO235" s="174"/>
      <c r="AP235" s="171">
        <v>142098</v>
      </c>
      <c r="AQ235" s="171">
        <v>131387.5</v>
      </c>
      <c r="AR235" s="175">
        <v>1</v>
      </c>
      <c r="AS235" s="175">
        <v>1</v>
      </c>
      <c r="AT235" s="176" t="s">
        <v>3289</v>
      </c>
      <c r="AU235" s="171"/>
      <c r="AV235" s="171">
        <v>2.5590999999999999</v>
      </c>
      <c r="AW235" s="171">
        <v>2.6745000000000001</v>
      </c>
      <c r="AY235" t="s">
        <v>662</v>
      </c>
      <c r="AZ235" t="s">
        <v>663</v>
      </c>
      <c r="BA235" t="s">
        <v>1859</v>
      </c>
      <c r="BB235" t="s">
        <v>2786</v>
      </c>
    </row>
    <row r="236" spans="1:55" ht="17" thickBot="1">
      <c r="A236" s="178">
        <v>2.35</v>
      </c>
      <c r="B236" s="208"/>
      <c r="C236" s="40" t="s">
        <v>248</v>
      </c>
      <c r="D236" s="40" t="s">
        <v>3697</v>
      </c>
      <c r="E236" s="40"/>
      <c r="F236" s="40" t="s">
        <v>1558</v>
      </c>
      <c r="G236" s="40" t="s">
        <v>1413</v>
      </c>
      <c r="H236" s="40" t="s">
        <v>1860</v>
      </c>
      <c r="I236" s="40" t="s">
        <v>2475</v>
      </c>
      <c r="J236" s="40" t="s">
        <v>2411</v>
      </c>
      <c r="K236" s="40" t="s">
        <v>2787</v>
      </c>
      <c r="L236" s="40"/>
      <c r="M236" s="40" t="s">
        <v>3352</v>
      </c>
      <c r="N236" s="40" t="s">
        <v>248</v>
      </c>
      <c r="O236" s="40">
        <v>3</v>
      </c>
      <c r="P236" s="40"/>
      <c r="Q236" s="40" t="s">
        <v>3490</v>
      </c>
      <c r="R236" s="40" t="s">
        <v>248</v>
      </c>
      <c r="S236" s="40">
        <v>1</v>
      </c>
      <c r="T236" s="40"/>
      <c r="U236" s="40" t="s">
        <v>3641</v>
      </c>
      <c r="V236" s="40" t="s">
        <v>248</v>
      </c>
      <c r="W236" s="40">
        <v>1</v>
      </c>
      <c r="X236" s="40"/>
      <c r="Y236" s="40">
        <v>20</v>
      </c>
      <c r="Z236" s="40">
        <v>93.5</v>
      </c>
      <c r="AA236" s="40">
        <v>19</v>
      </c>
      <c r="AB236" s="40">
        <v>9</v>
      </c>
      <c r="AC236" s="40">
        <v>94.7</v>
      </c>
      <c r="AD236" s="40">
        <v>15</v>
      </c>
      <c r="AE236" s="40"/>
      <c r="AF236" s="85" t="s">
        <v>249</v>
      </c>
      <c r="AG236" s="35">
        <v>0.29959999999999998</v>
      </c>
      <c r="AH236" s="102">
        <v>3.5670000000000002</v>
      </c>
      <c r="AI236" s="102">
        <v>3.4889999999999999</v>
      </c>
      <c r="AJ236" s="90">
        <v>0.30299999999999999</v>
      </c>
      <c r="AK236" s="90">
        <v>0.13300000000000001</v>
      </c>
      <c r="AL236" s="37"/>
      <c r="AM236" s="102">
        <v>3.5449999999999999</v>
      </c>
      <c r="AN236" s="117">
        <v>2.2509999999999999</v>
      </c>
      <c r="AO236" s="37"/>
      <c r="AP236" s="35">
        <v>15184.5</v>
      </c>
      <c r="AQ236" s="35">
        <v>110050</v>
      </c>
      <c r="AR236" s="93">
        <v>1</v>
      </c>
      <c r="AS236" s="93">
        <v>1</v>
      </c>
      <c r="AT236" s="94" t="s">
        <v>3286</v>
      </c>
      <c r="AU236" s="35"/>
      <c r="AV236" s="35">
        <v>-7.3700000000000002E-2</v>
      </c>
      <c r="AW236" s="35">
        <v>-3.4599999999999999E-2</v>
      </c>
      <c r="AX236" s="40"/>
      <c r="AY236" s="40" t="s">
        <v>1047</v>
      </c>
      <c r="AZ236" s="40" t="s">
        <v>1048</v>
      </c>
      <c r="BA236" s="40" t="s">
        <v>1862</v>
      </c>
      <c r="BB236" s="40" t="s">
        <v>2789</v>
      </c>
      <c r="BC236" s="40"/>
    </row>
    <row r="237" spans="1:55">
      <c r="A237" s="168">
        <v>2.36</v>
      </c>
      <c r="B237" s="206">
        <v>2.36</v>
      </c>
      <c r="C237" s="81" t="s">
        <v>227</v>
      </c>
      <c r="D237" s="81" t="s">
        <v>3694</v>
      </c>
      <c r="E237" s="81"/>
      <c r="F237" s="81" t="s">
        <v>1427</v>
      </c>
      <c r="G237" s="81" t="s">
        <v>1767</v>
      </c>
      <c r="H237" s="81" t="s">
        <v>1799</v>
      </c>
      <c r="I237" s="81" t="s">
        <v>2451</v>
      </c>
      <c r="J237" s="81" t="s">
        <v>2411</v>
      </c>
      <c r="K237" s="81" t="s">
        <v>2740</v>
      </c>
      <c r="L237" s="81"/>
      <c r="M237" s="81" t="s">
        <v>3350</v>
      </c>
      <c r="N237" s="81" t="s">
        <v>227</v>
      </c>
      <c r="O237" s="81">
        <v>3</v>
      </c>
      <c r="P237" s="81"/>
      <c r="Q237" s="81" t="s">
        <v>3441</v>
      </c>
      <c r="R237" s="81" t="s">
        <v>227</v>
      </c>
      <c r="S237" s="81">
        <v>2</v>
      </c>
      <c r="T237" s="81"/>
      <c r="U237" s="81" t="s">
        <v>3573</v>
      </c>
      <c r="V237" s="81" t="s">
        <v>227</v>
      </c>
      <c r="W237" s="81">
        <v>2</v>
      </c>
      <c r="X237" s="81"/>
      <c r="Y237" s="81">
        <v>18</v>
      </c>
      <c r="Z237" s="81">
        <v>95.3</v>
      </c>
      <c r="AA237" s="81">
        <v>14</v>
      </c>
      <c r="AB237" s="81">
        <v>10</v>
      </c>
      <c r="AC237" s="81">
        <v>98.3</v>
      </c>
      <c r="AD237" s="81">
        <v>5</v>
      </c>
      <c r="AE237" s="81"/>
      <c r="AF237" s="83" t="s">
        <v>227</v>
      </c>
      <c r="AG237" s="33">
        <v>0.2455</v>
      </c>
      <c r="AH237" s="100">
        <v>3.5510000000000002</v>
      </c>
      <c r="AI237" s="106">
        <v>1.5940000000000001</v>
      </c>
      <c r="AJ237" s="87">
        <v>0.13800000000000001</v>
      </c>
      <c r="AK237" s="87">
        <v>0.128</v>
      </c>
      <c r="AL237" s="34"/>
      <c r="AM237" s="100">
        <v>3.552</v>
      </c>
      <c r="AN237" s="100">
        <v>2.399</v>
      </c>
      <c r="AO237" s="34"/>
      <c r="AP237" s="33">
        <v>181073</v>
      </c>
      <c r="AQ237" s="33">
        <v>72461</v>
      </c>
      <c r="AR237" s="88">
        <v>1</v>
      </c>
      <c r="AS237" s="88">
        <v>1</v>
      </c>
      <c r="AT237" s="89" t="s">
        <v>3285</v>
      </c>
      <c r="AU237" s="33"/>
      <c r="AV237" s="33">
        <v>1.5587</v>
      </c>
      <c r="AW237" s="33">
        <v>1.2090000000000001</v>
      </c>
      <c r="AX237" s="81"/>
      <c r="AY237" s="81" t="s">
        <v>817</v>
      </c>
      <c r="AZ237" s="81" t="s">
        <v>818</v>
      </c>
      <c r="BA237" s="81" t="s">
        <v>1802</v>
      </c>
      <c r="BB237" s="81" t="s">
        <v>2742</v>
      </c>
      <c r="BC237" s="81"/>
    </row>
    <row r="238" spans="1:55">
      <c r="A238" s="169">
        <v>2.36</v>
      </c>
      <c r="B238" s="207"/>
      <c r="C238" t="s">
        <v>228</v>
      </c>
      <c r="D238" t="s">
        <v>3694</v>
      </c>
      <c r="F238" t="s">
        <v>1427</v>
      </c>
      <c r="G238" t="s">
        <v>1767</v>
      </c>
      <c r="H238" t="s">
        <v>1803</v>
      </c>
      <c r="I238" t="s">
        <v>2451</v>
      </c>
      <c r="J238" t="s">
        <v>2411</v>
      </c>
      <c r="K238" t="s">
        <v>2743</v>
      </c>
      <c r="M238" t="s">
        <v>3350</v>
      </c>
      <c r="N238" t="s">
        <v>228</v>
      </c>
      <c r="O238">
        <v>3</v>
      </c>
      <c r="Q238" t="s">
        <v>3441</v>
      </c>
      <c r="R238" t="s">
        <v>228</v>
      </c>
      <c r="S238">
        <v>2</v>
      </c>
      <c r="U238" t="s">
        <v>3573</v>
      </c>
      <c r="V238" t="s">
        <v>228</v>
      </c>
      <c r="W238">
        <v>2</v>
      </c>
      <c r="Y238">
        <v>18</v>
      </c>
      <c r="Z238">
        <v>96.6</v>
      </c>
      <c r="AA238">
        <v>10</v>
      </c>
      <c r="AB238">
        <v>10</v>
      </c>
      <c r="AC238">
        <v>98.6</v>
      </c>
      <c r="AD238">
        <v>4</v>
      </c>
      <c r="AF238" s="170" t="s">
        <v>228</v>
      </c>
      <c r="AG238" s="171">
        <v>0.15559999999999999</v>
      </c>
      <c r="AH238" s="183">
        <v>3.58</v>
      </c>
      <c r="AI238" s="187">
        <v>0.60699999999999998</v>
      </c>
      <c r="AJ238" s="189">
        <v>0.80100000000000005</v>
      </c>
      <c r="AK238" s="188">
        <v>0.13</v>
      </c>
      <c r="AL238" s="185"/>
      <c r="AM238" s="172">
        <v>3.5659999999999998</v>
      </c>
      <c r="AN238" s="172">
        <v>2.6269999999999998</v>
      </c>
      <c r="AO238" s="174"/>
      <c r="AP238" s="171">
        <v>122847.5</v>
      </c>
      <c r="AQ238" s="171">
        <v>127866</v>
      </c>
      <c r="AR238" s="175">
        <v>1</v>
      </c>
      <c r="AS238" s="175">
        <v>1</v>
      </c>
      <c r="AT238" s="176" t="s">
        <v>3289</v>
      </c>
      <c r="AU238" s="171"/>
      <c r="AV238" s="171">
        <v>2.1103000000000001</v>
      </c>
      <c r="AW238" s="171">
        <v>2.2625999999999999</v>
      </c>
      <c r="AY238" t="s">
        <v>656</v>
      </c>
      <c r="AZ238" t="s">
        <v>657</v>
      </c>
      <c r="BA238" t="s">
        <v>1805</v>
      </c>
      <c r="BB238" t="s">
        <v>2745</v>
      </c>
    </row>
    <row r="239" spans="1:55" ht="17" thickBot="1">
      <c r="A239" s="178">
        <v>2.36</v>
      </c>
      <c r="B239" s="208"/>
      <c r="C239" s="40" t="s">
        <v>229</v>
      </c>
      <c r="D239" s="40" t="s">
        <v>3698</v>
      </c>
      <c r="E239" s="40"/>
      <c r="F239" s="40" t="s">
        <v>1427</v>
      </c>
      <c r="G239" s="40" t="s">
        <v>1767</v>
      </c>
      <c r="H239" s="40" t="s">
        <v>1806</v>
      </c>
      <c r="I239" s="40" t="s">
        <v>2451</v>
      </c>
      <c r="J239" s="40" t="s">
        <v>2411</v>
      </c>
      <c r="K239" s="40" t="s">
        <v>2746</v>
      </c>
      <c r="L239" s="40"/>
      <c r="M239" s="40" t="s">
        <v>3371</v>
      </c>
      <c r="N239" s="40" t="s">
        <v>229</v>
      </c>
      <c r="O239" s="40">
        <v>3</v>
      </c>
      <c r="P239" s="40"/>
      <c r="Q239" s="40" t="s">
        <v>3475</v>
      </c>
      <c r="R239" s="40" t="s">
        <v>229</v>
      </c>
      <c r="S239" s="40">
        <v>1</v>
      </c>
      <c r="T239" s="40"/>
      <c r="U239" s="40" t="s">
        <v>3618</v>
      </c>
      <c r="V239" s="40" t="s">
        <v>229</v>
      </c>
      <c r="W239" s="40">
        <v>1</v>
      </c>
      <c r="X239" s="40"/>
      <c r="Y239" s="40">
        <v>18</v>
      </c>
      <c r="Z239" s="40">
        <v>94.3</v>
      </c>
      <c r="AA239" s="40">
        <v>17</v>
      </c>
      <c r="AB239" s="40">
        <v>9</v>
      </c>
      <c r="AC239" s="40">
        <v>96.1</v>
      </c>
      <c r="AD239" s="40">
        <v>11</v>
      </c>
      <c r="AE239" s="40"/>
      <c r="AF239" s="85" t="s">
        <v>229</v>
      </c>
      <c r="AG239" s="35">
        <v>7.3400000000000007E-2</v>
      </c>
      <c r="AH239" s="102">
        <v>3.5739999999999998</v>
      </c>
      <c r="AI239" s="99">
        <v>0.68700000000000006</v>
      </c>
      <c r="AJ239" s="90">
        <v>0.124</v>
      </c>
      <c r="AK239" s="90">
        <v>0.11899999999999999</v>
      </c>
      <c r="AL239" s="37"/>
      <c r="AM239" s="102">
        <v>3.5619999999999998</v>
      </c>
      <c r="AN239" s="110">
        <v>2.3660000000000001</v>
      </c>
      <c r="AO239" s="37"/>
      <c r="AP239" s="35">
        <v>146638</v>
      </c>
      <c r="AQ239" s="35">
        <v>270302</v>
      </c>
      <c r="AR239" s="93">
        <v>1</v>
      </c>
      <c r="AS239" s="93">
        <v>1</v>
      </c>
      <c r="AT239" s="94" t="s">
        <v>3286</v>
      </c>
      <c r="AU239" s="35"/>
      <c r="AV239" s="35">
        <v>2.4148000000000001</v>
      </c>
      <c r="AW239" s="35">
        <v>2.3231999999999999</v>
      </c>
      <c r="AX239" s="40"/>
      <c r="AY239" s="40" t="s">
        <v>937</v>
      </c>
      <c r="AZ239" s="40" t="s">
        <v>938</v>
      </c>
      <c r="BA239" s="40" t="s">
        <v>1808</v>
      </c>
      <c r="BB239" s="40" t="s">
        <v>2748</v>
      </c>
      <c r="BC239" s="40"/>
    </row>
    <row r="240" spans="1:55">
      <c r="A240" s="169">
        <v>2.37</v>
      </c>
      <c r="B240" s="206">
        <v>2.37</v>
      </c>
      <c r="C240" t="s">
        <v>90</v>
      </c>
      <c r="D240" t="s">
        <v>3697</v>
      </c>
      <c r="F240" t="s">
        <v>1729</v>
      </c>
      <c r="G240" t="s">
        <v>1413</v>
      </c>
      <c r="H240" t="s">
        <v>2339</v>
      </c>
      <c r="I240" t="s">
        <v>2603</v>
      </c>
      <c r="J240" t="s">
        <v>2404</v>
      </c>
      <c r="K240" t="s">
        <v>3222</v>
      </c>
      <c r="M240" t="s">
        <v>3309</v>
      </c>
      <c r="N240" t="s">
        <v>90</v>
      </c>
      <c r="O240">
        <v>2</v>
      </c>
      <c r="Q240" t="s">
        <v>3389</v>
      </c>
      <c r="R240" t="s">
        <v>90</v>
      </c>
      <c r="S240">
        <v>2</v>
      </c>
      <c r="U240" t="s">
        <v>3513</v>
      </c>
      <c r="V240" t="s">
        <v>90</v>
      </c>
      <c r="W240">
        <v>2</v>
      </c>
      <c r="Y240">
        <v>14</v>
      </c>
      <c r="Z240">
        <v>97.4</v>
      </c>
      <c r="AA240">
        <v>7</v>
      </c>
      <c r="AB240">
        <v>9</v>
      </c>
      <c r="AC240">
        <v>98.9</v>
      </c>
      <c r="AD240">
        <v>3</v>
      </c>
      <c r="AF240" s="170" t="s">
        <v>90</v>
      </c>
      <c r="AG240" s="171">
        <v>0.31719999999999998</v>
      </c>
      <c r="AH240" s="172">
        <v>3.4910000000000001</v>
      </c>
      <c r="AI240" s="172">
        <v>3.4729999999999999</v>
      </c>
      <c r="AJ240" s="172">
        <v>3.556</v>
      </c>
      <c r="AK240" s="173">
        <v>0.188</v>
      </c>
      <c r="AL240" s="174"/>
      <c r="AM240" s="173">
        <v>9.7000000000000003E-2</v>
      </c>
      <c r="AN240" s="173">
        <v>8.2000000000000003E-2</v>
      </c>
      <c r="AO240" s="174"/>
      <c r="AP240" s="171">
        <v>49618.5</v>
      </c>
      <c r="AQ240" s="171">
        <v>2287.5</v>
      </c>
      <c r="AR240" s="175">
        <v>1</v>
      </c>
      <c r="AS240" s="175">
        <v>0</v>
      </c>
      <c r="AT240" s="176" t="s">
        <v>3285</v>
      </c>
      <c r="AU240" s="171"/>
      <c r="AV240" s="171">
        <v>-2.76E-2</v>
      </c>
      <c r="AW240" s="171">
        <v>-1.04E-2</v>
      </c>
      <c r="AY240" t="s">
        <v>903</v>
      </c>
      <c r="AZ240" t="s">
        <v>904</v>
      </c>
      <c r="BA240" t="s">
        <v>2342</v>
      </c>
      <c r="BB240" t="s">
        <v>3224</v>
      </c>
    </row>
    <row r="241" spans="1:55" ht="17" thickBot="1">
      <c r="A241" s="169">
        <v>2.37</v>
      </c>
      <c r="B241" s="208"/>
      <c r="C241" t="s">
        <v>91</v>
      </c>
      <c r="D241" t="s">
        <v>3694</v>
      </c>
      <c r="F241" t="s">
        <v>1729</v>
      </c>
      <c r="G241" t="s">
        <v>1413</v>
      </c>
      <c r="H241" t="s">
        <v>2343</v>
      </c>
      <c r="I241" t="s">
        <v>2603</v>
      </c>
      <c r="J241" t="s">
        <v>2404</v>
      </c>
      <c r="K241" t="s">
        <v>3138</v>
      </c>
      <c r="M241" t="s">
        <v>3309</v>
      </c>
      <c r="N241" t="s">
        <v>91</v>
      </c>
      <c r="O241">
        <v>2</v>
      </c>
      <c r="Q241" t="s">
        <v>3389</v>
      </c>
      <c r="R241" t="s">
        <v>91</v>
      </c>
      <c r="S241">
        <v>2</v>
      </c>
      <c r="U241" t="s">
        <v>3513</v>
      </c>
      <c r="V241" t="s">
        <v>91</v>
      </c>
      <c r="W241">
        <v>2</v>
      </c>
      <c r="Y241">
        <v>14</v>
      </c>
      <c r="Z241">
        <v>92.5</v>
      </c>
      <c r="AA241">
        <v>22</v>
      </c>
      <c r="AB241">
        <v>9</v>
      </c>
      <c r="AC241">
        <v>93.1</v>
      </c>
      <c r="AD241">
        <v>20</v>
      </c>
      <c r="AF241" s="170" t="s">
        <v>91</v>
      </c>
      <c r="AG241" s="171">
        <v>0.30790000000000001</v>
      </c>
      <c r="AH241" s="172">
        <v>3.63</v>
      </c>
      <c r="AI241" s="172">
        <v>3.5609999999999999</v>
      </c>
      <c r="AJ241" s="172">
        <v>3.6240000000000001</v>
      </c>
      <c r="AK241" s="173">
        <v>0.19</v>
      </c>
      <c r="AL241" s="174"/>
      <c r="AM241" s="173">
        <v>0.13400000000000001</v>
      </c>
      <c r="AN241" s="173">
        <v>0.10299999999999999</v>
      </c>
      <c r="AO241" s="174"/>
      <c r="AP241" s="171">
        <v>38420</v>
      </c>
      <c r="AQ241" s="171">
        <v>1659</v>
      </c>
      <c r="AR241" s="175">
        <v>1</v>
      </c>
      <c r="AS241" s="175">
        <v>0</v>
      </c>
      <c r="AT241" s="176" t="s">
        <v>3285</v>
      </c>
      <c r="AU241" s="171"/>
      <c r="AV241" s="171">
        <v>-0.24479999999999999</v>
      </c>
      <c r="AW241" s="171">
        <v>-9.4899999999999998E-2</v>
      </c>
      <c r="AY241" t="s">
        <v>710</v>
      </c>
      <c r="AZ241" t="s">
        <v>711</v>
      </c>
      <c r="BA241" t="s">
        <v>2345</v>
      </c>
      <c r="BB241" t="s">
        <v>3226</v>
      </c>
    </row>
    <row r="242" spans="1:55">
      <c r="A242" s="168">
        <v>2.38</v>
      </c>
      <c r="B242" s="206">
        <v>2.38</v>
      </c>
      <c r="C242" s="81" t="s">
        <v>250</v>
      </c>
      <c r="D242" s="81" t="s">
        <v>3694</v>
      </c>
      <c r="E242" s="81"/>
      <c r="F242" s="81" t="s">
        <v>1729</v>
      </c>
      <c r="G242" s="81" t="s">
        <v>1413</v>
      </c>
      <c r="H242" s="81" t="s">
        <v>1863</v>
      </c>
      <c r="I242" s="81" t="s">
        <v>2603</v>
      </c>
      <c r="J242" s="81" t="s">
        <v>2460</v>
      </c>
      <c r="K242" s="81" t="s">
        <v>2790</v>
      </c>
      <c r="L242" s="81"/>
      <c r="M242" s="81" t="s">
        <v>3355</v>
      </c>
      <c r="N242" s="81" t="s">
        <v>250</v>
      </c>
      <c r="O242" s="81">
        <v>2</v>
      </c>
      <c r="P242" s="81"/>
      <c r="Q242" s="81" t="s">
        <v>3448</v>
      </c>
      <c r="R242" s="81" t="s">
        <v>250</v>
      </c>
      <c r="S242" s="81">
        <v>1</v>
      </c>
      <c r="T242" s="81"/>
      <c r="U242" s="81" t="s">
        <v>3580</v>
      </c>
      <c r="V242" s="81" t="s">
        <v>250</v>
      </c>
      <c r="W242" s="81">
        <v>1</v>
      </c>
      <c r="X242" s="81"/>
      <c r="Y242" s="81">
        <v>14</v>
      </c>
      <c r="Z242" s="81">
        <v>97.6</v>
      </c>
      <c r="AA242" s="81">
        <v>7</v>
      </c>
      <c r="AB242" s="81">
        <v>10</v>
      </c>
      <c r="AC242" s="81">
        <v>97.9</v>
      </c>
      <c r="AD242" s="81">
        <v>6</v>
      </c>
      <c r="AE242" s="81"/>
      <c r="AF242" s="83" t="s">
        <v>250</v>
      </c>
      <c r="AG242" s="33">
        <v>2.9489999999999999E-2</v>
      </c>
      <c r="AH242" s="111">
        <v>3.5640000000000001</v>
      </c>
      <c r="AI242" s="111">
        <v>3.54</v>
      </c>
      <c r="AJ242" s="111">
        <v>3.6619999999999999</v>
      </c>
      <c r="AK242" s="112">
        <v>0.17299999999999999</v>
      </c>
      <c r="AL242" s="39"/>
      <c r="AM242" s="87">
        <v>0.126</v>
      </c>
      <c r="AN242" s="87">
        <v>9.9000000000000005E-2</v>
      </c>
      <c r="AO242" s="34"/>
      <c r="AP242" s="33">
        <v>3047</v>
      </c>
      <c r="AQ242" s="33">
        <v>1803</v>
      </c>
      <c r="AR242" s="88">
        <v>0</v>
      </c>
      <c r="AS242" s="88">
        <v>0</v>
      </c>
      <c r="AT242" s="89" t="s">
        <v>3285</v>
      </c>
      <c r="AU242" s="33"/>
      <c r="AV242" s="33">
        <v>-0.1404</v>
      </c>
      <c r="AW242" s="33">
        <v>-7.0099999999999996E-2</v>
      </c>
      <c r="AX242" s="81"/>
      <c r="AY242" s="81" t="s">
        <v>688</v>
      </c>
      <c r="AZ242" s="81" t="s">
        <v>689</v>
      </c>
      <c r="BA242" s="81" t="s">
        <v>1865</v>
      </c>
      <c r="BB242" s="81" t="s">
        <v>2792</v>
      </c>
      <c r="BC242" s="81"/>
    </row>
    <row r="243" spans="1:55" ht="17" thickBot="1">
      <c r="A243" s="178">
        <v>2.38</v>
      </c>
      <c r="B243" s="208"/>
      <c r="C243" s="40" t="s">
        <v>251</v>
      </c>
      <c r="D243" s="40" t="s">
        <v>3697</v>
      </c>
      <c r="E243" s="40"/>
      <c r="F243" s="40" t="s">
        <v>1729</v>
      </c>
      <c r="G243" s="40" t="s">
        <v>1413</v>
      </c>
      <c r="H243" s="40" t="s">
        <v>1866</v>
      </c>
      <c r="I243" s="40" t="s">
        <v>2603</v>
      </c>
      <c r="J243" s="40" t="s">
        <v>2460</v>
      </c>
      <c r="K243" s="40" t="s">
        <v>2793</v>
      </c>
      <c r="L243" s="40"/>
      <c r="M243" s="40" t="s">
        <v>3355</v>
      </c>
      <c r="N243" s="40" t="s">
        <v>251</v>
      </c>
      <c r="O243" s="40">
        <v>2</v>
      </c>
      <c r="P243" s="40"/>
      <c r="Q243" s="40" t="s">
        <v>3485</v>
      </c>
      <c r="R243" s="40" t="s">
        <v>251</v>
      </c>
      <c r="S243" s="40">
        <v>1</v>
      </c>
      <c r="T243" s="40"/>
      <c r="U243" s="40" t="s">
        <v>3634</v>
      </c>
      <c r="V243" s="40" t="s">
        <v>251</v>
      </c>
      <c r="W243" s="40">
        <v>1</v>
      </c>
      <c r="X243" s="40"/>
      <c r="Y243" s="40">
        <v>14</v>
      </c>
      <c r="Z243" s="40">
        <v>94.9</v>
      </c>
      <c r="AA243" s="40">
        <v>15</v>
      </c>
      <c r="AB243" s="40">
        <v>9</v>
      </c>
      <c r="AC243" s="40">
        <v>98.6</v>
      </c>
      <c r="AD243" s="40">
        <v>4</v>
      </c>
      <c r="AE243" s="40"/>
      <c r="AF243" s="85" t="s">
        <v>252</v>
      </c>
      <c r="AG243" s="35">
        <v>0.51359999999999995</v>
      </c>
      <c r="AH243" s="102">
        <v>3.5720000000000001</v>
      </c>
      <c r="AI243" s="102">
        <v>3.5350000000000001</v>
      </c>
      <c r="AJ243" s="102">
        <v>3.6179999999999999</v>
      </c>
      <c r="AK243" s="90">
        <v>0.29599999999999999</v>
      </c>
      <c r="AL243" s="37"/>
      <c r="AM243" s="90">
        <v>0.11899999999999999</v>
      </c>
      <c r="AN243" s="90">
        <v>0.114</v>
      </c>
      <c r="AO243" s="37"/>
      <c r="AP243" s="35">
        <v>14093.5</v>
      </c>
      <c r="AQ243" s="35">
        <v>2175.5</v>
      </c>
      <c r="AR243" s="93">
        <v>1</v>
      </c>
      <c r="AS243" s="93">
        <v>0</v>
      </c>
      <c r="AT243" s="94" t="s">
        <v>3285</v>
      </c>
      <c r="AU243" s="35"/>
      <c r="AV243" s="35">
        <v>-9.2200000000000004E-2</v>
      </c>
      <c r="AW243" s="35">
        <v>-7.6499999999999999E-2</v>
      </c>
      <c r="AX243" s="40"/>
      <c r="AY243" s="40" t="s">
        <v>1030</v>
      </c>
      <c r="AZ243" s="40" t="s">
        <v>1031</v>
      </c>
      <c r="BA243" s="40" t="s">
        <v>1868</v>
      </c>
      <c r="BB243" s="40" t="s">
        <v>2795</v>
      </c>
      <c r="BC243" s="40"/>
    </row>
    <row r="244" spans="1:55">
      <c r="A244" s="169">
        <v>2.39</v>
      </c>
      <c r="B244" s="206">
        <v>2.39</v>
      </c>
      <c r="C244" t="s">
        <v>253</v>
      </c>
      <c r="D244" t="s">
        <v>3694</v>
      </c>
      <c r="F244" t="s">
        <v>1869</v>
      </c>
      <c r="G244" t="s">
        <v>1413</v>
      </c>
      <c r="H244" t="s">
        <v>1870</v>
      </c>
      <c r="I244" t="s">
        <v>2796</v>
      </c>
      <c r="J244" t="s">
        <v>2452</v>
      </c>
      <c r="K244" t="s">
        <v>2797</v>
      </c>
      <c r="M244" t="s">
        <v>3346</v>
      </c>
      <c r="N244" t="s">
        <v>253</v>
      </c>
      <c r="O244">
        <v>2</v>
      </c>
      <c r="Q244" t="s">
        <v>3436</v>
      </c>
      <c r="R244" t="s">
        <v>253</v>
      </c>
      <c r="S244">
        <v>1</v>
      </c>
      <c r="U244" t="s">
        <v>3566</v>
      </c>
      <c r="V244" t="s">
        <v>253</v>
      </c>
      <c r="W244">
        <v>1</v>
      </c>
      <c r="Y244">
        <v>13</v>
      </c>
      <c r="Z244">
        <v>96.2</v>
      </c>
      <c r="AA244">
        <v>11</v>
      </c>
      <c r="AB244">
        <v>9</v>
      </c>
      <c r="AC244">
        <v>99</v>
      </c>
      <c r="AD244">
        <v>3</v>
      </c>
      <c r="AF244" s="170" t="s">
        <v>253</v>
      </c>
      <c r="AG244" s="171">
        <v>0.1588</v>
      </c>
      <c r="AH244" s="183">
        <v>3.633</v>
      </c>
      <c r="AI244" s="183">
        <v>3.5760000000000001</v>
      </c>
      <c r="AJ244" s="183">
        <v>3.6779999999999999</v>
      </c>
      <c r="AK244" s="188">
        <v>0.17799999999999999</v>
      </c>
      <c r="AL244" s="185"/>
      <c r="AM244" s="173">
        <v>0.108</v>
      </c>
      <c r="AN244" s="173">
        <v>8.5999999999999993E-2</v>
      </c>
      <c r="AO244" s="174"/>
      <c r="AP244" s="171">
        <v>69212</v>
      </c>
      <c r="AQ244" s="171">
        <v>2535</v>
      </c>
      <c r="AR244" s="175">
        <v>1</v>
      </c>
      <c r="AS244" s="175">
        <v>0</v>
      </c>
      <c r="AT244" s="176" t="s">
        <v>3285</v>
      </c>
      <c r="AU244" s="171"/>
      <c r="AV244" s="171">
        <v>-0.16239999999999999</v>
      </c>
      <c r="AW244" s="171">
        <v>-3.44E-2</v>
      </c>
      <c r="AY244" t="s">
        <v>633</v>
      </c>
      <c r="AZ244" t="s">
        <v>634</v>
      </c>
      <c r="BA244" t="s">
        <v>1872</v>
      </c>
      <c r="BB244" t="s">
        <v>2799</v>
      </c>
    </row>
    <row r="245" spans="1:55" ht="17" thickBot="1">
      <c r="A245" s="169">
        <v>2.39</v>
      </c>
      <c r="B245" s="208"/>
      <c r="C245" t="s">
        <v>254</v>
      </c>
      <c r="D245" t="s">
        <v>3698</v>
      </c>
      <c r="F245" t="s">
        <v>1869</v>
      </c>
      <c r="G245" t="s">
        <v>1413</v>
      </c>
      <c r="H245" t="s">
        <v>1873</v>
      </c>
      <c r="I245" t="s">
        <v>2796</v>
      </c>
      <c r="J245" t="s">
        <v>2452</v>
      </c>
      <c r="K245" t="s">
        <v>2800</v>
      </c>
      <c r="M245" t="s">
        <v>3346</v>
      </c>
      <c r="N245" t="s">
        <v>254</v>
      </c>
      <c r="O245">
        <v>2</v>
      </c>
      <c r="Q245" t="s">
        <v>3477</v>
      </c>
      <c r="R245" t="s">
        <v>254</v>
      </c>
      <c r="S245">
        <v>1</v>
      </c>
      <c r="U245" t="s">
        <v>3620</v>
      </c>
      <c r="V245" t="s">
        <v>254</v>
      </c>
      <c r="W245">
        <v>1</v>
      </c>
      <c r="Y245">
        <v>13</v>
      </c>
      <c r="Z245">
        <v>96.6</v>
      </c>
      <c r="AA245">
        <v>10</v>
      </c>
      <c r="AB245">
        <v>9</v>
      </c>
      <c r="AC245">
        <v>97.7</v>
      </c>
      <c r="AD245">
        <v>7</v>
      </c>
      <c r="AF245" s="170" t="s">
        <v>254</v>
      </c>
      <c r="AG245" s="171">
        <v>7.0989999999999998E-2</v>
      </c>
      <c r="AH245" s="172">
        <v>3.5209999999999999</v>
      </c>
      <c r="AI245" s="172">
        <v>3.556</v>
      </c>
      <c r="AJ245" s="172">
        <v>3.4820000000000002</v>
      </c>
      <c r="AK245" s="173">
        <v>0.125</v>
      </c>
      <c r="AL245" s="174"/>
      <c r="AM245" s="173">
        <v>0.11899999999999999</v>
      </c>
      <c r="AN245" s="173">
        <v>9.9000000000000005E-2</v>
      </c>
      <c r="AO245" s="174"/>
      <c r="AP245" s="171">
        <v>110438</v>
      </c>
      <c r="AQ245" s="171">
        <v>2453.5</v>
      </c>
      <c r="AR245" s="175">
        <v>1</v>
      </c>
      <c r="AS245" s="175">
        <v>0</v>
      </c>
      <c r="AT245" s="176" t="s">
        <v>3285</v>
      </c>
      <c r="AU245" s="171"/>
      <c r="AV245" s="171">
        <v>-8.7900000000000006E-2</v>
      </c>
      <c r="AW245" s="171">
        <v>-6.0199999999999997E-2</v>
      </c>
      <c r="AY245" t="s">
        <v>943</v>
      </c>
      <c r="AZ245" t="s">
        <v>944</v>
      </c>
      <c r="BA245" t="s">
        <v>1875</v>
      </c>
      <c r="BB245" t="s">
        <v>2802</v>
      </c>
    </row>
    <row r="246" spans="1:55">
      <c r="A246" s="168">
        <v>2.4</v>
      </c>
      <c r="B246" s="206">
        <v>2.4</v>
      </c>
      <c r="C246" s="81" t="s">
        <v>255</v>
      </c>
      <c r="D246" s="81" t="s">
        <v>3694</v>
      </c>
      <c r="E246" s="81"/>
      <c r="F246" s="81" t="s">
        <v>1876</v>
      </c>
      <c r="G246" s="81" t="s">
        <v>1428</v>
      </c>
      <c r="H246" s="81" t="s">
        <v>1877</v>
      </c>
      <c r="I246" s="81" t="s">
        <v>2695</v>
      </c>
      <c r="J246" s="81" t="s">
        <v>2452</v>
      </c>
      <c r="K246" s="81" t="s">
        <v>2749</v>
      </c>
      <c r="L246" s="81"/>
      <c r="M246" s="81" t="s">
        <v>3353</v>
      </c>
      <c r="N246" s="81" t="s">
        <v>255</v>
      </c>
      <c r="O246" s="81">
        <v>2</v>
      </c>
      <c r="P246" s="81"/>
      <c r="Q246" s="81" t="s">
        <v>3444</v>
      </c>
      <c r="R246" s="81" t="s">
        <v>255</v>
      </c>
      <c r="S246" s="81">
        <v>1</v>
      </c>
      <c r="T246" s="81"/>
      <c r="U246" s="81" t="s">
        <v>3576</v>
      </c>
      <c r="V246" s="81" t="s">
        <v>255</v>
      </c>
      <c r="W246" s="81">
        <v>1</v>
      </c>
      <c r="X246" s="81"/>
      <c r="Y246" s="81">
        <v>14</v>
      </c>
      <c r="Z246" s="81">
        <v>95.9</v>
      </c>
      <c r="AA246" s="81">
        <v>12</v>
      </c>
      <c r="AB246" s="81">
        <v>9</v>
      </c>
      <c r="AC246" s="81">
        <v>99.3</v>
      </c>
      <c r="AD246" s="81">
        <v>2</v>
      </c>
      <c r="AE246" s="81"/>
      <c r="AF246" s="83" t="s">
        <v>255</v>
      </c>
      <c r="AG246" s="33">
        <v>0.40200000000000002</v>
      </c>
      <c r="AH246" s="111">
        <v>3.5990000000000002</v>
      </c>
      <c r="AI246" s="122">
        <v>3.3239999999999998</v>
      </c>
      <c r="AJ246" s="111">
        <v>3.569</v>
      </c>
      <c r="AK246" s="112">
        <v>0.161</v>
      </c>
      <c r="AL246" s="39"/>
      <c r="AM246" s="100">
        <v>3.4980000000000002</v>
      </c>
      <c r="AN246" s="114">
        <v>2.3290000000000002</v>
      </c>
      <c r="AO246" s="34"/>
      <c r="AP246" s="33">
        <v>14029.5</v>
      </c>
      <c r="AQ246" s="33">
        <v>45997</v>
      </c>
      <c r="AR246" s="88">
        <v>1</v>
      </c>
      <c r="AS246" s="88">
        <v>1</v>
      </c>
      <c r="AT246" s="89" t="s">
        <v>3286</v>
      </c>
      <c r="AU246" s="33"/>
      <c r="AV246" s="33">
        <v>4.8300000000000003E-2</v>
      </c>
      <c r="AW246" s="33">
        <v>2.1000000000000001E-2</v>
      </c>
      <c r="AX246" s="81"/>
      <c r="AY246" s="81" t="s">
        <v>666</v>
      </c>
      <c r="AZ246" s="81" t="s">
        <v>667</v>
      </c>
      <c r="BA246" s="81" t="s">
        <v>1879</v>
      </c>
      <c r="BB246" s="81" t="s">
        <v>2803</v>
      </c>
      <c r="BC246" s="81"/>
    </row>
    <row r="247" spans="1:55" ht="17" thickBot="1">
      <c r="A247" s="178">
        <v>2.4</v>
      </c>
      <c r="B247" s="208"/>
      <c r="C247" s="40" t="s">
        <v>256</v>
      </c>
      <c r="D247" s="40" t="s">
        <v>3697</v>
      </c>
      <c r="E247" s="40"/>
      <c r="F247" s="40" t="s">
        <v>1876</v>
      </c>
      <c r="G247" s="40" t="s">
        <v>1428</v>
      </c>
      <c r="H247" s="40" t="s">
        <v>1880</v>
      </c>
      <c r="I247" s="40" t="s">
        <v>2695</v>
      </c>
      <c r="J247" s="40" t="s">
        <v>2452</v>
      </c>
      <c r="K247" s="40" t="s">
        <v>2749</v>
      </c>
      <c r="L247" s="40"/>
      <c r="M247" s="40" t="s">
        <v>3353</v>
      </c>
      <c r="N247" s="40" t="s">
        <v>256</v>
      </c>
      <c r="O247" s="40">
        <v>2</v>
      </c>
      <c r="P247" s="40"/>
      <c r="Q247" s="40" t="s">
        <v>3491</v>
      </c>
      <c r="R247" s="40" t="s">
        <v>256</v>
      </c>
      <c r="S247" s="40">
        <v>1</v>
      </c>
      <c r="T247" s="40"/>
      <c r="U247" s="40" t="s">
        <v>3642</v>
      </c>
      <c r="V247" s="40" t="s">
        <v>256</v>
      </c>
      <c r="W247" s="40">
        <v>1</v>
      </c>
      <c r="X247" s="40"/>
      <c r="Y247" s="40">
        <v>14</v>
      </c>
      <c r="Z247" s="40">
        <v>96.2</v>
      </c>
      <c r="AA247" s="40">
        <v>11</v>
      </c>
      <c r="AB247" s="40">
        <v>9</v>
      </c>
      <c r="AC247" s="40">
        <v>95.1</v>
      </c>
      <c r="AD247" s="40">
        <v>14</v>
      </c>
      <c r="AE247" s="40"/>
      <c r="AF247" s="85" t="s">
        <v>257</v>
      </c>
      <c r="AG247" s="35">
        <v>0.27800000000000002</v>
      </c>
      <c r="AH247" s="102">
        <v>3.63</v>
      </c>
      <c r="AI247" s="102">
        <v>3.5710000000000002</v>
      </c>
      <c r="AJ247" s="102">
        <v>3.6110000000000002</v>
      </c>
      <c r="AK247" s="90">
        <v>0.13</v>
      </c>
      <c r="AL247" s="37"/>
      <c r="AM247" s="102">
        <v>3.57</v>
      </c>
      <c r="AN247" s="110">
        <v>2.3410000000000002</v>
      </c>
      <c r="AO247" s="37"/>
      <c r="AP247" s="35">
        <v>19755</v>
      </c>
      <c r="AQ247" s="35">
        <v>107593</v>
      </c>
      <c r="AR247" s="93">
        <v>1</v>
      </c>
      <c r="AS247" s="93">
        <v>1</v>
      </c>
      <c r="AT247" s="94" t="s">
        <v>3286</v>
      </c>
      <c r="AU247" s="35"/>
      <c r="AV247" s="35">
        <v>-6.4299999999999996E-2</v>
      </c>
      <c r="AW247" s="35">
        <v>-3.6999999999999998E-2</v>
      </c>
      <c r="AX247" s="40"/>
      <c r="AY247" s="40" t="s">
        <v>1049</v>
      </c>
      <c r="AZ247" s="40" t="s">
        <v>1050</v>
      </c>
      <c r="BA247" s="40" t="s">
        <v>1882</v>
      </c>
      <c r="BB247" s="40" t="s">
        <v>2805</v>
      </c>
      <c r="BC247" s="40"/>
    </row>
    <row r="248" spans="1:55">
      <c r="A248" s="169">
        <v>2.41</v>
      </c>
      <c r="B248" s="206">
        <v>2.41</v>
      </c>
      <c r="C248" t="s">
        <v>258</v>
      </c>
      <c r="D248" t="s">
        <v>3694</v>
      </c>
      <c r="F248" t="s">
        <v>1642</v>
      </c>
      <c r="G248" t="s">
        <v>1413</v>
      </c>
      <c r="H248" t="s">
        <v>1883</v>
      </c>
      <c r="I248" t="s">
        <v>2451</v>
      </c>
      <c r="J248" t="s">
        <v>2452</v>
      </c>
      <c r="K248" t="s">
        <v>2806</v>
      </c>
      <c r="M248" t="s">
        <v>3363</v>
      </c>
      <c r="N248" t="s">
        <v>258</v>
      </c>
      <c r="O248">
        <v>2</v>
      </c>
      <c r="Q248" t="s">
        <v>3463</v>
      </c>
      <c r="R248" t="s">
        <v>258</v>
      </c>
      <c r="S248">
        <v>1</v>
      </c>
      <c r="U248" t="s">
        <v>3599</v>
      </c>
      <c r="V248" t="s">
        <v>258</v>
      </c>
      <c r="W248">
        <v>1</v>
      </c>
      <c r="Y248">
        <v>12</v>
      </c>
      <c r="Z248">
        <v>95.5</v>
      </c>
      <c r="AA248">
        <v>13</v>
      </c>
      <c r="AB248">
        <v>8</v>
      </c>
      <c r="AC248">
        <v>95.1</v>
      </c>
      <c r="AD248">
        <v>14</v>
      </c>
      <c r="AF248" s="170" t="s">
        <v>258</v>
      </c>
      <c r="AG248" s="171">
        <v>0.14180000000000001</v>
      </c>
      <c r="AH248" s="172">
        <v>3.6349999999999998</v>
      </c>
      <c r="AI248" s="173">
        <v>0.11799999999999999</v>
      </c>
      <c r="AJ248" s="173">
        <v>0.11</v>
      </c>
      <c r="AK248" s="173">
        <v>0.113</v>
      </c>
      <c r="AL248" s="174"/>
      <c r="AM248" s="172">
        <v>3.5910000000000002</v>
      </c>
      <c r="AN248" s="177">
        <v>2.302</v>
      </c>
      <c r="AO248" s="174"/>
      <c r="AP248" s="171">
        <v>147715.5</v>
      </c>
      <c r="AQ248" s="171">
        <v>195087</v>
      </c>
      <c r="AR248" s="175">
        <v>1</v>
      </c>
      <c r="AS248" s="175">
        <v>1</v>
      </c>
      <c r="AT248" s="176" t="s">
        <v>3286</v>
      </c>
      <c r="AU248" s="171"/>
      <c r="AV248" s="171">
        <v>1.9471000000000001</v>
      </c>
      <c r="AW248" s="171">
        <v>1.4337</v>
      </c>
      <c r="AY248" t="s">
        <v>759</v>
      </c>
      <c r="AZ248" t="s">
        <v>760</v>
      </c>
      <c r="BA248" t="s">
        <v>1885</v>
      </c>
      <c r="BB248" t="s">
        <v>2809</v>
      </c>
    </row>
    <row r="249" spans="1:55" ht="17" thickBot="1">
      <c r="A249" s="169">
        <v>2.41</v>
      </c>
      <c r="B249" s="208"/>
      <c r="C249" t="s">
        <v>259</v>
      </c>
      <c r="D249" t="s">
        <v>3697</v>
      </c>
      <c r="F249" t="s">
        <v>1642</v>
      </c>
      <c r="G249" t="s">
        <v>1413</v>
      </c>
      <c r="H249" t="s">
        <v>1889</v>
      </c>
      <c r="I249" t="s">
        <v>2451</v>
      </c>
      <c r="J249" t="s">
        <v>2452</v>
      </c>
      <c r="K249" t="s">
        <v>2811</v>
      </c>
      <c r="M249" t="s">
        <v>3363</v>
      </c>
      <c r="N249" t="s">
        <v>259</v>
      </c>
      <c r="O249">
        <v>2</v>
      </c>
      <c r="Q249" t="s">
        <v>3484</v>
      </c>
      <c r="R249" t="s">
        <v>259</v>
      </c>
      <c r="S249">
        <v>1</v>
      </c>
      <c r="U249" t="s">
        <v>3633</v>
      </c>
      <c r="V249" t="s">
        <v>259</v>
      </c>
      <c r="W249">
        <v>1</v>
      </c>
      <c r="Y249">
        <v>12</v>
      </c>
      <c r="Z249">
        <v>92.8</v>
      </c>
      <c r="AA249">
        <v>21</v>
      </c>
      <c r="AB249">
        <v>9</v>
      </c>
      <c r="AC249">
        <v>96.1</v>
      </c>
      <c r="AD249">
        <v>11</v>
      </c>
      <c r="AF249" s="170" t="s">
        <v>260</v>
      </c>
      <c r="AG249" s="171">
        <v>0.14399999999999999</v>
      </c>
      <c r="AH249" s="172">
        <v>3.6469999999999998</v>
      </c>
      <c r="AI249" s="173">
        <v>0.17299999999999999</v>
      </c>
      <c r="AJ249" s="173">
        <v>0.151</v>
      </c>
      <c r="AK249" s="173">
        <v>0.186</v>
      </c>
      <c r="AL249" s="174"/>
      <c r="AM249" s="172">
        <v>3.581</v>
      </c>
      <c r="AN249" s="172">
        <v>2.585</v>
      </c>
      <c r="AO249" s="174"/>
      <c r="AP249" s="171">
        <v>300156.5</v>
      </c>
      <c r="AQ249" s="171">
        <v>216962</v>
      </c>
      <c r="AR249" s="175">
        <v>1</v>
      </c>
      <c r="AS249" s="175">
        <v>1</v>
      </c>
      <c r="AT249" s="176" t="s">
        <v>3285</v>
      </c>
      <c r="AU249" s="171"/>
      <c r="AV249" s="171">
        <v>1.8786</v>
      </c>
      <c r="AW249" s="171">
        <v>1.9224000000000001</v>
      </c>
      <c r="AY249" t="s">
        <v>1028</v>
      </c>
      <c r="AZ249" t="s">
        <v>1029</v>
      </c>
      <c r="BA249" t="s">
        <v>1891</v>
      </c>
      <c r="BB249" t="s">
        <v>2813</v>
      </c>
    </row>
    <row r="250" spans="1:55">
      <c r="A250" s="168">
        <v>2.42</v>
      </c>
      <c r="B250" s="206">
        <v>2.42</v>
      </c>
      <c r="C250" s="81" t="s">
        <v>261</v>
      </c>
      <c r="D250" s="81" t="s">
        <v>3694</v>
      </c>
      <c r="E250" s="81"/>
      <c r="F250" s="81" t="s">
        <v>1892</v>
      </c>
      <c r="G250" s="81" t="s">
        <v>1428</v>
      </c>
      <c r="H250" s="81" t="s">
        <v>1893</v>
      </c>
      <c r="I250" s="81" t="s">
        <v>2499</v>
      </c>
      <c r="J250" s="81" t="s">
        <v>2433</v>
      </c>
      <c r="K250" s="81" t="s">
        <v>2814</v>
      </c>
      <c r="L250" s="81"/>
      <c r="M250" s="81" t="s">
        <v>3332</v>
      </c>
      <c r="N250" s="81" t="s">
        <v>261</v>
      </c>
      <c r="O250" s="81">
        <v>2</v>
      </c>
      <c r="P250" s="81"/>
      <c r="Q250" s="81" t="s">
        <v>3418</v>
      </c>
      <c r="R250" s="81" t="s">
        <v>261</v>
      </c>
      <c r="S250" s="81">
        <v>1</v>
      </c>
      <c r="T250" s="81"/>
      <c r="U250" s="81" t="s">
        <v>3544</v>
      </c>
      <c r="V250" s="81" t="s">
        <v>261</v>
      </c>
      <c r="W250" s="81">
        <v>1</v>
      </c>
      <c r="X250" s="81"/>
      <c r="Y250" s="81">
        <v>10</v>
      </c>
      <c r="Z250" s="81">
        <v>97.7</v>
      </c>
      <c r="AA250" s="81">
        <v>7</v>
      </c>
      <c r="AB250" s="81">
        <v>11</v>
      </c>
      <c r="AC250" s="81">
        <v>98</v>
      </c>
      <c r="AD250" s="81">
        <v>6</v>
      </c>
      <c r="AE250" s="81"/>
      <c r="AF250" s="83" t="s">
        <v>261</v>
      </c>
      <c r="AG250" s="33">
        <v>0.20979999999999999</v>
      </c>
      <c r="AH250" s="100">
        <v>3.589</v>
      </c>
      <c r="AI250" s="87">
        <v>0.13900000000000001</v>
      </c>
      <c r="AJ250" s="87">
        <v>0.12</v>
      </c>
      <c r="AK250" s="87">
        <v>0.126</v>
      </c>
      <c r="AL250" s="34"/>
      <c r="AM250" s="100">
        <v>3.532</v>
      </c>
      <c r="AN250" s="100">
        <v>2.4849999999999999</v>
      </c>
      <c r="AO250" s="34"/>
      <c r="AP250" s="33">
        <v>55383</v>
      </c>
      <c r="AQ250" s="33">
        <v>2901</v>
      </c>
      <c r="AR250" s="88">
        <v>1</v>
      </c>
      <c r="AS250" s="88">
        <v>0</v>
      </c>
      <c r="AT250" s="89" t="s">
        <v>3285</v>
      </c>
      <c r="AU250" s="33"/>
      <c r="AV250" s="33">
        <v>-0.13100000000000001</v>
      </c>
      <c r="AW250" s="33">
        <v>-9.3399999999999997E-2</v>
      </c>
      <c r="AX250" s="81"/>
      <c r="AY250" s="81" t="s">
        <v>550</v>
      </c>
      <c r="AZ250" s="81" t="s">
        <v>551</v>
      </c>
      <c r="BA250" s="81" t="s">
        <v>1895</v>
      </c>
      <c r="BB250" s="81" t="s">
        <v>2816</v>
      </c>
      <c r="BC250" s="81"/>
    </row>
    <row r="251" spans="1:55" ht="17" thickBot="1">
      <c r="A251" s="178">
        <v>2.42</v>
      </c>
      <c r="B251" s="208"/>
      <c r="C251" s="40" t="s">
        <v>262</v>
      </c>
      <c r="D251" s="40" t="s">
        <v>3707</v>
      </c>
      <c r="E251" s="40"/>
      <c r="F251" s="40" t="s">
        <v>1892</v>
      </c>
      <c r="G251" s="40" t="s">
        <v>1428</v>
      </c>
      <c r="H251" s="40" t="s">
        <v>1896</v>
      </c>
      <c r="I251" s="40" t="s">
        <v>2499</v>
      </c>
      <c r="J251" s="40" t="s">
        <v>2433</v>
      </c>
      <c r="K251" s="40" t="s">
        <v>2817</v>
      </c>
      <c r="L251" s="40"/>
      <c r="M251" s="40" t="s">
        <v>3332</v>
      </c>
      <c r="N251" s="40" t="s">
        <v>262</v>
      </c>
      <c r="O251" s="40">
        <v>2</v>
      </c>
      <c r="P251" s="40"/>
      <c r="Q251" s="40" t="s">
        <v>3502</v>
      </c>
      <c r="R251" s="40" t="s">
        <v>262</v>
      </c>
      <c r="S251" s="40">
        <v>1</v>
      </c>
      <c r="T251" s="40"/>
      <c r="U251" s="40" t="s">
        <v>3664</v>
      </c>
      <c r="V251" s="40" t="s">
        <v>262</v>
      </c>
      <c r="W251" s="40">
        <v>1</v>
      </c>
      <c r="X251" s="40"/>
      <c r="Y251" s="40">
        <v>10</v>
      </c>
      <c r="Z251" s="40">
        <v>93</v>
      </c>
      <c r="AA251" s="40">
        <v>21</v>
      </c>
      <c r="AB251" s="40">
        <v>12</v>
      </c>
      <c r="AC251" s="40">
        <v>97.3</v>
      </c>
      <c r="AD251" s="40">
        <v>8</v>
      </c>
      <c r="AE251" s="40"/>
      <c r="AF251" s="85" t="s">
        <v>262</v>
      </c>
      <c r="AG251" s="35">
        <v>1.277E-2</v>
      </c>
      <c r="AH251" s="90">
        <v>0.11899999999999999</v>
      </c>
      <c r="AI251" s="90">
        <v>0.129</v>
      </c>
      <c r="AJ251" s="90">
        <v>0.122</v>
      </c>
      <c r="AK251" s="90">
        <v>0.13600000000000001</v>
      </c>
      <c r="AL251" s="37"/>
      <c r="AM251" s="90">
        <v>0.126</v>
      </c>
      <c r="AN251" s="90">
        <v>9.4E-2</v>
      </c>
      <c r="AO251" s="37"/>
      <c r="AP251" s="35">
        <v>3083</v>
      </c>
      <c r="AQ251" s="35">
        <v>2399</v>
      </c>
      <c r="AR251" s="93">
        <v>0</v>
      </c>
      <c r="AS251" s="93">
        <v>0</v>
      </c>
      <c r="AT251" s="94" t="s">
        <v>3285</v>
      </c>
      <c r="AU251" s="35"/>
      <c r="AV251" s="35">
        <v>-8.1900000000000001E-2</v>
      </c>
      <c r="AW251" s="35">
        <v>-9.9699999999999997E-2</v>
      </c>
      <c r="AX251" s="40"/>
      <c r="AY251" s="40" t="s">
        <v>986</v>
      </c>
      <c r="AZ251" s="40" t="s">
        <v>987</v>
      </c>
      <c r="BA251" s="40" t="s">
        <v>1898</v>
      </c>
      <c r="BB251" s="40" t="s">
        <v>2819</v>
      </c>
      <c r="BC251" s="40"/>
    </row>
    <row r="252" spans="1:55">
      <c r="A252" s="169">
        <v>2.4300000000000002</v>
      </c>
      <c r="B252" s="206">
        <v>2.4300000000000002</v>
      </c>
      <c r="C252" t="s">
        <v>263</v>
      </c>
      <c r="D252" t="s">
        <v>3694</v>
      </c>
      <c r="F252" t="s">
        <v>1427</v>
      </c>
      <c r="G252" t="s">
        <v>1767</v>
      </c>
      <c r="H252" t="s">
        <v>1899</v>
      </c>
      <c r="I252" t="s">
        <v>2451</v>
      </c>
      <c r="J252" t="s">
        <v>2452</v>
      </c>
      <c r="K252" t="s">
        <v>2820</v>
      </c>
      <c r="M252" t="s">
        <v>3366</v>
      </c>
      <c r="N252" t="s">
        <v>263</v>
      </c>
      <c r="O252">
        <v>2</v>
      </c>
      <c r="Q252" t="s">
        <v>3467</v>
      </c>
      <c r="R252" t="s">
        <v>263</v>
      </c>
      <c r="S252">
        <v>1</v>
      </c>
      <c r="U252" t="s">
        <v>3467</v>
      </c>
      <c r="V252" t="s">
        <v>263</v>
      </c>
      <c r="W252">
        <v>1</v>
      </c>
      <c r="Y252">
        <v>16</v>
      </c>
      <c r="Z252">
        <v>93.9</v>
      </c>
      <c r="AA252">
        <v>18</v>
      </c>
      <c r="AB252">
        <v>9</v>
      </c>
      <c r="AC252">
        <v>98.3</v>
      </c>
      <c r="AD252">
        <v>5</v>
      </c>
      <c r="AF252" s="170" t="s">
        <v>263</v>
      </c>
      <c r="AG252" s="171">
        <v>0.17050000000000001</v>
      </c>
      <c r="AH252" s="172">
        <v>3.67</v>
      </c>
      <c r="AI252" s="202">
        <v>1.129</v>
      </c>
      <c r="AJ252" s="173">
        <v>0.11899999999999999</v>
      </c>
      <c r="AK252" s="173">
        <v>0.13400000000000001</v>
      </c>
      <c r="AL252" s="174"/>
      <c r="AM252" s="172">
        <v>3.5910000000000002</v>
      </c>
      <c r="AN252" s="172">
        <v>2.488</v>
      </c>
      <c r="AO252" s="174"/>
      <c r="AP252" s="171">
        <v>161877</v>
      </c>
      <c r="AQ252" s="171">
        <v>83951</v>
      </c>
      <c r="AR252" s="175">
        <v>1</v>
      </c>
      <c r="AS252" s="175">
        <v>1</v>
      </c>
      <c r="AT252" s="176" t="s">
        <v>3285</v>
      </c>
      <c r="AU252" s="171"/>
      <c r="AV252" s="171">
        <v>1.6776</v>
      </c>
      <c r="AW252" s="171">
        <v>1.276</v>
      </c>
      <c r="AY252" t="s">
        <v>799</v>
      </c>
      <c r="AZ252" t="s">
        <v>800</v>
      </c>
      <c r="BA252" t="s">
        <v>1902</v>
      </c>
      <c r="BB252" t="s">
        <v>2823</v>
      </c>
    </row>
    <row r="253" spans="1:55" ht="17" thickBot="1">
      <c r="A253" s="169">
        <v>2.4300000000000002</v>
      </c>
      <c r="B253" s="208"/>
      <c r="C253" t="s">
        <v>264</v>
      </c>
      <c r="D253" t="s">
        <v>3698</v>
      </c>
      <c r="F253" t="s">
        <v>1427</v>
      </c>
      <c r="G253" t="s">
        <v>1767</v>
      </c>
      <c r="H253" t="s">
        <v>1903</v>
      </c>
      <c r="I253" t="s">
        <v>2451</v>
      </c>
      <c r="J253" t="s">
        <v>2452</v>
      </c>
      <c r="K253" t="s">
        <v>2824</v>
      </c>
      <c r="M253" t="s">
        <v>3366</v>
      </c>
      <c r="N253" t="s">
        <v>264</v>
      </c>
      <c r="O253">
        <v>2</v>
      </c>
      <c r="Q253" t="s">
        <v>3482</v>
      </c>
      <c r="R253" t="s">
        <v>264</v>
      </c>
      <c r="S253">
        <v>1</v>
      </c>
      <c r="U253" t="s">
        <v>3625</v>
      </c>
      <c r="V253" t="s">
        <v>264</v>
      </c>
      <c r="W253">
        <v>1</v>
      </c>
      <c r="Y253">
        <v>16</v>
      </c>
      <c r="Z253">
        <v>96.2</v>
      </c>
      <c r="AA253">
        <v>11</v>
      </c>
      <c r="AB253">
        <v>10</v>
      </c>
      <c r="AC253">
        <v>96.9</v>
      </c>
      <c r="AD253">
        <v>9</v>
      </c>
      <c r="AF253" s="170" t="s">
        <v>264</v>
      </c>
      <c r="AG253" s="171">
        <v>0.2009</v>
      </c>
      <c r="AH253" s="172">
        <v>3.5910000000000002</v>
      </c>
      <c r="AI253" s="182">
        <v>0.54</v>
      </c>
      <c r="AJ253" s="173">
        <v>0.11899999999999999</v>
      </c>
      <c r="AK253" s="173">
        <v>0.11799999999999999</v>
      </c>
      <c r="AL253" s="174"/>
      <c r="AM253" s="172">
        <v>3.5619999999999998</v>
      </c>
      <c r="AN253" s="177">
        <v>2.3570000000000002</v>
      </c>
      <c r="AO253" s="174"/>
      <c r="AP253" s="171">
        <v>140199</v>
      </c>
      <c r="AQ253" s="171">
        <v>105318</v>
      </c>
      <c r="AR253" s="175">
        <v>1</v>
      </c>
      <c r="AS253" s="175">
        <v>1</v>
      </c>
      <c r="AT253" s="176" t="s">
        <v>3285</v>
      </c>
      <c r="AU253" s="171"/>
      <c r="AV253" s="171">
        <v>2.0247999999999999</v>
      </c>
      <c r="AW253" s="171">
        <v>1.8759999999999999</v>
      </c>
      <c r="AY253" t="s">
        <v>957</v>
      </c>
      <c r="AZ253" t="s">
        <v>958</v>
      </c>
      <c r="BA253" t="s">
        <v>1905</v>
      </c>
      <c r="BB253" t="s">
        <v>2826</v>
      </c>
    </row>
    <row r="254" spans="1:55">
      <c r="A254" s="144">
        <v>2.44</v>
      </c>
      <c r="B254" s="206">
        <v>2.44</v>
      </c>
      <c r="C254" s="81" t="s">
        <v>265</v>
      </c>
      <c r="D254" s="81" t="s">
        <v>3697</v>
      </c>
      <c r="E254" s="81"/>
      <c r="F254" s="81" t="s">
        <v>1427</v>
      </c>
      <c r="G254" s="81" t="s">
        <v>1428</v>
      </c>
      <c r="H254" s="81" t="s">
        <v>1906</v>
      </c>
      <c r="I254" s="81" t="s">
        <v>2479</v>
      </c>
      <c r="J254" s="81" t="s">
        <v>2480</v>
      </c>
      <c r="K254" s="81" t="s">
        <v>2827</v>
      </c>
      <c r="L254" s="81"/>
      <c r="M254" s="81" t="s">
        <v>3308</v>
      </c>
      <c r="N254" s="81" t="s">
        <v>265</v>
      </c>
      <c r="O254" s="81">
        <v>2</v>
      </c>
      <c r="P254" s="81"/>
      <c r="Q254" s="81" t="s">
        <v>3388</v>
      </c>
      <c r="R254" s="81" t="s">
        <v>265</v>
      </c>
      <c r="S254" s="81">
        <v>1</v>
      </c>
      <c r="T254" s="81"/>
      <c r="U254" s="81" t="s">
        <v>3512</v>
      </c>
      <c r="V254" s="81" t="s">
        <v>265</v>
      </c>
      <c r="W254" s="81">
        <v>1</v>
      </c>
      <c r="X254" s="81"/>
      <c r="Y254" s="81">
        <v>17</v>
      </c>
      <c r="Z254" s="81">
        <v>96</v>
      </c>
      <c r="AA254" s="81">
        <v>11</v>
      </c>
      <c r="AB254" s="81">
        <v>11</v>
      </c>
      <c r="AC254" s="81">
        <v>98.9</v>
      </c>
      <c r="AD254" s="81">
        <v>3</v>
      </c>
      <c r="AE254" s="81"/>
      <c r="AF254" s="83" t="s">
        <v>265</v>
      </c>
      <c r="AG254" s="33">
        <v>6.4369999999999997E-2</v>
      </c>
      <c r="AH254" s="87">
        <v>0.126</v>
      </c>
      <c r="AI254" s="87">
        <v>0.115</v>
      </c>
      <c r="AJ254" s="87">
        <v>0.122</v>
      </c>
      <c r="AK254" s="87">
        <v>0.12</v>
      </c>
      <c r="AL254" s="34"/>
      <c r="AM254" s="87">
        <v>9.7000000000000003E-2</v>
      </c>
      <c r="AN254" s="87">
        <v>8.7999999999999995E-2</v>
      </c>
      <c r="AO254" s="34"/>
      <c r="AP254" s="33">
        <v>51947</v>
      </c>
      <c r="AQ254" s="33">
        <v>1876.5</v>
      </c>
      <c r="AR254" s="88">
        <v>1</v>
      </c>
      <c r="AS254" s="88">
        <v>0</v>
      </c>
      <c r="AT254" s="89" t="s">
        <v>3285</v>
      </c>
      <c r="AU254" s="33"/>
      <c r="AV254" s="33">
        <v>-3.6499999999999998E-2</v>
      </c>
      <c r="AW254" s="33">
        <v>-1.9699999999999999E-2</v>
      </c>
      <c r="AX254" s="81"/>
      <c r="AY254" s="81" t="s">
        <v>901</v>
      </c>
      <c r="AZ254" s="81" t="s">
        <v>902</v>
      </c>
      <c r="BA254" s="81" t="s">
        <v>1910</v>
      </c>
      <c r="BB254" s="81" t="s">
        <v>2830</v>
      </c>
      <c r="BC254" s="203"/>
    </row>
    <row r="255" spans="1:55" ht="17" thickBot="1">
      <c r="A255" s="146">
        <v>2.44</v>
      </c>
      <c r="B255" s="208"/>
      <c r="C255" s="40" t="s">
        <v>266</v>
      </c>
      <c r="D255" s="40" t="s">
        <v>3694</v>
      </c>
      <c r="E255" s="40"/>
      <c r="F255" s="40" t="s">
        <v>1427</v>
      </c>
      <c r="G255" s="40" t="s">
        <v>1428</v>
      </c>
      <c r="H255" s="40" t="s">
        <v>1911</v>
      </c>
      <c r="I255" s="40" t="s">
        <v>2479</v>
      </c>
      <c r="J255" s="40" t="s">
        <v>2480</v>
      </c>
      <c r="K255" s="40" t="s">
        <v>2831</v>
      </c>
      <c r="L255" s="40"/>
      <c r="M255" s="40" t="s">
        <v>3308</v>
      </c>
      <c r="N255" s="40" t="s">
        <v>266</v>
      </c>
      <c r="O255" s="40">
        <v>2</v>
      </c>
      <c r="P255" s="40"/>
      <c r="Q255" s="40" t="s">
        <v>3413</v>
      </c>
      <c r="R255" s="40" t="s">
        <v>266</v>
      </c>
      <c r="S255" s="40">
        <v>1</v>
      </c>
      <c r="T255" s="40"/>
      <c r="U255" s="40" t="s">
        <v>3538</v>
      </c>
      <c r="V255" s="40" t="s">
        <v>266</v>
      </c>
      <c r="W255" s="40">
        <v>1</v>
      </c>
      <c r="X255" s="40"/>
      <c r="Y255" s="40">
        <v>17</v>
      </c>
      <c r="Z255" s="40">
        <v>99.7</v>
      </c>
      <c r="AA255" s="40">
        <v>1</v>
      </c>
      <c r="AB255" s="40">
        <v>11</v>
      </c>
      <c r="AC255" s="40">
        <v>100</v>
      </c>
      <c r="AD255" s="40">
        <v>0</v>
      </c>
      <c r="AE255" s="40"/>
      <c r="AF255" s="85" t="s">
        <v>266</v>
      </c>
      <c r="AG255" s="35">
        <v>0.1191</v>
      </c>
      <c r="AH255" s="90">
        <v>0.12</v>
      </c>
      <c r="AI255" s="90">
        <v>0.11799999999999999</v>
      </c>
      <c r="AJ255" s="90">
        <v>0.125</v>
      </c>
      <c r="AK255" s="90">
        <v>0.123</v>
      </c>
      <c r="AL255" s="37"/>
      <c r="AM255" s="90">
        <v>0.10100000000000001</v>
      </c>
      <c r="AN255" s="90">
        <v>0.09</v>
      </c>
      <c r="AO255" s="37"/>
      <c r="AP255" s="35">
        <v>17700</v>
      </c>
      <c r="AQ255" s="35">
        <v>2160</v>
      </c>
      <c r="AR255" s="93">
        <v>1</v>
      </c>
      <c r="AS255" s="93">
        <v>0</v>
      </c>
      <c r="AT255" s="94" t="s">
        <v>3285</v>
      </c>
      <c r="AU255" s="35"/>
      <c r="AV255" s="35">
        <v>-0.1041</v>
      </c>
      <c r="AW255" s="35">
        <v>-9.2200000000000004E-2</v>
      </c>
      <c r="AX255" s="40"/>
      <c r="AY255" s="40" t="s">
        <v>535</v>
      </c>
      <c r="AZ255" s="40" t="s">
        <v>536</v>
      </c>
      <c r="BA255" s="40" t="s">
        <v>1913</v>
      </c>
      <c r="BB255" s="40" t="s">
        <v>2833</v>
      </c>
      <c r="BC255" s="204"/>
    </row>
    <row r="256" spans="1:55">
      <c r="A256" s="168">
        <v>2.4500000000000002</v>
      </c>
      <c r="B256" s="206">
        <v>2.4500000000000002</v>
      </c>
      <c r="C256" s="81" t="s">
        <v>112</v>
      </c>
      <c r="D256" s="81" t="s">
        <v>3699</v>
      </c>
      <c r="E256" s="81"/>
      <c r="F256" s="81" t="s">
        <v>1452</v>
      </c>
      <c r="G256" s="81" t="s">
        <v>1413</v>
      </c>
      <c r="H256" s="81" t="s">
        <v>1453</v>
      </c>
      <c r="I256" s="81" t="s">
        <v>2432</v>
      </c>
      <c r="J256" s="81" t="s">
        <v>2433</v>
      </c>
      <c r="K256" s="81" t="s">
        <v>2434</v>
      </c>
      <c r="L256" s="81"/>
      <c r="M256" s="81" t="s">
        <v>3305</v>
      </c>
      <c r="N256" s="81" t="s">
        <v>112</v>
      </c>
      <c r="O256" s="81">
        <v>2</v>
      </c>
      <c r="P256" s="81"/>
      <c r="Q256" s="81" t="s">
        <v>3385</v>
      </c>
      <c r="R256" s="81" t="s">
        <v>112</v>
      </c>
      <c r="S256" s="81">
        <v>2</v>
      </c>
      <c r="T256" s="81"/>
      <c r="U256" s="81" t="s">
        <v>3509</v>
      </c>
      <c r="V256" s="81" t="s">
        <v>112</v>
      </c>
      <c r="W256" s="81">
        <v>2</v>
      </c>
      <c r="X256" s="81"/>
      <c r="Y256" s="81">
        <v>13</v>
      </c>
      <c r="Z256" s="81">
        <v>97.4</v>
      </c>
      <c r="AA256" s="81">
        <v>7</v>
      </c>
      <c r="AB256" s="81">
        <v>11</v>
      </c>
      <c r="AC256" s="81">
        <v>98.9</v>
      </c>
      <c r="AD256" s="81">
        <v>3</v>
      </c>
      <c r="AE256" s="81"/>
      <c r="AF256" s="83" t="s">
        <v>112</v>
      </c>
      <c r="AG256" s="33">
        <v>0.4486</v>
      </c>
      <c r="AH256" s="100">
        <v>3.56</v>
      </c>
      <c r="AI256" s="87">
        <v>0.15</v>
      </c>
      <c r="AJ256" s="100">
        <v>3.5129999999999999</v>
      </c>
      <c r="AK256" s="87">
        <v>0.16</v>
      </c>
      <c r="AL256" s="34"/>
      <c r="AM256" s="100">
        <v>3.617</v>
      </c>
      <c r="AN256" s="105">
        <v>2.3330000000000002</v>
      </c>
      <c r="AO256" s="34"/>
      <c r="AP256" s="33">
        <v>52858</v>
      </c>
      <c r="AQ256" s="33">
        <v>5598.5</v>
      </c>
      <c r="AR256" s="88">
        <v>1</v>
      </c>
      <c r="AS256" s="88">
        <v>0</v>
      </c>
      <c r="AT256" s="89" t="s">
        <v>3285</v>
      </c>
      <c r="AU256" s="33"/>
      <c r="AV256" s="33">
        <v>-3.1199999999999999E-2</v>
      </c>
      <c r="AW256" s="33">
        <v>9.4E-2</v>
      </c>
      <c r="AX256" s="81"/>
      <c r="AY256" s="81" t="s">
        <v>895</v>
      </c>
      <c r="AZ256" s="81" t="s">
        <v>896</v>
      </c>
      <c r="BA256" s="81" t="s">
        <v>1457</v>
      </c>
      <c r="BB256" s="81" t="s">
        <v>2437</v>
      </c>
      <c r="BC256" s="81"/>
    </row>
    <row r="257" spans="1:55" ht="17" thickBot="1">
      <c r="A257" s="178">
        <v>2.4500000000000002</v>
      </c>
      <c r="B257" s="208"/>
      <c r="C257" s="40" t="s">
        <v>113</v>
      </c>
      <c r="D257" s="40" t="s">
        <v>3698</v>
      </c>
      <c r="E257" s="40"/>
      <c r="F257" s="40" t="s">
        <v>1452</v>
      </c>
      <c r="G257" s="40" t="s">
        <v>1413</v>
      </c>
      <c r="H257" s="40" t="s">
        <v>1458</v>
      </c>
      <c r="I257" s="40" t="s">
        <v>2432</v>
      </c>
      <c r="J257" s="40" t="s">
        <v>2433</v>
      </c>
      <c r="K257" s="40" t="s">
        <v>2438</v>
      </c>
      <c r="L257" s="40"/>
      <c r="M257" s="40" t="s">
        <v>3305</v>
      </c>
      <c r="N257" s="40" t="s">
        <v>113</v>
      </c>
      <c r="O257" s="40">
        <v>2</v>
      </c>
      <c r="P257" s="40"/>
      <c r="Q257" s="40" t="s">
        <v>3385</v>
      </c>
      <c r="R257" s="40" t="s">
        <v>113</v>
      </c>
      <c r="S257" s="40">
        <v>2</v>
      </c>
      <c r="T257" s="40"/>
      <c r="U257" s="40" t="s">
        <v>3509</v>
      </c>
      <c r="V257" s="40" t="s">
        <v>113</v>
      </c>
      <c r="W257" s="40">
        <v>2</v>
      </c>
      <c r="X257" s="40"/>
      <c r="Y257" s="40">
        <v>13</v>
      </c>
      <c r="Z257" s="40">
        <v>95.6</v>
      </c>
      <c r="AA257" s="40">
        <v>13</v>
      </c>
      <c r="AB257" s="40">
        <v>11</v>
      </c>
      <c r="AC257" s="40">
        <v>96.6</v>
      </c>
      <c r="AD257" s="40">
        <v>10</v>
      </c>
      <c r="AE257" s="40"/>
      <c r="AF257" s="85" t="s">
        <v>113</v>
      </c>
      <c r="AG257" s="35">
        <v>0.55359999999999998</v>
      </c>
      <c r="AH257" s="102">
        <v>3.61</v>
      </c>
      <c r="AI257" s="90">
        <v>0.15</v>
      </c>
      <c r="AJ257" s="102">
        <v>3.6259999999999999</v>
      </c>
      <c r="AK257" s="90">
        <v>0.161</v>
      </c>
      <c r="AL257" s="37"/>
      <c r="AM257" s="102">
        <v>3.5859999999999999</v>
      </c>
      <c r="AN257" s="110">
        <v>2.2669999999999999</v>
      </c>
      <c r="AO257" s="37"/>
      <c r="AP257" s="35">
        <v>24667</v>
      </c>
      <c r="AQ257" s="35">
        <v>1728</v>
      </c>
      <c r="AR257" s="93">
        <v>1</v>
      </c>
      <c r="AS257" s="93">
        <v>0</v>
      </c>
      <c r="AT257" s="94" t="s">
        <v>3285</v>
      </c>
      <c r="AU257" s="35"/>
      <c r="AV257" s="35">
        <v>-0.1658</v>
      </c>
      <c r="AW257" s="35">
        <v>-2.5700000000000001E-2</v>
      </c>
      <c r="AX257" s="40"/>
      <c r="AY257" s="40" t="s">
        <v>941</v>
      </c>
      <c r="AZ257" s="40" t="s">
        <v>942</v>
      </c>
      <c r="BA257" s="40" t="s">
        <v>1460</v>
      </c>
      <c r="BB257" s="40" t="s">
        <v>2440</v>
      </c>
      <c r="BC257" s="40"/>
    </row>
    <row r="258" spans="1:55">
      <c r="A258" s="169">
        <v>2.46</v>
      </c>
      <c r="B258" s="206">
        <v>2.46</v>
      </c>
      <c r="C258" t="s">
        <v>114</v>
      </c>
      <c r="D258" t="s">
        <v>3694</v>
      </c>
      <c r="F258" t="s">
        <v>1452</v>
      </c>
      <c r="G258" t="s">
        <v>1413</v>
      </c>
      <c r="H258" t="s">
        <v>1461</v>
      </c>
      <c r="I258" t="s">
        <v>2441</v>
      </c>
      <c r="J258" t="s">
        <v>2433</v>
      </c>
      <c r="K258" t="s">
        <v>2442</v>
      </c>
      <c r="M258" t="s">
        <v>3369</v>
      </c>
      <c r="N258" t="s">
        <v>114</v>
      </c>
      <c r="O258">
        <v>2</v>
      </c>
      <c r="Q258" t="s">
        <v>3472</v>
      </c>
      <c r="R258" t="s">
        <v>114</v>
      </c>
      <c r="S258">
        <v>2</v>
      </c>
      <c r="U258" t="s">
        <v>3611</v>
      </c>
      <c r="V258" t="s">
        <v>114</v>
      </c>
      <c r="W258">
        <v>1</v>
      </c>
      <c r="Y258">
        <v>16</v>
      </c>
      <c r="Z258">
        <v>97.6</v>
      </c>
      <c r="AA258">
        <v>7</v>
      </c>
      <c r="AB258">
        <v>11</v>
      </c>
      <c r="AC258">
        <v>99.3</v>
      </c>
      <c r="AD258">
        <v>2</v>
      </c>
      <c r="AF258" s="170" t="s">
        <v>114</v>
      </c>
      <c r="AG258" s="171">
        <v>5.3679999999999999E-2</v>
      </c>
      <c r="AH258" s="172">
        <v>3.56</v>
      </c>
      <c r="AI258" s="173">
        <v>0.121</v>
      </c>
      <c r="AJ258" s="173">
        <v>0.115</v>
      </c>
      <c r="AK258" s="173">
        <v>0.128</v>
      </c>
      <c r="AL258" s="174"/>
      <c r="AM258" s="173">
        <v>0.126</v>
      </c>
      <c r="AN258" s="173">
        <v>0.09</v>
      </c>
      <c r="AO258" s="174"/>
      <c r="AP258" s="171">
        <v>294603</v>
      </c>
      <c r="AQ258" s="171">
        <v>2474</v>
      </c>
      <c r="AR258" s="175">
        <v>1</v>
      </c>
      <c r="AS258" s="175">
        <v>0</v>
      </c>
      <c r="AT258" s="176" t="s">
        <v>3285</v>
      </c>
      <c r="AU258" s="171"/>
      <c r="AV258" s="171">
        <v>-2.0799999999999999E-2</v>
      </c>
      <c r="AW258" s="171">
        <v>-1.7899999999999999E-2</v>
      </c>
      <c r="AY258" t="s">
        <v>837</v>
      </c>
      <c r="AZ258" t="s">
        <v>838</v>
      </c>
      <c r="BA258" t="s">
        <v>1464</v>
      </c>
      <c r="BB258" t="s">
        <v>2445</v>
      </c>
    </row>
    <row r="259" spans="1:55" ht="17" thickBot="1">
      <c r="A259" s="169">
        <v>2.46</v>
      </c>
      <c r="B259" s="208"/>
      <c r="C259" t="s">
        <v>115</v>
      </c>
      <c r="D259" t="s">
        <v>3707</v>
      </c>
      <c r="F259" t="s">
        <v>1452</v>
      </c>
      <c r="G259" t="s">
        <v>1413</v>
      </c>
      <c r="H259" t="s">
        <v>1469</v>
      </c>
      <c r="I259" t="s">
        <v>2441</v>
      </c>
      <c r="J259" t="s">
        <v>2433</v>
      </c>
      <c r="K259" t="s">
        <v>2448</v>
      </c>
      <c r="M259" t="s">
        <v>3369</v>
      </c>
      <c r="N259" t="s">
        <v>115</v>
      </c>
      <c r="O259">
        <v>2</v>
      </c>
      <c r="Q259" t="s">
        <v>3472</v>
      </c>
      <c r="R259" t="s">
        <v>115</v>
      </c>
      <c r="S259">
        <v>2</v>
      </c>
      <c r="U259" t="s">
        <v>3665</v>
      </c>
      <c r="V259" t="s">
        <v>115</v>
      </c>
      <c r="W259">
        <v>1</v>
      </c>
      <c r="Y259">
        <v>16</v>
      </c>
      <c r="Z259">
        <v>89.5</v>
      </c>
      <c r="AA259">
        <v>31</v>
      </c>
      <c r="AB259">
        <v>11</v>
      </c>
      <c r="AC259">
        <v>92.6</v>
      </c>
      <c r="AD259">
        <v>21</v>
      </c>
      <c r="AF259" s="170" t="s">
        <v>115</v>
      </c>
      <c r="AG259" s="171">
        <v>0.31590000000000001</v>
      </c>
      <c r="AH259" s="172">
        <v>3.5369999999999999</v>
      </c>
      <c r="AI259" s="173">
        <v>0.17</v>
      </c>
      <c r="AJ259" s="173">
        <v>0.14000000000000001</v>
      </c>
      <c r="AK259" s="173">
        <v>0.13</v>
      </c>
      <c r="AL259" s="174"/>
      <c r="AM259" s="173">
        <v>0.11899999999999999</v>
      </c>
      <c r="AN259" s="173">
        <v>8.8999999999999996E-2</v>
      </c>
      <c r="AO259" s="174"/>
      <c r="AP259" s="171">
        <v>117831</v>
      </c>
      <c r="AQ259" s="171">
        <v>2416</v>
      </c>
      <c r="AR259" s="175">
        <v>1</v>
      </c>
      <c r="AS259" s="175">
        <v>0</v>
      </c>
      <c r="AT259" s="176" t="s">
        <v>3285</v>
      </c>
      <c r="AU259" s="171"/>
      <c r="AV259" s="171">
        <v>-9.2100000000000001E-2</v>
      </c>
      <c r="AW259" s="171">
        <v>-7.6200000000000004E-2</v>
      </c>
      <c r="AY259" t="s">
        <v>988</v>
      </c>
      <c r="AZ259" t="s">
        <v>989</v>
      </c>
      <c r="BA259" t="s">
        <v>1472</v>
      </c>
      <c r="BB259" t="s">
        <v>2450</v>
      </c>
    </row>
    <row r="260" spans="1:55">
      <c r="A260" s="168">
        <v>2.4700000000000002</v>
      </c>
      <c r="B260" s="206">
        <v>2.4700000000000002</v>
      </c>
      <c r="C260" s="81" t="s">
        <v>116</v>
      </c>
      <c r="D260" s="81" t="s">
        <v>3694</v>
      </c>
      <c r="E260" s="81"/>
      <c r="F260" s="81" t="s">
        <v>1452</v>
      </c>
      <c r="G260" s="81" t="s">
        <v>1421</v>
      </c>
      <c r="H260" s="81" t="s">
        <v>1473</v>
      </c>
      <c r="I260" s="81" t="s">
        <v>2451</v>
      </c>
      <c r="J260" s="81" t="s">
        <v>2452</v>
      </c>
      <c r="K260" s="81" t="s">
        <v>2453</v>
      </c>
      <c r="L260" s="81"/>
      <c r="M260" s="81" t="s">
        <v>3360</v>
      </c>
      <c r="N260" s="81" t="s">
        <v>116</v>
      </c>
      <c r="O260" s="81">
        <v>2</v>
      </c>
      <c r="P260" s="81"/>
      <c r="Q260" s="81" t="s">
        <v>3459</v>
      </c>
      <c r="R260" s="81" t="s">
        <v>116</v>
      </c>
      <c r="S260" s="81">
        <v>2</v>
      </c>
      <c r="T260" s="81"/>
      <c r="U260" s="81" t="s">
        <v>3594</v>
      </c>
      <c r="V260" s="81" t="s">
        <v>116</v>
      </c>
      <c r="W260" s="81">
        <v>2</v>
      </c>
      <c r="X260" s="81"/>
      <c r="Y260" s="81">
        <v>14</v>
      </c>
      <c r="Z260" s="81">
        <v>90.5</v>
      </c>
      <c r="AA260" s="81">
        <v>28</v>
      </c>
      <c r="AB260" s="81">
        <v>10</v>
      </c>
      <c r="AC260" s="81">
        <v>97.6</v>
      </c>
      <c r="AD260" s="81">
        <v>7</v>
      </c>
      <c r="AE260" s="81"/>
      <c r="AF260" s="83" t="s">
        <v>116</v>
      </c>
      <c r="AG260" s="33">
        <v>0.22509999999999999</v>
      </c>
      <c r="AH260" s="100">
        <v>3.605</v>
      </c>
      <c r="AI260" s="100">
        <v>3.5649999999999999</v>
      </c>
      <c r="AJ260" s="100">
        <v>3.5030000000000001</v>
      </c>
      <c r="AK260" s="87">
        <v>0.14299999999999999</v>
      </c>
      <c r="AL260" s="34"/>
      <c r="AM260" s="100">
        <v>3.552</v>
      </c>
      <c r="AN260" s="105">
        <v>2.2050000000000001</v>
      </c>
      <c r="AO260" s="34"/>
      <c r="AP260" s="33">
        <v>32550</v>
      </c>
      <c r="AQ260" s="33">
        <v>94206</v>
      </c>
      <c r="AR260" s="88">
        <v>1</v>
      </c>
      <c r="AS260" s="88">
        <v>1</v>
      </c>
      <c r="AT260" s="89" t="s">
        <v>3286</v>
      </c>
      <c r="AU260" s="33"/>
      <c r="AV260" s="33">
        <v>9.0999999999999998E-2</v>
      </c>
      <c r="AW260" s="33">
        <v>3.3599999999999998E-2</v>
      </c>
      <c r="AX260" s="81"/>
      <c r="AY260" s="81" t="s">
        <v>747</v>
      </c>
      <c r="AZ260" s="81" t="s">
        <v>748</v>
      </c>
      <c r="BA260" s="81" t="s">
        <v>1477</v>
      </c>
      <c r="BB260" s="81" t="s">
        <v>2456</v>
      </c>
      <c r="BC260" s="81"/>
    </row>
    <row r="261" spans="1:55" ht="17" thickBot="1">
      <c r="A261" s="178">
        <v>2.4700000000000002</v>
      </c>
      <c r="B261" s="208"/>
      <c r="C261" s="40" t="s">
        <v>117</v>
      </c>
      <c r="D261" s="40" t="s">
        <v>3697</v>
      </c>
      <c r="E261" s="40"/>
      <c r="F261" s="40" t="s">
        <v>1452</v>
      </c>
      <c r="G261" s="40" t="s">
        <v>1421</v>
      </c>
      <c r="H261" s="40" t="s">
        <v>1478</v>
      </c>
      <c r="I261" s="40" t="s">
        <v>2451</v>
      </c>
      <c r="J261" s="40" t="s">
        <v>2452</v>
      </c>
      <c r="K261" s="40" t="s">
        <v>2457</v>
      </c>
      <c r="L261" s="40"/>
      <c r="M261" s="40" t="s">
        <v>3360</v>
      </c>
      <c r="N261" s="40" t="s">
        <v>117</v>
      </c>
      <c r="O261" s="40">
        <v>2</v>
      </c>
      <c r="P261" s="40"/>
      <c r="Q261" s="40" t="s">
        <v>3459</v>
      </c>
      <c r="R261" s="40" t="s">
        <v>117</v>
      </c>
      <c r="S261" s="40">
        <v>2</v>
      </c>
      <c r="T261" s="40"/>
      <c r="U261" s="40" t="s">
        <v>3594</v>
      </c>
      <c r="V261" s="40" t="s">
        <v>117</v>
      </c>
      <c r="W261" s="40">
        <v>2</v>
      </c>
      <c r="X261" s="40"/>
      <c r="Y261" s="40">
        <v>14</v>
      </c>
      <c r="Z261" s="40">
        <v>96.3</v>
      </c>
      <c r="AA261" s="40">
        <v>11</v>
      </c>
      <c r="AB261" s="40">
        <v>10</v>
      </c>
      <c r="AC261" s="40">
        <v>99</v>
      </c>
      <c r="AD261" s="40">
        <v>3</v>
      </c>
      <c r="AE261" s="40"/>
      <c r="AF261" s="85" t="s">
        <v>118</v>
      </c>
      <c r="AG261" s="35">
        <v>0.31879999999999997</v>
      </c>
      <c r="AH261" s="102">
        <v>3.56</v>
      </c>
      <c r="AI261" s="110">
        <v>3.4079999999999999</v>
      </c>
      <c r="AJ261" s="102">
        <v>3.5920000000000001</v>
      </c>
      <c r="AK261" s="90">
        <v>0.159</v>
      </c>
      <c r="AL261" s="37"/>
      <c r="AM261" s="102">
        <v>3.5409999999999999</v>
      </c>
      <c r="AN261" s="110">
        <v>2.3980000000000001</v>
      </c>
      <c r="AO261" s="37"/>
      <c r="AP261" s="35">
        <v>21851</v>
      </c>
      <c r="AQ261" s="35">
        <v>75270</v>
      </c>
      <c r="AR261" s="93">
        <v>1</v>
      </c>
      <c r="AS261" s="93">
        <v>1</v>
      </c>
      <c r="AT261" s="94" t="s">
        <v>3286</v>
      </c>
      <c r="AU261" s="35"/>
      <c r="AV261" s="35">
        <v>9.8799999999999999E-2</v>
      </c>
      <c r="AW261" s="35">
        <v>0.2253</v>
      </c>
      <c r="AX261" s="40"/>
      <c r="AY261" s="40" t="s">
        <v>1057</v>
      </c>
      <c r="AZ261" s="40" t="s">
        <v>1058</v>
      </c>
      <c r="BA261" s="40" t="s">
        <v>1480</v>
      </c>
      <c r="BB261" s="40" t="s">
        <v>2459</v>
      </c>
      <c r="BC261" s="40"/>
    </row>
    <row r="262" spans="1:55">
      <c r="A262" s="169">
        <v>2.48</v>
      </c>
      <c r="B262" s="206">
        <v>2.48</v>
      </c>
      <c r="C262" t="s">
        <v>267</v>
      </c>
      <c r="D262" t="s">
        <v>3694</v>
      </c>
      <c r="F262" t="s">
        <v>1452</v>
      </c>
      <c r="G262" t="s">
        <v>1428</v>
      </c>
      <c r="H262" t="s">
        <v>1914</v>
      </c>
      <c r="I262" t="s">
        <v>2719</v>
      </c>
      <c r="J262" t="s">
        <v>2480</v>
      </c>
      <c r="K262" t="s">
        <v>2834</v>
      </c>
      <c r="M262" t="s">
        <v>3345</v>
      </c>
      <c r="N262" t="s">
        <v>267</v>
      </c>
      <c r="O262">
        <v>2</v>
      </c>
      <c r="Q262" t="s">
        <v>3435</v>
      </c>
      <c r="R262" t="s">
        <v>267</v>
      </c>
      <c r="S262">
        <v>1</v>
      </c>
      <c r="U262" t="s">
        <v>3565</v>
      </c>
      <c r="V262" t="s">
        <v>267</v>
      </c>
      <c r="W262">
        <v>1</v>
      </c>
      <c r="Y262">
        <v>14</v>
      </c>
      <c r="Z262">
        <v>89.2</v>
      </c>
      <c r="AA262">
        <v>32</v>
      </c>
      <c r="AB262">
        <v>11</v>
      </c>
      <c r="AC262">
        <v>89.8</v>
      </c>
      <c r="AD262">
        <v>30</v>
      </c>
      <c r="AF262" s="170" t="s">
        <v>267</v>
      </c>
      <c r="AG262" s="171">
        <v>0.33310000000000001</v>
      </c>
      <c r="AH262" s="172">
        <v>3.6339999999999999</v>
      </c>
      <c r="AI262" s="172">
        <v>3.6</v>
      </c>
      <c r="AJ262" s="172">
        <v>3.6110000000000002</v>
      </c>
      <c r="AK262" s="173">
        <v>0.159</v>
      </c>
      <c r="AL262" s="174"/>
      <c r="AM262" s="172">
        <v>3.5939999999999999</v>
      </c>
      <c r="AN262" s="177">
        <v>2.38</v>
      </c>
      <c r="AO262" s="174"/>
      <c r="AP262" s="171">
        <v>48231</v>
      </c>
      <c r="AQ262" s="171">
        <v>86235.5</v>
      </c>
      <c r="AR262" s="175">
        <v>1</v>
      </c>
      <c r="AS262" s="175">
        <v>1</v>
      </c>
      <c r="AT262" s="176" t="s">
        <v>3286</v>
      </c>
      <c r="AU262" s="171"/>
      <c r="AV262" s="171">
        <v>-9.9900000000000003E-2</v>
      </c>
      <c r="AW262" s="171">
        <v>-3.95E-2</v>
      </c>
      <c r="AY262" t="s">
        <v>631</v>
      </c>
      <c r="AZ262" t="s">
        <v>632</v>
      </c>
      <c r="BA262" t="s">
        <v>1916</v>
      </c>
      <c r="BB262" t="s">
        <v>2837</v>
      </c>
    </row>
    <row r="263" spans="1:55" ht="17" thickBot="1">
      <c r="A263" s="169">
        <v>2.48</v>
      </c>
      <c r="B263" s="208"/>
      <c r="C263" t="s">
        <v>268</v>
      </c>
      <c r="D263" t="s">
        <v>3706</v>
      </c>
      <c r="F263" t="s">
        <v>1452</v>
      </c>
      <c r="G263" t="s">
        <v>1428</v>
      </c>
      <c r="H263" t="s">
        <v>1917</v>
      </c>
      <c r="I263" t="s">
        <v>2719</v>
      </c>
      <c r="J263" t="s">
        <v>2480</v>
      </c>
      <c r="K263" t="s">
        <v>2838</v>
      </c>
      <c r="M263" t="s">
        <v>3345</v>
      </c>
      <c r="N263" t="s">
        <v>268</v>
      </c>
      <c r="O263">
        <v>2</v>
      </c>
      <c r="Q263" t="s">
        <v>3500</v>
      </c>
      <c r="R263" t="s">
        <v>268</v>
      </c>
      <c r="S263">
        <v>1</v>
      </c>
      <c r="U263" t="s">
        <v>3662</v>
      </c>
      <c r="V263" t="s">
        <v>268</v>
      </c>
      <c r="W263">
        <v>1</v>
      </c>
      <c r="Y263">
        <v>14</v>
      </c>
      <c r="Z263">
        <v>97</v>
      </c>
      <c r="AA263">
        <v>9</v>
      </c>
      <c r="AB263">
        <v>11</v>
      </c>
      <c r="AC263">
        <v>96.9</v>
      </c>
      <c r="AD263">
        <v>9</v>
      </c>
      <c r="AF263" s="170" t="s">
        <v>269</v>
      </c>
      <c r="AG263" s="171">
        <v>0.31519999999999998</v>
      </c>
      <c r="AH263" s="172">
        <v>3.5249999999999999</v>
      </c>
      <c r="AI263" s="173">
        <v>0.14299999999999999</v>
      </c>
      <c r="AJ263" s="173">
        <v>0.127</v>
      </c>
      <c r="AK263" s="173">
        <v>0.13400000000000001</v>
      </c>
      <c r="AL263" s="174"/>
      <c r="AM263" s="173">
        <v>0.14499999999999999</v>
      </c>
      <c r="AN263" s="173">
        <v>9.0999999999999998E-2</v>
      </c>
      <c r="AO263" s="174"/>
      <c r="AP263" s="171">
        <v>46572</v>
      </c>
      <c r="AQ263" s="171">
        <v>113425.5</v>
      </c>
      <c r="AR263" s="175">
        <v>1</v>
      </c>
      <c r="AS263" s="175">
        <v>1</v>
      </c>
      <c r="AT263" s="176" t="s">
        <v>3286</v>
      </c>
      <c r="AU263" s="171"/>
      <c r="AV263" s="171">
        <v>2.3006000000000002</v>
      </c>
      <c r="AW263" s="171">
        <v>1.9320999999999999</v>
      </c>
      <c r="AY263" t="s">
        <v>1103</v>
      </c>
      <c r="AZ263" t="s">
        <v>1104</v>
      </c>
      <c r="BA263" t="s">
        <v>1919</v>
      </c>
      <c r="BB263" t="s">
        <v>2840</v>
      </c>
    </row>
    <row r="264" spans="1:55">
      <c r="A264" s="168">
        <v>2.4900000000000002</v>
      </c>
      <c r="B264" s="206">
        <v>2.4900000000000002</v>
      </c>
      <c r="C264" s="81" t="s">
        <v>272</v>
      </c>
      <c r="D264" s="81" t="s">
        <v>3697</v>
      </c>
      <c r="E264" s="81"/>
      <c r="F264" s="81" t="s">
        <v>1481</v>
      </c>
      <c r="G264" s="81" t="s">
        <v>1413</v>
      </c>
      <c r="H264" s="81" t="s">
        <v>1929</v>
      </c>
      <c r="I264" s="81" t="s">
        <v>2451</v>
      </c>
      <c r="J264" s="81" t="s">
        <v>2411</v>
      </c>
      <c r="K264" s="81" t="s">
        <v>2849</v>
      </c>
      <c r="L264" s="81"/>
      <c r="M264" s="81" t="s">
        <v>3312</v>
      </c>
      <c r="N264" s="81" t="s">
        <v>272</v>
      </c>
      <c r="O264" s="81">
        <v>2</v>
      </c>
      <c r="P264" s="81"/>
      <c r="Q264" s="81" t="s">
        <v>3392</v>
      </c>
      <c r="R264" s="81" t="s">
        <v>272</v>
      </c>
      <c r="S264" s="81">
        <v>2</v>
      </c>
      <c r="T264" s="81"/>
      <c r="U264" s="81" t="s">
        <v>3516</v>
      </c>
      <c r="V264" s="81" t="s">
        <v>272</v>
      </c>
      <c r="W264" s="81">
        <v>1</v>
      </c>
      <c r="X264" s="81"/>
      <c r="Y264" s="81">
        <v>15</v>
      </c>
      <c r="Z264" s="81">
        <v>98.9</v>
      </c>
      <c r="AA264" s="81">
        <v>3</v>
      </c>
      <c r="AB264" s="81">
        <v>10</v>
      </c>
      <c r="AC264" s="81">
        <v>98.9</v>
      </c>
      <c r="AD264" s="81">
        <v>3</v>
      </c>
      <c r="AE264" s="81"/>
      <c r="AF264" s="83" t="s">
        <v>272</v>
      </c>
      <c r="AG264" s="33">
        <v>0.33079999999999998</v>
      </c>
      <c r="AH264" s="119">
        <v>2.3010000000000002</v>
      </c>
      <c r="AI264" s="115">
        <v>2.5070000000000001</v>
      </c>
      <c r="AJ264" s="105">
        <v>3.3809999999999998</v>
      </c>
      <c r="AK264" s="87">
        <v>0.151</v>
      </c>
      <c r="AL264" s="34"/>
      <c r="AM264" s="87">
        <v>0.11899999999999999</v>
      </c>
      <c r="AN264" s="87">
        <v>8.5999999999999993E-2</v>
      </c>
      <c r="AO264" s="34"/>
      <c r="AP264" s="33">
        <v>55198.5</v>
      </c>
      <c r="AQ264" s="33">
        <v>2050</v>
      </c>
      <c r="AR264" s="88">
        <v>1</v>
      </c>
      <c r="AS264" s="88">
        <v>0</v>
      </c>
      <c r="AT264" s="89" t="s">
        <v>3285</v>
      </c>
      <c r="AU264" s="33"/>
      <c r="AV264" s="33">
        <v>-3.4200000000000001E-2</v>
      </c>
      <c r="AW264" s="33">
        <v>-1.23E-2</v>
      </c>
      <c r="AX264" s="81"/>
      <c r="AY264" s="81" t="s">
        <v>909</v>
      </c>
      <c r="AZ264" s="81" t="s">
        <v>910</v>
      </c>
      <c r="BA264" s="81" t="s">
        <v>1932</v>
      </c>
      <c r="BB264" s="81" t="s">
        <v>2852</v>
      </c>
      <c r="BC264" s="81"/>
    </row>
    <row r="265" spans="1:55" ht="17" thickBot="1">
      <c r="A265" s="178">
        <v>2.4900000000000002</v>
      </c>
      <c r="B265" s="208"/>
      <c r="C265" s="40" t="s">
        <v>273</v>
      </c>
      <c r="D265" s="40" t="s">
        <v>3694</v>
      </c>
      <c r="E265" s="40"/>
      <c r="F265" s="40" t="s">
        <v>1481</v>
      </c>
      <c r="G265" s="40" t="s">
        <v>1413</v>
      </c>
      <c r="H265" s="40" t="s">
        <v>1933</v>
      </c>
      <c r="I265" s="40" t="s">
        <v>2451</v>
      </c>
      <c r="J265" s="40" t="s">
        <v>2411</v>
      </c>
      <c r="K265" s="40" t="s">
        <v>2849</v>
      </c>
      <c r="L265" s="40"/>
      <c r="M265" s="40" t="s">
        <v>3312</v>
      </c>
      <c r="N265" s="40" t="s">
        <v>273</v>
      </c>
      <c r="O265" s="40">
        <v>2</v>
      </c>
      <c r="P265" s="40"/>
      <c r="Q265" s="40" t="s">
        <v>3392</v>
      </c>
      <c r="R265" s="40" t="s">
        <v>273</v>
      </c>
      <c r="S265" s="40">
        <v>2</v>
      </c>
      <c r="T265" s="40"/>
      <c r="U265" s="40" t="s">
        <v>3570</v>
      </c>
      <c r="V265" s="40" t="s">
        <v>273</v>
      </c>
      <c r="W265" s="40">
        <v>1</v>
      </c>
      <c r="X265" s="40"/>
      <c r="Y265" s="40">
        <v>15</v>
      </c>
      <c r="Z265" s="40">
        <v>94.6</v>
      </c>
      <c r="AA265" s="40">
        <v>16</v>
      </c>
      <c r="AB265" s="40">
        <v>10</v>
      </c>
      <c r="AC265" s="40">
        <v>99</v>
      </c>
      <c r="AD265" s="40">
        <v>3</v>
      </c>
      <c r="AE265" s="40"/>
      <c r="AF265" s="85" t="s">
        <v>273</v>
      </c>
      <c r="AG265" s="35">
        <v>0.2984</v>
      </c>
      <c r="AH265" s="108">
        <v>3.609</v>
      </c>
      <c r="AI265" s="108">
        <v>3.6110000000000002</v>
      </c>
      <c r="AJ265" s="108">
        <v>3.669</v>
      </c>
      <c r="AK265" s="109">
        <v>0.20699999999999999</v>
      </c>
      <c r="AL265" s="36"/>
      <c r="AM265" s="90">
        <v>0.112</v>
      </c>
      <c r="AN265" s="90">
        <v>9.1999999999999998E-2</v>
      </c>
      <c r="AO265" s="37"/>
      <c r="AP265" s="35">
        <v>27326</v>
      </c>
      <c r="AQ265" s="35">
        <v>1815</v>
      </c>
      <c r="AR265" s="93">
        <v>1</v>
      </c>
      <c r="AS265" s="93">
        <v>0</v>
      </c>
      <c r="AT265" s="94" t="s">
        <v>3285</v>
      </c>
      <c r="AU265" s="35"/>
      <c r="AV265" s="35">
        <v>-0.13250000000000001</v>
      </c>
      <c r="AW265" s="35">
        <v>-7.5200000000000003E-2</v>
      </c>
      <c r="AX265" s="40"/>
      <c r="AY265" s="40" t="s">
        <v>644</v>
      </c>
      <c r="AZ265" s="40" t="s">
        <v>645</v>
      </c>
      <c r="BA265" s="40" t="s">
        <v>1935</v>
      </c>
      <c r="BB265" s="40" t="s">
        <v>2853</v>
      </c>
      <c r="BC265" s="40"/>
    </row>
    <row r="266" spans="1:55">
      <c r="A266" s="169">
        <v>2.5</v>
      </c>
      <c r="B266" s="206">
        <v>2.5</v>
      </c>
      <c r="C266" t="s">
        <v>270</v>
      </c>
      <c r="D266" t="s">
        <v>3694</v>
      </c>
      <c r="F266" t="s">
        <v>1481</v>
      </c>
      <c r="G266" t="s">
        <v>1413</v>
      </c>
      <c r="H266" t="s">
        <v>1920</v>
      </c>
      <c r="I266" t="s">
        <v>2841</v>
      </c>
      <c r="J266" t="s">
        <v>2773</v>
      </c>
      <c r="K266" t="s">
        <v>2842</v>
      </c>
      <c r="M266" t="s">
        <v>3365</v>
      </c>
      <c r="N266" t="s">
        <v>270</v>
      </c>
      <c r="O266">
        <v>2</v>
      </c>
      <c r="Q266" t="s">
        <v>3465</v>
      </c>
      <c r="R266" t="s">
        <v>270</v>
      </c>
      <c r="S266">
        <v>1</v>
      </c>
      <c r="U266" t="s">
        <v>3603</v>
      </c>
      <c r="V266" t="s">
        <v>270</v>
      </c>
      <c r="W266">
        <v>1</v>
      </c>
      <c r="Y266">
        <v>15</v>
      </c>
      <c r="Z266">
        <v>95.9</v>
      </c>
      <c r="AA266">
        <v>12</v>
      </c>
      <c r="AB266">
        <v>9</v>
      </c>
      <c r="AC266">
        <v>97.9</v>
      </c>
      <c r="AD266">
        <v>6</v>
      </c>
      <c r="AF266" s="170" t="s">
        <v>270</v>
      </c>
      <c r="AG266" s="171">
        <v>0.2671</v>
      </c>
      <c r="AH266" s="194">
        <v>2.1</v>
      </c>
      <c r="AI266" s="194">
        <v>1.978</v>
      </c>
      <c r="AJ266" s="173">
        <v>0.13300000000000001</v>
      </c>
      <c r="AK266" s="173">
        <v>0.15</v>
      </c>
      <c r="AL266" s="174"/>
      <c r="AM266" s="173">
        <v>0.105</v>
      </c>
      <c r="AN266" s="173">
        <v>8.5999999999999993E-2</v>
      </c>
      <c r="AO266" s="174"/>
      <c r="AP266" s="171">
        <v>59267.5</v>
      </c>
      <c r="AQ266" s="171">
        <v>66890</v>
      </c>
      <c r="AR266" s="175">
        <v>1</v>
      </c>
      <c r="AS266" s="175">
        <v>1</v>
      </c>
      <c r="AT266" s="176" t="s">
        <v>3289</v>
      </c>
      <c r="AU266" s="171"/>
      <c r="AV266" s="171">
        <v>0.90149999999999997</v>
      </c>
      <c r="AW266" s="171">
        <v>-2.0000000000000001E-4</v>
      </c>
      <c r="AY266" t="s">
        <v>787</v>
      </c>
      <c r="AZ266" t="s">
        <v>788</v>
      </c>
      <c r="BA266" t="s">
        <v>1923</v>
      </c>
      <c r="BB266" t="s">
        <v>2844</v>
      </c>
    </row>
    <row r="267" spans="1:55" ht="17" thickBot="1">
      <c r="A267" s="169">
        <v>2.5</v>
      </c>
      <c r="B267" s="208"/>
      <c r="C267" t="s">
        <v>271</v>
      </c>
      <c r="D267" t="s">
        <v>3698</v>
      </c>
      <c r="F267" t="s">
        <v>1481</v>
      </c>
      <c r="G267" t="s">
        <v>1413</v>
      </c>
      <c r="H267" t="s">
        <v>1926</v>
      </c>
      <c r="I267" t="s">
        <v>2841</v>
      </c>
      <c r="J267" t="s">
        <v>2773</v>
      </c>
      <c r="K267" t="s">
        <v>2846</v>
      </c>
      <c r="M267" t="s">
        <v>3365</v>
      </c>
      <c r="N267" t="s">
        <v>271</v>
      </c>
      <c r="O267">
        <v>2</v>
      </c>
      <c r="Q267" t="s">
        <v>3478</v>
      </c>
      <c r="R267" t="s">
        <v>271</v>
      </c>
      <c r="S267">
        <v>1</v>
      </c>
      <c r="U267" t="s">
        <v>3621</v>
      </c>
      <c r="V267" t="s">
        <v>271</v>
      </c>
      <c r="W267">
        <v>1</v>
      </c>
      <c r="Y267">
        <v>15</v>
      </c>
      <c r="Z267">
        <v>99.7</v>
      </c>
      <c r="AA267">
        <v>1</v>
      </c>
      <c r="AB267">
        <v>9</v>
      </c>
      <c r="AC267">
        <v>99.7</v>
      </c>
      <c r="AD267">
        <v>1</v>
      </c>
      <c r="AF267" s="170" t="s">
        <v>271</v>
      </c>
      <c r="AG267" s="171">
        <v>0.106</v>
      </c>
      <c r="AH267" s="173">
        <v>0.13800000000000001</v>
      </c>
      <c r="AI267" s="173">
        <v>0.183</v>
      </c>
      <c r="AJ267" s="173">
        <v>0.123</v>
      </c>
      <c r="AK267" s="173">
        <v>0.11700000000000001</v>
      </c>
      <c r="AL267" s="174"/>
      <c r="AM267" s="173">
        <v>0.11799999999999999</v>
      </c>
      <c r="AN267" s="173">
        <v>9.5000000000000001E-2</v>
      </c>
      <c r="AO267" s="174"/>
      <c r="AP267" s="171">
        <v>76721</v>
      </c>
      <c r="AQ267" s="171">
        <v>137241</v>
      </c>
      <c r="AR267" s="175">
        <v>1</v>
      </c>
      <c r="AS267" s="175">
        <v>1</v>
      </c>
      <c r="AT267" s="176" t="s">
        <v>3286</v>
      </c>
      <c r="AU267" s="171"/>
      <c r="AV267" s="171">
        <v>-0.1099</v>
      </c>
      <c r="AW267" s="171">
        <v>-7.8100000000000003E-2</v>
      </c>
      <c r="AY267" t="s">
        <v>945</v>
      </c>
      <c r="AZ267" t="s">
        <v>946</v>
      </c>
      <c r="BA267" t="s">
        <v>1928</v>
      </c>
      <c r="BB267" t="s">
        <v>2848</v>
      </c>
    </row>
    <row r="268" spans="1:55">
      <c r="A268" s="168">
        <v>2.5099999999999998</v>
      </c>
      <c r="B268" s="206">
        <v>2.5099999999999998</v>
      </c>
      <c r="C268" s="81" t="s">
        <v>122</v>
      </c>
      <c r="D268" s="81" t="s">
        <v>3697</v>
      </c>
      <c r="E268" s="81"/>
      <c r="F268" s="81" t="s">
        <v>1494</v>
      </c>
      <c r="G268" s="81" t="s">
        <v>1413</v>
      </c>
      <c r="H268" s="81" t="s">
        <v>1495</v>
      </c>
      <c r="I268" s="81" t="s">
        <v>2451</v>
      </c>
      <c r="J268" s="81" t="s">
        <v>2404</v>
      </c>
      <c r="K268" s="81" t="s">
        <v>2470</v>
      </c>
      <c r="L268" s="81"/>
      <c r="M268" s="81" t="s">
        <v>3317</v>
      </c>
      <c r="N268" s="81" t="s">
        <v>122</v>
      </c>
      <c r="O268" s="81">
        <v>2</v>
      </c>
      <c r="P268" s="81"/>
      <c r="Q268" s="81" t="s">
        <v>3397</v>
      </c>
      <c r="R268" s="81" t="s">
        <v>122</v>
      </c>
      <c r="S268" s="81">
        <v>2</v>
      </c>
      <c r="T268" s="81"/>
      <c r="U268" s="81" t="s">
        <v>3520</v>
      </c>
      <c r="V268" s="81" t="s">
        <v>122</v>
      </c>
      <c r="W268" s="81">
        <v>1</v>
      </c>
      <c r="X268" s="81"/>
      <c r="Y268" s="81">
        <v>16</v>
      </c>
      <c r="Z268" s="81">
        <v>97.8</v>
      </c>
      <c r="AA268" s="81">
        <v>6</v>
      </c>
      <c r="AB268" s="81">
        <v>10</v>
      </c>
      <c r="AC268" s="81">
        <v>98.1</v>
      </c>
      <c r="AD268" s="81">
        <v>5</v>
      </c>
      <c r="AE268" s="81"/>
      <c r="AF268" s="83" t="s">
        <v>122</v>
      </c>
      <c r="AG268" s="33">
        <v>5.654E-2</v>
      </c>
      <c r="AH268" s="113">
        <v>2.1240000000000001</v>
      </c>
      <c r="AI268" s="106">
        <v>1.4670000000000001</v>
      </c>
      <c r="AJ268" s="123">
        <v>1.3149999999999999</v>
      </c>
      <c r="AK268" s="87">
        <v>0.13300000000000001</v>
      </c>
      <c r="AL268" s="34"/>
      <c r="AM268" s="119">
        <v>2.306</v>
      </c>
      <c r="AN268" s="98">
        <v>1.1339999999999999</v>
      </c>
      <c r="AO268" s="34"/>
      <c r="AP268" s="33">
        <v>15401</v>
      </c>
      <c r="AQ268" s="33">
        <v>163947</v>
      </c>
      <c r="AR268" s="88">
        <v>1</v>
      </c>
      <c r="AS268" s="88">
        <v>1</v>
      </c>
      <c r="AT268" s="89" t="s">
        <v>3286</v>
      </c>
      <c r="AU268" s="33"/>
      <c r="AV268" s="33">
        <v>-1.8599999999999998E-2</v>
      </c>
      <c r="AW268" s="33">
        <v>-9.2999999999999992E-3</v>
      </c>
      <c r="AX268" s="81"/>
      <c r="AY268" s="81" t="s">
        <v>921</v>
      </c>
      <c r="AZ268" s="81" t="s">
        <v>922</v>
      </c>
      <c r="BA268" s="81" t="s">
        <v>1498</v>
      </c>
      <c r="BB268" s="81" t="s">
        <v>2473</v>
      </c>
      <c r="BC268" s="81"/>
    </row>
    <row r="269" spans="1:55" ht="17" thickBot="1">
      <c r="A269" s="178">
        <v>2.5099999999999998</v>
      </c>
      <c r="B269" s="208"/>
      <c r="C269" s="40" t="s">
        <v>123</v>
      </c>
      <c r="D269" s="40" t="s">
        <v>3694</v>
      </c>
      <c r="E269" s="40"/>
      <c r="F269" s="40" t="s">
        <v>1494</v>
      </c>
      <c r="G269" s="40" t="s">
        <v>1413</v>
      </c>
      <c r="H269" s="40" t="s">
        <v>1499</v>
      </c>
      <c r="I269" s="40" t="s">
        <v>2451</v>
      </c>
      <c r="J269" s="40" t="s">
        <v>2404</v>
      </c>
      <c r="K269" s="40" t="s">
        <v>2470</v>
      </c>
      <c r="L269" s="40"/>
      <c r="M269" s="40" t="s">
        <v>3317</v>
      </c>
      <c r="N269" s="40" t="s">
        <v>123</v>
      </c>
      <c r="O269" s="40">
        <v>2</v>
      </c>
      <c r="P269" s="40"/>
      <c r="Q269" s="40" t="s">
        <v>3397</v>
      </c>
      <c r="R269" s="40" t="s">
        <v>123</v>
      </c>
      <c r="S269" s="40">
        <v>2</v>
      </c>
      <c r="T269" s="40"/>
      <c r="U269" s="40" t="s">
        <v>3630</v>
      </c>
      <c r="V269" s="40" t="s">
        <v>123</v>
      </c>
      <c r="W269" s="40">
        <v>1</v>
      </c>
      <c r="X269" s="40"/>
      <c r="Y269" s="40">
        <v>16</v>
      </c>
      <c r="Z269" s="40">
        <v>95.9</v>
      </c>
      <c r="AA269" s="40">
        <v>12</v>
      </c>
      <c r="AB269" s="40">
        <v>10</v>
      </c>
      <c r="AC269" s="40">
        <v>96.5</v>
      </c>
      <c r="AD269" s="40">
        <v>10</v>
      </c>
      <c r="AE269" s="40"/>
      <c r="AF269" s="85" t="s">
        <v>123</v>
      </c>
      <c r="AG269" s="35">
        <v>3.236E-2</v>
      </c>
      <c r="AH269" s="124">
        <v>2.0680000000000001</v>
      </c>
      <c r="AI269" s="95">
        <v>1.0429999999999999</v>
      </c>
      <c r="AJ269" s="90">
        <v>0.112</v>
      </c>
      <c r="AK269" s="90">
        <v>0.11600000000000001</v>
      </c>
      <c r="AL269" s="37"/>
      <c r="AM269" s="117">
        <v>2.871</v>
      </c>
      <c r="AN269" s="125">
        <v>1.1619999999999999</v>
      </c>
      <c r="AO269" s="37"/>
      <c r="AP269" s="35">
        <v>4963</v>
      </c>
      <c r="AQ269" s="35">
        <v>132395</v>
      </c>
      <c r="AR269" s="93">
        <v>0</v>
      </c>
      <c r="AS269" s="93">
        <v>1</v>
      </c>
      <c r="AT269" s="94" t="s">
        <v>3286</v>
      </c>
      <c r="AU269" s="35"/>
      <c r="AV269" s="35">
        <v>-0.2641</v>
      </c>
      <c r="AW269" s="35">
        <v>-7.2800000000000004E-2</v>
      </c>
      <c r="AX269" s="40"/>
      <c r="AY269" s="40" t="s">
        <v>980</v>
      </c>
      <c r="AZ269" s="40" t="s">
        <v>981</v>
      </c>
      <c r="BA269" s="40" t="s">
        <v>1501</v>
      </c>
      <c r="BB269" s="40" t="s">
        <v>2474</v>
      </c>
      <c r="BC269" s="40"/>
    </row>
    <row r="270" spans="1:55">
      <c r="A270" s="169">
        <v>2.52</v>
      </c>
      <c r="B270" s="206">
        <v>2.52</v>
      </c>
      <c r="C270" t="s">
        <v>274</v>
      </c>
      <c r="D270" t="s">
        <v>3694</v>
      </c>
      <c r="F270" t="s">
        <v>1502</v>
      </c>
      <c r="G270" t="s">
        <v>1413</v>
      </c>
      <c r="H270" t="s">
        <v>1936</v>
      </c>
      <c r="I270" t="s">
        <v>2451</v>
      </c>
      <c r="J270" t="s">
        <v>2404</v>
      </c>
      <c r="K270" t="s">
        <v>2766</v>
      </c>
      <c r="M270" t="s">
        <v>3364</v>
      </c>
      <c r="N270" t="s">
        <v>274</v>
      </c>
      <c r="O270">
        <v>2</v>
      </c>
      <c r="Q270" t="s">
        <v>3464</v>
      </c>
      <c r="R270" t="s">
        <v>274</v>
      </c>
      <c r="S270">
        <v>1</v>
      </c>
      <c r="U270" t="s">
        <v>3600</v>
      </c>
      <c r="V270" t="s">
        <v>274</v>
      </c>
      <c r="W270">
        <v>1</v>
      </c>
      <c r="Y270">
        <v>17</v>
      </c>
      <c r="Z270">
        <v>96</v>
      </c>
      <c r="AA270">
        <v>12</v>
      </c>
      <c r="AB270">
        <v>10</v>
      </c>
      <c r="AC270">
        <v>98.3</v>
      </c>
      <c r="AD270">
        <v>5</v>
      </c>
      <c r="AF270" s="170" t="s">
        <v>274</v>
      </c>
      <c r="AG270" s="171">
        <v>0.20549999999999999</v>
      </c>
      <c r="AH270" s="172">
        <v>3.6339999999999999</v>
      </c>
      <c r="AI270" s="173">
        <v>0.14399999999999999</v>
      </c>
      <c r="AJ270" s="182">
        <v>0.54</v>
      </c>
      <c r="AK270" s="173">
        <v>0.13900000000000001</v>
      </c>
      <c r="AL270" s="174"/>
      <c r="AM270" s="172">
        <v>3.59</v>
      </c>
      <c r="AN270" s="177">
        <v>2.2080000000000002</v>
      </c>
      <c r="AO270" s="174"/>
      <c r="AP270" s="171">
        <v>27046</v>
      </c>
      <c r="AQ270" s="171">
        <v>62379</v>
      </c>
      <c r="AR270" s="175">
        <v>1</v>
      </c>
      <c r="AS270" s="175">
        <v>1</v>
      </c>
      <c r="AT270" s="176" t="s">
        <v>3286</v>
      </c>
      <c r="AU270" s="171"/>
      <c r="AV270" s="171">
        <v>3.8E-3</v>
      </c>
      <c r="AW270" s="171">
        <v>-7.4000000000000003E-3</v>
      </c>
      <c r="AY270" t="s">
        <v>767</v>
      </c>
      <c r="AZ270" t="s">
        <v>768</v>
      </c>
      <c r="BA270" t="s">
        <v>1939</v>
      </c>
      <c r="BB270" t="s">
        <v>2855</v>
      </c>
    </row>
    <row r="271" spans="1:55" ht="17" thickBot="1">
      <c r="A271" s="169">
        <v>2.52</v>
      </c>
      <c r="B271" s="208"/>
      <c r="C271" t="s">
        <v>275</v>
      </c>
      <c r="D271" t="s">
        <v>3697</v>
      </c>
      <c r="F271" t="s">
        <v>1502</v>
      </c>
      <c r="G271" t="s">
        <v>1413</v>
      </c>
      <c r="H271" t="s">
        <v>1940</v>
      </c>
      <c r="I271" t="s">
        <v>2451</v>
      </c>
      <c r="J271" t="s">
        <v>2404</v>
      </c>
      <c r="K271" t="s">
        <v>2766</v>
      </c>
      <c r="M271" t="s">
        <v>3364</v>
      </c>
      <c r="N271" t="s">
        <v>275</v>
      </c>
      <c r="O271">
        <v>2</v>
      </c>
      <c r="Q271" t="s">
        <v>3495</v>
      </c>
      <c r="R271" t="s">
        <v>275</v>
      </c>
      <c r="S271">
        <v>1</v>
      </c>
      <c r="U271" t="s">
        <v>3651</v>
      </c>
      <c r="V271" t="s">
        <v>275</v>
      </c>
      <c r="W271">
        <v>1</v>
      </c>
      <c r="Y271">
        <v>17</v>
      </c>
      <c r="Z271">
        <v>98.3</v>
      </c>
      <c r="AA271">
        <v>5</v>
      </c>
      <c r="AB271">
        <v>10</v>
      </c>
      <c r="AC271">
        <v>99.3</v>
      </c>
      <c r="AD271">
        <v>2</v>
      </c>
      <c r="AF271" s="170" t="s">
        <v>276</v>
      </c>
      <c r="AG271" s="171">
        <v>0.25140000000000001</v>
      </c>
      <c r="AH271" s="181">
        <v>0.625</v>
      </c>
      <c r="AI271" s="173">
        <v>0.14199999999999999</v>
      </c>
      <c r="AJ271" s="173">
        <v>0.11899999999999999</v>
      </c>
      <c r="AK271" s="173">
        <v>0.13800000000000001</v>
      </c>
      <c r="AL271" s="174"/>
      <c r="AM271" s="172">
        <v>3.3690000000000002</v>
      </c>
      <c r="AN271" s="179">
        <v>1.86</v>
      </c>
      <c r="AO271" s="174"/>
      <c r="AP271" s="171">
        <v>10867</v>
      </c>
      <c r="AQ271" s="171">
        <v>76847</v>
      </c>
      <c r="AR271" s="175">
        <v>1</v>
      </c>
      <c r="AS271" s="175">
        <v>1</v>
      </c>
      <c r="AT271" s="176" t="s">
        <v>3286</v>
      </c>
      <c r="AU271" s="171"/>
      <c r="AV271" s="171">
        <v>-0.04</v>
      </c>
      <c r="AW271" s="171">
        <v>-1.23E-2</v>
      </c>
      <c r="AY271" t="s">
        <v>1073</v>
      </c>
      <c r="AZ271" t="s">
        <v>1074</v>
      </c>
      <c r="BA271" t="s">
        <v>1942</v>
      </c>
      <c r="BB271" t="s">
        <v>2856</v>
      </c>
    </row>
    <row r="272" spans="1:55">
      <c r="A272" s="168">
        <v>2.5299999999999998</v>
      </c>
      <c r="B272" s="206">
        <v>2.5299999999999998</v>
      </c>
      <c r="C272" s="81" t="s">
        <v>277</v>
      </c>
      <c r="D272" s="81" t="s">
        <v>3694</v>
      </c>
      <c r="E272" s="81"/>
      <c r="F272" s="81" t="s">
        <v>1529</v>
      </c>
      <c r="G272" s="81" t="s">
        <v>1413</v>
      </c>
      <c r="H272" s="81" t="s">
        <v>1943</v>
      </c>
      <c r="I272" s="81" t="s">
        <v>2528</v>
      </c>
      <c r="J272" s="81" t="s">
        <v>2480</v>
      </c>
      <c r="K272" s="81" t="s">
        <v>2857</v>
      </c>
      <c r="L272" s="81"/>
      <c r="M272" s="81" t="s">
        <v>3358</v>
      </c>
      <c r="N272" s="81" t="s">
        <v>277</v>
      </c>
      <c r="O272" s="81">
        <v>2</v>
      </c>
      <c r="P272" s="81"/>
      <c r="Q272" s="81" t="s">
        <v>3456</v>
      </c>
      <c r="R272" s="81" t="s">
        <v>277</v>
      </c>
      <c r="S272" s="81">
        <v>1</v>
      </c>
      <c r="T272" s="81"/>
      <c r="U272" s="81" t="s">
        <v>3590</v>
      </c>
      <c r="V272" s="81" t="s">
        <v>277</v>
      </c>
      <c r="W272" s="81">
        <v>1</v>
      </c>
      <c r="X272" s="81"/>
      <c r="Y272" s="81">
        <v>12</v>
      </c>
      <c r="Z272" s="81">
        <v>99</v>
      </c>
      <c r="AA272" s="81">
        <v>3</v>
      </c>
      <c r="AB272" s="81">
        <v>10</v>
      </c>
      <c r="AC272" s="81">
        <v>99.7</v>
      </c>
      <c r="AD272" s="81">
        <v>1</v>
      </c>
      <c r="AE272" s="81"/>
      <c r="AF272" s="83" t="s">
        <v>277</v>
      </c>
      <c r="AG272" s="33">
        <v>0.39379999999999998</v>
      </c>
      <c r="AH272" s="115">
        <v>2.65</v>
      </c>
      <c r="AI272" s="114">
        <v>2.94</v>
      </c>
      <c r="AJ272" s="87">
        <v>0.13300000000000001</v>
      </c>
      <c r="AK272" s="87">
        <v>0.155</v>
      </c>
      <c r="AL272" s="34"/>
      <c r="AM272" s="87">
        <v>0.14399999999999999</v>
      </c>
      <c r="AN272" s="87">
        <v>8.3000000000000004E-2</v>
      </c>
      <c r="AO272" s="34"/>
      <c r="AP272" s="33">
        <v>25787.5</v>
      </c>
      <c r="AQ272" s="33">
        <v>2695</v>
      </c>
      <c r="AR272" s="88">
        <v>1</v>
      </c>
      <c r="AS272" s="88">
        <v>0</v>
      </c>
      <c r="AT272" s="89" t="s">
        <v>3285</v>
      </c>
      <c r="AU272" s="33"/>
      <c r="AV272" s="33">
        <v>-2.9100000000000001E-2</v>
      </c>
      <c r="AW272" s="33">
        <v>3.7699999999999997E-2</v>
      </c>
      <c r="AX272" s="81"/>
      <c r="AY272" s="81" t="s">
        <v>729</v>
      </c>
      <c r="AZ272" s="81" t="s">
        <v>730</v>
      </c>
      <c r="BA272" s="81" t="s">
        <v>1946</v>
      </c>
      <c r="BB272" s="81" t="s">
        <v>2860</v>
      </c>
      <c r="BC272" s="81"/>
    </row>
    <row r="273" spans="1:55" ht="17" thickBot="1">
      <c r="A273" s="178">
        <v>2.5299999999999998</v>
      </c>
      <c r="B273" s="208"/>
      <c r="C273" s="40" t="s">
        <v>278</v>
      </c>
      <c r="D273" s="40" t="s">
        <v>3697</v>
      </c>
      <c r="E273" s="40"/>
      <c r="F273" s="40" t="s">
        <v>1529</v>
      </c>
      <c r="G273" s="40" t="s">
        <v>1413</v>
      </c>
      <c r="H273" s="40" t="s">
        <v>1947</v>
      </c>
      <c r="I273" s="40" t="s">
        <v>2528</v>
      </c>
      <c r="J273" s="40" t="s">
        <v>2480</v>
      </c>
      <c r="K273" s="40" t="s">
        <v>2861</v>
      </c>
      <c r="L273" s="40"/>
      <c r="M273" s="40" t="s">
        <v>3358</v>
      </c>
      <c r="N273" s="40" t="s">
        <v>278</v>
      </c>
      <c r="O273" s="40">
        <v>2</v>
      </c>
      <c r="P273" s="40"/>
      <c r="Q273" s="40" t="s">
        <v>3498</v>
      </c>
      <c r="R273" s="40" t="s">
        <v>278</v>
      </c>
      <c r="S273" s="40">
        <v>1</v>
      </c>
      <c r="T273" s="40"/>
      <c r="U273" s="40" t="s">
        <v>3656</v>
      </c>
      <c r="V273" s="40" t="s">
        <v>278</v>
      </c>
      <c r="W273" s="40">
        <v>1</v>
      </c>
      <c r="X273" s="40"/>
      <c r="Y273" s="40">
        <v>12</v>
      </c>
      <c r="Z273" s="40">
        <v>92.9</v>
      </c>
      <c r="AA273" s="40">
        <v>21</v>
      </c>
      <c r="AB273" s="40">
        <v>11</v>
      </c>
      <c r="AC273" s="40">
        <v>97.3</v>
      </c>
      <c r="AD273" s="40">
        <v>8</v>
      </c>
      <c r="AE273" s="40"/>
      <c r="AF273" s="85" t="s">
        <v>279</v>
      </c>
      <c r="AG273" s="35">
        <v>0.13389999999999999</v>
      </c>
      <c r="AH273" s="102">
        <v>3.5990000000000002</v>
      </c>
      <c r="AI273" s="102">
        <v>3.581</v>
      </c>
      <c r="AJ273" s="90">
        <v>0.127</v>
      </c>
      <c r="AK273" s="90">
        <v>0.126</v>
      </c>
      <c r="AL273" s="37"/>
      <c r="AM273" s="90">
        <v>0.113</v>
      </c>
      <c r="AN273" s="90">
        <v>8.1000000000000003E-2</v>
      </c>
      <c r="AO273" s="37"/>
      <c r="AP273" s="35">
        <v>35012.5</v>
      </c>
      <c r="AQ273" s="35">
        <v>2324</v>
      </c>
      <c r="AR273" s="93">
        <v>1</v>
      </c>
      <c r="AS273" s="93">
        <v>0</v>
      </c>
      <c r="AT273" s="94" t="s">
        <v>3285</v>
      </c>
      <c r="AU273" s="35"/>
      <c r="AV273" s="35">
        <v>-9.4600000000000004E-2</v>
      </c>
      <c r="AW273" s="35">
        <v>-9.8000000000000004E-2</v>
      </c>
      <c r="AX273" s="40"/>
      <c r="AY273" s="40" t="s">
        <v>1083</v>
      </c>
      <c r="AZ273" s="40" t="s">
        <v>1084</v>
      </c>
      <c r="BA273" s="40" t="s">
        <v>1949</v>
      </c>
      <c r="BB273" s="40" t="s">
        <v>2863</v>
      </c>
      <c r="BC273" s="40"/>
    </row>
    <row r="274" spans="1:55">
      <c r="A274" s="169">
        <v>2.54</v>
      </c>
      <c r="B274" s="206">
        <v>2.54</v>
      </c>
      <c r="C274" t="s">
        <v>280</v>
      </c>
      <c r="D274" t="s">
        <v>3699</v>
      </c>
      <c r="F274" t="s">
        <v>1529</v>
      </c>
      <c r="G274" t="s">
        <v>1413</v>
      </c>
      <c r="H274" t="s">
        <v>1950</v>
      </c>
      <c r="I274" t="s">
        <v>2499</v>
      </c>
      <c r="J274" t="s">
        <v>2433</v>
      </c>
      <c r="K274" t="s">
        <v>2864</v>
      </c>
      <c r="M274" t="s">
        <v>3303</v>
      </c>
      <c r="N274" t="s">
        <v>280</v>
      </c>
      <c r="O274">
        <v>2</v>
      </c>
      <c r="Q274" t="s">
        <v>3383</v>
      </c>
      <c r="R274" t="s">
        <v>280</v>
      </c>
      <c r="S274">
        <v>2</v>
      </c>
      <c r="U274" t="s">
        <v>3507</v>
      </c>
      <c r="V274" t="s">
        <v>280</v>
      </c>
      <c r="W274">
        <v>2</v>
      </c>
      <c r="Y274">
        <v>17</v>
      </c>
      <c r="Z274">
        <v>97.1</v>
      </c>
      <c r="AA274">
        <v>8</v>
      </c>
      <c r="AB274">
        <v>12</v>
      </c>
      <c r="AC274">
        <v>99.6</v>
      </c>
      <c r="AD274">
        <v>1</v>
      </c>
      <c r="AF274" s="170" t="s">
        <v>280</v>
      </c>
      <c r="AG274" s="171">
        <v>0.29139999999999999</v>
      </c>
      <c r="AH274" s="186">
        <v>3.1179999999999999</v>
      </c>
      <c r="AI274" s="173">
        <v>0.17499999999999999</v>
      </c>
      <c r="AJ274" s="173">
        <v>0.189</v>
      </c>
      <c r="AK274" s="173">
        <v>0.124</v>
      </c>
      <c r="AL274" s="174"/>
      <c r="AM274" s="172">
        <v>3.4790000000000001</v>
      </c>
      <c r="AN274" s="186">
        <v>2.161</v>
      </c>
      <c r="AO274" s="174"/>
      <c r="AP274" s="171">
        <v>15757</v>
      </c>
      <c r="AQ274" s="171">
        <v>70087</v>
      </c>
      <c r="AR274" s="175">
        <v>1</v>
      </c>
      <c r="AS274" s="175">
        <v>1</v>
      </c>
      <c r="AT274" s="176" t="s">
        <v>3286</v>
      </c>
      <c r="AU274" s="171"/>
      <c r="AV274" s="171">
        <v>-2.0799999999999999E-2</v>
      </c>
      <c r="AW274" s="171">
        <v>-1.2699999999999999E-2</v>
      </c>
      <c r="AY274" t="s">
        <v>891</v>
      </c>
      <c r="AZ274" t="s">
        <v>892</v>
      </c>
      <c r="BA274" t="s">
        <v>1953</v>
      </c>
      <c r="BB274" t="s">
        <v>2867</v>
      </c>
    </row>
    <row r="275" spans="1:55" ht="17" thickBot="1">
      <c r="A275" s="169">
        <v>2.54</v>
      </c>
      <c r="B275" s="208"/>
      <c r="C275" t="s">
        <v>281</v>
      </c>
      <c r="D275" t="s">
        <v>3694</v>
      </c>
      <c r="F275" t="s">
        <v>1529</v>
      </c>
      <c r="G275" t="s">
        <v>1413</v>
      </c>
      <c r="H275" t="s">
        <v>1954</v>
      </c>
      <c r="I275" t="s">
        <v>2499</v>
      </c>
      <c r="J275" t="s">
        <v>2433</v>
      </c>
      <c r="K275" t="s">
        <v>2868</v>
      </c>
      <c r="M275" t="s">
        <v>3303</v>
      </c>
      <c r="N275" t="s">
        <v>281</v>
      </c>
      <c r="O275">
        <v>2</v>
      </c>
      <c r="Q275" t="s">
        <v>3383</v>
      </c>
      <c r="R275" t="s">
        <v>281</v>
      </c>
      <c r="S275">
        <v>2</v>
      </c>
      <c r="U275" t="s">
        <v>3507</v>
      </c>
      <c r="V275" t="s">
        <v>281</v>
      </c>
      <c r="W275">
        <v>2</v>
      </c>
      <c r="Y275">
        <v>17</v>
      </c>
      <c r="Z275">
        <v>94.2</v>
      </c>
      <c r="AA275">
        <v>17</v>
      </c>
      <c r="AB275">
        <v>10</v>
      </c>
      <c r="AC275">
        <v>96.6</v>
      </c>
      <c r="AD275">
        <v>10</v>
      </c>
      <c r="AF275" s="170" t="s">
        <v>281</v>
      </c>
      <c r="AG275" s="171">
        <v>0.21099999999999999</v>
      </c>
      <c r="AH275" s="172">
        <v>3.5750000000000002</v>
      </c>
      <c r="AI275" s="190">
        <v>2.2349999999999999</v>
      </c>
      <c r="AJ275" s="192">
        <v>1.0609999999999999</v>
      </c>
      <c r="AK275" s="173">
        <v>0.13300000000000001</v>
      </c>
      <c r="AL275" s="174"/>
      <c r="AM275" s="172">
        <v>3.4820000000000002</v>
      </c>
      <c r="AN275" s="186">
        <v>2.0379999999999998</v>
      </c>
      <c r="AO275" s="174"/>
      <c r="AP275" s="171">
        <v>14936.5</v>
      </c>
      <c r="AQ275" s="171">
        <v>50898</v>
      </c>
      <c r="AR275" s="175">
        <v>1</v>
      </c>
      <c r="AS275" s="175">
        <v>1</v>
      </c>
      <c r="AT275" s="176" t="s">
        <v>3286</v>
      </c>
      <c r="AU275" s="171"/>
      <c r="AV275" s="171">
        <v>5.0000000000000001E-4</v>
      </c>
      <c r="AW275" s="171">
        <v>-4.7999999999999996E-3</v>
      </c>
      <c r="AY275" t="s">
        <v>855</v>
      </c>
      <c r="AZ275" t="s">
        <v>856</v>
      </c>
      <c r="BA275" t="s">
        <v>1957</v>
      </c>
      <c r="BB275" t="s">
        <v>2871</v>
      </c>
    </row>
    <row r="276" spans="1:55">
      <c r="A276" s="168">
        <v>2.5499999999999998</v>
      </c>
      <c r="B276" s="206">
        <v>2.5499999999999998</v>
      </c>
      <c r="C276" s="81" t="s">
        <v>136</v>
      </c>
      <c r="D276" s="81" t="s">
        <v>3697</v>
      </c>
      <c r="E276" s="81"/>
      <c r="F276" s="81" t="s">
        <v>1529</v>
      </c>
      <c r="G276" s="81" t="s">
        <v>1413</v>
      </c>
      <c r="H276" s="81" t="s">
        <v>1530</v>
      </c>
      <c r="I276" s="81" t="s">
        <v>2499</v>
      </c>
      <c r="J276" s="81" t="s">
        <v>2480</v>
      </c>
      <c r="K276" s="81" t="s">
        <v>2500</v>
      </c>
      <c r="L276" s="81"/>
      <c r="M276" s="81" t="s">
        <v>3311</v>
      </c>
      <c r="N276" s="81" t="s">
        <v>136</v>
      </c>
      <c r="O276" s="81">
        <v>2</v>
      </c>
      <c r="P276" s="81"/>
      <c r="Q276" s="81" t="s">
        <v>3391</v>
      </c>
      <c r="R276" s="81" t="s">
        <v>136</v>
      </c>
      <c r="S276" s="81">
        <v>2</v>
      </c>
      <c r="T276" s="81"/>
      <c r="U276" s="81" t="s">
        <v>3515</v>
      </c>
      <c r="V276" s="81" t="s">
        <v>136</v>
      </c>
      <c r="W276" s="81">
        <v>1</v>
      </c>
      <c r="X276" s="81"/>
      <c r="Y276" s="81">
        <v>17</v>
      </c>
      <c r="Z276" s="81">
        <v>95.6</v>
      </c>
      <c r="AA276" s="81">
        <v>12</v>
      </c>
      <c r="AB276" s="81">
        <v>11</v>
      </c>
      <c r="AC276" s="81">
        <v>98.2</v>
      </c>
      <c r="AD276" s="81">
        <v>5</v>
      </c>
      <c r="AE276" s="81"/>
      <c r="AF276" s="83" t="s">
        <v>136</v>
      </c>
      <c r="AG276" s="33">
        <v>0.33660000000000001</v>
      </c>
      <c r="AH276" s="100">
        <v>3.4809999999999999</v>
      </c>
      <c r="AI276" s="87">
        <v>0.20300000000000001</v>
      </c>
      <c r="AJ276" s="87">
        <v>0.14699999999999999</v>
      </c>
      <c r="AK276" s="87">
        <v>0.13200000000000001</v>
      </c>
      <c r="AL276" s="34"/>
      <c r="AM276" s="100">
        <v>3.5030000000000001</v>
      </c>
      <c r="AN276" s="105">
        <v>2.1989999999999998</v>
      </c>
      <c r="AO276" s="34"/>
      <c r="AP276" s="33">
        <v>19934</v>
      </c>
      <c r="AQ276" s="33">
        <v>53343</v>
      </c>
      <c r="AR276" s="88">
        <v>1</v>
      </c>
      <c r="AS276" s="88">
        <v>1</v>
      </c>
      <c r="AT276" s="89" t="s">
        <v>3286</v>
      </c>
      <c r="AU276" s="33"/>
      <c r="AV276" s="33">
        <v>-1.35E-2</v>
      </c>
      <c r="AW276" s="33">
        <v>3.8699999999999998E-2</v>
      </c>
      <c r="AX276" s="81"/>
      <c r="AY276" s="81" t="s">
        <v>907</v>
      </c>
      <c r="AZ276" s="81" t="s">
        <v>908</v>
      </c>
      <c r="BA276" s="81" t="s">
        <v>1533</v>
      </c>
      <c r="BB276" s="81" t="s">
        <v>2503</v>
      </c>
      <c r="BC276" s="81"/>
    </row>
    <row r="277" spans="1:55" ht="17" thickBot="1">
      <c r="A277" s="178">
        <v>2.5499999999999998</v>
      </c>
      <c r="B277" s="208"/>
      <c r="C277" s="40" t="s">
        <v>137</v>
      </c>
      <c r="D277" s="40" t="s">
        <v>3694</v>
      </c>
      <c r="E277" s="40"/>
      <c r="F277" s="40" t="s">
        <v>1529</v>
      </c>
      <c r="G277" s="40" t="s">
        <v>1413</v>
      </c>
      <c r="H277" s="40" t="s">
        <v>1534</v>
      </c>
      <c r="I277" s="40" t="s">
        <v>2499</v>
      </c>
      <c r="J277" s="40" t="s">
        <v>2480</v>
      </c>
      <c r="K277" s="40" t="s">
        <v>2504</v>
      </c>
      <c r="L277" s="40"/>
      <c r="M277" s="40" t="s">
        <v>3311</v>
      </c>
      <c r="N277" s="40" t="s">
        <v>137</v>
      </c>
      <c r="O277" s="40">
        <v>2</v>
      </c>
      <c r="P277" s="40"/>
      <c r="Q277" s="40" t="s">
        <v>3391</v>
      </c>
      <c r="R277" s="40" t="s">
        <v>137</v>
      </c>
      <c r="S277" s="40">
        <v>2</v>
      </c>
      <c r="T277" s="40"/>
      <c r="U277" s="40" t="s">
        <v>3553</v>
      </c>
      <c r="V277" s="40" t="s">
        <v>137</v>
      </c>
      <c r="W277" s="40">
        <v>1</v>
      </c>
      <c r="X277" s="40"/>
      <c r="Y277" s="40">
        <v>17</v>
      </c>
      <c r="Z277" s="40">
        <v>96.3</v>
      </c>
      <c r="AA277" s="40">
        <v>11</v>
      </c>
      <c r="AB277" s="40">
        <v>11</v>
      </c>
      <c r="AC277" s="40">
        <v>98</v>
      </c>
      <c r="AD277" s="40">
        <v>6</v>
      </c>
      <c r="AE277" s="40"/>
      <c r="AF277" s="85" t="s">
        <v>137</v>
      </c>
      <c r="AG277" s="35">
        <v>0.19359999999999999</v>
      </c>
      <c r="AH277" s="102">
        <v>3.609</v>
      </c>
      <c r="AI277" s="95">
        <v>1.012</v>
      </c>
      <c r="AJ277" s="90">
        <v>0.217</v>
      </c>
      <c r="AK277" s="90">
        <v>0.115</v>
      </c>
      <c r="AL277" s="37"/>
      <c r="AM277" s="102">
        <v>3.4830000000000001</v>
      </c>
      <c r="AN277" s="103">
        <v>2.0409999999999999</v>
      </c>
      <c r="AO277" s="37"/>
      <c r="AP277" s="35">
        <v>11751</v>
      </c>
      <c r="AQ277" s="35">
        <v>85878</v>
      </c>
      <c r="AR277" s="93">
        <v>1</v>
      </c>
      <c r="AS277" s="93">
        <v>1</v>
      </c>
      <c r="AT277" s="94" t="s">
        <v>3286</v>
      </c>
      <c r="AU277" s="35"/>
      <c r="AV277" s="35">
        <v>-0.11</v>
      </c>
      <c r="AW277" s="35">
        <v>0.64670000000000005</v>
      </c>
      <c r="AX277" s="40"/>
      <c r="AY277" s="40" t="s">
        <v>588</v>
      </c>
      <c r="AZ277" s="40" t="s">
        <v>589</v>
      </c>
      <c r="BA277" s="40" t="s">
        <v>1536</v>
      </c>
      <c r="BB277" s="40" t="s">
        <v>2506</v>
      </c>
      <c r="BC277" s="40"/>
    </row>
    <row r="278" spans="1:55">
      <c r="A278" s="169">
        <v>2.56</v>
      </c>
      <c r="B278" s="206">
        <v>2.56</v>
      </c>
      <c r="C278" t="s">
        <v>282</v>
      </c>
      <c r="D278" t="s">
        <v>3694</v>
      </c>
      <c r="F278" t="s">
        <v>1959</v>
      </c>
      <c r="G278" t="s">
        <v>1428</v>
      </c>
      <c r="H278" t="s">
        <v>1960</v>
      </c>
      <c r="I278" t="s">
        <v>2528</v>
      </c>
      <c r="J278" t="s">
        <v>2508</v>
      </c>
      <c r="K278" t="s">
        <v>2873</v>
      </c>
      <c r="M278" t="s">
        <v>3357</v>
      </c>
      <c r="N278" t="s">
        <v>282</v>
      </c>
      <c r="O278">
        <v>2</v>
      </c>
      <c r="Q278" t="s">
        <v>3452</v>
      </c>
      <c r="R278" t="s">
        <v>282</v>
      </c>
      <c r="S278">
        <v>1</v>
      </c>
      <c r="U278" t="s">
        <v>3584</v>
      </c>
      <c r="V278" t="s">
        <v>282</v>
      </c>
      <c r="W278">
        <v>1</v>
      </c>
      <c r="Y278">
        <v>24</v>
      </c>
      <c r="Z278">
        <v>97.7</v>
      </c>
      <c r="AA278">
        <v>7</v>
      </c>
      <c r="AB278">
        <v>10</v>
      </c>
      <c r="AC278">
        <v>98.3</v>
      </c>
      <c r="AD278">
        <v>5</v>
      </c>
      <c r="AF278" s="170" t="s">
        <v>282</v>
      </c>
      <c r="AG278" s="171">
        <v>0.2064</v>
      </c>
      <c r="AH278" s="172">
        <v>3.5609999999999999</v>
      </c>
      <c r="AI278" s="172">
        <v>3.6219999999999999</v>
      </c>
      <c r="AJ278" s="182">
        <v>0.36499999999999999</v>
      </c>
      <c r="AK278" s="173">
        <v>0.15</v>
      </c>
      <c r="AL278" s="174"/>
      <c r="AM278" s="172">
        <v>3.5680000000000001</v>
      </c>
      <c r="AN278" s="186">
        <v>2.1030000000000002</v>
      </c>
      <c r="AO278" s="174"/>
      <c r="AP278" s="171">
        <v>15890</v>
      </c>
      <c r="AQ278" s="171">
        <v>89484</v>
      </c>
      <c r="AR278" s="175">
        <v>1</v>
      </c>
      <c r="AS278" s="175">
        <v>1</v>
      </c>
      <c r="AT278" s="176" t="s">
        <v>3286</v>
      </c>
      <c r="AU278" s="171"/>
      <c r="AV278" s="171">
        <v>-6.0299999999999999E-2</v>
      </c>
      <c r="AW278" s="171">
        <v>-0.08</v>
      </c>
      <c r="AY278" t="s">
        <v>712</v>
      </c>
      <c r="AZ278" t="s">
        <v>713</v>
      </c>
      <c r="BA278" t="s">
        <v>1962</v>
      </c>
      <c r="BB278" t="s">
        <v>2875</v>
      </c>
    </row>
    <row r="279" spans="1:55" ht="17" thickBot="1">
      <c r="A279" s="169">
        <v>2.56</v>
      </c>
      <c r="B279" s="208"/>
      <c r="C279" t="s">
        <v>283</v>
      </c>
      <c r="D279" t="s">
        <v>3697</v>
      </c>
      <c r="F279" t="s">
        <v>1959</v>
      </c>
      <c r="G279" t="s">
        <v>1428</v>
      </c>
      <c r="H279" t="s">
        <v>1963</v>
      </c>
      <c r="I279" t="s">
        <v>2528</v>
      </c>
      <c r="J279" t="s">
        <v>2508</v>
      </c>
      <c r="K279" t="s">
        <v>2876</v>
      </c>
      <c r="M279" t="s">
        <v>3357</v>
      </c>
      <c r="N279" t="s">
        <v>283</v>
      </c>
      <c r="O279">
        <v>2</v>
      </c>
      <c r="Q279" t="s">
        <v>3497</v>
      </c>
      <c r="R279" t="s">
        <v>283</v>
      </c>
      <c r="S279">
        <v>1</v>
      </c>
      <c r="U279" t="s">
        <v>3655</v>
      </c>
      <c r="V279" t="s">
        <v>283</v>
      </c>
      <c r="W279">
        <v>1</v>
      </c>
      <c r="Y279">
        <v>24</v>
      </c>
      <c r="Z279">
        <v>97</v>
      </c>
      <c r="AA279">
        <v>9</v>
      </c>
      <c r="AB279">
        <v>10</v>
      </c>
      <c r="AC279">
        <v>95.3</v>
      </c>
      <c r="AD279">
        <v>14</v>
      </c>
      <c r="AF279" s="170" t="s">
        <v>284</v>
      </c>
      <c r="AG279" s="171">
        <v>0.26860000000000001</v>
      </c>
      <c r="AH279" s="172">
        <v>3.6360000000000001</v>
      </c>
      <c r="AI279" s="172">
        <v>3.605</v>
      </c>
      <c r="AJ279" s="177">
        <v>3.2029999999999998</v>
      </c>
      <c r="AK279" s="173">
        <v>0.13600000000000001</v>
      </c>
      <c r="AL279" s="174"/>
      <c r="AM279" s="172">
        <v>3.5630000000000002</v>
      </c>
      <c r="AN279" s="186">
        <v>2.1509999999999998</v>
      </c>
      <c r="AO279" s="174"/>
      <c r="AP279" s="171">
        <v>12878</v>
      </c>
      <c r="AQ279" s="171">
        <v>72418</v>
      </c>
      <c r="AR279" s="175">
        <v>1</v>
      </c>
      <c r="AS279" s="175">
        <v>1</v>
      </c>
      <c r="AT279" s="176" t="s">
        <v>3286</v>
      </c>
      <c r="AU279" s="171"/>
      <c r="AV279" s="171">
        <v>-8.0699999999999994E-2</v>
      </c>
      <c r="AW279" s="171">
        <v>0.68520000000000003</v>
      </c>
      <c r="AY279" t="s">
        <v>1081</v>
      </c>
      <c r="AZ279" t="s">
        <v>1082</v>
      </c>
      <c r="BA279" t="s">
        <v>1965</v>
      </c>
      <c r="BB279" t="s">
        <v>2878</v>
      </c>
    </row>
    <row r="280" spans="1:55">
      <c r="A280" s="168">
        <v>2.57</v>
      </c>
      <c r="B280" s="206">
        <v>2.57</v>
      </c>
      <c r="C280" s="81" t="s">
        <v>285</v>
      </c>
      <c r="D280" s="81" t="s">
        <v>3694</v>
      </c>
      <c r="E280" s="81"/>
      <c r="F280" s="81" t="s">
        <v>1602</v>
      </c>
      <c r="G280" s="81" t="s">
        <v>1428</v>
      </c>
      <c r="H280" s="81" t="s">
        <v>1966</v>
      </c>
      <c r="I280" s="81" t="s">
        <v>2451</v>
      </c>
      <c r="J280" s="81" t="s">
        <v>2411</v>
      </c>
      <c r="K280" s="81" t="s">
        <v>2879</v>
      </c>
      <c r="L280" s="81"/>
      <c r="M280" s="81" t="s">
        <v>3368</v>
      </c>
      <c r="N280" s="81" t="s">
        <v>285</v>
      </c>
      <c r="O280" s="81">
        <v>2</v>
      </c>
      <c r="P280" s="81"/>
      <c r="Q280" s="81" t="s">
        <v>3470</v>
      </c>
      <c r="R280" s="81" t="s">
        <v>285</v>
      </c>
      <c r="S280" s="81">
        <v>1</v>
      </c>
      <c r="T280" s="81"/>
      <c r="U280" s="81" t="s">
        <v>3608</v>
      </c>
      <c r="V280" s="81" t="s">
        <v>285</v>
      </c>
      <c r="W280" s="81">
        <v>1</v>
      </c>
      <c r="X280" s="81"/>
      <c r="Y280" s="81">
        <v>16</v>
      </c>
      <c r="Z280" s="81">
        <v>96.6</v>
      </c>
      <c r="AA280" s="81">
        <v>10</v>
      </c>
      <c r="AB280" s="81">
        <v>10</v>
      </c>
      <c r="AC280" s="81">
        <v>96.2</v>
      </c>
      <c r="AD280" s="81">
        <v>11</v>
      </c>
      <c r="AE280" s="81"/>
      <c r="AF280" s="83" t="s">
        <v>285</v>
      </c>
      <c r="AG280" s="33">
        <v>0.17710000000000001</v>
      </c>
      <c r="AH280" s="100">
        <v>3.528</v>
      </c>
      <c r="AI280" s="105">
        <v>3.21</v>
      </c>
      <c r="AJ280" s="100">
        <v>3.4809999999999999</v>
      </c>
      <c r="AK280" s="87">
        <v>0.126</v>
      </c>
      <c r="AL280" s="34"/>
      <c r="AM280" s="100">
        <v>3.4569999999999999</v>
      </c>
      <c r="AN280" s="114">
        <v>2.0720000000000001</v>
      </c>
      <c r="AO280" s="34"/>
      <c r="AP280" s="33">
        <v>22321</v>
      </c>
      <c r="AQ280" s="33">
        <v>67624</v>
      </c>
      <c r="AR280" s="88">
        <v>1</v>
      </c>
      <c r="AS280" s="88">
        <v>1</v>
      </c>
      <c r="AT280" s="89" t="s">
        <v>3286</v>
      </c>
      <c r="AU280" s="33"/>
      <c r="AV280" s="33">
        <v>1.1126</v>
      </c>
      <c r="AW280" s="33">
        <v>-1.11E-2</v>
      </c>
      <c r="AX280" s="81"/>
      <c r="AY280" s="81" t="s">
        <v>813</v>
      </c>
      <c r="AZ280" s="81" t="s">
        <v>814</v>
      </c>
      <c r="BA280" s="81" t="s">
        <v>1969</v>
      </c>
      <c r="BB280" s="81" t="s">
        <v>2881</v>
      </c>
      <c r="BC280" s="81"/>
    </row>
    <row r="281" spans="1:55" ht="17" thickBot="1">
      <c r="A281" s="178">
        <v>2.57</v>
      </c>
      <c r="B281" s="208"/>
      <c r="C281" s="40" t="s">
        <v>286</v>
      </c>
      <c r="D281" s="40" t="s">
        <v>3697</v>
      </c>
      <c r="E281" s="40"/>
      <c r="F281" s="40" t="s">
        <v>1602</v>
      </c>
      <c r="G281" s="40" t="s">
        <v>1428</v>
      </c>
      <c r="H281" s="40" t="s">
        <v>1970</v>
      </c>
      <c r="I281" s="40" t="s">
        <v>2451</v>
      </c>
      <c r="J281" s="40" t="s">
        <v>2411</v>
      </c>
      <c r="K281" s="40" t="s">
        <v>2882</v>
      </c>
      <c r="L281" s="40"/>
      <c r="M281" s="40" t="s">
        <v>3368</v>
      </c>
      <c r="N281" s="40" t="s">
        <v>286</v>
      </c>
      <c r="O281" s="40">
        <v>2</v>
      </c>
      <c r="P281" s="40"/>
      <c r="Q281" s="40" t="s">
        <v>3499</v>
      </c>
      <c r="R281" s="40" t="s">
        <v>286</v>
      </c>
      <c r="S281" s="40">
        <v>1</v>
      </c>
      <c r="T281" s="40"/>
      <c r="U281" s="40" t="s">
        <v>3657</v>
      </c>
      <c r="V281" s="40" t="s">
        <v>286</v>
      </c>
      <c r="W281" s="40">
        <v>1</v>
      </c>
      <c r="X281" s="40"/>
      <c r="Y281" s="40">
        <v>16</v>
      </c>
      <c r="Z281" s="40">
        <v>98.6</v>
      </c>
      <c r="AA281" s="40">
        <v>4</v>
      </c>
      <c r="AB281" s="40">
        <v>10</v>
      </c>
      <c r="AC281" s="40">
        <v>98.2</v>
      </c>
      <c r="AD281" s="40">
        <v>5</v>
      </c>
      <c r="AE281" s="40"/>
      <c r="AF281" s="85" t="s">
        <v>287</v>
      </c>
      <c r="AG281" s="35">
        <v>0.26719999999999999</v>
      </c>
      <c r="AH281" s="102">
        <v>3.5249999999999999</v>
      </c>
      <c r="AI281" s="102">
        <v>3.54</v>
      </c>
      <c r="AJ281" s="102">
        <v>3.492</v>
      </c>
      <c r="AK281" s="90">
        <v>0.157</v>
      </c>
      <c r="AL281" s="37"/>
      <c r="AM281" s="102">
        <v>3.4929999999999999</v>
      </c>
      <c r="AN281" s="110">
        <v>2.3149999999999999</v>
      </c>
      <c r="AO281" s="37"/>
      <c r="AP281" s="35">
        <v>13723</v>
      </c>
      <c r="AQ281" s="35">
        <v>70347</v>
      </c>
      <c r="AR281" s="93">
        <v>1</v>
      </c>
      <c r="AS281" s="93">
        <v>1</v>
      </c>
      <c r="AT281" s="94" t="s">
        <v>3286</v>
      </c>
      <c r="AU281" s="35"/>
      <c r="AV281" s="35">
        <v>0.58209999999999995</v>
      </c>
      <c r="AW281" s="35">
        <v>0.11940000000000001</v>
      </c>
      <c r="AX281" s="40"/>
      <c r="AY281" s="40" t="s">
        <v>1085</v>
      </c>
      <c r="AZ281" s="40" t="s">
        <v>1086</v>
      </c>
      <c r="BA281" s="40" t="s">
        <v>1972</v>
      </c>
      <c r="BB281" s="40" t="s">
        <v>2884</v>
      </c>
      <c r="BC281" s="40"/>
    </row>
    <row r="282" spans="1:55">
      <c r="A282" s="169">
        <v>2.58</v>
      </c>
      <c r="B282" s="206">
        <v>2.58</v>
      </c>
      <c r="C282" t="s">
        <v>288</v>
      </c>
      <c r="D282" t="s">
        <v>3694</v>
      </c>
      <c r="F282" t="s">
        <v>1602</v>
      </c>
      <c r="G282" t="s">
        <v>1428</v>
      </c>
      <c r="H282" t="s">
        <v>1973</v>
      </c>
      <c r="I282" t="s">
        <v>2885</v>
      </c>
      <c r="J282" t="s">
        <v>2404</v>
      </c>
      <c r="K282" t="s">
        <v>2632</v>
      </c>
      <c r="M282" t="s">
        <v>3347</v>
      </c>
      <c r="N282" t="s">
        <v>288</v>
      </c>
      <c r="O282">
        <v>2</v>
      </c>
      <c r="Q282" t="s">
        <v>3438</v>
      </c>
      <c r="R282" t="s">
        <v>288</v>
      </c>
      <c r="S282">
        <v>2</v>
      </c>
      <c r="U282" t="s">
        <v>3569</v>
      </c>
      <c r="V282" t="s">
        <v>288</v>
      </c>
      <c r="W282">
        <v>1</v>
      </c>
      <c r="Y282">
        <v>18</v>
      </c>
      <c r="Z282">
        <v>96.3</v>
      </c>
      <c r="AA282">
        <v>11</v>
      </c>
      <c r="AB282">
        <v>10</v>
      </c>
      <c r="AC282">
        <v>93.7</v>
      </c>
      <c r="AD282">
        <v>18</v>
      </c>
      <c r="AF282" s="170" t="s">
        <v>288</v>
      </c>
      <c r="AG282" s="171">
        <v>0.20050000000000001</v>
      </c>
      <c r="AH282" s="183">
        <v>3.585</v>
      </c>
      <c r="AI282" s="183">
        <v>3.5579999999999998</v>
      </c>
      <c r="AJ282" s="205">
        <v>1.1870000000000001</v>
      </c>
      <c r="AK282" s="188">
        <v>0.154</v>
      </c>
      <c r="AL282" s="185"/>
      <c r="AM282" s="172">
        <v>3.5150000000000001</v>
      </c>
      <c r="AN282" s="177">
        <v>2.5139999999999998</v>
      </c>
      <c r="AO282" s="174"/>
      <c r="AP282" s="171">
        <v>10938</v>
      </c>
      <c r="AQ282" s="171">
        <v>105639</v>
      </c>
      <c r="AR282" s="175">
        <v>1</v>
      </c>
      <c r="AS282" s="175">
        <v>1</v>
      </c>
      <c r="AT282" s="176" t="s">
        <v>3286</v>
      </c>
      <c r="AU282" s="171"/>
      <c r="AV282" s="171">
        <v>-0.21929999999999999</v>
      </c>
      <c r="AW282" s="171">
        <v>-5.4300000000000001E-2</v>
      </c>
      <c r="AY282" t="s">
        <v>640</v>
      </c>
      <c r="AZ282" t="s">
        <v>641</v>
      </c>
      <c r="BA282" t="s">
        <v>1975</v>
      </c>
      <c r="BB282" t="s">
        <v>2887</v>
      </c>
    </row>
    <row r="283" spans="1:55" ht="17" thickBot="1">
      <c r="A283" s="169">
        <v>2.58</v>
      </c>
      <c r="B283" s="208"/>
      <c r="C283" t="s">
        <v>289</v>
      </c>
      <c r="D283" t="s">
        <v>3702</v>
      </c>
      <c r="F283" t="s">
        <v>1602</v>
      </c>
      <c r="G283" t="s">
        <v>1428</v>
      </c>
      <c r="H283" t="s">
        <v>1976</v>
      </c>
      <c r="I283" t="s">
        <v>2885</v>
      </c>
      <c r="J283" t="s">
        <v>2404</v>
      </c>
      <c r="K283" t="s">
        <v>2766</v>
      </c>
      <c r="M283" t="s">
        <v>3347</v>
      </c>
      <c r="N283" t="s">
        <v>289</v>
      </c>
      <c r="O283">
        <v>2</v>
      </c>
      <c r="Q283" t="s">
        <v>3438</v>
      </c>
      <c r="R283" t="s">
        <v>289</v>
      </c>
      <c r="S283">
        <v>2</v>
      </c>
      <c r="U283" t="s">
        <v>3631</v>
      </c>
      <c r="V283" t="s">
        <v>289</v>
      </c>
      <c r="W283">
        <v>1</v>
      </c>
      <c r="Y283">
        <v>18</v>
      </c>
      <c r="Z283">
        <v>100</v>
      </c>
      <c r="AA283">
        <v>0</v>
      </c>
      <c r="AB283">
        <v>10</v>
      </c>
      <c r="AC283">
        <v>100</v>
      </c>
      <c r="AD283">
        <v>0</v>
      </c>
      <c r="AF283" s="170" t="s">
        <v>290</v>
      </c>
      <c r="AG283" s="171">
        <v>0.20749999999999999</v>
      </c>
      <c r="AH283" s="173">
        <v>0.13300000000000001</v>
      </c>
      <c r="AI283" s="173">
        <v>0.14799999999999999</v>
      </c>
      <c r="AJ283" s="173">
        <v>0.121</v>
      </c>
      <c r="AK283" s="173">
        <v>0.14299999999999999</v>
      </c>
      <c r="AL283" s="174"/>
      <c r="AM283" s="173">
        <v>0.127</v>
      </c>
      <c r="AN283" s="173">
        <v>0.10299999999999999</v>
      </c>
      <c r="AO283" s="174"/>
      <c r="AP283" s="171">
        <v>26328</v>
      </c>
      <c r="AQ283" s="171">
        <v>26841</v>
      </c>
      <c r="AR283" s="175">
        <v>1</v>
      </c>
      <c r="AS283" s="175">
        <v>1</v>
      </c>
      <c r="AT283" s="176" t="s">
        <v>3289</v>
      </c>
      <c r="AU283" s="171"/>
      <c r="AV283" s="171">
        <v>-9.1700000000000004E-2</v>
      </c>
      <c r="AW283" s="171">
        <v>-6.4299999999999996E-2</v>
      </c>
      <c r="AY283" t="s">
        <v>1018</v>
      </c>
      <c r="AZ283" t="s">
        <v>1019</v>
      </c>
      <c r="BA283" t="s">
        <v>1978</v>
      </c>
      <c r="BB283" t="s">
        <v>2888</v>
      </c>
    </row>
    <row r="284" spans="1:55">
      <c r="A284" s="168">
        <v>2.59</v>
      </c>
      <c r="B284" s="206">
        <v>2.59</v>
      </c>
      <c r="C284" s="81" t="s">
        <v>138</v>
      </c>
      <c r="D284" s="81" t="s">
        <v>3707</v>
      </c>
      <c r="E284" s="81"/>
      <c r="F284" s="81" t="s">
        <v>1537</v>
      </c>
      <c r="G284" s="81" t="s">
        <v>1413</v>
      </c>
      <c r="H284" s="81" t="s">
        <v>1538</v>
      </c>
      <c r="I284" s="81" t="s">
        <v>2507</v>
      </c>
      <c r="J284" s="81" t="s">
        <v>2508</v>
      </c>
      <c r="K284" s="81" t="s">
        <v>2509</v>
      </c>
      <c r="L284" s="81"/>
      <c r="M284" s="81" t="s">
        <v>3373</v>
      </c>
      <c r="N284" s="81" t="s">
        <v>138</v>
      </c>
      <c r="O284" s="81">
        <v>2</v>
      </c>
      <c r="P284" s="81"/>
      <c r="Q284" s="81" t="s">
        <v>3501</v>
      </c>
      <c r="R284" s="81" t="s">
        <v>138</v>
      </c>
      <c r="S284" s="81">
        <v>2</v>
      </c>
      <c r="T284" s="81"/>
      <c r="U284" s="81" t="s">
        <v>3663</v>
      </c>
      <c r="V284" s="81" t="s">
        <v>138</v>
      </c>
      <c r="W284" s="81">
        <v>2</v>
      </c>
      <c r="X284" s="81"/>
      <c r="Y284" s="81">
        <v>10</v>
      </c>
      <c r="Z284" s="81">
        <v>94.2</v>
      </c>
      <c r="AA284" s="81">
        <v>17</v>
      </c>
      <c r="AB284" s="81">
        <v>10</v>
      </c>
      <c r="AC284" s="81">
        <v>96.9</v>
      </c>
      <c r="AD284" s="81">
        <v>9</v>
      </c>
      <c r="AE284" s="81"/>
      <c r="AF284" s="83" t="s">
        <v>138</v>
      </c>
      <c r="AG284" s="33">
        <v>0.2082</v>
      </c>
      <c r="AH284" s="87">
        <v>0.123</v>
      </c>
      <c r="AI284" s="87">
        <v>0.13400000000000001</v>
      </c>
      <c r="AJ284" s="87">
        <v>0.124</v>
      </c>
      <c r="AK284" s="87">
        <v>0.151</v>
      </c>
      <c r="AL284" s="34"/>
      <c r="AM284" s="87">
        <v>0.11600000000000001</v>
      </c>
      <c r="AN284" s="87">
        <v>8.5999999999999993E-2</v>
      </c>
      <c r="AO284" s="34"/>
      <c r="AP284" s="33">
        <v>13968.5</v>
      </c>
      <c r="AQ284" s="33">
        <v>1907.5</v>
      </c>
      <c r="AR284" s="88">
        <v>1</v>
      </c>
      <c r="AS284" s="88">
        <v>0</v>
      </c>
      <c r="AT284" s="89" t="s">
        <v>3285</v>
      </c>
      <c r="AU284" s="33"/>
      <c r="AV284" s="33">
        <v>-8.77E-2</v>
      </c>
      <c r="AW284" s="33">
        <v>-8.1600000000000006E-2</v>
      </c>
      <c r="AX284" s="81"/>
      <c r="AY284" s="81" t="s">
        <v>984</v>
      </c>
      <c r="AZ284" s="81" t="s">
        <v>985</v>
      </c>
      <c r="BA284" s="81" t="s">
        <v>1540</v>
      </c>
      <c r="BB284" s="81" t="s">
        <v>2511</v>
      </c>
      <c r="BC284" s="81"/>
    </row>
    <row r="285" spans="1:55" ht="17" thickBot="1">
      <c r="A285" s="178">
        <v>2.59</v>
      </c>
      <c r="B285" s="208"/>
      <c r="C285" s="40" t="s">
        <v>139</v>
      </c>
      <c r="D285" s="40" t="s">
        <v>3695</v>
      </c>
      <c r="E285" s="40"/>
      <c r="F285" s="40" t="s">
        <v>1537</v>
      </c>
      <c r="G285" s="40" t="s">
        <v>1413</v>
      </c>
      <c r="H285" s="40" t="s">
        <v>1541</v>
      </c>
      <c r="I285" s="40" t="s">
        <v>2507</v>
      </c>
      <c r="J285" s="40" t="s">
        <v>2508</v>
      </c>
      <c r="K285" s="40" t="s">
        <v>2512</v>
      </c>
      <c r="L285" s="40"/>
      <c r="M285" s="40" t="s">
        <v>3373</v>
      </c>
      <c r="N285" s="40" t="s">
        <v>139</v>
      </c>
      <c r="O285" s="40">
        <v>2</v>
      </c>
      <c r="P285" s="40"/>
      <c r="Q285" s="40" t="s">
        <v>3501</v>
      </c>
      <c r="R285" s="40" t="s">
        <v>139</v>
      </c>
      <c r="S285" s="40">
        <v>2</v>
      </c>
      <c r="T285" s="40"/>
      <c r="U285" s="40" t="s">
        <v>3663</v>
      </c>
      <c r="V285" s="40" t="s">
        <v>139</v>
      </c>
      <c r="W285" s="40">
        <v>2</v>
      </c>
      <c r="X285" s="40"/>
      <c r="Y285" s="40">
        <v>10</v>
      </c>
      <c r="Z285" s="40">
        <v>91.2</v>
      </c>
      <c r="AA285" s="40">
        <v>26</v>
      </c>
      <c r="AB285" s="40">
        <v>10</v>
      </c>
      <c r="AC285" s="40">
        <v>96.6</v>
      </c>
      <c r="AD285" s="40">
        <v>10</v>
      </c>
      <c r="AE285" s="40"/>
      <c r="AF285" s="85" t="s">
        <v>139</v>
      </c>
      <c r="AG285" s="35">
        <v>3.8190000000000002E-2</v>
      </c>
      <c r="AH285" s="90">
        <v>0.124</v>
      </c>
      <c r="AI285" s="90">
        <v>0.112</v>
      </c>
      <c r="AJ285" s="90">
        <v>0.12</v>
      </c>
      <c r="AK285" s="90">
        <v>0.123</v>
      </c>
      <c r="AL285" s="37"/>
      <c r="AM285" s="90">
        <v>0.11700000000000001</v>
      </c>
      <c r="AN285" s="90">
        <v>8.7999999999999995E-2</v>
      </c>
      <c r="AO285" s="37"/>
      <c r="AP285" s="35">
        <v>18964</v>
      </c>
      <c r="AQ285" s="35">
        <v>1646</v>
      </c>
      <c r="AR285" s="93">
        <v>1</v>
      </c>
      <c r="AS285" s="93">
        <v>0</v>
      </c>
      <c r="AT285" s="94" t="s">
        <v>3285</v>
      </c>
      <c r="AU285" s="35"/>
      <c r="AV285" s="35">
        <v>-0.1164</v>
      </c>
      <c r="AW285" s="35">
        <v>-8.5099999999999995E-2</v>
      </c>
      <c r="AX285" s="40"/>
      <c r="AY285" s="40" t="s">
        <v>1006</v>
      </c>
      <c r="AZ285" s="40" t="s">
        <v>1007</v>
      </c>
      <c r="BA285" s="40" t="s">
        <v>1543</v>
      </c>
      <c r="BB285" s="40" t="s">
        <v>2514</v>
      </c>
      <c r="BC285" s="40"/>
    </row>
    <row r="286" spans="1:55">
      <c r="A286" s="168">
        <v>2.6</v>
      </c>
      <c r="B286" s="206">
        <v>2.6</v>
      </c>
      <c r="C286" s="81" t="s">
        <v>291</v>
      </c>
      <c r="D286" s="81" t="s">
        <v>3694</v>
      </c>
      <c r="E286" s="81"/>
      <c r="F286" s="81" t="s">
        <v>1982</v>
      </c>
      <c r="G286" s="81" t="s">
        <v>1428</v>
      </c>
      <c r="H286" s="81" t="s">
        <v>1983</v>
      </c>
      <c r="I286" s="81" t="s">
        <v>2892</v>
      </c>
      <c r="J286" s="81" t="s">
        <v>2433</v>
      </c>
      <c r="K286" s="81" t="s">
        <v>2893</v>
      </c>
      <c r="L286" s="81"/>
      <c r="M286" s="81" t="s">
        <v>3336</v>
      </c>
      <c r="N286" s="81" t="s">
        <v>291</v>
      </c>
      <c r="O286" s="81">
        <v>2</v>
      </c>
      <c r="P286" s="81"/>
      <c r="Q286" s="81" t="s">
        <v>3424</v>
      </c>
      <c r="R286" s="81" t="s">
        <v>291</v>
      </c>
      <c r="S286" s="81">
        <v>2</v>
      </c>
      <c r="T286" s="81"/>
      <c r="U286" s="81" t="s">
        <v>3552</v>
      </c>
      <c r="V286" s="81" t="s">
        <v>291</v>
      </c>
      <c r="W286" s="81">
        <v>1</v>
      </c>
      <c r="X286" s="81"/>
      <c r="Y286" s="81">
        <v>20</v>
      </c>
      <c r="Z286" s="81">
        <v>93</v>
      </c>
      <c r="AA286" s="81">
        <v>21</v>
      </c>
      <c r="AB286" s="81">
        <v>10</v>
      </c>
      <c r="AC286" s="81">
        <v>96.6</v>
      </c>
      <c r="AD286" s="81">
        <v>10</v>
      </c>
      <c r="AE286" s="81"/>
      <c r="AF286" s="83" t="s">
        <v>291</v>
      </c>
      <c r="AG286" s="33">
        <v>0.4551</v>
      </c>
      <c r="AH286" s="100">
        <v>3.6789999999999998</v>
      </c>
      <c r="AI286" s="100">
        <v>3.62</v>
      </c>
      <c r="AJ286" s="100">
        <v>3.6070000000000002</v>
      </c>
      <c r="AK286" s="87">
        <v>0.29599999999999999</v>
      </c>
      <c r="AL286" s="34"/>
      <c r="AM286" s="100">
        <v>3.621</v>
      </c>
      <c r="AN286" s="105">
        <v>2.306</v>
      </c>
      <c r="AO286" s="34"/>
      <c r="AP286" s="33">
        <v>6076</v>
      </c>
      <c r="AQ286" s="33">
        <v>27532</v>
      </c>
      <c r="AR286" s="88">
        <v>0</v>
      </c>
      <c r="AS286" s="88">
        <v>1</v>
      </c>
      <c r="AT286" s="89" t="s">
        <v>3286</v>
      </c>
      <c r="AU286" s="33"/>
      <c r="AV286" s="33">
        <v>5.4999999999999997E-3</v>
      </c>
      <c r="AW286" s="33">
        <v>-9.98E-2</v>
      </c>
      <c r="AX286" s="81"/>
      <c r="AY286" s="81" t="s">
        <v>584</v>
      </c>
      <c r="AZ286" s="81" t="s">
        <v>585</v>
      </c>
      <c r="BA286" s="81" t="s">
        <v>1985</v>
      </c>
      <c r="BB286" s="81" t="s">
        <v>2895</v>
      </c>
      <c r="BC286" s="81"/>
    </row>
    <row r="287" spans="1:55" ht="17" thickBot="1">
      <c r="A287" s="178">
        <v>2.6</v>
      </c>
      <c r="B287" s="208"/>
      <c r="C287" s="40" t="s">
        <v>292</v>
      </c>
      <c r="D287" s="40" t="s">
        <v>3697</v>
      </c>
      <c r="E287" s="40"/>
      <c r="F287" s="40" t="s">
        <v>1982</v>
      </c>
      <c r="G287" s="40" t="s">
        <v>1428</v>
      </c>
      <c r="H287" s="40" t="s">
        <v>1986</v>
      </c>
      <c r="I287" s="40" t="s">
        <v>2892</v>
      </c>
      <c r="J287" s="40" t="s">
        <v>2433</v>
      </c>
      <c r="K287" s="40" t="s">
        <v>2896</v>
      </c>
      <c r="L287" s="40"/>
      <c r="M287" s="40" t="s">
        <v>3336</v>
      </c>
      <c r="N287" s="40" t="s">
        <v>292</v>
      </c>
      <c r="O287" s="40">
        <v>2</v>
      </c>
      <c r="P287" s="40"/>
      <c r="Q287" s="40" t="s">
        <v>3424</v>
      </c>
      <c r="R287" s="40" t="s">
        <v>292</v>
      </c>
      <c r="S287" s="40">
        <v>2</v>
      </c>
      <c r="T287" s="40"/>
      <c r="U287" s="40" t="s">
        <v>3653</v>
      </c>
      <c r="V287" s="40" t="s">
        <v>292</v>
      </c>
      <c r="W287" s="40">
        <v>1</v>
      </c>
      <c r="X287" s="40"/>
      <c r="Y287" s="40">
        <v>20</v>
      </c>
      <c r="Z287" s="40">
        <v>97.3</v>
      </c>
      <c r="AA287" s="40">
        <v>8</v>
      </c>
      <c r="AB287" s="40">
        <v>9</v>
      </c>
      <c r="AC287" s="40">
        <v>96.5</v>
      </c>
      <c r="AD287" s="40">
        <v>10</v>
      </c>
      <c r="AE287" s="40"/>
      <c r="AF287" s="85" t="s">
        <v>293</v>
      </c>
      <c r="AG287" s="35">
        <v>0.24729999999999999</v>
      </c>
      <c r="AH287" s="102">
        <v>3.5950000000000002</v>
      </c>
      <c r="AI287" s="102">
        <v>3.544</v>
      </c>
      <c r="AJ287" s="102">
        <v>3.5910000000000002</v>
      </c>
      <c r="AK287" s="90">
        <v>0.22800000000000001</v>
      </c>
      <c r="AL287" s="37"/>
      <c r="AM287" s="102">
        <v>3.52</v>
      </c>
      <c r="AN287" s="103">
        <v>1.9910000000000001</v>
      </c>
      <c r="AO287" s="37"/>
      <c r="AP287" s="35">
        <v>12528</v>
      </c>
      <c r="AQ287" s="35">
        <v>74786.5</v>
      </c>
      <c r="AR287" s="93">
        <v>1</v>
      </c>
      <c r="AS287" s="93">
        <v>1</v>
      </c>
      <c r="AT287" s="94" t="s">
        <v>3286</v>
      </c>
      <c r="AU287" s="35"/>
      <c r="AV287" s="35">
        <v>-0.1036</v>
      </c>
      <c r="AW287" s="35">
        <v>5.1999999999999998E-3</v>
      </c>
      <c r="AX287" s="40"/>
      <c r="AY287" s="40" t="s">
        <v>1077</v>
      </c>
      <c r="AZ287" s="40" t="s">
        <v>1078</v>
      </c>
      <c r="BA287" s="40" t="s">
        <v>1988</v>
      </c>
      <c r="BB287" s="40" t="s">
        <v>2898</v>
      </c>
      <c r="BC287" s="40"/>
    </row>
    <row r="288" spans="1:55">
      <c r="A288" s="169">
        <v>2.61</v>
      </c>
      <c r="B288" s="206">
        <v>2.61</v>
      </c>
      <c r="C288" t="s">
        <v>294</v>
      </c>
      <c r="D288" t="s">
        <v>3694</v>
      </c>
      <c r="F288" t="s">
        <v>1579</v>
      </c>
      <c r="G288" t="s">
        <v>1421</v>
      </c>
      <c r="H288" t="s">
        <v>1989</v>
      </c>
      <c r="I288" t="s">
        <v>2603</v>
      </c>
      <c r="J288" t="s">
        <v>2452</v>
      </c>
      <c r="K288" t="s">
        <v>2899</v>
      </c>
      <c r="M288" t="s">
        <v>3367</v>
      </c>
      <c r="N288" t="s">
        <v>294</v>
      </c>
      <c r="O288">
        <v>2</v>
      </c>
      <c r="Q288" t="s">
        <v>3468</v>
      </c>
      <c r="R288" t="s">
        <v>294</v>
      </c>
      <c r="S288">
        <v>1</v>
      </c>
      <c r="U288" t="s">
        <v>3605</v>
      </c>
      <c r="V288" t="s">
        <v>294</v>
      </c>
      <c r="W288">
        <v>1</v>
      </c>
      <c r="Y288">
        <v>19</v>
      </c>
      <c r="Z288">
        <v>94.5</v>
      </c>
      <c r="AA288">
        <v>16</v>
      </c>
      <c r="AB288">
        <v>9</v>
      </c>
      <c r="AC288">
        <v>95.5</v>
      </c>
      <c r="AD288">
        <v>13</v>
      </c>
      <c r="AF288" s="170" t="s">
        <v>294</v>
      </c>
      <c r="AG288" s="171">
        <v>0.19939999999999999</v>
      </c>
      <c r="AH288" s="172">
        <v>3.5139999999999998</v>
      </c>
      <c r="AI288" s="172">
        <v>3.536</v>
      </c>
      <c r="AJ288" s="177">
        <v>3.3559999999999999</v>
      </c>
      <c r="AK288" s="173">
        <v>0.14599999999999999</v>
      </c>
      <c r="AL288" s="174"/>
      <c r="AM288" s="172">
        <v>3.5550000000000002</v>
      </c>
      <c r="AN288" s="172">
        <v>2.4220000000000002</v>
      </c>
      <c r="AO288" s="174"/>
      <c r="AP288" s="171">
        <v>196064</v>
      </c>
      <c r="AQ288" s="171">
        <v>83311.5</v>
      </c>
      <c r="AR288" s="175">
        <v>1</v>
      </c>
      <c r="AS288" s="175">
        <v>1</v>
      </c>
      <c r="AT288" s="176" t="s">
        <v>3285</v>
      </c>
      <c r="AU288" s="171"/>
      <c r="AV288" s="171">
        <v>1.3701000000000001</v>
      </c>
      <c r="AW288" s="171">
        <v>1.1698</v>
      </c>
      <c r="AY288" t="s">
        <v>801</v>
      </c>
      <c r="AZ288" t="s">
        <v>802</v>
      </c>
      <c r="BA288" t="s">
        <v>1992</v>
      </c>
      <c r="BB288" t="s">
        <v>2902</v>
      </c>
    </row>
    <row r="289" spans="1:55" ht="17" thickBot="1">
      <c r="A289" s="169">
        <v>2.61</v>
      </c>
      <c r="B289" s="208"/>
      <c r="C289" t="s">
        <v>295</v>
      </c>
      <c r="D289" t="s">
        <v>3698</v>
      </c>
      <c r="F289" t="s">
        <v>1579</v>
      </c>
      <c r="G289" t="s">
        <v>1421</v>
      </c>
      <c r="H289" t="s">
        <v>1993</v>
      </c>
      <c r="I289" t="s">
        <v>2603</v>
      </c>
      <c r="J289" t="s">
        <v>2452</v>
      </c>
      <c r="K289" t="s">
        <v>2903</v>
      </c>
      <c r="M289" t="s">
        <v>3367</v>
      </c>
      <c r="N289" t="s">
        <v>295</v>
      </c>
      <c r="O289">
        <v>2</v>
      </c>
      <c r="Q289" t="s">
        <v>3479</v>
      </c>
      <c r="R289" t="s">
        <v>295</v>
      </c>
      <c r="S289">
        <v>1</v>
      </c>
      <c r="U289" t="s">
        <v>3622</v>
      </c>
      <c r="V289" t="s">
        <v>295</v>
      </c>
      <c r="W289">
        <v>1</v>
      </c>
      <c r="Y289">
        <v>19</v>
      </c>
      <c r="Z289">
        <v>98</v>
      </c>
      <c r="AA289">
        <v>6</v>
      </c>
      <c r="AB289">
        <v>9</v>
      </c>
      <c r="AC289">
        <v>96.2</v>
      </c>
      <c r="AD289">
        <v>11</v>
      </c>
      <c r="AF289" s="170" t="s">
        <v>295</v>
      </c>
      <c r="AG289" s="171">
        <v>0.3866</v>
      </c>
      <c r="AH289" s="172">
        <v>3.6309999999999998</v>
      </c>
      <c r="AI289" s="172">
        <v>3.5619999999999998</v>
      </c>
      <c r="AJ289" s="177">
        <v>3.3210000000000002</v>
      </c>
      <c r="AK289" s="173">
        <v>0.13400000000000001</v>
      </c>
      <c r="AL289" s="174"/>
      <c r="AM289" s="172">
        <v>3.5049999999999999</v>
      </c>
      <c r="AN289" s="172">
        <v>2.5840000000000001</v>
      </c>
      <c r="AO289" s="174"/>
      <c r="AP289" s="171">
        <v>122270.5</v>
      </c>
      <c r="AQ289" s="171">
        <v>171154</v>
      </c>
      <c r="AR289" s="175">
        <v>1</v>
      </c>
      <c r="AS289" s="175">
        <v>1</v>
      </c>
      <c r="AT289" s="176" t="s">
        <v>3286</v>
      </c>
      <c r="AU289" s="171"/>
      <c r="AV289" s="171">
        <v>0.68989999999999996</v>
      </c>
      <c r="AW289" s="171">
        <v>0.77</v>
      </c>
      <c r="AY289" t="s">
        <v>951</v>
      </c>
      <c r="AZ289" t="s">
        <v>952</v>
      </c>
      <c r="BA289" t="s">
        <v>1995</v>
      </c>
      <c r="BB289" t="s">
        <v>2905</v>
      </c>
    </row>
    <row r="290" spans="1:55">
      <c r="A290" s="168">
        <v>2.62</v>
      </c>
      <c r="B290" s="206">
        <v>2.62</v>
      </c>
      <c r="C290" s="81" t="s">
        <v>296</v>
      </c>
      <c r="D290" s="81" t="s">
        <v>3694</v>
      </c>
      <c r="E290" s="81"/>
      <c r="F290" s="81" t="s">
        <v>1844</v>
      </c>
      <c r="G290" s="81" t="s">
        <v>1421</v>
      </c>
      <c r="H290" s="81" t="s">
        <v>1996</v>
      </c>
      <c r="I290" s="81" t="s">
        <v>2475</v>
      </c>
      <c r="J290" s="81" t="s">
        <v>2411</v>
      </c>
      <c r="K290" s="81" t="s">
        <v>2906</v>
      </c>
      <c r="L290" s="81"/>
      <c r="M290" s="81" t="s">
        <v>3335</v>
      </c>
      <c r="N290" s="81" t="s">
        <v>296</v>
      </c>
      <c r="O290" s="81">
        <v>2</v>
      </c>
      <c r="P290" s="81"/>
      <c r="Q290" s="81" t="s">
        <v>3421</v>
      </c>
      <c r="R290" s="81" t="s">
        <v>296</v>
      </c>
      <c r="S290" s="81">
        <v>1</v>
      </c>
      <c r="T290" s="81"/>
      <c r="U290" s="81" t="s">
        <v>3547</v>
      </c>
      <c r="V290" s="81" t="s">
        <v>296</v>
      </c>
      <c r="W290" s="81">
        <v>1</v>
      </c>
      <c r="X290" s="81"/>
      <c r="Y290" s="81">
        <v>16</v>
      </c>
      <c r="Z290" s="81">
        <v>94.3</v>
      </c>
      <c r="AA290" s="81">
        <v>17</v>
      </c>
      <c r="AB290" s="81">
        <v>9</v>
      </c>
      <c r="AC290" s="81">
        <v>97.5</v>
      </c>
      <c r="AD290" s="81">
        <v>7</v>
      </c>
      <c r="AE290" s="81"/>
      <c r="AF290" s="83" t="s">
        <v>296</v>
      </c>
      <c r="AG290" s="33">
        <v>0.53069999999999995</v>
      </c>
      <c r="AH290" s="100">
        <v>3.5659999999999998</v>
      </c>
      <c r="AI290" s="100">
        <v>3.5510000000000002</v>
      </c>
      <c r="AJ290" s="100">
        <v>3.6110000000000002</v>
      </c>
      <c r="AK290" s="87">
        <v>0.19600000000000001</v>
      </c>
      <c r="AL290" s="34"/>
      <c r="AM290" s="100">
        <v>3.577</v>
      </c>
      <c r="AN290" s="114">
        <v>2.1150000000000002</v>
      </c>
      <c r="AO290" s="34"/>
      <c r="AP290" s="33">
        <v>7045.5</v>
      </c>
      <c r="AQ290" s="33">
        <v>41996</v>
      </c>
      <c r="AR290" s="88">
        <v>0</v>
      </c>
      <c r="AS290" s="88">
        <v>1</v>
      </c>
      <c r="AT290" s="89" t="s">
        <v>3286</v>
      </c>
      <c r="AU290" s="33"/>
      <c r="AV290" s="33">
        <v>0.1396</v>
      </c>
      <c r="AW290" s="33">
        <v>5.3199999999999997E-2</v>
      </c>
      <c r="AX290" s="81"/>
      <c r="AY290" s="81" t="s">
        <v>564</v>
      </c>
      <c r="AZ290" s="81" t="s">
        <v>565</v>
      </c>
      <c r="BA290" s="81" t="s">
        <v>1998</v>
      </c>
      <c r="BB290" s="81" t="s">
        <v>2908</v>
      </c>
      <c r="BC290" s="81"/>
    </row>
    <row r="291" spans="1:55" ht="17" thickBot="1">
      <c r="A291" s="178">
        <v>2.62</v>
      </c>
      <c r="B291" s="208"/>
      <c r="C291" s="40" t="s">
        <v>297</v>
      </c>
      <c r="D291" s="40" t="s">
        <v>3697</v>
      </c>
      <c r="E291" s="40"/>
      <c r="F291" s="40" t="s">
        <v>1844</v>
      </c>
      <c r="G291" s="40" t="s">
        <v>1421</v>
      </c>
      <c r="H291" s="40" t="s">
        <v>1999</v>
      </c>
      <c r="I291" s="40" t="s">
        <v>2475</v>
      </c>
      <c r="J291" s="40" t="s">
        <v>2411</v>
      </c>
      <c r="K291" s="40" t="s">
        <v>2909</v>
      </c>
      <c r="L291" s="40"/>
      <c r="M291" s="40" t="s">
        <v>3335</v>
      </c>
      <c r="N291" s="40" t="s">
        <v>297</v>
      </c>
      <c r="O291" s="40">
        <v>2</v>
      </c>
      <c r="P291" s="40"/>
      <c r="Q291" s="40" t="s">
        <v>3494</v>
      </c>
      <c r="R291" s="40" t="s">
        <v>297</v>
      </c>
      <c r="S291" s="40">
        <v>1</v>
      </c>
      <c r="T291" s="40"/>
      <c r="U291" s="40" t="s">
        <v>3650</v>
      </c>
      <c r="V291" s="40" t="s">
        <v>297</v>
      </c>
      <c r="W291" s="40">
        <v>1</v>
      </c>
      <c r="X291" s="40"/>
      <c r="Y291" s="40">
        <v>16</v>
      </c>
      <c r="Z291" s="40">
        <v>94.6</v>
      </c>
      <c r="AA291" s="40">
        <v>16</v>
      </c>
      <c r="AB291" s="40">
        <v>10</v>
      </c>
      <c r="AC291" s="40">
        <v>96.8</v>
      </c>
      <c r="AD291" s="40">
        <v>9</v>
      </c>
      <c r="AE291" s="40"/>
      <c r="AF291" s="85" t="s">
        <v>298</v>
      </c>
      <c r="AG291" s="35">
        <v>0.59850000000000003</v>
      </c>
      <c r="AH291" s="102">
        <v>3.6320000000000001</v>
      </c>
      <c r="AI291" s="102">
        <v>3.5779999999999998</v>
      </c>
      <c r="AJ291" s="92">
        <v>0.54100000000000004</v>
      </c>
      <c r="AK291" s="90">
        <v>0.154</v>
      </c>
      <c r="AL291" s="37"/>
      <c r="AM291" s="102">
        <v>3.5960000000000001</v>
      </c>
      <c r="AN291" s="110">
        <v>2.4500000000000002</v>
      </c>
      <c r="AO291" s="37"/>
      <c r="AP291" s="35">
        <v>8136</v>
      </c>
      <c r="AQ291" s="35">
        <v>34343</v>
      </c>
      <c r="AR291" s="93">
        <v>1</v>
      </c>
      <c r="AS291" s="93">
        <v>1</v>
      </c>
      <c r="AT291" s="94" t="s">
        <v>3286</v>
      </c>
      <c r="AU291" s="35"/>
      <c r="AV291" s="35">
        <v>-4.82E-2</v>
      </c>
      <c r="AW291" s="35">
        <v>9.64E-2</v>
      </c>
      <c r="AX291" s="40"/>
      <c r="AY291" s="40" t="s">
        <v>1071</v>
      </c>
      <c r="AZ291" s="40" t="s">
        <v>1072</v>
      </c>
      <c r="BA291" s="40" t="s">
        <v>2001</v>
      </c>
      <c r="BB291" s="40" t="s">
        <v>2911</v>
      </c>
      <c r="BC291" s="40"/>
    </row>
    <row r="292" spans="1:55">
      <c r="A292" s="169">
        <v>2.63</v>
      </c>
      <c r="B292" s="206">
        <v>2.63</v>
      </c>
      <c r="C292" t="s">
        <v>144</v>
      </c>
      <c r="D292" t="s">
        <v>3695</v>
      </c>
      <c r="F292" t="s">
        <v>1558</v>
      </c>
      <c r="G292" t="s">
        <v>1413</v>
      </c>
      <c r="H292" t="s">
        <v>1559</v>
      </c>
      <c r="I292" t="s">
        <v>2528</v>
      </c>
      <c r="J292" t="s">
        <v>2433</v>
      </c>
      <c r="K292" t="s">
        <v>2529</v>
      </c>
      <c r="M292" t="s">
        <v>3374</v>
      </c>
      <c r="N292" t="s">
        <v>144</v>
      </c>
      <c r="O292">
        <v>2</v>
      </c>
      <c r="Q292" t="s">
        <v>3503</v>
      </c>
      <c r="R292" t="s">
        <v>144</v>
      </c>
      <c r="S292">
        <v>1</v>
      </c>
      <c r="U292" t="s">
        <v>3670</v>
      </c>
      <c r="V292" t="s">
        <v>144</v>
      </c>
      <c r="W292">
        <v>1</v>
      </c>
      <c r="Y292">
        <v>10</v>
      </c>
      <c r="Z292">
        <v>92.8</v>
      </c>
      <c r="AA292">
        <v>21</v>
      </c>
      <c r="AB292">
        <v>11</v>
      </c>
      <c r="AC292">
        <v>96.3</v>
      </c>
      <c r="AD292">
        <v>11</v>
      </c>
      <c r="AF292" s="170" t="s">
        <v>144</v>
      </c>
      <c r="AG292" s="171">
        <v>0.20280000000000001</v>
      </c>
      <c r="AH292" s="172">
        <v>3.6509999999999998</v>
      </c>
      <c r="AI292" s="173">
        <v>0.155</v>
      </c>
      <c r="AJ292" s="172">
        <v>3.6259999999999999</v>
      </c>
      <c r="AK292" s="173">
        <v>0.13</v>
      </c>
      <c r="AL292" s="174"/>
      <c r="AM292" s="172">
        <v>3.6309999999999998</v>
      </c>
      <c r="AN292" s="172">
        <v>2.528</v>
      </c>
      <c r="AO292" s="174"/>
      <c r="AP292" s="171">
        <v>250531</v>
      </c>
      <c r="AQ292" s="171">
        <v>285199</v>
      </c>
      <c r="AR292" s="175">
        <v>1</v>
      </c>
      <c r="AS292" s="175">
        <v>1</v>
      </c>
      <c r="AT292" s="176" t="s">
        <v>3289</v>
      </c>
      <c r="AU292" s="171"/>
      <c r="AV292" s="171">
        <v>1.8756999999999999</v>
      </c>
      <c r="AW292" s="171">
        <v>1.5754999999999999</v>
      </c>
      <c r="AY292" t="s">
        <v>1004</v>
      </c>
      <c r="AZ292" t="s">
        <v>1005</v>
      </c>
      <c r="BA292" t="s">
        <v>1561</v>
      </c>
      <c r="BB292" t="s">
        <v>2531</v>
      </c>
    </row>
    <row r="293" spans="1:55" ht="17" thickBot="1">
      <c r="A293" s="169">
        <v>2.63</v>
      </c>
      <c r="B293" s="208"/>
      <c r="C293" t="s">
        <v>145</v>
      </c>
      <c r="D293" t="s">
        <v>3696</v>
      </c>
      <c r="F293" t="s">
        <v>1558</v>
      </c>
      <c r="G293" t="s">
        <v>1413</v>
      </c>
      <c r="H293" t="s">
        <v>1562</v>
      </c>
      <c r="I293" t="s">
        <v>2528</v>
      </c>
      <c r="J293" t="s">
        <v>2433</v>
      </c>
      <c r="K293" t="s">
        <v>2532</v>
      </c>
      <c r="M293" t="s">
        <v>3374</v>
      </c>
      <c r="N293" t="s">
        <v>145</v>
      </c>
      <c r="O293">
        <v>2</v>
      </c>
      <c r="Q293" t="s">
        <v>3504</v>
      </c>
      <c r="R293" t="s">
        <v>145</v>
      </c>
      <c r="S293">
        <v>1</v>
      </c>
      <c r="U293" t="s">
        <v>3671</v>
      </c>
      <c r="V293" t="s">
        <v>145</v>
      </c>
      <c r="W293">
        <v>1</v>
      </c>
      <c r="Y293">
        <v>10</v>
      </c>
      <c r="Z293">
        <v>93.8</v>
      </c>
      <c r="AA293">
        <v>18</v>
      </c>
      <c r="AB293">
        <v>11</v>
      </c>
      <c r="AC293">
        <v>96.2</v>
      </c>
      <c r="AD293">
        <v>11</v>
      </c>
      <c r="AF293" s="170" t="s">
        <v>145</v>
      </c>
      <c r="AG293" s="171">
        <v>0.45650000000000002</v>
      </c>
      <c r="AH293" s="172">
        <v>3.5720000000000001</v>
      </c>
      <c r="AI293" s="173">
        <v>0.19700000000000001</v>
      </c>
      <c r="AJ293" s="179">
        <v>2.5920000000000001</v>
      </c>
      <c r="AK293" s="173">
        <v>0.19500000000000001</v>
      </c>
      <c r="AL293" s="174"/>
      <c r="AM293" s="172">
        <v>3.581</v>
      </c>
      <c r="AN293" s="177">
        <v>2.39</v>
      </c>
      <c r="AO293" s="174"/>
      <c r="AP293" s="171">
        <v>142703</v>
      </c>
      <c r="AQ293" s="171">
        <v>227610</v>
      </c>
      <c r="AR293" s="175">
        <v>1</v>
      </c>
      <c r="AS293" s="175">
        <v>1</v>
      </c>
      <c r="AT293" s="176" t="s">
        <v>3286</v>
      </c>
      <c r="AU293" s="171"/>
      <c r="AV293" s="171">
        <v>-8.1699999999999995E-2</v>
      </c>
      <c r="AW293" s="171">
        <v>0.91090000000000004</v>
      </c>
      <c r="AY293" t="s">
        <v>1010</v>
      </c>
      <c r="AZ293" t="s">
        <v>1011</v>
      </c>
      <c r="BA293" t="s">
        <v>1565</v>
      </c>
      <c r="BB293" t="s">
        <v>2534</v>
      </c>
    </row>
    <row r="294" spans="1:55">
      <c r="A294" s="168">
        <v>2.64</v>
      </c>
      <c r="B294" s="206">
        <v>2.64</v>
      </c>
      <c r="C294" s="81" t="s">
        <v>299</v>
      </c>
      <c r="D294" s="81" t="s">
        <v>3694</v>
      </c>
      <c r="E294" s="81"/>
      <c r="F294" s="81" t="s">
        <v>1558</v>
      </c>
      <c r="G294" s="81" t="s">
        <v>1421</v>
      </c>
      <c r="H294" s="81" t="s">
        <v>2005</v>
      </c>
      <c r="I294" s="81" t="s">
        <v>2475</v>
      </c>
      <c r="J294" s="81" t="s">
        <v>2411</v>
      </c>
      <c r="K294" s="81" t="s">
        <v>2913</v>
      </c>
      <c r="L294" s="81"/>
      <c r="M294" s="81" t="s">
        <v>3351</v>
      </c>
      <c r="N294" s="81" t="s">
        <v>299</v>
      </c>
      <c r="O294" s="81">
        <v>2</v>
      </c>
      <c r="P294" s="81"/>
      <c r="Q294" s="81" t="s">
        <v>3442</v>
      </c>
      <c r="R294" s="81" t="s">
        <v>299</v>
      </c>
      <c r="S294" s="81">
        <v>2</v>
      </c>
      <c r="T294" s="81"/>
      <c r="U294" s="81" t="s">
        <v>3574</v>
      </c>
      <c r="V294" s="81" t="s">
        <v>299</v>
      </c>
      <c r="W294" s="81">
        <v>1</v>
      </c>
      <c r="X294" s="81"/>
      <c r="Y294" s="81">
        <v>19</v>
      </c>
      <c r="Z294" s="81">
        <v>92.8</v>
      </c>
      <c r="AA294" s="81">
        <v>21</v>
      </c>
      <c r="AB294" s="81">
        <v>9</v>
      </c>
      <c r="AC294" s="81">
        <v>94.3</v>
      </c>
      <c r="AD294" s="81">
        <v>16</v>
      </c>
      <c r="AE294" s="81"/>
      <c r="AF294" s="83" t="s">
        <v>299</v>
      </c>
      <c r="AG294" s="33">
        <v>0.1128</v>
      </c>
      <c r="AH294" s="111">
        <v>3.6840000000000002</v>
      </c>
      <c r="AI294" s="112">
        <v>0.154</v>
      </c>
      <c r="AJ294" s="111">
        <v>3.6960000000000002</v>
      </c>
      <c r="AK294" s="112">
        <v>0.13900000000000001</v>
      </c>
      <c r="AL294" s="39"/>
      <c r="AM294" s="100">
        <v>3.5960000000000001</v>
      </c>
      <c r="AN294" s="105">
        <v>2.5009999999999999</v>
      </c>
      <c r="AO294" s="34"/>
      <c r="AP294" s="33">
        <v>2310.5</v>
      </c>
      <c r="AQ294" s="33">
        <v>1498.5</v>
      </c>
      <c r="AR294" s="88">
        <v>0</v>
      </c>
      <c r="AS294" s="88">
        <v>0</v>
      </c>
      <c r="AT294" s="89" t="s">
        <v>3285</v>
      </c>
      <c r="AU294" s="33"/>
      <c r="AV294" s="33">
        <v>-0.12</v>
      </c>
      <c r="AW294" s="33">
        <v>-8.9200000000000002E-2</v>
      </c>
      <c r="AX294" s="81"/>
      <c r="AY294" s="81" t="s">
        <v>660</v>
      </c>
      <c r="AZ294" s="81" t="s">
        <v>661</v>
      </c>
      <c r="BA294" s="81" t="s">
        <v>2008</v>
      </c>
      <c r="BB294" s="81" t="s">
        <v>2915</v>
      </c>
      <c r="BC294" s="81"/>
    </row>
    <row r="295" spans="1:55" ht="17" thickBot="1">
      <c r="A295" s="178">
        <v>2.64</v>
      </c>
      <c r="B295" s="208"/>
      <c r="C295" s="40" t="s">
        <v>300</v>
      </c>
      <c r="D295" s="40" t="s">
        <v>3698</v>
      </c>
      <c r="E295" s="40"/>
      <c r="F295" s="40" t="s">
        <v>1558</v>
      </c>
      <c r="G295" s="40" t="s">
        <v>1421</v>
      </c>
      <c r="H295" s="40" t="s">
        <v>2009</v>
      </c>
      <c r="I295" s="40" t="s">
        <v>2475</v>
      </c>
      <c r="J295" s="40" t="s">
        <v>2411</v>
      </c>
      <c r="K295" s="40" t="s">
        <v>2916</v>
      </c>
      <c r="L295" s="40"/>
      <c r="M295" s="40" t="s">
        <v>3351</v>
      </c>
      <c r="N295" s="40" t="s">
        <v>300</v>
      </c>
      <c r="O295" s="40">
        <v>2</v>
      </c>
      <c r="P295" s="40"/>
      <c r="Q295" s="40" t="s">
        <v>3442</v>
      </c>
      <c r="R295" s="40" t="s">
        <v>300</v>
      </c>
      <c r="S295" s="40">
        <v>2</v>
      </c>
      <c r="T295" s="40"/>
      <c r="U295" s="40" t="s">
        <v>3626</v>
      </c>
      <c r="V295" s="40" t="s">
        <v>300</v>
      </c>
      <c r="W295" s="40">
        <v>1</v>
      </c>
      <c r="X295" s="40"/>
      <c r="Y295" s="40">
        <v>19</v>
      </c>
      <c r="Z295" s="40">
        <v>97.6</v>
      </c>
      <c r="AA295" s="40">
        <v>7</v>
      </c>
      <c r="AB295" s="40">
        <v>9</v>
      </c>
      <c r="AC295" s="40">
        <v>94.3</v>
      </c>
      <c r="AD295" s="40">
        <v>16</v>
      </c>
      <c r="AE295" s="40"/>
      <c r="AF295" s="85" t="s">
        <v>300</v>
      </c>
      <c r="AG295" s="35">
        <v>0.4551</v>
      </c>
      <c r="AH295" s="102">
        <v>3.5760000000000001</v>
      </c>
      <c r="AI295" s="95">
        <v>1.042</v>
      </c>
      <c r="AJ295" s="102">
        <v>3.5720000000000001</v>
      </c>
      <c r="AK295" s="90">
        <v>0.14699999999999999</v>
      </c>
      <c r="AL295" s="37"/>
      <c r="AM295" s="102">
        <v>3.4889999999999999</v>
      </c>
      <c r="AN295" s="110">
        <v>2.3639999999999999</v>
      </c>
      <c r="AO295" s="37"/>
      <c r="AP295" s="35">
        <v>17632.5</v>
      </c>
      <c r="AQ295" s="35">
        <v>1671</v>
      </c>
      <c r="AR295" s="93">
        <v>1</v>
      </c>
      <c r="AS295" s="93">
        <v>0</v>
      </c>
      <c r="AT295" s="94" t="s">
        <v>3285</v>
      </c>
      <c r="AU295" s="35"/>
      <c r="AV295" s="35">
        <v>-7.9000000000000001E-2</v>
      </c>
      <c r="AW295" s="35">
        <v>-4.9000000000000002E-2</v>
      </c>
      <c r="AX295" s="40"/>
      <c r="AY295" s="40" t="s">
        <v>961</v>
      </c>
      <c r="AZ295" s="40" t="s">
        <v>962</v>
      </c>
      <c r="BA295" s="40" t="s">
        <v>2011</v>
      </c>
      <c r="BB295" s="40" t="s">
        <v>2918</v>
      </c>
      <c r="BC295" s="40"/>
    </row>
    <row r="296" spans="1:55">
      <c r="A296" s="169">
        <v>2.65</v>
      </c>
      <c r="B296" s="206">
        <v>2.65</v>
      </c>
      <c r="C296" t="s">
        <v>146</v>
      </c>
      <c r="D296" t="s">
        <v>3694</v>
      </c>
      <c r="F296" t="s">
        <v>1558</v>
      </c>
      <c r="G296" t="s">
        <v>1428</v>
      </c>
      <c r="H296" t="s">
        <v>1566</v>
      </c>
      <c r="I296" t="s">
        <v>2515</v>
      </c>
      <c r="J296" t="s">
        <v>2433</v>
      </c>
      <c r="K296" t="s">
        <v>2535</v>
      </c>
      <c r="M296" t="s">
        <v>3341</v>
      </c>
      <c r="N296" t="s">
        <v>146</v>
      </c>
      <c r="O296">
        <v>2</v>
      </c>
      <c r="Q296" t="s">
        <v>3429</v>
      </c>
      <c r="R296" t="s">
        <v>146</v>
      </c>
      <c r="S296">
        <v>1</v>
      </c>
      <c r="U296" t="s">
        <v>3557</v>
      </c>
      <c r="V296" t="s">
        <v>146</v>
      </c>
      <c r="W296">
        <v>1</v>
      </c>
      <c r="Y296">
        <v>19</v>
      </c>
      <c r="Z296">
        <v>94.8</v>
      </c>
      <c r="AA296">
        <v>15</v>
      </c>
      <c r="AB296">
        <v>11</v>
      </c>
      <c r="AC296">
        <v>95.2</v>
      </c>
      <c r="AD296">
        <v>14</v>
      </c>
      <c r="AF296" s="170" t="s">
        <v>146</v>
      </c>
      <c r="AG296" s="171">
        <v>0.34770000000000001</v>
      </c>
      <c r="AH296" s="172">
        <v>3.665</v>
      </c>
      <c r="AI296" s="172">
        <v>3.6589999999999998</v>
      </c>
      <c r="AJ296" s="172">
        <v>3.6560000000000001</v>
      </c>
      <c r="AK296" s="173">
        <v>0.16200000000000001</v>
      </c>
      <c r="AL296" s="174"/>
      <c r="AM296" s="172">
        <v>3.5910000000000002</v>
      </c>
      <c r="AN296" s="186">
        <v>2.2109999999999999</v>
      </c>
      <c r="AO296" s="174"/>
      <c r="AP296" s="171">
        <v>8300</v>
      </c>
      <c r="AQ296" s="171">
        <v>90925</v>
      </c>
      <c r="AR296" s="175">
        <v>1</v>
      </c>
      <c r="AS296" s="175">
        <v>1</v>
      </c>
      <c r="AT296" s="176" t="s">
        <v>3286</v>
      </c>
      <c r="AU296" s="171"/>
      <c r="AV296" s="171">
        <v>-0.11269999999999999</v>
      </c>
      <c r="AW296" s="171">
        <v>-6.7599999999999993E-2</v>
      </c>
      <c r="AY296" t="s">
        <v>607</v>
      </c>
      <c r="AZ296" t="s">
        <v>608</v>
      </c>
      <c r="BA296" t="s">
        <v>1569</v>
      </c>
      <c r="BB296" t="s">
        <v>2537</v>
      </c>
    </row>
    <row r="297" spans="1:55" ht="17" thickBot="1">
      <c r="A297" s="169">
        <v>2.65</v>
      </c>
      <c r="B297" s="208"/>
      <c r="C297" t="s">
        <v>147</v>
      </c>
      <c r="D297" t="s">
        <v>3697</v>
      </c>
      <c r="F297" t="s">
        <v>1558</v>
      </c>
      <c r="G297" t="s">
        <v>1428</v>
      </c>
      <c r="H297" t="s">
        <v>1570</v>
      </c>
      <c r="I297" t="s">
        <v>2515</v>
      </c>
      <c r="J297" t="s">
        <v>2433</v>
      </c>
      <c r="K297" t="s">
        <v>2538</v>
      </c>
      <c r="M297" t="s">
        <v>3341</v>
      </c>
      <c r="N297" t="s">
        <v>147</v>
      </c>
      <c r="O297">
        <v>2</v>
      </c>
      <c r="Q297" t="s">
        <v>3493</v>
      </c>
      <c r="R297" t="s">
        <v>147</v>
      </c>
      <c r="S297">
        <v>1</v>
      </c>
      <c r="U297" t="s">
        <v>3644</v>
      </c>
      <c r="V297" t="s">
        <v>147</v>
      </c>
      <c r="W297">
        <v>1</v>
      </c>
      <c r="Y297">
        <v>19</v>
      </c>
      <c r="Z297">
        <v>97.9</v>
      </c>
      <c r="AA297">
        <v>6</v>
      </c>
      <c r="AB297">
        <v>11</v>
      </c>
      <c r="AC297">
        <v>95.2</v>
      </c>
      <c r="AD297">
        <v>14</v>
      </c>
      <c r="AF297" s="170" t="s">
        <v>148</v>
      </c>
      <c r="AG297" s="171">
        <v>0.24249999999999999</v>
      </c>
      <c r="AH297" s="172">
        <v>3.6539999999999999</v>
      </c>
      <c r="AI297" s="172">
        <v>3.5950000000000002</v>
      </c>
      <c r="AJ297" s="172">
        <v>3.585</v>
      </c>
      <c r="AK297" s="173">
        <v>0.14899999999999999</v>
      </c>
      <c r="AL297" s="174"/>
      <c r="AM297" s="172">
        <v>3.6070000000000002</v>
      </c>
      <c r="AN297" s="177">
        <v>2.3180000000000001</v>
      </c>
      <c r="AO297" s="174"/>
      <c r="AP297" s="171">
        <v>12180</v>
      </c>
      <c r="AQ297" s="171">
        <v>101510.5</v>
      </c>
      <c r="AR297" s="175">
        <v>1</v>
      </c>
      <c r="AS297" s="175">
        <v>1</v>
      </c>
      <c r="AT297" s="176" t="s">
        <v>3286</v>
      </c>
      <c r="AU297" s="171"/>
      <c r="AV297" s="171">
        <v>-6.8199999999999997E-2</v>
      </c>
      <c r="AW297" s="171">
        <v>-6.4500000000000002E-2</v>
      </c>
      <c r="AY297" t="s">
        <v>1055</v>
      </c>
      <c r="AZ297" t="s">
        <v>1056</v>
      </c>
      <c r="BA297" t="s">
        <v>1572</v>
      </c>
      <c r="BB297" t="s">
        <v>2540</v>
      </c>
    </row>
    <row r="298" spans="1:55">
      <c r="A298" s="168">
        <v>2.66</v>
      </c>
      <c r="B298" s="206">
        <v>2.66</v>
      </c>
      <c r="C298" s="81" t="s">
        <v>149</v>
      </c>
      <c r="D298" s="81" t="s">
        <v>3694</v>
      </c>
      <c r="E298" s="81"/>
      <c r="F298" s="81" t="s">
        <v>1558</v>
      </c>
      <c r="G298" s="81" t="s">
        <v>1428</v>
      </c>
      <c r="H298" s="81" t="s">
        <v>1573</v>
      </c>
      <c r="I298" s="81" t="s">
        <v>2515</v>
      </c>
      <c r="J298" s="81" t="s">
        <v>2433</v>
      </c>
      <c r="K298" s="81" t="s">
        <v>2541</v>
      </c>
      <c r="L298" s="81"/>
      <c r="M298" s="81" t="s">
        <v>3339</v>
      </c>
      <c r="N298" s="81" t="s">
        <v>149</v>
      </c>
      <c r="O298" s="81">
        <v>2</v>
      </c>
      <c r="P298" s="81"/>
      <c r="Q298" s="81" t="s">
        <v>3427</v>
      </c>
      <c r="R298" s="81" t="s">
        <v>149</v>
      </c>
      <c r="S298" s="81">
        <v>2</v>
      </c>
      <c r="T298" s="81"/>
      <c r="U298" s="81" t="s">
        <v>3556</v>
      </c>
      <c r="V298" s="81" t="s">
        <v>149</v>
      </c>
      <c r="W298" s="81">
        <v>2</v>
      </c>
      <c r="X298" s="81"/>
      <c r="Y298" s="81">
        <v>22</v>
      </c>
      <c r="Z298" s="81">
        <v>94.5</v>
      </c>
      <c r="AA298" s="81">
        <v>16</v>
      </c>
      <c r="AB298" s="81">
        <v>11</v>
      </c>
      <c r="AC298" s="81">
        <v>96.5</v>
      </c>
      <c r="AD298" s="81">
        <v>10</v>
      </c>
      <c r="AE298" s="81"/>
      <c r="AF298" s="83" t="s">
        <v>149</v>
      </c>
      <c r="AG298" s="33">
        <v>0.35160000000000002</v>
      </c>
      <c r="AH298" s="100">
        <v>3.6259999999999999</v>
      </c>
      <c r="AI298" s="100">
        <v>3.5350000000000001</v>
      </c>
      <c r="AJ298" s="100">
        <v>3.4620000000000002</v>
      </c>
      <c r="AK298" s="87">
        <v>0.14899999999999999</v>
      </c>
      <c r="AL298" s="34"/>
      <c r="AM298" s="100">
        <v>3.524</v>
      </c>
      <c r="AN298" s="114">
        <v>2.1859999999999999</v>
      </c>
      <c r="AO298" s="34"/>
      <c r="AP298" s="33">
        <v>7776</v>
      </c>
      <c r="AQ298" s="33">
        <v>55129</v>
      </c>
      <c r="AR298" s="88">
        <v>0</v>
      </c>
      <c r="AS298" s="88">
        <v>1</v>
      </c>
      <c r="AT298" s="89" t="s">
        <v>3286</v>
      </c>
      <c r="AU298" s="33"/>
      <c r="AV298" s="33">
        <v>-9.0899999999999995E-2</v>
      </c>
      <c r="AW298" s="33">
        <v>-7.4499999999999997E-2</v>
      </c>
      <c r="AX298" s="81"/>
      <c r="AY298" s="81" t="s">
        <v>597</v>
      </c>
      <c r="AZ298" s="81" t="s">
        <v>598</v>
      </c>
      <c r="BA298" s="81" t="s">
        <v>1575</v>
      </c>
      <c r="BB298" s="81" t="s">
        <v>2543</v>
      </c>
      <c r="BC298" s="81"/>
    </row>
    <row r="299" spans="1:55" ht="17" thickBot="1">
      <c r="A299" s="178">
        <v>2.66</v>
      </c>
      <c r="B299" s="208"/>
      <c r="C299" s="40" t="s">
        <v>150</v>
      </c>
      <c r="D299" s="40" t="s">
        <v>3693</v>
      </c>
      <c r="E299" s="40"/>
      <c r="F299" s="40" t="s">
        <v>1558</v>
      </c>
      <c r="G299" s="40" t="s">
        <v>1428</v>
      </c>
      <c r="H299" s="40" t="s">
        <v>1576</v>
      </c>
      <c r="I299" s="40" t="s">
        <v>2515</v>
      </c>
      <c r="J299" s="40" t="s">
        <v>2433</v>
      </c>
      <c r="K299" s="40" t="s">
        <v>2544</v>
      </c>
      <c r="L299" s="40"/>
      <c r="M299" s="40" t="s">
        <v>3339</v>
      </c>
      <c r="N299" s="40" t="s">
        <v>150</v>
      </c>
      <c r="O299" s="40">
        <v>2</v>
      </c>
      <c r="P299" s="40"/>
      <c r="Q299" s="40" t="s">
        <v>3427</v>
      </c>
      <c r="R299" s="40" t="s">
        <v>150</v>
      </c>
      <c r="S299" s="40">
        <v>2</v>
      </c>
      <c r="T299" s="40"/>
      <c r="U299" s="40" t="s">
        <v>3556</v>
      </c>
      <c r="V299" s="40" t="s">
        <v>150</v>
      </c>
      <c r="W299" s="40">
        <v>2</v>
      </c>
      <c r="X299" s="40"/>
      <c r="Y299" s="40">
        <v>22</v>
      </c>
      <c r="Z299" s="40">
        <v>99.3</v>
      </c>
      <c r="AA299" s="40">
        <v>2</v>
      </c>
      <c r="AB299" s="40">
        <v>11</v>
      </c>
      <c r="AC299" s="40">
        <v>98.6</v>
      </c>
      <c r="AD299" s="40">
        <v>4</v>
      </c>
      <c r="AE299" s="40"/>
      <c r="AF299" s="85" t="s">
        <v>151</v>
      </c>
      <c r="AG299" s="35">
        <v>0.12559999999999999</v>
      </c>
      <c r="AH299" s="102">
        <v>3.6869999999999998</v>
      </c>
      <c r="AI299" s="117">
        <v>3.0790000000000002</v>
      </c>
      <c r="AJ299" s="90">
        <v>0.254</v>
      </c>
      <c r="AK299" s="90">
        <v>0.14000000000000001</v>
      </c>
      <c r="AL299" s="37"/>
      <c r="AM299" s="102">
        <v>3.5779999999999998</v>
      </c>
      <c r="AN299" s="117">
        <v>2.1360000000000001</v>
      </c>
      <c r="AO299" s="37"/>
      <c r="AP299" s="35">
        <v>8045</v>
      </c>
      <c r="AQ299" s="35">
        <v>100075.5</v>
      </c>
      <c r="AR299" s="93">
        <v>0</v>
      </c>
      <c r="AS299" s="93">
        <v>1</v>
      </c>
      <c r="AT299" s="94" t="s">
        <v>3286</v>
      </c>
      <c r="AU299" s="35"/>
      <c r="AV299" s="35">
        <v>-7.4200000000000002E-2</v>
      </c>
      <c r="AW299" s="35">
        <v>-0.09</v>
      </c>
      <c r="AX299" s="40"/>
      <c r="AY299" s="40" t="s">
        <v>1091</v>
      </c>
      <c r="AZ299" s="40" t="s">
        <v>1092</v>
      </c>
      <c r="BA299" s="40" t="s">
        <v>1578</v>
      </c>
      <c r="BB299" s="40" t="s">
        <v>2546</v>
      </c>
      <c r="BC299" s="40"/>
    </row>
    <row r="300" spans="1:55">
      <c r="A300" s="169"/>
      <c r="B300" s="169"/>
    </row>
    <row r="301" spans="1:55">
      <c r="A301" s="169"/>
      <c r="B301" s="169"/>
    </row>
  </sheetData>
  <mergeCells count="73">
    <mergeCell ref="B298:B299"/>
    <mergeCell ref="B286:B287"/>
    <mergeCell ref="B288:B289"/>
    <mergeCell ref="B290:B291"/>
    <mergeCell ref="B292:B293"/>
    <mergeCell ref="B294:B295"/>
    <mergeCell ref="B296:B297"/>
    <mergeCell ref="B274:B275"/>
    <mergeCell ref="B276:B277"/>
    <mergeCell ref="B278:B279"/>
    <mergeCell ref="B280:B281"/>
    <mergeCell ref="B282:B283"/>
    <mergeCell ref="B284:B285"/>
    <mergeCell ref="B262:B263"/>
    <mergeCell ref="B264:B265"/>
    <mergeCell ref="B266:B267"/>
    <mergeCell ref="B268:B269"/>
    <mergeCell ref="B270:B271"/>
    <mergeCell ref="B272:B273"/>
    <mergeCell ref="B250:B251"/>
    <mergeCell ref="B252:B253"/>
    <mergeCell ref="B254:B255"/>
    <mergeCell ref="B256:B257"/>
    <mergeCell ref="B258:B259"/>
    <mergeCell ref="B260:B261"/>
    <mergeCell ref="B237:B239"/>
    <mergeCell ref="B240:B241"/>
    <mergeCell ref="B242:B243"/>
    <mergeCell ref="B244:B245"/>
    <mergeCell ref="B246:B247"/>
    <mergeCell ref="B248:B249"/>
    <mergeCell ref="B219:B221"/>
    <mergeCell ref="B222:B224"/>
    <mergeCell ref="B225:B227"/>
    <mergeCell ref="B228:B230"/>
    <mergeCell ref="B231:B233"/>
    <mergeCell ref="B234:B236"/>
    <mergeCell ref="B201:B203"/>
    <mergeCell ref="B204:B206"/>
    <mergeCell ref="B207:B209"/>
    <mergeCell ref="B210:B212"/>
    <mergeCell ref="B213:B215"/>
    <mergeCell ref="B216:B218"/>
    <mergeCell ref="B178:B182"/>
    <mergeCell ref="B183:B186"/>
    <mergeCell ref="B187:B190"/>
    <mergeCell ref="B191:B194"/>
    <mergeCell ref="B195:B197"/>
    <mergeCell ref="B198:B200"/>
    <mergeCell ref="B148:B152"/>
    <mergeCell ref="B153:B157"/>
    <mergeCell ref="B158:B162"/>
    <mergeCell ref="B163:B167"/>
    <mergeCell ref="B168:B172"/>
    <mergeCell ref="B173:B177"/>
    <mergeCell ref="B107:B114"/>
    <mergeCell ref="B115:B122"/>
    <mergeCell ref="B123:B129"/>
    <mergeCell ref="B130:B135"/>
    <mergeCell ref="B136:B141"/>
    <mergeCell ref="B142:B147"/>
    <mergeCell ref="B43:B47"/>
    <mergeCell ref="B49:B67"/>
    <mergeCell ref="B68:B78"/>
    <mergeCell ref="B79:B88"/>
    <mergeCell ref="B89:B97"/>
    <mergeCell ref="B98:B106"/>
    <mergeCell ref="B3:B8"/>
    <mergeCell ref="B10:B15"/>
    <mergeCell ref="B17:B19"/>
    <mergeCell ref="B20:B24"/>
    <mergeCell ref="B25:B29"/>
    <mergeCell ref="B30:B42"/>
  </mergeCells>
  <conditionalFormatting sqref="AR119:AR125">
    <cfRule type="colorScale" priority="233">
      <colorScale>
        <cfvo type="min"/>
        <cfvo type="max"/>
        <color rgb="FFFFFFFF"/>
        <color rgb="FFBDD7EE"/>
      </colorScale>
    </cfRule>
    <cfRule type="colorScale" priority="234">
      <colorScale>
        <cfvo type="min"/>
        <cfvo type="max"/>
        <color rgb="FFE7E6E6"/>
        <color rgb="FFBDD7EE"/>
      </colorScale>
    </cfRule>
    <cfRule type="colorScale" priority="235">
      <colorScale>
        <cfvo type="min"/>
        <cfvo type="max"/>
        <color rgb="FFE7E6E6"/>
        <color rgb="FFC6E0B4"/>
      </colorScale>
    </cfRule>
  </conditionalFormatting>
  <conditionalFormatting sqref="AS119:AS125">
    <cfRule type="colorScale" priority="230">
      <colorScale>
        <cfvo type="min"/>
        <cfvo type="max"/>
        <color rgb="FFFFFFFF"/>
        <color rgb="FFBDD7EE"/>
      </colorScale>
    </cfRule>
    <cfRule type="colorScale" priority="231">
      <colorScale>
        <cfvo type="min"/>
        <cfvo type="max"/>
        <color rgb="FFE7E6E6"/>
        <color rgb="FFBDD7EE"/>
      </colorScale>
    </cfRule>
    <cfRule type="colorScale" priority="232">
      <colorScale>
        <cfvo type="min"/>
        <cfvo type="max"/>
        <color rgb="FFE7E6E6"/>
        <color rgb="FFC6E0B4"/>
      </colorScale>
    </cfRule>
  </conditionalFormatting>
  <conditionalFormatting sqref="AR126:AR129 AR10:AR12">
    <cfRule type="colorScale" priority="236">
      <colorScale>
        <cfvo type="min"/>
        <cfvo type="max"/>
        <color rgb="FFFFFFFF"/>
        <color rgb="FFBDD7EE"/>
      </colorScale>
    </cfRule>
    <cfRule type="colorScale" priority="237">
      <colorScale>
        <cfvo type="min"/>
        <cfvo type="max"/>
        <color rgb="FFE7E6E6"/>
        <color rgb="FFBDD7EE"/>
      </colorScale>
    </cfRule>
    <cfRule type="colorScale" priority="238">
      <colorScale>
        <cfvo type="min"/>
        <cfvo type="max"/>
        <color rgb="FFE7E6E6"/>
        <color rgb="FFC6E0B4"/>
      </colorScale>
    </cfRule>
  </conditionalFormatting>
  <conditionalFormatting sqref="AS126:AS129 AS10:AS12">
    <cfRule type="colorScale" priority="239">
      <colorScale>
        <cfvo type="min"/>
        <cfvo type="max"/>
        <color rgb="FFFFFFFF"/>
        <color rgb="FFBDD7EE"/>
      </colorScale>
    </cfRule>
    <cfRule type="colorScale" priority="240">
      <colorScale>
        <cfvo type="min"/>
        <cfvo type="max"/>
        <color rgb="FFE7E6E6"/>
        <color rgb="FFBDD7EE"/>
      </colorScale>
    </cfRule>
    <cfRule type="colorScale" priority="241">
      <colorScale>
        <cfvo type="min"/>
        <cfvo type="max"/>
        <color rgb="FFE7E6E6"/>
        <color rgb="FFC6E0B4"/>
      </colorScale>
    </cfRule>
  </conditionalFormatting>
  <conditionalFormatting sqref="AR131:AR133">
    <cfRule type="colorScale" priority="227">
      <colorScale>
        <cfvo type="min"/>
        <cfvo type="max"/>
        <color rgb="FFFFFFFF"/>
        <color rgb="FFBDD7EE"/>
      </colorScale>
    </cfRule>
    <cfRule type="colorScale" priority="228">
      <colorScale>
        <cfvo type="min"/>
        <cfvo type="max"/>
        <color rgb="FFE7E6E6"/>
        <color rgb="FFBDD7EE"/>
      </colorScale>
    </cfRule>
    <cfRule type="colorScale" priority="229">
      <colorScale>
        <cfvo type="min"/>
        <cfvo type="max"/>
        <color rgb="FFE7E6E6"/>
        <color rgb="FFC6E0B4"/>
      </colorScale>
    </cfRule>
  </conditionalFormatting>
  <conditionalFormatting sqref="AS131:AS133">
    <cfRule type="colorScale" priority="224">
      <colorScale>
        <cfvo type="min"/>
        <cfvo type="max"/>
        <color rgb="FFFFFFFF"/>
        <color rgb="FFBDD7EE"/>
      </colorScale>
    </cfRule>
    <cfRule type="colorScale" priority="225">
      <colorScale>
        <cfvo type="min"/>
        <cfvo type="max"/>
        <color rgb="FFE7E6E6"/>
        <color rgb="FFBDD7EE"/>
      </colorScale>
    </cfRule>
    <cfRule type="colorScale" priority="226">
      <colorScale>
        <cfvo type="min"/>
        <cfvo type="max"/>
        <color rgb="FFE7E6E6"/>
        <color rgb="FFC6E0B4"/>
      </colorScale>
    </cfRule>
  </conditionalFormatting>
  <conditionalFormatting sqref="AR134">
    <cfRule type="colorScale" priority="221">
      <colorScale>
        <cfvo type="min"/>
        <cfvo type="max"/>
        <color rgb="FFFFFFFF"/>
        <color rgb="FFBDD7EE"/>
      </colorScale>
    </cfRule>
    <cfRule type="colorScale" priority="222">
      <colorScale>
        <cfvo type="min"/>
        <cfvo type="max"/>
        <color rgb="FFE7E6E6"/>
        <color rgb="FFBDD7EE"/>
      </colorScale>
    </cfRule>
    <cfRule type="colorScale" priority="223">
      <colorScale>
        <cfvo type="min"/>
        <cfvo type="max"/>
        <color rgb="FFE7E6E6"/>
        <color rgb="FFC6E0B4"/>
      </colorScale>
    </cfRule>
  </conditionalFormatting>
  <conditionalFormatting sqref="AS134">
    <cfRule type="colorScale" priority="218">
      <colorScale>
        <cfvo type="min"/>
        <cfvo type="max"/>
        <color rgb="FFFFFFFF"/>
        <color rgb="FFBDD7EE"/>
      </colorScale>
    </cfRule>
    <cfRule type="colorScale" priority="219">
      <colorScale>
        <cfvo type="min"/>
        <cfvo type="max"/>
        <color rgb="FFE7E6E6"/>
        <color rgb="FFBDD7EE"/>
      </colorScale>
    </cfRule>
    <cfRule type="colorScale" priority="220">
      <colorScale>
        <cfvo type="min"/>
        <cfvo type="max"/>
        <color rgb="FFE7E6E6"/>
        <color rgb="FFC6E0B4"/>
      </colorScale>
    </cfRule>
  </conditionalFormatting>
  <conditionalFormatting sqref="AR135:AR139 AR4 AR141:AR151 AR6:AR8">
    <cfRule type="colorScale" priority="242">
      <colorScale>
        <cfvo type="min"/>
        <cfvo type="max"/>
        <color rgb="FFFFFFFF"/>
        <color rgb="FFBDD7EE"/>
      </colorScale>
    </cfRule>
    <cfRule type="colorScale" priority="243">
      <colorScale>
        <cfvo type="min"/>
        <cfvo type="max"/>
        <color rgb="FFE7E6E6"/>
        <color rgb="FFBDD7EE"/>
      </colorScale>
    </cfRule>
    <cfRule type="colorScale" priority="244">
      <colorScale>
        <cfvo type="min"/>
        <cfvo type="max"/>
        <color rgb="FFE7E6E6"/>
        <color rgb="FFC6E0B4"/>
      </colorScale>
    </cfRule>
  </conditionalFormatting>
  <conditionalFormatting sqref="AS135:AS139 AS4 AS141:AS151 AS6:AS8">
    <cfRule type="colorScale" priority="245">
      <colorScale>
        <cfvo type="min"/>
        <cfvo type="max"/>
        <color rgb="FFFFFFFF"/>
        <color rgb="FFBDD7EE"/>
      </colorScale>
    </cfRule>
    <cfRule type="colorScale" priority="246">
      <colorScale>
        <cfvo type="min"/>
        <cfvo type="max"/>
        <color rgb="FFE7E6E6"/>
        <color rgb="FFBDD7EE"/>
      </colorScale>
    </cfRule>
    <cfRule type="colorScale" priority="247">
      <colorScale>
        <cfvo type="min"/>
        <cfvo type="max"/>
        <color rgb="FFE7E6E6"/>
        <color rgb="FFC6E0B4"/>
      </colorScale>
    </cfRule>
  </conditionalFormatting>
  <conditionalFormatting sqref="AR165:AR166">
    <cfRule type="colorScale" priority="215">
      <colorScale>
        <cfvo type="min"/>
        <cfvo type="max"/>
        <color rgb="FFFFFFFF"/>
        <color rgb="FFBDD7EE"/>
      </colorScale>
    </cfRule>
    <cfRule type="colorScale" priority="216">
      <colorScale>
        <cfvo type="min"/>
        <cfvo type="max"/>
        <color rgb="FFE7E6E6"/>
        <color rgb="FFBDD7EE"/>
      </colorScale>
    </cfRule>
    <cfRule type="colorScale" priority="217">
      <colorScale>
        <cfvo type="min"/>
        <cfvo type="max"/>
        <color rgb="FFE7E6E6"/>
        <color rgb="FFC6E0B4"/>
      </colorScale>
    </cfRule>
  </conditionalFormatting>
  <conditionalFormatting sqref="AS165:AS166">
    <cfRule type="colorScale" priority="212">
      <colorScale>
        <cfvo type="min"/>
        <cfvo type="max"/>
        <color rgb="FFFFFFFF"/>
        <color rgb="FFBDD7EE"/>
      </colorScale>
    </cfRule>
    <cfRule type="colorScale" priority="213">
      <colorScale>
        <cfvo type="min"/>
        <cfvo type="max"/>
        <color rgb="FFE7E6E6"/>
        <color rgb="FFBDD7EE"/>
      </colorScale>
    </cfRule>
    <cfRule type="colorScale" priority="214">
      <colorScale>
        <cfvo type="min"/>
        <cfvo type="max"/>
        <color rgb="FFE7E6E6"/>
        <color rgb="FFC6E0B4"/>
      </colorScale>
    </cfRule>
  </conditionalFormatting>
  <conditionalFormatting sqref="AR167">
    <cfRule type="colorScale" priority="209">
      <colorScale>
        <cfvo type="min"/>
        <cfvo type="max"/>
        <color rgb="FFFFFFFF"/>
        <color rgb="FFBDD7EE"/>
      </colorScale>
    </cfRule>
    <cfRule type="colorScale" priority="210">
      <colorScale>
        <cfvo type="min"/>
        <cfvo type="max"/>
        <color rgb="FFE7E6E6"/>
        <color rgb="FFBDD7EE"/>
      </colorScale>
    </cfRule>
    <cfRule type="colorScale" priority="211">
      <colorScale>
        <cfvo type="min"/>
        <cfvo type="max"/>
        <color rgb="FFE7E6E6"/>
        <color rgb="FFC6E0B4"/>
      </colorScale>
    </cfRule>
  </conditionalFormatting>
  <conditionalFormatting sqref="AS167">
    <cfRule type="colorScale" priority="206">
      <colorScale>
        <cfvo type="min"/>
        <cfvo type="max"/>
        <color rgb="FFFFFFFF"/>
        <color rgb="FFBDD7EE"/>
      </colorScale>
    </cfRule>
    <cfRule type="colorScale" priority="207">
      <colorScale>
        <cfvo type="min"/>
        <cfvo type="max"/>
        <color rgb="FFE7E6E6"/>
        <color rgb="FFBDD7EE"/>
      </colorScale>
    </cfRule>
    <cfRule type="colorScale" priority="208">
      <colorScale>
        <cfvo type="min"/>
        <cfvo type="max"/>
        <color rgb="FFE7E6E6"/>
        <color rgb="FFC6E0B4"/>
      </colorScale>
    </cfRule>
  </conditionalFormatting>
  <conditionalFormatting sqref="AR168">
    <cfRule type="colorScale" priority="203">
      <colorScale>
        <cfvo type="min"/>
        <cfvo type="max"/>
        <color rgb="FFFFFFFF"/>
        <color rgb="FFBDD7EE"/>
      </colorScale>
    </cfRule>
    <cfRule type="colorScale" priority="204">
      <colorScale>
        <cfvo type="min"/>
        <cfvo type="max"/>
        <color rgb="FFE7E6E6"/>
        <color rgb="FFBDD7EE"/>
      </colorScale>
    </cfRule>
    <cfRule type="colorScale" priority="205">
      <colorScale>
        <cfvo type="min"/>
        <cfvo type="max"/>
        <color rgb="FFE7E6E6"/>
        <color rgb="FFC6E0B4"/>
      </colorScale>
    </cfRule>
  </conditionalFormatting>
  <conditionalFormatting sqref="AS168">
    <cfRule type="colorScale" priority="200">
      <colorScale>
        <cfvo type="min"/>
        <cfvo type="max"/>
        <color rgb="FFFFFFFF"/>
        <color rgb="FFBDD7EE"/>
      </colorScale>
    </cfRule>
    <cfRule type="colorScale" priority="201">
      <colorScale>
        <cfvo type="min"/>
        <cfvo type="max"/>
        <color rgb="FFE7E6E6"/>
        <color rgb="FFBDD7EE"/>
      </colorScale>
    </cfRule>
    <cfRule type="colorScale" priority="202">
      <colorScale>
        <cfvo type="min"/>
        <cfvo type="max"/>
        <color rgb="FFE7E6E6"/>
        <color rgb="FFC6E0B4"/>
      </colorScale>
    </cfRule>
  </conditionalFormatting>
  <conditionalFormatting sqref="AR169">
    <cfRule type="colorScale" priority="197">
      <colorScale>
        <cfvo type="min"/>
        <cfvo type="max"/>
        <color rgb="FFFFFFFF"/>
        <color rgb="FFBDD7EE"/>
      </colorScale>
    </cfRule>
    <cfRule type="colorScale" priority="198">
      <colorScale>
        <cfvo type="min"/>
        <cfvo type="max"/>
        <color rgb="FFE7E6E6"/>
        <color rgb="FFBDD7EE"/>
      </colorScale>
    </cfRule>
    <cfRule type="colorScale" priority="199">
      <colorScale>
        <cfvo type="min"/>
        <cfvo type="max"/>
        <color rgb="FFE7E6E6"/>
        <color rgb="FFC6E0B4"/>
      </colorScale>
    </cfRule>
  </conditionalFormatting>
  <conditionalFormatting sqref="AS169">
    <cfRule type="colorScale" priority="194">
      <colorScale>
        <cfvo type="min"/>
        <cfvo type="max"/>
        <color rgb="FFFFFFFF"/>
        <color rgb="FFBDD7EE"/>
      </colorScale>
    </cfRule>
    <cfRule type="colorScale" priority="195">
      <colorScale>
        <cfvo type="min"/>
        <cfvo type="max"/>
        <color rgb="FFE7E6E6"/>
        <color rgb="FFBDD7EE"/>
      </colorScale>
    </cfRule>
    <cfRule type="colorScale" priority="196">
      <colorScale>
        <cfvo type="min"/>
        <cfvo type="max"/>
        <color rgb="FFE7E6E6"/>
        <color rgb="FFC6E0B4"/>
      </colorScale>
    </cfRule>
  </conditionalFormatting>
  <conditionalFormatting sqref="AR171:AR172">
    <cfRule type="colorScale" priority="191">
      <colorScale>
        <cfvo type="min"/>
        <cfvo type="max"/>
        <color rgb="FFFFFFFF"/>
        <color rgb="FFBDD7EE"/>
      </colorScale>
    </cfRule>
    <cfRule type="colorScale" priority="192">
      <colorScale>
        <cfvo type="min"/>
        <cfvo type="max"/>
        <color rgb="FFE7E6E6"/>
        <color rgb="FFBDD7EE"/>
      </colorScale>
    </cfRule>
    <cfRule type="colorScale" priority="193">
      <colorScale>
        <cfvo type="min"/>
        <cfvo type="max"/>
        <color rgb="FFE7E6E6"/>
        <color rgb="FFC6E0B4"/>
      </colorScale>
    </cfRule>
  </conditionalFormatting>
  <conditionalFormatting sqref="AS171:AS172">
    <cfRule type="colorScale" priority="188">
      <colorScale>
        <cfvo type="min"/>
        <cfvo type="max"/>
        <color rgb="FFFFFFFF"/>
        <color rgb="FFBDD7EE"/>
      </colorScale>
    </cfRule>
    <cfRule type="colorScale" priority="189">
      <colorScale>
        <cfvo type="min"/>
        <cfvo type="max"/>
        <color rgb="FFE7E6E6"/>
        <color rgb="FFBDD7EE"/>
      </colorScale>
    </cfRule>
    <cfRule type="colorScale" priority="190">
      <colorScale>
        <cfvo type="min"/>
        <cfvo type="max"/>
        <color rgb="FFE7E6E6"/>
        <color rgb="FFC6E0B4"/>
      </colorScale>
    </cfRule>
  </conditionalFormatting>
  <conditionalFormatting sqref="AR173:AR175">
    <cfRule type="colorScale" priority="185">
      <colorScale>
        <cfvo type="min"/>
        <cfvo type="max"/>
        <color rgb="FFFFFFFF"/>
        <color rgb="FFBDD7EE"/>
      </colorScale>
    </cfRule>
    <cfRule type="colorScale" priority="186">
      <colorScale>
        <cfvo type="min"/>
        <cfvo type="max"/>
        <color rgb="FFE7E6E6"/>
        <color rgb="FFBDD7EE"/>
      </colorScale>
    </cfRule>
    <cfRule type="colorScale" priority="187">
      <colorScale>
        <cfvo type="min"/>
        <cfvo type="max"/>
        <color rgb="FFE7E6E6"/>
        <color rgb="FFC6E0B4"/>
      </colorScale>
    </cfRule>
  </conditionalFormatting>
  <conditionalFormatting sqref="AS173:AS175">
    <cfRule type="colorScale" priority="182">
      <colorScale>
        <cfvo type="min"/>
        <cfvo type="max"/>
        <color rgb="FFFFFFFF"/>
        <color rgb="FFBDD7EE"/>
      </colorScale>
    </cfRule>
    <cfRule type="colorScale" priority="183">
      <colorScale>
        <cfvo type="min"/>
        <cfvo type="max"/>
        <color rgb="FFE7E6E6"/>
        <color rgb="FFBDD7EE"/>
      </colorScale>
    </cfRule>
    <cfRule type="colorScale" priority="184">
      <colorScale>
        <cfvo type="min"/>
        <cfvo type="max"/>
        <color rgb="FFE7E6E6"/>
        <color rgb="FFC6E0B4"/>
      </colorScale>
    </cfRule>
  </conditionalFormatting>
  <conditionalFormatting sqref="AR176:AR181">
    <cfRule type="colorScale" priority="179">
      <colorScale>
        <cfvo type="min"/>
        <cfvo type="max"/>
        <color rgb="FFFFFFFF"/>
        <color rgb="FFBDD7EE"/>
      </colorScale>
    </cfRule>
    <cfRule type="colorScale" priority="180">
      <colorScale>
        <cfvo type="min"/>
        <cfvo type="max"/>
        <color rgb="FFE7E6E6"/>
        <color rgb="FFBDD7EE"/>
      </colorScale>
    </cfRule>
    <cfRule type="colorScale" priority="181">
      <colorScale>
        <cfvo type="min"/>
        <cfvo type="max"/>
        <color rgb="FFE7E6E6"/>
        <color rgb="FFC6E0B4"/>
      </colorScale>
    </cfRule>
  </conditionalFormatting>
  <conditionalFormatting sqref="AS176:AS181">
    <cfRule type="colorScale" priority="176">
      <colorScale>
        <cfvo type="min"/>
        <cfvo type="max"/>
        <color rgb="FFFFFFFF"/>
        <color rgb="FFBDD7EE"/>
      </colorScale>
    </cfRule>
    <cfRule type="colorScale" priority="177">
      <colorScale>
        <cfvo type="min"/>
        <cfvo type="max"/>
        <color rgb="FFE7E6E6"/>
        <color rgb="FFBDD7EE"/>
      </colorScale>
    </cfRule>
    <cfRule type="colorScale" priority="178">
      <colorScale>
        <cfvo type="min"/>
        <cfvo type="max"/>
        <color rgb="FFE7E6E6"/>
        <color rgb="FFC6E0B4"/>
      </colorScale>
    </cfRule>
  </conditionalFormatting>
  <conditionalFormatting sqref="AR20:AR21 AR182">
    <cfRule type="colorScale" priority="173">
      <colorScale>
        <cfvo type="min"/>
        <cfvo type="max"/>
        <color rgb="FFFFFFFF"/>
        <color rgb="FFBDD7EE"/>
      </colorScale>
    </cfRule>
    <cfRule type="colorScale" priority="174">
      <colorScale>
        <cfvo type="min"/>
        <cfvo type="max"/>
        <color rgb="FFE7E6E6"/>
        <color rgb="FFBDD7EE"/>
      </colorScale>
    </cfRule>
    <cfRule type="colorScale" priority="175">
      <colorScale>
        <cfvo type="min"/>
        <cfvo type="max"/>
        <color rgb="FFE7E6E6"/>
        <color rgb="FFC6E0B4"/>
      </colorScale>
    </cfRule>
  </conditionalFormatting>
  <conditionalFormatting sqref="AS20:AS21 AS182">
    <cfRule type="colorScale" priority="170">
      <colorScale>
        <cfvo type="min"/>
        <cfvo type="max"/>
        <color rgb="FFFFFFFF"/>
        <color rgb="FFBDD7EE"/>
      </colorScale>
    </cfRule>
    <cfRule type="colorScale" priority="171">
      <colorScale>
        <cfvo type="min"/>
        <cfvo type="max"/>
        <color rgb="FFE7E6E6"/>
        <color rgb="FFBDD7EE"/>
      </colorScale>
    </cfRule>
    <cfRule type="colorScale" priority="172">
      <colorScale>
        <cfvo type="min"/>
        <cfvo type="max"/>
        <color rgb="FFE7E6E6"/>
        <color rgb="FFC6E0B4"/>
      </colorScale>
    </cfRule>
  </conditionalFormatting>
  <conditionalFormatting sqref="AR22">
    <cfRule type="colorScale" priority="167">
      <colorScale>
        <cfvo type="min"/>
        <cfvo type="max"/>
        <color rgb="FFFFFFFF"/>
        <color rgb="FFBDD7EE"/>
      </colorScale>
    </cfRule>
    <cfRule type="colorScale" priority="168">
      <colorScale>
        <cfvo type="min"/>
        <cfvo type="max"/>
        <color rgb="FFE7E6E6"/>
        <color rgb="FFBDD7EE"/>
      </colorScale>
    </cfRule>
    <cfRule type="colorScale" priority="169">
      <colorScale>
        <cfvo type="min"/>
        <cfvo type="max"/>
        <color rgb="FFE7E6E6"/>
        <color rgb="FFC6E0B4"/>
      </colorScale>
    </cfRule>
  </conditionalFormatting>
  <conditionalFormatting sqref="AS22">
    <cfRule type="colorScale" priority="164">
      <colorScale>
        <cfvo type="min"/>
        <cfvo type="max"/>
        <color rgb="FFFFFFFF"/>
        <color rgb="FFBDD7EE"/>
      </colorScale>
    </cfRule>
    <cfRule type="colorScale" priority="165">
      <colorScale>
        <cfvo type="min"/>
        <cfvo type="max"/>
        <color rgb="FFE7E6E6"/>
        <color rgb="FFBDD7EE"/>
      </colorScale>
    </cfRule>
    <cfRule type="colorScale" priority="166">
      <colorScale>
        <cfvo type="min"/>
        <cfvo type="max"/>
        <color rgb="FFE7E6E6"/>
        <color rgb="FFC6E0B4"/>
      </colorScale>
    </cfRule>
  </conditionalFormatting>
  <conditionalFormatting sqref="AR45">
    <cfRule type="colorScale" priority="158">
      <colorScale>
        <cfvo type="min"/>
        <cfvo type="max"/>
        <color rgb="FFFFFFFF"/>
        <color rgb="FFBDD7EE"/>
      </colorScale>
    </cfRule>
    <cfRule type="colorScale" priority="159">
      <colorScale>
        <cfvo type="min"/>
        <cfvo type="max"/>
        <color rgb="FFE7E6E6"/>
        <color rgb="FFBDD7EE"/>
      </colorScale>
    </cfRule>
    <cfRule type="colorScale" priority="160">
      <colorScale>
        <cfvo type="min"/>
        <cfvo type="max"/>
        <color rgb="FFE7E6E6"/>
        <color rgb="FFC6E0B4"/>
      </colorScale>
    </cfRule>
  </conditionalFormatting>
  <conditionalFormatting sqref="AS45">
    <cfRule type="colorScale" priority="161">
      <colorScale>
        <cfvo type="min"/>
        <cfvo type="max"/>
        <color rgb="FFFFFFFF"/>
        <color rgb="FFBDD7EE"/>
      </colorScale>
    </cfRule>
    <cfRule type="colorScale" priority="162">
      <colorScale>
        <cfvo type="min"/>
        <cfvo type="max"/>
        <color rgb="FFE7E6E6"/>
        <color rgb="FFBDD7EE"/>
      </colorScale>
    </cfRule>
    <cfRule type="colorScale" priority="163">
      <colorScale>
        <cfvo type="min"/>
        <cfvo type="max"/>
        <color rgb="FFE7E6E6"/>
        <color rgb="FFC6E0B4"/>
      </colorScale>
    </cfRule>
  </conditionalFormatting>
  <conditionalFormatting sqref="AR47">
    <cfRule type="colorScale" priority="152">
      <colorScale>
        <cfvo type="min"/>
        <cfvo type="max"/>
        <color rgb="FFFFFFFF"/>
        <color rgb="FFBDD7EE"/>
      </colorScale>
    </cfRule>
    <cfRule type="colorScale" priority="153">
      <colorScale>
        <cfvo type="min"/>
        <cfvo type="max"/>
        <color rgb="FFE7E6E6"/>
        <color rgb="FFBDD7EE"/>
      </colorScale>
    </cfRule>
    <cfRule type="colorScale" priority="154">
      <colorScale>
        <cfvo type="min"/>
        <cfvo type="max"/>
        <color rgb="FFE7E6E6"/>
        <color rgb="FFC6E0B4"/>
      </colorScale>
    </cfRule>
  </conditionalFormatting>
  <conditionalFormatting sqref="AS47">
    <cfRule type="colorScale" priority="155">
      <colorScale>
        <cfvo type="min"/>
        <cfvo type="max"/>
        <color rgb="FFFFFFFF"/>
        <color rgb="FFBDD7EE"/>
      </colorScale>
    </cfRule>
    <cfRule type="colorScale" priority="156">
      <colorScale>
        <cfvo type="min"/>
        <cfvo type="max"/>
        <color rgb="FFE7E6E6"/>
        <color rgb="FFBDD7EE"/>
      </colorScale>
    </cfRule>
    <cfRule type="colorScale" priority="157">
      <colorScale>
        <cfvo type="min"/>
        <cfvo type="max"/>
        <color rgb="FFE7E6E6"/>
        <color rgb="FFC6E0B4"/>
      </colorScale>
    </cfRule>
  </conditionalFormatting>
  <conditionalFormatting sqref="AR27">
    <cfRule type="colorScale" priority="146">
      <colorScale>
        <cfvo type="min"/>
        <cfvo type="max"/>
        <color rgb="FFFFFFFF"/>
        <color rgb="FFBDD7EE"/>
      </colorScale>
    </cfRule>
    <cfRule type="colorScale" priority="147">
      <colorScale>
        <cfvo type="min"/>
        <cfvo type="max"/>
        <color rgb="FFE7E6E6"/>
        <color rgb="FFBDD7EE"/>
      </colorScale>
    </cfRule>
    <cfRule type="colorScale" priority="148">
      <colorScale>
        <cfvo type="min"/>
        <cfvo type="max"/>
        <color rgb="FFE7E6E6"/>
        <color rgb="FFC6E0B4"/>
      </colorScale>
    </cfRule>
  </conditionalFormatting>
  <conditionalFormatting sqref="AS27">
    <cfRule type="colorScale" priority="149">
      <colorScale>
        <cfvo type="min"/>
        <cfvo type="max"/>
        <color rgb="FFFFFFFF"/>
        <color rgb="FFBDD7EE"/>
      </colorScale>
    </cfRule>
    <cfRule type="colorScale" priority="150">
      <colorScale>
        <cfvo type="min"/>
        <cfvo type="max"/>
        <color rgb="FFE7E6E6"/>
        <color rgb="FFBDD7EE"/>
      </colorScale>
    </cfRule>
    <cfRule type="colorScale" priority="151">
      <colorScale>
        <cfvo type="min"/>
        <cfvo type="max"/>
        <color rgb="FFE7E6E6"/>
        <color rgb="FFC6E0B4"/>
      </colorScale>
    </cfRule>
  </conditionalFormatting>
  <conditionalFormatting sqref="AR183">
    <cfRule type="colorScale" priority="143">
      <colorScale>
        <cfvo type="min"/>
        <cfvo type="max"/>
        <color rgb="FFFFFFFF"/>
        <color rgb="FFBDD7EE"/>
      </colorScale>
    </cfRule>
    <cfRule type="colorScale" priority="144">
      <colorScale>
        <cfvo type="min"/>
        <cfvo type="max"/>
        <color rgb="FFE7E6E6"/>
        <color rgb="FFBDD7EE"/>
      </colorScale>
    </cfRule>
    <cfRule type="colorScale" priority="145">
      <colorScale>
        <cfvo type="min"/>
        <cfvo type="max"/>
        <color rgb="FFE7E6E6"/>
        <color rgb="FFC6E0B4"/>
      </colorScale>
    </cfRule>
  </conditionalFormatting>
  <conditionalFormatting sqref="AS183">
    <cfRule type="colorScale" priority="140">
      <colorScale>
        <cfvo type="min"/>
        <cfvo type="max"/>
        <color rgb="FFFFFFFF"/>
        <color rgb="FFBDD7EE"/>
      </colorScale>
    </cfRule>
    <cfRule type="colorScale" priority="141">
      <colorScale>
        <cfvo type="min"/>
        <cfvo type="max"/>
        <color rgb="FFE7E6E6"/>
        <color rgb="FFBDD7EE"/>
      </colorScale>
    </cfRule>
    <cfRule type="colorScale" priority="142">
      <colorScale>
        <cfvo type="min"/>
        <cfvo type="max"/>
        <color rgb="FFE7E6E6"/>
        <color rgb="FFC6E0B4"/>
      </colorScale>
    </cfRule>
  </conditionalFormatting>
  <conditionalFormatting sqref="AR184:AR185">
    <cfRule type="colorScale" priority="137">
      <colorScale>
        <cfvo type="min"/>
        <cfvo type="max"/>
        <color rgb="FFFFFFFF"/>
        <color rgb="FFBDD7EE"/>
      </colorScale>
    </cfRule>
    <cfRule type="colorScale" priority="138">
      <colorScale>
        <cfvo type="min"/>
        <cfvo type="max"/>
        <color rgb="FFE7E6E6"/>
        <color rgb="FFBDD7EE"/>
      </colorScale>
    </cfRule>
    <cfRule type="colorScale" priority="139">
      <colorScale>
        <cfvo type="min"/>
        <cfvo type="max"/>
        <color rgb="FFE7E6E6"/>
        <color rgb="FFC6E0B4"/>
      </colorScale>
    </cfRule>
  </conditionalFormatting>
  <conditionalFormatting sqref="AS184:AS185">
    <cfRule type="colorScale" priority="134">
      <colorScale>
        <cfvo type="min"/>
        <cfvo type="max"/>
        <color rgb="FFFFFFFF"/>
        <color rgb="FFBDD7EE"/>
      </colorScale>
    </cfRule>
    <cfRule type="colorScale" priority="135">
      <colorScale>
        <cfvo type="min"/>
        <cfvo type="max"/>
        <color rgb="FFE7E6E6"/>
        <color rgb="FFBDD7EE"/>
      </colorScale>
    </cfRule>
    <cfRule type="colorScale" priority="136">
      <colorScale>
        <cfvo type="min"/>
        <cfvo type="max"/>
        <color rgb="FFE7E6E6"/>
        <color rgb="FFC6E0B4"/>
      </colorScale>
    </cfRule>
  </conditionalFormatting>
  <conditionalFormatting sqref="AR186:AR187">
    <cfRule type="colorScale" priority="131">
      <colorScale>
        <cfvo type="min"/>
        <cfvo type="max"/>
        <color rgb="FFFFFFFF"/>
        <color rgb="FFBDD7EE"/>
      </colorScale>
    </cfRule>
    <cfRule type="colorScale" priority="132">
      <colorScale>
        <cfvo type="min"/>
        <cfvo type="max"/>
        <color rgb="FFE7E6E6"/>
        <color rgb="FFBDD7EE"/>
      </colorScale>
    </cfRule>
    <cfRule type="colorScale" priority="133">
      <colorScale>
        <cfvo type="min"/>
        <cfvo type="max"/>
        <color rgb="FFE7E6E6"/>
        <color rgb="FFC6E0B4"/>
      </colorScale>
    </cfRule>
  </conditionalFormatting>
  <conditionalFormatting sqref="AS186:AS187">
    <cfRule type="colorScale" priority="128">
      <colorScale>
        <cfvo type="min"/>
        <cfvo type="max"/>
        <color rgb="FFFFFFFF"/>
        <color rgb="FFBDD7EE"/>
      </colorScale>
    </cfRule>
    <cfRule type="colorScale" priority="129">
      <colorScale>
        <cfvo type="min"/>
        <cfvo type="max"/>
        <color rgb="FFE7E6E6"/>
        <color rgb="FFBDD7EE"/>
      </colorScale>
    </cfRule>
    <cfRule type="colorScale" priority="130">
      <colorScale>
        <cfvo type="min"/>
        <cfvo type="max"/>
        <color rgb="FFE7E6E6"/>
        <color rgb="FFC6E0B4"/>
      </colorScale>
    </cfRule>
  </conditionalFormatting>
  <conditionalFormatting sqref="AR188:AR190">
    <cfRule type="colorScale" priority="125">
      <colorScale>
        <cfvo type="min"/>
        <cfvo type="max"/>
        <color rgb="FFFFFFFF"/>
        <color rgb="FFBDD7EE"/>
      </colorScale>
    </cfRule>
    <cfRule type="colorScale" priority="126">
      <colorScale>
        <cfvo type="min"/>
        <cfvo type="max"/>
        <color rgb="FFE7E6E6"/>
        <color rgb="FFBDD7EE"/>
      </colorScale>
    </cfRule>
    <cfRule type="colorScale" priority="127">
      <colorScale>
        <cfvo type="min"/>
        <cfvo type="max"/>
        <color rgb="FFE7E6E6"/>
        <color rgb="FFC6E0B4"/>
      </colorScale>
    </cfRule>
  </conditionalFormatting>
  <conditionalFormatting sqref="AS188:AS190">
    <cfRule type="colorScale" priority="122">
      <colorScale>
        <cfvo type="min"/>
        <cfvo type="max"/>
        <color rgb="FFFFFFFF"/>
        <color rgb="FFBDD7EE"/>
      </colorScale>
    </cfRule>
    <cfRule type="colorScale" priority="123">
      <colorScale>
        <cfvo type="min"/>
        <cfvo type="max"/>
        <color rgb="FFE7E6E6"/>
        <color rgb="FFBDD7EE"/>
      </colorScale>
    </cfRule>
    <cfRule type="colorScale" priority="124">
      <colorScale>
        <cfvo type="min"/>
        <cfvo type="max"/>
        <color rgb="FFE7E6E6"/>
        <color rgb="FFC6E0B4"/>
      </colorScale>
    </cfRule>
  </conditionalFormatting>
  <conditionalFormatting sqref="AR191">
    <cfRule type="colorScale" priority="119">
      <colorScale>
        <cfvo type="min"/>
        <cfvo type="max"/>
        <color rgb="FFFFFFFF"/>
        <color rgb="FFBDD7EE"/>
      </colorScale>
    </cfRule>
    <cfRule type="colorScale" priority="120">
      <colorScale>
        <cfvo type="min"/>
        <cfvo type="max"/>
        <color rgb="FFE7E6E6"/>
        <color rgb="FFBDD7EE"/>
      </colorScale>
    </cfRule>
    <cfRule type="colorScale" priority="121">
      <colorScale>
        <cfvo type="min"/>
        <cfvo type="max"/>
        <color rgb="FFE7E6E6"/>
        <color rgb="FFC6E0B4"/>
      </colorScale>
    </cfRule>
  </conditionalFormatting>
  <conditionalFormatting sqref="AS191">
    <cfRule type="colorScale" priority="116">
      <colorScale>
        <cfvo type="min"/>
        <cfvo type="max"/>
        <color rgb="FFFFFFFF"/>
        <color rgb="FFBDD7EE"/>
      </colorScale>
    </cfRule>
    <cfRule type="colorScale" priority="117">
      <colorScale>
        <cfvo type="min"/>
        <cfvo type="max"/>
        <color rgb="FFE7E6E6"/>
        <color rgb="FFBDD7EE"/>
      </colorScale>
    </cfRule>
    <cfRule type="colorScale" priority="118">
      <colorScale>
        <cfvo type="min"/>
        <cfvo type="max"/>
        <color rgb="FFE7E6E6"/>
        <color rgb="FFC6E0B4"/>
      </colorScale>
    </cfRule>
  </conditionalFormatting>
  <conditionalFormatting sqref="AR192">
    <cfRule type="colorScale" priority="113">
      <colorScale>
        <cfvo type="min"/>
        <cfvo type="max"/>
        <color rgb="FFFFFFFF"/>
        <color rgb="FFBDD7EE"/>
      </colorScale>
    </cfRule>
    <cfRule type="colorScale" priority="114">
      <colorScale>
        <cfvo type="min"/>
        <cfvo type="max"/>
        <color rgb="FFE7E6E6"/>
        <color rgb="FFBDD7EE"/>
      </colorScale>
    </cfRule>
    <cfRule type="colorScale" priority="115">
      <colorScale>
        <cfvo type="min"/>
        <cfvo type="max"/>
        <color rgb="FFE7E6E6"/>
        <color rgb="FFC6E0B4"/>
      </colorScale>
    </cfRule>
  </conditionalFormatting>
  <conditionalFormatting sqref="AS192">
    <cfRule type="colorScale" priority="110">
      <colorScale>
        <cfvo type="min"/>
        <cfvo type="max"/>
        <color rgb="FFFFFFFF"/>
        <color rgb="FFBDD7EE"/>
      </colorScale>
    </cfRule>
    <cfRule type="colorScale" priority="111">
      <colorScale>
        <cfvo type="min"/>
        <cfvo type="max"/>
        <color rgb="FFE7E6E6"/>
        <color rgb="FFBDD7EE"/>
      </colorScale>
    </cfRule>
    <cfRule type="colorScale" priority="112">
      <colorScale>
        <cfvo type="min"/>
        <cfvo type="max"/>
        <color rgb="FFE7E6E6"/>
        <color rgb="FFC6E0B4"/>
      </colorScale>
    </cfRule>
  </conditionalFormatting>
  <conditionalFormatting sqref="AR193">
    <cfRule type="colorScale" priority="107">
      <colorScale>
        <cfvo type="min"/>
        <cfvo type="max"/>
        <color rgb="FFFFFFFF"/>
        <color rgb="FFBDD7EE"/>
      </colorScale>
    </cfRule>
    <cfRule type="colorScale" priority="108">
      <colorScale>
        <cfvo type="min"/>
        <cfvo type="max"/>
        <color rgb="FFE7E6E6"/>
        <color rgb="FFBDD7EE"/>
      </colorScale>
    </cfRule>
    <cfRule type="colorScale" priority="109">
      <colorScale>
        <cfvo type="min"/>
        <cfvo type="max"/>
        <color rgb="FFE7E6E6"/>
        <color rgb="FFC6E0B4"/>
      </colorScale>
    </cfRule>
  </conditionalFormatting>
  <conditionalFormatting sqref="AS193">
    <cfRule type="colorScale" priority="104">
      <colorScale>
        <cfvo type="min"/>
        <cfvo type="max"/>
        <color rgb="FFFFFFFF"/>
        <color rgb="FFBDD7EE"/>
      </colorScale>
    </cfRule>
    <cfRule type="colorScale" priority="105">
      <colorScale>
        <cfvo type="min"/>
        <cfvo type="max"/>
        <color rgb="FFE7E6E6"/>
        <color rgb="FFBDD7EE"/>
      </colorScale>
    </cfRule>
    <cfRule type="colorScale" priority="106">
      <colorScale>
        <cfvo type="min"/>
        <cfvo type="max"/>
        <color rgb="FFE7E6E6"/>
        <color rgb="FFC6E0B4"/>
      </colorScale>
    </cfRule>
  </conditionalFormatting>
  <conditionalFormatting sqref="AR194:AR202 AR17:AR19">
    <cfRule type="colorScale" priority="101">
      <colorScale>
        <cfvo type="min"/>
        <cfvo type="max"/>
        <color rgb="FFFFFFFF"/>
        <color rgb="FFBDD7EE"/>
      </colorScale>
    </cfRule>
    <cfRule type="colorScale" priority="102">
      <colorScale>
        <cfvo type="min"/>
        <cfvo type="max"/>
        <color rgb="FFE7E6E6"/>
        <color rgb="FFBDD7EE"/>
      </colorScale>
    </cfRule>
    <cfRule type="colorScale" priority="103">
      <colorScale>
        <cfvo type="min"/>
        <cfvo type="max"/>
        <color rgb="FFE7E6E6"/>
        <color rgb="FFC6E0B4"/>
      </colorScale>
    </cfRule>
  </conditionalFormatting>
  <conditionalFormatting sqref="AS194:AS202 AS17:AS19">
    <cfRule type="colorScale" priority="98">
      <colorScale>
        <cfvo type="min"/>
        <cfvo type="max"/>
        <color rgb="FFFFFFFF"/>
        <color rgb="FFBDD7EE"/>
      </colorScale>
    </cfRule>
    <cfRule type="colorScale" priority="99">
      <colorScale>
        <cfvo type="min"/>
        <cfvo type="max"/>
        <color rgb="FFE7E6E6"/>
        <color rgb="FFBDD7EE"/>
      </colorScale>
    </cfRule>
    <cfRule type="colorScale" priority="100">
      <colorScale>
        <cfvo type="min"/>
        <cfvo type="max"/>
        <color rgb="FFE7E6E6"/>
        <color rgb="FFC6E0B4"/>
      </colorScale>
    </cfRule>
  </conditionalFormatting>
  <conditionalFormatting sqref="AR203:AR218 AR220">
    <cfRule type="colorScale" priority="248">
      <colorScale>
        <cfvo type="min"/>
        <cfvo type="max"/>
        <color rgb="FFFFFFFF"/>
        <color rgb="FFBDD7EE"/>
      </colorScale>
    </cfRule>
    <cfRule type="colorScale" priority="249">
      <colorScale>
        <cfvo type="min"/>
        <cfvo type="max"/>
        <color rgb="FFE7E6E6"/>
        <color rgb="FFBDD7EE"/>
      </colorScale>
    </cfRule>
    <cfRule type="colorScale" priority="250">
      <colorScale>
        <cfvo type="min"/>
        <cfvo type="max"/>
        <color rgb="FFE7E6E6"/>
        <color rgb="FFC6E0B4"/>
      </colorScale>
    </cfRule>
  </conditionalFormatting>
  <conditionalFormatting sqref="AS203:AS218 AS220">
    <cfRule type="colorScale" priority="251">
      <colorScale>
        <cfvo type="min"/>
        <cfvo type="max"/>
        <color rgb="FFFFFFFF"/>
        <color rgb="FFBDD7EE"/>
      </colorScale>
    </cfRule>
    <cfRule type="colorScale" priority="252">
      <colorScale>
        <cfvo type="min"/>
        <cfvo type="max"/>
        <color rgb="FFE7E6E6"/>
        <color rgb="FFBDD7EE"/>
      </colorScale>
    </cfRule>
    <cfRule type="colorScale" priority="253">
      <colorScale>
        <cfvo type="min"/>
        <cfvo type="max"/>
        <color rgb="FFE7E6E6"/>
        <color rgb="FFC6E0B4"/>
      </colorScale>
    </cfRule>
  </conditionalFormatting>
  <conditionalFormatting sqref="AR219">
    <cfRule type="colorScale" priority="92">
      <colorScale>
        <cfvo type="min"/>
        <cfvo type="max"/>
        <color rgb="FFFFFFFF"/>
        <color rgb="FFBDD7EE"/>
      </colorScale>
    </cfRule>
    <cfRule type="colorScale" priority="93">
      <colorScale>
        <cfvo type="min"/>
        <cfvo type="max"/>
        <color rgb="FFE7E6E6"/>
        <color rgb="FFBDD7EE"/>
      </colorScale>
    </cfRule>
    <cfRule type="colorScale" priority="94">
      <colorScale>
        <cfvo type="min"/>
        <cfvo type="max"/>
        <color rgb="FFE7E6E6"/>
        <color rgb="FFC6E0B4"/>
      </colorScale>
    </cfRule>
  </conditionalFormatting>
  <conditionalFormatting sqref="AS219">
    <cfRule type="colorScale" priority="95">
      <colorScale>
        <cfvo type="min"/>
        <cfvo type="max"/>
        <color rgb="FFFFFFFF"/>
        <color rgb="FFBDD7EE"/>
      </colorScale>
    </cfRule>
    <cfRule type="colorScale" priority="96">
      <colorScale>
        <cfvo type="min"/>
        <cfvo type="max"/>
        <color rgb="FFE7E6E6"/>
        <color rgb="FFBDD7EE"/>
      </colorScale>
    </cfRule>
    <cfRule type="colorScale" priority="97">
      <colorScale>
        <cfvo type="min"/>
        <cfvo type="max"/>
        <color rgb="FFE7E6E6"/>
        <color rgb="FFC6E0B4"/>
      </colorScale>
    </cfRule>
  </conditionalFormatting>
  <conditionalFormatting sqref="AR221:AR224 AR226:AR235">
    <cfRule type="colorScale" priority="254">
      <colorScale>
        <cfvo type="min"/>
        <cfvo type="max"/>
        <color rgb="FFFFFFFF"/>
        <color rgb="FFBDD7EE"/>
      </colorScale>
    </cfRule>
    <cfRule type="colorScale" priority="255">
      <colorScale>
        <cfvo type="min"/>
        <cfvo type="max"/>
        <color rgb="FFE7E6E6"/>
        <color rgb="FFBDD7EE"/>
      </colorScale>
    </cfRule>
    <cfRule type="colorScale" priority="256">
      <colorScale>
        <cfvo type="min"/>
        <cfvo type="max"/>
        <color rgb="FFE7E6E6"/>
        <color rgb="FFC6E0B4"/>
      </colorScale>
    </cfRule>
  </conditionalFormatting>
  <conditionalFormatting sqref="AS221:AS224 AS226:AS235">
    <cfRule type="colorScale" priority="257">
      <colorScale>
        <cfvo type="min"/>
        <cfvo type="max"/>
        <color rgb="FFFFFFFF"/>
        <color rgb="FFBDD7EE"/>
      </colorScale>
    </cfRule>
    <cfRule type="colorScale" priority="258">
      <colorScale>
        <cfvo type="min"/>
        <cfvo type="max"/>
        <color rgb="FFE7E6E6"/>
        <color rgb="FFBDD7EE"/>
      </colorScale>
    </cfRule>
    <cfRule type="colorScale" priority="259">
      <colorScale>
        <cfvo type="min"/>
        <cfvo type="max"/>
        <color rgb="FFE7E6E6"/>
        <color rgb="FFC6E0B4"/>
      </colorScale>
    </cfRule>
  </conditionalFormatting>
  <conditionalFormatting sqref="AR225">
    <cfRule type="colorScale" priority="86">
      <colorScale>
        <cfvo type="min"/>
        <cfvo type="max"/>
        <color rgb="FFFFFFFF"/>
        <color rgb="FFBDD7EE"/>
      </colorScale>
    </cfRule>
    <cfRule type="colorScale" priority="87">
      <colorScale>
        <cfvo type="min"/>
        <cfvo type="max"/>
        <color rgb="FFE7E6E6"/>
        <color rgb="FFBDD7EE"/>
      </colorScale>
    </cfRule>
    <cfRule type="colorScale" priority="88">
      <colorScale>
        <cfvo type="min"/>
        <cfvo type="max"/>
        <color rgb="FFE7E6E6"/>
        <color rgb="FFC6E0B4"/>
      </colorScale>
    </cfRule>
  </conditionalFormatting>
  <conditionalFormatting sqref="AS225">
    <cfRule type="colorScale" priority="89">
      <colorScale>
        <cfvo type="min"/>
        <cfvo type="max"/>
        <color rgb="FFFFFFFF"/>
        <color rgb="FFBDD7EE"/>
      </colorScale>
    </cfRule>
    <cfRule type="colorScale" priority="90">
      <colorScale>
        <cfvo type="min"/>
        <cfvo type="max"/>
        <color rgb="FFE7E6E6"/>
        <color rgb="FFBDD7EE"/>
      </colorScale>
    </cfRule>
    <cfRule type="colorScale" priority="91">
      <colorScale>
        <cfvo type="min"/>
        <cfvo type="max"/>
        <color rgb="FFE7E6E6"/>
        <color rgb="FFC6E0B4"/>
      </colorScale>
    </cfRule>
  </conditionalFormatting>
  <conditionalFormatting sqref="AR236">
    <cfRule type="colorScale" priority="83">
      <colorScale>
        <cfvo type="min"/>
        <cfvo type="max"/>
        <color rgb="FFFFFFFF"/>
        <color rgb="FFBDD7EE"/>
      </colorScale>
    </cfRule>
    <cfRule type="colorScale" priority="84">
      <colorScale>
        <cfvo type="min"/>
        <cfvo type="max"/>
        <color rgb="FFE7E6E6"/>
        <color rgb="FFBDD7EE"/>
      </colorScale>
    </cfRule>
    <cfRule type="colorScale" priority="85">
      <colorScale>
        <cfvo type="min"/>
        <cfvo type="max"/>
        <color rgb="FFE7E6E6"/>
        <color rgb="FFC6E0B4"/>
      </colorScale>
    </cfRule>
  </conditionalFormatting>
  <conditionalFormatting sqref="AS236">
    <cfRule type="colorScale" priority="80">
      <colorScale>
        <cfvo type="min"/>
        <cfvo type="max"/>
        <color rgb="FFFFFFFF"/>
        <color rgb="FFBDD7EE"/>
      </colorScale>
    </cfRule>
    <cfRule type="colorScale" priority="81">
      <colorScale>
        <cfvo type="min"/>
        <cfvo type="max"/>
        <color rgb="FFE7E6E6"/>
        <color rgb="FFBDD7EE"/>
      </colorScale>
    </cfRule>
    <cfRule type="colorScale" priority="82">
      <colorScale>
        <cfvo type="min"/>
        <cfvo type="max"/>
        <color rgb="FFE7E6E6"/>
        <color rgb="FFC6E0B4"/>
      </colorScale>
    </cfRule>
  </conditionalFormatting>
  <conditionalFormatting sqref="AR240:AR243">
    <cfRule type="colorScale" priority="260">
      <colorScale>
        <cfvo type="min"/>
        <cfvo type="max"/>
        <color rgb="FFFFFFFF"/>
        <color rgb="FFBDD7EE"/>
      </colorScale>
    </cfRule>
    <cfRule type="colorScale" priority="261">
      <colorScale>
        <cfvo type="min"/>
        <cfvo type="max"/>
        <color rgb="FFE7E6E6"/>
        <color rgb="FFBDD7EE"/>
      </colorScale>
    </cfRule>
    <cfRule type="colorScale" priority="262">
      <colorScale>
        <cfvo type="min"/>
        <cfvo type="max"/>
        <color rgb="FFE7E6E6"/>
        <color rgb="FFC6E0B4"/>
      </colorScale>
    </cfRule>
  </conditionalFormatting>
  <conditionalFormatting sqref="AS240:AS243">
    <cfRule type="colorScale" priority="263">
      <colorScale>
        <cfvo type="min"/>
        <cfvo type="max"/>
        <color rgb="FFFFFFFF"/>
        <color rgb="FFBDD7EE"/>
      </colorScale>
    </cfRule>
    <cfRule type="colorScale" priority="264">
      <colorScale>
        <cfvo type="min"/>
        <cfvo type="max"/>
        <color rgb="FFE7E6E6"/>
        <color rgb="FFBDD7EE"/>
      </colorScale>
    </cfRule>
    <cfRule type="colorScale" priority="265">
      <colorScale>
        <cfvo type="min"/>
        <cfvo type="max"/>
        <color rgb="FFE7E6E6"/>
        <color rgb="FFC6E0B4"/>
      </colorScale>
    </cfRule>
  </conditionalFormatting>
  <conditionalFormatting sqref="AR244:AR245">
    <cfRule type="colorScale" priority="77">
      <colorScale>
        <cfvo type="min"/>
        <cfvo type="max"/>
        <color rgb="FFFFFFFF"/>
        <color rgb="FFBDD7EE"/>
      </colorScale>
    </cfRule>
    <cfRule type="colorScale" priority="78">
      <colorScale>
        <cfvo type="min"/>
        <cfvo type="max"/>
        <color rgb="FFE7E6E6"/>
        <color rgb="FFBDD7EE"/>
      </colorScale>
    </cfRule>
    <cfRule type="colorScale" priority="79">
      <colorScale>
        <cfvo type="min"/>
        <cfvo type="max"/>
        <color rgb="FFE7E6E6"/>
        <color rgb="FFC6E0B4"/>
      </colorScale>
    </cfRule>
  </conditionalFormatting>
  <conditionalFormatting sqref="AS244:AS245">
    <cfRule type="colorScale" priority="74">
      <colorScale>
        <cfvo type="min"/>
        <cfvo type="max"/>
        <color rgb="FFFFFFFF"/>
        <color rgb="FFBDD7EE"/>
      </colorScale>
    </cfRule>
    <cfRule type="colorScale" priority="75">
      <colorScale>
        <cfvo type="min"/>
        <cfvo type="max"/>
        <color rgb="FFE7E6E6"/>
        <color rgb="FFBDD7EE"/>
      </colorScale>
    </cfRule>
    <cfRule type="colorScale" priority="76">
      <colorScale>
        <cfvo type="min"/>
        <cfvo type="max"/>
        <color rgb="FFE7E6E6"/>
        <color rgb="FFC6E0B4"/>
      </colorScale>
    </cfRule>
  </conditionalFormatting>
  <conditionalFormatting sqref="AR258:AR259">
    <cfRule type="colorScale" priority="71">
      <colorScale>
        <cfvo type="min"/>
        <cfvo type="max"/>
        <color rgb="FFFFFFFF"/>
        <color rgb="FFBDD7EE"/>
      </colorScale>
    </cfRule>
    <cfRule type="colorScale" priority="72">
      <colorScale>
        <cfvo type="min"/>
        <cfvo type="max"/>
        <color rgb="FFE7E6E6"/>
        <color rgb="FFBDD7EE"/>
      </colorScale>
    </cfRule>
    <cfRule type="colorScale" priority="73">
      <colorScale>
        <cfvo type="min"/>
        <cfvo type="max"/>
        <color rgb="FFE7E6E6"/>
        <color rgb="FFC6E0B4"/>
      </colorScale>
    </cfRule>
  </conditionalFormatting>
  <conditionalFormatting sqref="AS258:AS259">
    <cfRule type="colorScale" priority="68">
      <colorScale>
        <cfvo type="min"/>
        <cfvo type="max"/>
        <color rgb="FFFFFFFF"/>
        <color rgb="FFBDD7EE"/>
      </colorScale>
    </cfRule>
    <cfRule type="colorScale" priority="69">
      <colorScale>
        <cfvo type="min"/>
        <cfvo type="max"/>
        <color rgb="FFE7E6E6"/>
        <color rgb="FFBDD7EE"/>
      </colorScale>
    </cfRule>
    <cfRule type="colorScale" priority="70">
      <colorScale>
        <cfvo type="min"/>
        <cfvo type="max"/>
        <color rgb="FFE7E6E6"/>
        <color rgb="FFC6E0B4"/>
      </colorScale>
    </cfRule>
  </conditionalFormatting>
  <conditionalFormatting sqref="AR260:AR261 AR263:AR265 AR267:AR269 AR271:AR275 AR277:AR284">
    <cfRule type="colorScale" priority="266">
      <colorScale>
        <cfvo type="min"/>
        <cfvo type="max"/>
        <color rgb="FFFFFFFF"/>
        <color rgb="FFBDD7EE"/>
      </colorScale>
    </cfRule>
    <cfRule type="colorScale" priority="267">
      <colorScale>
        <cfvo type="min"/>
        <cfvo type="max"/>
        <color rgb="FFE7E6E6"/>
        <color rgb="FFBDD7EE"/>
      </colorScale>
    </cfRule>
    <cfRule type="colorScale" priority="268">
      <colorScale>
        <cfvo type="min"/>
        <cfvo type="max"/>
        <color rgb="FFE7E6E6"/>
        <color rgb="FFC6E0B4"/>
      </colorScale>
    </cfRule>
  </conditionalFormatting>
  <conditionalFormatting sqref="AS260:AS261 AS263:AS265 AS267:AS269 AS271:AS275 AS277:AS284">
    <cfRule type="colorScale" priority="269">
      <colorScale>
        <cfvo type="min"/>
        <cfvo type="max"/>
        <color rgb="FFFFFFFF"/>
        <color rgb="FFBDD7EE"/>
      </colorScale>
    </cfRule>
    <cfRule type="colorScale" priority="270">
      <colorScale>
        <cfvo type="min"/>
        <cfvo type="max"/>
        <color rgb="FFE7E6E6"/>
        <color rgb="FFBDD7EE"/>
      </colorScale>
    </cfRule>
    <cfRule type="colorScale" priority="271">
      <colorScale>
        <cfvo type="min"/>
        <cfvo type="max"/>
        <color rgb="FFE7E6E6"/>
        <color rgb="FFC6E0B4"/>
      </colorScale>
    </cfRule>
  </conditionalFormatting>
  <conditionalFormatting sqref="AR262">
    <cfRule type="colorScale" priority="62">
      <colorScale>
        <cfvo type="min"/>
        <cfvo type="max"/>
        <color rgb="FFFFFFFF"/>
        <color rgb="FFBDD7EE"/>
      </colorScale>
    </cfRule>
    <cfRule type="colorScale" priority="63">
      <colorScale>
        <cfvo type="min"/>
        <cfvo type="max"/>
        <color rgb="FFE7E6E6"/>
        <color rgb="FFBDD7EE"/>
      </colorScale>
    </cfRule>
    <cfRule type="colorScale" priority="64">
      <colorScale>
        <cfvo type="min"/>
        <cfvo type="max"/>
        <color rgb="FFE7E6E6"/>
        <color rgb="FFC6E0B4"/>
      </colorScale>
    </cfRule>
  </conditionalFormatting>
  <conditionalFormatting sqref="AS262">
    <cfRule type="colorScale" priority="65">
      <colorScale>
        <cfvo type="min"/>
        <cfvo type="max"/>
        <color rgb="FFFFFFFF"/>
        <color rgb="FFBDD7EE"/>
      </colorScale>
    </cfRule>
    <cfRule type="colorScale" priority="66">
      <colorScale>
        <cfvo type="min"/>
        <cfvo type="max"/>
        <color rgb="FFE7E6E6"/>
        <color rgb="FFBDD7EE"/>
      </colorScale>
    </cfRule>
    <cfRule type="colorScale" priority="67">
      <colorScale>
        <cfvo type="min"/>
        <cfvo type="max"/>
        <color rgb="FFE7E6E6"/>
        <color rgb="FFC6E0B4"/>
      </colorScale>
    </cfRule>
  </conditionalFormatting>
  <conditionalFormatting sqref="AR266">
    <cfRule type="colorScale" priority="56">
      <colorScale>
        <cfvo type="min"/>
        <cfvo type="max"/>
        <color rgb="FFFFFFFF"/>
        <color rgb="FFBDD7EE"/>
      </colorScale>
    </cfRule>
    <cfRule type="colorScale" priority="57">
      <colorScale>
        <cfvo type="min"/>
        <cfvo type="max"/>
        <color rgb="FFE7E6E6"/>
        <color rgb="FFBDD7EE"/>
      </colorScale>
    </cfRule>
    <cfRule type="colorScale" priority="58">
      <colorScale>
        <cfvo type="min"/>
        <cfvo type="max"/>
        <color rgb="FFE7E6E6"/>
        <color rgb="FFC6E0B4"/>
      </colorScale>
    </cfRule>
  </conditionalFormatting>
  <conditionalFormatting sqref="AS266">
    <cfRule type="colorScale" priority="59">
      <colorScale>
        <cfvo type="min"/>
        <cfvo type="max"/>
        <color rgb="FFFFFFFF"/>
        <color rgb="FFBDD7EE"/>
      </colorScale>
    </cfRule>
    <cfRule type="colorScale" priority="60">
      <colorScale>
        <cfvo type="min"/>
        <cfvo type="max"/>
        <color rgb="FFE7E6E6"/>
        <color rgb="FFBDD7EE"/>
      </colorScale>
    </cfRule>
    <cfRule type="colorScale" priority="61">
      <colorScale>
        <cfvo type="min"/>
        <cfvo type="max"/>
        <color rgb="FFE7E6E6"/>
        <color rgb="FFC6E0B4"/>
      </colorScale>
    </cfRule>
  </conditionalFormatting>
  <conditionalFormatting sqref="AR270">
    <cfRule type="colorScale" priority="50">
      <colorScale>
        <cfvo type="min"/>
        <cfvo type="max"/>
        <color rgb="FFFFFFFF"/>
        <color rgb="FFBDD7EE"/>
      </colorScale>
    </cfRule>
    <cfRule type="colorScale" priority="51">
      <colorScale>
        <cfvo type="min"/>
        <cfvo type="max"/>
        <color rgb="FFE7E6E6"/>
        <color rgb="FFBDD7EE"/>
      </colorScale>
    </cfRule>
    <cfRule type="colorScale" priority="52">
      <colorScale>
        <cfvo type="min"/>
        <cfvo type="max"/>
        <color rgb="FFE7E6E6"/>
        <color rgb="FFC6E0B4"/>
      </colorScale>
    </cfRule>
  </conditionalFormatting>
  <conditionalFormatting sqref="AS270">
    <cfRule type="colorScale" priority="53">
      <colorScale>
        <cfvo type="min"/>
        <cfvo type="max"/>
        <color rgb="FFFFFFFF"/>
        <color rgb="FFBDD7EE"/>
      </colorScale>
    </cfRule>
    <cfRule type="colorScale" priority="54">
      <colorScale>
        <cfvo type="min"/>
        <cfvo type="max"/>
        <color rgb="FFE7E6E6"/>
        <color rgb="FFBDD7EE"/>
      </colorScale>
    </cfRule>
    <cfRule type="colorScale" priority="55">
      <colorScale>
        <cfvo type="min"/>
        <cfvo type="max"/>
        <color rgb="FFE7E6E6"/>
        <color rgb="FFC6E0B4"/>
      </colorScale>
    </cfRule>
  </conditionalFormatting>
  <conditionalFormatting sqref="AR288:AR292 AR285:AR286">
    <cfRule type="colorScale" priority="272">
      <colorScale>
        <cfvo type="min"/>
        <cfvo type="max"/>
        <color rgb="FFFFFFFF"/>
        <color rgb="FFBDD7EE"/>
      </colorScale>
    </cfRule>
    <cfRule type="colorScale" priority="273">
      <colorScale>
        <cfvo type="min"/>
        <cfvo type="max"/>
        <color rgb="FFE7E6E6"/>
        <color rgb="FFBDD7EE"/>
      </colorScale>
    </cfRule>
    <cfRule type="colorScale" priority="274">
      <colorScale>
        <cfvo type="min"/>
        <cfvo type="max"/>
        <color rgb="FFE7E6E6"/>
        <color rgb="FFC6E0B4"/>
      </colorScale>
    </cfRule>
  </conditionalFormatting>
  <conditionalFormatting sqref="AS288:AS292 AS285:AS286">
    <cfRule type="colorScale" priority="275">
      <colorScale>
        <cfvo type="min"/>
        <cfvo type="max"/>
        <color rgb="FFFFFFFF"/>
        <color rgb="FFBDD7EE"/>
      </colorScale>
    </cfRule>
    <cfRule type="colorScale" priority="276">
      <colorScale>
        <cfvo type="min"/>
        <cfvo type="max"/>
        <color rgb="FFE7E6E6"/>
        <color rgb="FFBDD7EE"/>
      </colorScale>
    </cfRule>
    <cfRule type="colorScale" priority="277">
      <colorScale>
        <cfvo type="min"/>
        <cfvo type="max"/>
        <color rgb="FFE7E6E6"/>
        <color rgb="FFC6E0B4"/>
      </colorScale>
    </cfRule>
  </conditionalFormatting>
  <conditionalFormatting sqref="AR287">
    <cfRule type="colorScale" priority="44">
      <colorScale>
        <cfvo type="min"/>
        <cfvo type="max"/>
        <color rgb="FFFFFFFF"/>
        <color rgb="FFBDD7EE"/>
      </colorScale>
    </cfRule>
    <cfRule type="colorScale" priority="45">
      <colorScale>
        <cfvo type="min"/>
        <cfvo type="max"/>
        <color rgb="FFE7E6E6"/>
        <color rgb="FFBDD7EE"/>
      </colorScale>
    </cfRule>
    <cfRule type="colorScale" priority="46">
      <colorScale>
        <cfvo type="min"/>
        <cfvo type="max"/>
        <color rgb="FFE7E6E6"/>
        <color rgb="FFC6E0B4"/>
      </colorScale>
    </cfRule>
  </conditionalFormatting>
  <conditionalFormatting sqref="AS287">
    <cfRule type="colorScale" priority="47">
      <colorScale>
        <cfvo type="min"/>
        <cfvo type="max"/>
        <color rgb="FFFFFFFF"/>
        <color rgb="FFBDD7EE"/>
      </colorScale>
    </cfRule>
    <cfRule type="colorScale" priority="48">
      <colorScale>
        <cfvo type="min"/>
        <cfvo type="max"/>
        <color rgb="FFE7E6E6"/>
        <color rgb="FFBDD7EE"/>
      </colorScale>
    </cfRule>
    <cfRule type="colorScale" priority="49">
      <colorScale>
        <cfvo type="min"/>
        <cfvo type="max"/>
        <color rgb="FFE7E6E6"/>
        <color rgb="FFC6E0B4"/>
      </colorScale>
    </cfRule>
  </conditionalFormatting>
  <conditionalFormatting sqref="AR293:AR299 AR239">
    <cfRule type="colorScale" priority="41">
      <colorScale>
        <cfvo type="min"/>
        <cfvo type="max"/>
        <color rgb="FFFFFFFF"/>
        <color rgb="FFBDD7EE"/>
      </colorScale>
    </cfRule>
    <cfRule type="colorScale" priority="42">
      <colorScale>
        <cfvo type="min"/>
        <cfvo type="max"/>
        <color rgb="FFE7E6E6"/>
        <color rgb="FFBDD7EE"/>
      </colorScale>
    </cfRule>
    <cfRule type="colorScale" priority="43">
      <colorScale>
        <cfvo type="min"/>
        <cfvo type="max"/>
        <color rgb="FFE7E6E6"/>
        <color rgb="FFC6E0B4"/>
      </colorScale>
    </cfRule>
  </conditionalFormatting>
  <conditionalFormatting sqref="AS293:AS299 AS239">
    <cfRule type="colorScale" priority="38">
      <colorScale>
        <cfvo type="min"/>
        <cfvo type="max"/>
        <color rgb="FFFFFFFF"/>
        <color rgb="FFBDD7EE"/>
      </colorScale>
    </cfRule>
    <cfRule type="colorScale" priority="39">
      <colorScale>
        <cfvo type="min"/>
        <cfvo type="max"/>
        <color rgb="FFE7E6E6"/>
        <color rgb="FFBDD7EE"/>
      </colorScale>
    </cfRule>
    <cfRule type="colorScale" priority="40">
      <colorScale>
        <cfvo type="min"/>
        <cfvo type="max"/>
        <color rgb="FFE7E6E6"/>
        <color rgb="FFC6E0B4"/>
      </colorScale>
    </cfRule>
  </conditionalFormatting>
  <conditionalFormatting sqref="AR62">
    <cfRule type="colorScale" priority="32">
      <colorScale>
        <cfvo type="min"/>
        <cfvo type="max"/>
        <color rgb="FFFFFFFF"/>
        <color rgb="FFBDD7EE"/>
      </colorScale>
    </cfRule>
    <cfRule type="colorScale" priority="33">
      <colorScale>
        <cfvo type="min"/>
        <cfvo type="max"/>
        <color rgb="FFE7E6E6"/>
        <color rgb="FFBDD7EE"/>
      </colorScale>
    </cfRule>
    <cfRule type="colorScale" priority="34">
      <colorScale>
        <cfvo type="min"/>
        <cfvo type="max"/>
        <color rgb="FFE7E6E6"/>
        <color rgb="FFC6E0B4"/>
      </colorScale>
    </cfRule>
  </conditionalFormatting>
  <conditionalFormatting sqref="AS62">
    <cfRule type="colorScale" priority="35">
      <colorScale>
        <cfvo type="min"/>
        <cfvo type="max"/>
        <color rgb="FFFFFFFF"/>
        <color rgb="FFBDD7EE"/>
      </colorScale>
    </cfRule>
    <cfRule type="colorScale" priority="36">
      <colorScale>
        <cfvo type="min"/>
        <cfvo type="max"/>
        <color rgb="FFE7E6E6"/>
        <color rgb="FFBDD7EE"/>
      </colorScale>
    </cfRule>
    <cfRule type="colorScale" priority="37">
      <colorScale>
        <cfvo type="min"/>
        <cfvo type="max"/>
        <color rgb="FFE7E6E6"/>
        <color rgb="FFC6E0B4"/>
      </colorScale>
    </cfRule>
  </conditionalFormatting>
  <conditionalFormatting sqref="AR140">
    <cfRule type="colorScale" priority="26">
      <colorScale>
        <cfvo type="min"/>
        <cfvo type="max"/>
        <color rgb="FFFFFFFF"/>
        <color rgb="FFBDD7EE"/>
      </colorScale>
    </cfRule>
    <cfRule type="colorScale" priority="27">
      <colorScale>
        <cfvo type="min"/>
        <cfvo type="max"/>
        <color rgb="FFE7E6E6"/>
        <color rgb="FFBDD7EE"/>
      </colorScale>
    </cfRule>
    <cfRule type="colorScale" priority="28">
      <colorScale>
        <cfvo type="min"/>
        <cfvo type="max"/>
        <color rgb="FFE7E6E6"/>
        <color rgb="FFC6E0B4"/>
      </colorScale>
    </cfRule>
  </conditionalFormatting>
  <conditionalFormatting sqref="AS140">
    <cfRule type="colorScale" priority="29">
      <colorScale>
        <cfvo type="min"/>
        <cfvo type="max"/>
        <color rgb="FFFFFFFF"/>
        <color rgb="FFBDD7EE"/>
      </colorScale>
    </cfRule>
    <cfRule type="colorScale" priority="30">
      <colorScale>
        <cfvo type="min"/>
        <cfvo type="max"/>
        <color rgb="FFE7E6E6"/>
        <color rgb="FFBDD7EE"/>
      </colorScale>
    </cfRule>
    <cfRule type="colorScale" priority="31">
      <colorScale>
        <cfvo type="min"/>
        <cfvo type="max"/>
        <color rgb="FFE7E6E6"/>
        <color rgb="FFC6E0B4"/>
      </colorScale>
    </cfRule>
  </conditionalFormatting>
  <conditionalFormatting sqref="AR3">
    <cfRule type="colorScale" priority="20">
      <colorScale>
        <cfvo type="min"/>
        <cfvo type="max"/>
        <color rgb="FFFFFFFF"/>
        <color rgb="FFBDD7EE"/>
      </colorScale>
    </cfRule>
    <cfRule type="colorScale" priority="21">
      <colorScale>
        <cfvo type="min"/>
        <cfvo type="max"/>
        <color rgb="FFE7E6E6"/>
        <color rgb="FFBDD7EE"/>
      </colorScale>
    </cfRule>
    <cfRule type="colorScale" priority="22">
      <colorScale>
        <cfvo type="min"/>
        <cfvo type="max"/>
        <color rgb="FFE7E6E6"/>
        <color rgb="FFC6E0B4"/>
      </colorScale>
    </cfRule>
  </conditionalFormatting>
  <conditionalFormatting sqref="AS3">
    <cfRule type="colorScale" priority="23">
      <colorScale>
        <cfvo type="min"/>
        <cfvo type="max"/>
        <color rgb="FFFFFFFF"/>
        <color rgb="FFBDD7EE"/>
      </colorScale>
    </cfRule>
    <cfRule type="colorScale" priority="24">
      <colorScale>
        <cfvo type="min"/>
        <cfvo type="max"/>
        <color rgb="FFE7E6E6"/>
        <color rgb="FFBDD7EE"/>
      </colorScale>
    </cfRule>
    <cfRule type="colorScale" priority="25">
      <colorScale>
        <cfvo type="min"/>
        <cfvo type="max"/>
        <color rgb="FFE7E6E6"/>
        <color rgb="FFC6E0B4"/>
      </colorScale>
    </cfRule>
  </conditionalFormatting>
  <conditionalFormatting sqref="AR5">
    <cfRule type="colorScale" priority="14">
      <colorScale>
        <cfvo type="min"/>
        <cfvo type="max"/>
        <color rgb="FFFFFFFF"/>
        <color rgb="FFBDD7EE"/>
      </colorScale>
    </cfRule>
    <cfRule type="colorScale" priority="15">
      <colorScale>
        <cfvo type="min"/>
        <cfvo type="max"/>
        <color rgb="FFE7E6E6"/>
        <color rgb="FFBDD7EE"/>
      </colorScale>
    </cfRule>
    <cfRule type="colorScale" priority="16">
      <colorScale>
        <cfvo type="min"/>
        <cfvo type="max"/>
        <color rgb="FFE7E6E6"/>
        <color rgb="FFC6E0B4"/>
      </colorScale>
    </cfRule>
  </conditionalFormatting>
  <conditionalFormatting sqref="AS5">
    <cfRule type="colorScale" priority="17">
      <colorScale>
        <cfvo type="min"/>
        <cfvo type="max"/>
        <color rgb="FFFFFFFF"/>
        <color rgb="FFBDD7EE"/>
      </colorScale>
    </cfRule>
    <cfRule type="colorScale" priority="18">
      <colorScale>
        <cfvo type="min"/>
        <cfvo type="max"/>
        <color rgb="FFE7E6E6"/>
        <color rgb="FFBDD7EE"/>
      </colorScale>
    </cfRule>
    <cfRule type="colorScale" priority="19">
      <colorScale>
        <cfvo type="min"/>
        <cfvo type="max"/>
        <color rgb="FFE7E6E6"/>
        <color rgb="FFC6E0B4"/>
      </colorScale>
    </cfRule>
  </conditionalFormatting>
  <conditionalFormatting sqref="AR86">
    <cfRule type="colorScale" priority="11">
      <colorScale>
        <cfvo type="min"/>
        <cfvo type="max"/>
        <color rgb="FFFFFFFF"/>
        <color rgb="FFBDD7EE"/>
      </colorScale>
    </cfRule>
    <cfRule type="colorScale" priority="12">
      <colorScale>
        <cfvo type="min"/>
        <cfvo type="max"/>
        <color rgb="FFE7E6E6"/>
        <color rgb="FFBDD7EE"/>
      </colorScale>
    </cfRule>
    <cfRule type="colorScale" priority="13">
      <colorScale>
        <cfvo type="min"/>
        <cfvo type="max"/>
        <color rgb="FFE7E6E6"/>
        <color rgb="FFC6E0B4"/>
      </colorScale>
    </cfRule>
  </conditionalFormatting>
  <conditionalFormatting sqref="AS86">
    <cfRule type="colorScale" priority="8">
      <colorScale>
        <cfvo type="min"/>
        <cfvo type="max"/>
        <color rgb="FFFFFFFF"/>
        <color rgb="FFBDD7EE"/>
      </colorScale>
    </cfRule>
    <cfRule type="colorScale" priority="9">
      <colorScale>
        <cfvo type="min"/>
        <cfvo type="max"/>
        <color rgb="FFE7E6E6"/>
        <color rgb="FFBDD7EE"/>
      </colorScale>
    </cfRule>
    <cfRule type="colorScale" priority="10">
      <colorScale>
        <cfvo type="min"/>
        <cfvo type="max"/>
        <color rgb="FFE7E6E6"/>
        <color rgb="FFC6E0B4"/>
      </colorScale>
    </cfRule>
  </conditionalFormatting>
  <conditionalFormatting sqref="AR41">
    <cfRule type="colorScale" priority="5">
      <colorScale>
        <cfvo type="min"/>
        <cfvo type="max"/>
        <color rgb="FFFFFFFF"/>
        <color rgb="FFBDD7EE"/>
      </colorScale>
    </cfRule>
    <cfRule type="colorScale" priority="6">
      <colorScale>
        <cfvo type="min"/>
        <cfvo type="max"/>
        <color rgb="FFE7E6E6"/>
        <color rgb="FFBDD7EE"/>
      </colorScale>
    </cfRule>
    <cfRule type="colorScale" priority="7">
      <colorScale>
        <cfvo type="min"/>
        <cfvo type="max"/>
        <color rgb="FFE7E6E6"/>
        <color rgb="FFC6E0B4"/>
      </colorScale>
    </cfRule>
  </conditionalFormatting>
  <conditionalFormatting sqref="AS41">
    <cfRule type="colorScale" priority="2">
      <colorScale>
        <cfvo type="min"/>
        <cfvo type="max"/>
        <color rgb="FFFFFFFF"/>
        <color rgb="FFBDD7EE"/>
      </colorScale>
    </cfRule>
    <cfRule type="colorScale" priority="3">
      <colorScale>
        <cfvo type="min"/>
        <cfvo type="max"/>
        <color rgb="FFE7E6E6"/>
        <color rgb="FFBDD7EE"/>
      </colorScale>
    </cfRule>
    <cfRule type="colorScale" priority="4">
      <colorScale>
        <cfvo type="min"/>
        <cfvo type="max"/>
        <color rgb="FFE7E6E6"/>
        <color rgb="FFC6E0B4"/>
      </colorScale>
    </cfRule>
  </conditionalFormatting>
  <conditionalFormatting sqref="AR70:AR85 AR87:AR118">
    <cfRule type="colorScale" priority="278">
      <colorScale>
        <cfvo type="min"/>
        <cfvo type="max"/>
        <color rgb="FFFFFFFF"/>
        <color rgb="FFBDD7EE"/>
      </colorScale>
    </cfRule>
    <cfRule type="colorScale" priority="279">
      <colorScale>
        <cfvo type="min"/>
        <cfvo type="max"/>
        <color rgb="FFE7E6E6"/>
        <color rgb="FFBDD7EE"/>
      </colorScale>
    </cfRule>
    <cfRule type="colorScale" priority="280">
      <colorScale>
        <cfvo type="min"/>
        <cfvo type="max"/>
        <color rgb="FFE7E6E6"/>
        <color rgb="FFC6E0B4"/>
      </colorScale>
    </cfRule>
  </conditionalFormatting>
  <conditionalFormatting sqref="AS70:AS85 AS87:AS118">
    <cfRule type="colorScale" priority="281">
      <colorScale>
        <cfvo type="min"/>
        <cfvo type="max"/>
        <color rgb="FFFFFFFF"/>
        <color rgb="FFBDD7EE"/>
      </colorScale>
    </cfRule>
    <cfRule type="colorScale" priority="282">
      <colorScale>
        <cfvo type="min"/>
        <cfvo type="max"/>
        <color rgb="FFE7E6E6"/>
        <color rgb="FFBDD7EE"/>
      </colorScale>
    </cfRule>
    <cfRule type="colorScale" priority="283">
      <colorScale>
        <cfvo type="min"/>
        <cfvo type="max"/>
        <color rgb="FFE7E6E6"/>
        <color rgb="FFC6E0B4"/>
      </colorScale>
    </cfRule>
  </conditionalFormatting>
  <conditionalFormatting sqref="AR152:AR164">
    <cfRule type="colorScale" priority="284">
      <colorScale>
        <cfvo type="min"/>
        <cfvo type="max"/>
        <color rgb="FFFFFFFF"/>
        <color rgb="FFBDD7EE"/>
      </colorScale>
    </cfRule>
    <cfRule type="colorScale" priority="285">
      <colorScale>
        <cfvo type="min"/>
        <cfvo type="max"/>
        <color rgb="FFE7E6E6"/>
        <color rgb="FFBDD7EE"/>
      </colorScale>
    </cfRule>
    <cfRule type="colorScale" priority="286">
      <colorScale>
        <cfvo type="min"/>
        <cfvo type="max"/>
        <color rgb="FFE7E6E6"/>
        <color rgb="FFC6E0B4"/>
      </colorScale>
    </cfRule>
  </conditionalFormatting>
  <conditionalFormatting sqref="AS152:AS164">
    <cfRule type="colorScale" priority="287">
      <colorScale>
        <cfvo type="min"/>
        <cfvo type="max"/>
        <color rgb="FFFFFFFF"/>
        <color rgb="FFBDD7EE"/>
      </colorScale>
    </cfRule>
    <cfRule type="colorScale" priority="288">
      <colorScale>
        <cfvo type="min"/>
        <cfvo type="max"/>
        <color rgb="FFE7E6E6"/>
        <color rgb="FFBDD7EE"/>
      </colorScale>
    </cfRule>
    <cfRule type="colorScale" priority="289">
      <colorScale>
        <cfvo type="min"/>
        <cfvo type="max"/>
        <color rgb="FFE7E6E6"/>
        <color rgb="FFC6E0B4"/>
      </colorScale>
    </cfRule>
  </conditionalFormatting>
  <conditionalFormatting sqref="AR170">
    <cfRule type="colorScale" priority="290">
      <colorScale>
        <cfvo type="min"/>
        <cfvo type="max"/>
        <color rgb="FFFFFFFF"/>
        <color rgb="FFBDD7EE"/>
      </colorScale>
    </cfRule>
    <cfRule type="colorScale" priority="291">
      <colorScale>
        <cfvo type="min"/>
        <cfvo type="max"/>
        <color rgb="FFE7E6E6"/>
        <color rgb="FFBDD7EE"/>
      </colorScale>
    </cfRule>
    <cfRule type="colorScale" priority="292">
      <colorScale>
        <cfvo type="min"/>
        <cfvo type="max"/>
        <color rgb="FFE7E6E6"/>
        <color rgb="FFC6E0B4"/>
      </colorScale>
    </cfRule>
  </conditionalFormatting>
  <conditionalFormatting sqref="AS170">
    <cfRule type="colorScale" priority="293">
      <colorScale>
        <cfvo type="min"/>
        <cfvo type="max"/>
        <color rgb="FFFFFFFF"/>
        <color rgb="FFBDD7EE"/>
      </colorScale>
    </cfRule>
    <cfRule type="colorScale" priority="294">
      <colorScale>
        <cfvo type="min"/>
        <cfvo type="max"/>
        <color rgb="FFE7E6E6"/>
        <color rgb="FFBDD7EE"/>
      </colorScale>
    </cfRule>
    <cfRule type="colorScale" priority="295">
      <colorScale>
        <cfvo type="min"/>
        <cfvo type="max"/>
        <color rgb="FFE7E6E6"/>
        <color rgb="FFC6E0B4"/>
      </colorScale>
    </cfRule>
  </conditionalFormatting>
  <conditionalFormatting sqref="AR246:AR249">
    <cfRule type="colorScale" priority="296">
      <colorScale>
        <cfvo type="min"/>
        <cfvo type="max"/>
        <color rgb="FFFFFFFF"/>
        <color rgb="FFBDD7EE"/>
      </colorScale>
    </cfRule>
    <cfRule type="colorScale" priority="297">
      <colorScale>
        <cfvo type="min"/>
        <cfvo type="max"/>
        <color rgb="FFE7E6E6"/>
        <color rgb="FFBDD7EE"/>
      </colorScale>
    </cfRule>
    <cfRule type="colorScale" priority="298">
      <colorScale>
        <cfvo type="min"/>
        <cfvo type="max"/>
        <color rgb="FFE7E6E6"/>
        <color rgb="FFC6E0B4"/>
      </colorScale>
    </cfRule>
  </conditionalFormatting>
  <conditionalFormatting sqref="AS246:AS249">
    <cfRule type="colorScale" priority="299">
      <colorScale>
        <cfvo type="min"/>
        <cfvo type="max"/>
        <color rgb="FFFFFFFF"/>
        <color rgb="FFBDD7EE"/>
      </colorScale>
    </cfRule>
    <cfRule type="colorScale" priority="300">
      <colorScale>
        <cfvo type="min"/>
        <cfvo type="max"/>
        <color rgb="FFE7E6E6"/>
        <color rgb="FFBDD7EE"/>
      </colorScale>
    </cfRule>
    <cfRule type="colorScale" priority="301">
      <colorScale>
        <cfvo type="min"/>
        <cfvo type="max"/>
        <color rgb="FFE7E6E6"/>
        <color rgb="FFC6E0B4"/>
      </colorScale>
    </cfRule>
  </conditionalFormatting>
  <conditionalFormatting sqref="AR276">
    <cfRule type="colorScale" priority="302">
      <colorScale>
        <cfvo type="min"/>
        <cfvo type="max"/>
        <color rgb="FFFFFFFF"/>
        <color rgb="FFBDD7EE"/>
      </colorScale>
    </cfRule>
    <cfRule type="colorScale" priority="303">
      <colorScale>
        <cfvo type="min"/>
        <cfvo type="max"/>
        <color rgb="FFE7E6E6"/>
        <color rgb="FFBDD7EE"/>
      </colorScale>
    </cfRule>
    <cfRule type="colorScale" priority="304">
      <colorScale>
        <cfvo type="min"/>
        <cfvo type="max"/>
        <color rgb="FFE7E6E6"/>
        <color rgb="FFC6E0B4"/>
      </colorScale>
    </cfRule>
  </conditionalFormatting>
  <conditionalFormatting sqref="AS276">
    <cfRule type="colorScale" priority="305">
      <colorScale>
        <cfvo type="min"/>
        <cfvo type="max"/>
        <color rgb="FFFFFFFF"/>
        <color rgb="FFBDD7EE"/>
      </colorScale>
    </cfRule>
    <cfRule type="colorScale" priority="306">
      <colorScale>
        <cfvo type="min"/>
        <cfvo type="max"/>
        <color rgb="FFE7E6E6"/>
        <color rgb="FFBDD7EE"/>
      </colorScale>
    </cfRule>
    <cfRule type="colorScale" priority="307">
      <colorScale>
        <cfvo type="min"/>
        <cfvo type="max"/>
        <color rgb="FFE7E6E6"/>
        <color rgb="FFC6E0B4"/>
      </colorScale>
    </cfRule>
  </conditionalFormatting>
  <conditionalFormatting sqref="AR250:AR257 AR237:AR238">
    <cfRule type="colorScale" priority="308">
      <colorScale>
        <cfvo type="min"/>
        <cfvo type="max"/>
        <color rgb="FFFFFFFF"/>
        <color rgb="FFBDD7EE"/>
      </colorScale>
    </cfRule>
    <cfRule type="colorScale" priority="309">
      <colorScale>
        <cfvo type="min"/>
        <cfvo type="max"/>
        <color rgb="FFE7E6E6"/>
        <color rgb="FFBDD7EE"/>
      </colorScale>
    </cfRule>
    <cfRule type="colorScale" priority="310">
      <colorScale>
        <cfvo type="min"/>
        <cfvo type="max"/>
        <color rgb="FFE7E6E6"/>
        <color rgb="FFC6E0B4"/>
      </colorScale>
    </cfRule>
  </conditionalFormatting>
  <conditionalFormatting sqref="AS250:AS257 AS237:AS238">
    <cfRule type="colorScale" priority="311">
      <colorScale>
        <cfvo type="min"/>
        <cfvo type="max"/>
        <color rgb="FFFFFFFF"/>
        <color rgb="FFBDD7EE"/>
      </colorScale>
    </cfRule>
    <cfRule type="colorScale" priority="312">
      <colorScale>
        <cfvo type="min"/>
        <cfvo type="max"/>
        <color rgb="FFE7E6E6"/>
        <color rgb="FFBDD7EE"/>
      </colorScale>
    </cfRule>
    <cfRule type="colorScale" priority="313">
      <colorScale>
        <cfvo type="min"/>
        <cfvo type="max"/>
        <color rgb="FFE7E6E6"/>
        <color rgb="FFC6E0B4"/>
      </colorScale>
    </cfRule>
  </conditionalFormatting>
  <conditionalFormatting sqref="AR13:AR15 AR130">
    <cfRule type="colorScale" priority="314">
      <colorScale>
        <cfvo type="min"/>
        <cfvo type="max"/>
        <color rgb="FFFFFFFF"/>
        <color rgb="FFBDD7EE"/>
      </colorScale>
    </cfRule>
    <cfRule type="colorScale" priority="315">
      <colorScale>
        <cfvo type="min"/>
        <cfvo type="max"/>
        <color rgb="FFE7E6E6"/>
        <color rgb="FFBDD7EE"/>
      </colorScale>
    </cfRule>
    <cfRule type="colorScale" priority="316">
      <colorScale>
        <cfvo type="min"/>
        <cfvo type="max"/>
        <color rgb="FFE7E6E6"/>
        <color rgb="FFC6E0B4"/>
      </colorScale>
    </cfRule>
  </conditionalFormatting>
  <conditionalFormatting sqref="AS13:AS15 AS130">
    <cfRule type="colorScale" priority="317">
      <colorScale>
        <cfvo type="min"/>
        <cfvo type="max"/>
        <color rgb="FFFFFFFF"/>
        <color rgb="FFBDD7EE"/>
      </colorScale>
    </cfRule>
    <cfRule type="colorScale" priority="318">
      <colorScale>
        <cfvo type="min"/>
        <cfvo type="max"/>
        <color rgb="FFE7E6E6"/>
        <color rgb="FFBDD7EE"/>
      </colorScale>
    </cfRule>
    <cfRule type="colorScale" priority="319">
      <colorScale>
        <cfvo type="min"/>
        <cfvo type="max"/>
        <color rgb="FFE7E6E6"/>
        <color rgb="FFC6E0B4"/>
      </colorScale>
    </cfRule>
  </conditionalFormatting>
  <conditionalFormatting sqref="AR43:AR44 AR28 AR46 AR23:AR26">
    <cfRule type="colorScale" priority="320">
      <colorScale>
        <cfvo type="min"/>
        <cfvo type="max"/>
        <color rgb="FFFFFFFF"/>
        <color rgb="FFBDD7EE"/>
      </colorScale>
    </cfRule>
    <cfRule type="colorScale" priority="321">
      <colorScale>
        <cfvo type="min"/>
        <cfvo type="max"/>
        <color rgb="FFE7E6E6"/>
        <color rgb="FFBDD7EE"/>
      </colorScale>
    </cfRule>
    <cfRule type="colorScale" priority="322">
      <colorScale>
        <cfvo type="min"/>
        <cfvo type="max"/>
        <color rgb="FFE7E6E6"/>
        <color rgb="FFC6E0B4"/>
      </colorScale>
    </cfRule>
  </conditionalFormatting>
  <conditionalFormatting sqref="AS43:AS44 AS28 AS46 AS23:AS26">
    <cfRule type="colorScale" priority="323">
      <colorScale>
        <cfvo type="min"/>
        <cfvo type="max"/>
        <color rgb="FFFFFFFF"/>
        <color rgb="FFBDD7EE"/>
      </colorScale>
    </cfRule>
    <cfRule type="colorScale" priority="324">
      <colorScale>
        <cfvo type="min"/>
        <cfvo type="max"/>
        <color rgb="FFE7E6E6"/>
        <color rgb="FFBDD7EE"/>
      </colorScale>
    </cfRule>
    <cfRule type="colorScale" priority="325">
      <colorScale>
        <cfvo type="min"/>
        <cfvo type="max"/>
        <color rgb="FFE7E6E6"/>
        <color rgb="FFC6E0B4"/>
      </colorScale>
    </cfRule>
  </conditionalFormatting>
  <conditionalFormatting sqref="AR49:AR61 AR63:AR69 AR30:AR40 AR42">
    <cfRule type="colorScale" priority="326">
      <colorScale>
        <cfvo type="min"/>
        <cfvo type="max"/>
        <color rgb="FFFFFFFF"/>
        <color rgb="FFBDD7EE"/>
      </colorScale>
    </cfRule>
    <cfRule type="colorScale" priority="327">
      <colorScale>
        <cfvo type="min"/>
        <cfvo type="max"/>
        <color rgb="FFE7E6E6"/>
        <color rgb="FFBDD7EE"/>
      </colorScale>
    </cfRule>
    <cfRule type="colorScale" priority="328">
      <colorScale>
        <cfvo type="min"/>
        <cfvo type="max"/>
        <color rgb="FFE7E6E6"/>
        <color rgb="FFC6E0B4"/>
      </colorScale>
    </cfRule>
  </conditionalFormatting>
  <conditionalFormatting sqref="AS49:AS61 AS63:AS69 AS30:AS40 AS42">
    <cfRule type="colorScale" priority="329">
      <colorScale>
        <cfvo type="min"/>
        <cfvo type="max"/>
        <color rgb="FFFFFFFF"/>
        <color rgb="FFBDD7EE"/>
      </colorScale>
    </cfRule>
    <cfRule type="colorScale" priority="330">
      <colorScale>
        <cfvo type="min"/>
        <cfvo type="max"/>
        <color rgb="FFE7E6E6"/>
        <color rgb="FFBDD7EE"/>
      </colorScale>
    </cfRule>
    <cfRule type="colorScale" priority="331">
      <colorScale>
        <cfvo type="min"/>
        <cfvo type="max"/>
        <color rgb="FFE7E6E6"/>
        <color rgb="FFC6E0B4"/>
      </colorScale>
    </cfRule>
  </conditionalFormatting>
  <conditionalFormatting sqref="AR48 AR29">
    <cfRule type="colorScale" priority="332">
      <colorScale>
        <cfvo type="min"/>
        <cfvo type="max"/>
        <color rgb="FFFFFFFF"/>
        <color rgb="FFBDD7EE"/>
      </colorScale>
    </cfRule>
    <cfRule type="colorScale" priority="333">
      <colorScale>
        <cfvo type="min"/>
        <cfvo type="max"/>
        <color rgb="FFE7E6E6"/>
        <color rgb="FFBDD7EE"/>
      </colorScale>
    </cfRule>
    <cfRule type="colorScale" priority="334">
      <colorScale>
        <cfvo type="min"/>
        <cfvo type="max"/>
        <color rgb="FFE7E6E6"/>
        <color rgb="FFC6E0B4"/>
      </colorScale>
    </cfRule>
  </conditionalFormatting>
  <conditionalFormatting sqref="AS48 AS29">
    <cfRule type="colorScale" priority="335">
      <colorScale>
        <cfvo type="min"/>
        <cfvo type="max"/>
        <color rgb="FFFFFFFF"/>
        <color rgb="FFBDD7EE"/>
      </colorScale>
    </cfRule>
    <cfRule type="colorScale" priority="336">
      <colorScale>
        <cfvo type="min"/>
        <cfvo type="max"/>
        <color rgb="FFE7E6E6"/>
        <color rgb="FFBDD7EE"/>
      </colorScale>
    </cfRule>
    <cfRule type="colorScale" priority="337">
      <colorScale>
        <cfvo type="min"/>
        <cfvo type="max"/>
        <color rgb="FFE7E6E6"/>
        <color rgb="FFC6E0B4"/>
      </colorScale>
    </cfRule>
  </conditionalFormatting>
  <conditionalFormatting sqref="AT2:AT299">
    <cfRule type="cellIs" dxfId="3" priority="338" operator="equal">
      <formula>$AC$49</formula>
    </cfRule>
  </conditionalFormatting>
  <conditionalFormatting sqref="AT2:AT299">
    <cfRule type="cellIs" dxfId="2" priority="339" operator="equal">
      <formula>$AC$55</formula>
    </cfRule>
  </conditionalFormatting>
  <conditionalFormatting sqref="AT2:AT299">
    <cfRule type="cellIs" dxfId="1" priority="340" operator="equal">
      <formula>$AC$58</formula>
    </cfRule>
  </conditionalFormatting>
  <conditionalFormatting sqref="AV1:AW1048576">
    <cfRule type="cellIs" dxfId="0" priority="1" operator="greaterThan">
      <formula>0.5</formula>
    </cfRule>
  </conditionalFormatting>
  <conditionalFormatting sqref="AP86:AQ86">
    <cfRule type="colorScale" priority="341">
      <colorScale>
        <cfvo type="min"/>
        <cfvo type="percentile" val="50"/>
        <cfvo type="max"/>
        <color rgb="FFFFFFFF"/>
        <color rgb="FFB4C6E7"/>
        <color rgb="FF305496"/>
      </colorScale>
    </cfRule>
  </conditionalFormatting>
  <conditionalFormatting sqref="AP41:AQ41">
    <cfRule type="colorScale" priority="342">
      <colorScale>
        <cfvo type="min"/>
        <cfvo type="percentile" val="50"/>
        <cfvo type="max"/>
        <color rgb="FFFFFFFF"/>
        <color rgb="FFB4C6E7"/>
        <color rgb="FF305496"/>
      </colorScale>
    </cfRule>
  </conditionalFormatting>
  <conditionalFormatting sqref="AP87:AQ299 AP42:AQ85 AP2:AQ40">
    <cfRule type="colorScale" priority="343">
      <colorScale>
        <cfvo type="min"/>
        <cfvo type="percentile" val="50"/>
        <cfvo type="max"/>
        <color theme="0"/>
        <color theme="4" tint="0.59999389629810485"/>
        <color theme="4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0127-C940-3A48-9A4C-B00E51FA85A0}">
  <dimension ref="A1:BY302"/>
  <sheetViews>
    <sheetView workbookViewId="0">
      <selection activeCell="C61" sqref="C61"/>
    </sheetView>
  </sheetViews>
  <sheetFormatPr baseColWidth="10" defaultRowHeight="16"/>
  <cols>
    <col min="1" max="1" width="10.83203125" style="150"/>
    <col min="2" max="2" width="10.83203125" style="141"/>
    <col min="3" max="3" width="47.6640625" style="86" customWidth="1"/>
    <col min="4" max="4" width="19.1640625" style="133" customWidth="1"/>
    <col min="5" max="6" width="18.83203125" style="46" customWidth="1"/>
    <col min="7" max="8" width="3.5" style="46" customWidth="1"/>
    <col min="9" max="9" width="3.6640625" style="46" customWidth="1"/>
    <col min="10" max="10" width="40.1640625" style="46" customWidth="1"/>
    <col min="11" max="11" width="19.83203125" style="46" customWidth="1"/>
    <col min="12" max="12" width="5.5" style="46" customWidth="1"/>
    <col min="13" max="13" width="11" style="46" customWidth="1"/>
    <col min="14" max="14" width="39.1640625" style="46" customWidth="1"/>
    <col min="15" max="15" width="19.6640625" style="46" customWidth="1"/>
    <col min="16" max="17" width="10.83203125" style="46"/>
    <col min="18" max="18" width="40.6640625" style="46" customWidth="1"/>
    <col min="19" max="19" width="18.5" style="46" customWidth="1"/>
    <col min="20" max="21" width="10.83203125" style="46"/>
    <col min="22" max="22" width="22.5" style="46" customWidth="1"/>
    <col min="23" max="24" width="10.83203125" style="46"/>
    <col min="25" max="25" width="26.33203125" style="46" customWidth="1"/>
    <col min="26" max="26" width="10.83203125" style="46"/>
    <col min="27" max="32" width="10.83203125" style="46" hidden="1" customWidth="1"/>
    <col min="33" max="33" width="15" style="46" hidden="1" customWidth="1"/>
    <col min="34" max="35" width="10.83203125" style="46"/>
    <col min="36" max="36" width="15.1640625" style="46" customWidth="1"/>
    <col min="37" max="44" width="10.83203125" style="46" hidden="1" customWidth="1"/>
    <col min="45" max="45" width="13.33203125" style="46" hidden="1" customWidth="1"/>
    <col min="46" max="46" width="21" style="46" customWidth="1"/>
    <col min="47" max="16384" width="10.83203125" style="46"/>
  </cols>
  <sheetData>
    <row r="1" spans="1:77" ht="35" thickBot="1">
      <c r="A1" s="143" t="s">
        <v>352</v>
      </c>
      <c r="B1" s="136" t="s">
        <v>352</v>
      </c>
      <c r="C1" s="127" t="s">
        <v>430</v>
      </c>
      <c r="D1" s="127" t="s">
        <v>0</v>
      </c>
      <c r="E1" s="47" t="s">
        <v>1</v>
      </c>
      <c r="F1" s="47"/>
      <c r="G1" s="79" t="s">
        <v>3378</v>
      </c>
      <c r="H1" s="79" t="s">
        <v>3379</v>
      </c>
      <c r="J1" s="46" t="s">
        <v>3676</v>
      </c>
      <c r="K1" s="46" t="s">
        <v>3375</v>
      </c>
      <c r="L1" s="46" t="s">
        <v>3376</v>
      </c>
      <c r="N1" s="46" t="s">
        <v>3677</v>
      </c>
      <c r="O1" s="46" t="s">
        <v>3375</v>
      </c>
      <c r="P1" s="46" t="s">
        <v>3376</v>
      </c>
      <c r="R1" s="46" t="s">
        <v>3678</v>
      </c>
      <c r="S1" s="46" t="s">
        <v>3375</v>
      </c>
      <c r="T1" s="46" t="s">
        <v>3376</v>
      </c>
      <c r="V1" s="46" t="s">
        <v>1105</v>
      </c>
      <c r="W1" s="46" t="s">
        <v>1401</v>
      </c>
      <c r="X1" s="46" t="s">
        <v>1402</v>
      </c>
      <c r="Y1" s="46" t="s">
        <v>1403</v>
      </c>
      <c r="Z1" s="46" t="s">
        <v>1404</v>
      </c>
      <c r="AA1" s="46" t="s">
        <v>1405</v>
      </c>
      <c r="AB1" s="46" t="s">
        <v>1406</v>
      </c>
      <c r="AC1" s="46" t="s">
        <v>1407</v>
      </c>
      <c r="AD1" s="46" t="s">
        <v>1408</v>
      </c>
      <c r="AE1" s="46" t="s">
        <v>1409</v>
      </c>
      <c r="AF1" s="46" t="s">
        <v>1410</v>
      </c>
      <c r="AG1" s="46" t="s">
        <v>1411</v>
      </c>
      <c r="AH1" s="46" t="s">
        <v>2392</v>
      </c>
      <c r="AI1" s="46" t="s">
        <v>2393</v>
      </c>
      <c r="AJ1" s="46" t="s">
        <v>2394</v>
      </c>
      <c r="AK1" s="46" t="s">
        <v>2395</v>
      </c>
      <c r="AL1" s="46" t="s">
        <v>2396</v>
      </c>
      <c r="AM1" s="46" t="s">
        <v>2397</v>
      </c>
      <c r="AN1" s="46" t="s">
        <v>2398</v>
      </c>
      <c r="AO1" s="46" t="s">
        <v>2399</v>
      </c>
      <c r="AP1" s="46" t="s">
        <v>2400</v>
      </c>
      <c r="AQ1" s="46" t="s">
        <v>2401</v>
      </c>
      <c r="AR1" s="46" t="s">
        <v>2402</v>
      </c>
      <c r="AT1" s="46" t="s">
        <v>3271</v>
      </c>
      <c r="AU1" s="46" t="s">
        <v>3272</v>
      </c>
      <c r="AV1" s="47" t="s">
        <v>3273</v>
      </c>
      <c r="AW1" s="46" t="s">
        <v>3274</v>
      </c>
      <c r="AX1" s="46" t="s">
        <v>3275</v>
      </c>
      <c r="AY1" s="46" t="s">
        <v>3276</v>
      </c>
      <c r="AZ1" s="46" t="s">
        <v>3277</v>
      </c>
      <c r="BB1" s="46" t="s">
        <v>3278</v>
      </c>
      <c r="BC1" s="46" t="s">
        <v>3279</v>
      </c>
      <c r="BE1" s="46" t="s">
        <v>3280</v>
      </c>
      <c r="BF1" s="46" t="s">
        <v>3281</v>
      </c>
      <c r="BK1" s="46" t="s">
        <v>3280</v>
      </c>
      <c r="BL1" s="46" t="s">
        <v>3281</v>
      </c>
      <c r="BR1" s="46" t="s">
        <v>3282</v>
      </c>
      <c r="BS1" s="46" t="s">
        <v>3283</v>
      </c>
      <c r="BW1" s="46" t="s">
        <v>3284</v>
      </c>
      <c r="BX1" s="46" t="s">
        <v>3278</v>
      </c>
    </row>
    <row r="2" spans="1:77" s="81" customFormat="1">
      <c r="A2" s="144">
        <v>6.01</v>
      </c>
      <c r="B2" s="137">
        <v>6.01</v>
      </c>
      <c r="C2" s="120" t="s">
        <v>504</v>
      </c>
      <c r="D2" s="132" t="s">
        <v>347</v>
      </c>
      <c r="E2" s="82" t="s">
        <v>347</v>
      </c>
      <c r="F2" s="81" t="s">
        <v>347</v>
      </c>
      <c r="G2" s="81" t="s">
        <v>881</v>
      </c>
      <c r="H2" s="81" t="s">
        <v>882</v>
      </c>
      <c r="I2" s="81" t="s">
        <v>3377</v>
      </c>
      <c r="J2" s="81" t="s">
        <v>3315</v>
      </c>
      <c r="K2" s="81" t="s">
        <v>347</v>
      </c>
      <c r="L2" s="81">
        <v>6</v>
      </c>
      <c r="N2" s="81" t="s">
        <v>3395</v>
      </c>
      <c r="O2" s="81" t="s">
        <v>347</v>
      </c>
      <c r="P2" s="81">
        <v>5</v>
      </c>
      <c r="R2" s="81" t="s">
        <v>3617</v>
      </c>
      <c r="S2" s="81" t="s">
        <v>347</v>
      </c>
      <c r="T2" s="81">
        <v>2</v>
      </c>
      <c r="V2" s="81" t="s">
        <v>1325</v>
      </c>
      <c r="W2" s="81" t="s">
        <v>1452</v>
      </c>
      <c r="X2" s="81" t="s">
        <v>1413</v>
      </c>
      <c r="Y2" s="81" t="s">
        <v>2157</v>
      </c>
      <c r="Z2" s="81">
        <v>14</v>
      </c>
      <c r="AA2" s="81">
        <v>94.1</v>
      </c>
      <c r="AB2" s="81">
        <v>16</v>
      </c>
      <c r="AC2" s="81" t="s">
        <v>1454</v>
      </c>
      <c r="AD2" s="81" t="s">
        <v>2158</v>
      </c>
      <c r="AE2" s="81" t="s">
        <v>2159</v>
      </c>
      <c r="AF2" s="81" t="s">
        <v>881</v>
      </c>
      <c r="AG2" s="81" t="s">
        <v>2160</v>
      </c>
      <c r="AH2" s="81" t="s">
        <v>2479</v>
      </c>
      <c r="AI2" s="81" t="s">
        <v>2480</v>
      </c>
      <c r="AJ2" s="81" t="s">
        <v>3052</v>
      </c>
      <c r="AK2" s="81">
        <v>11</v>
      </c>
      <c r="AL2" s="81">
        <v>96</v>
      </c>
      <c r="AM2" s="81">
        <v>11</v>
      </c>
      <c r="AN2" s="81" t="s">
        <v>2406</v>
      </c>
      <c r="AO2" s="81" t="s">
        <v>3053</v>
      </c>
      <c r="AP2" s="81" t="s">
        <v>3054</v>
      </c>
      <c r="AQ2" s="81" t="s">
        <v>882</v>
      </c>
      <c r="AR2" s="81" t="s">
        <v>3055</v>
      </c>
      <c r="AT2" s="83" t="s">
        <v>347</v>
      </c>
      <c r="AU2" s="33">
        <v>0.2883</v>
      </c>
      <c r="AV2" s="33"/>
      <c r="AW2" s="100">
        <v>3.637</v>
      </c>
      <c r="AX2" s="106">
        <v>1.4750000000000001</v>
      </c>
      <c r="AY2" s="100">
        <v>3.5880000000000001</v>
      </c>
      <c r="AZ2" s="87">
        <v>0.253</v>
      </c>
      <c r="BA2" s="34"/>
      <c r="BB2" s="100">
        <v>3.5169999999999999</v>
      </c>
      <c r="BC2" s="105">
        <v>2.327</v>
      </c>
      <c r="BD2" s="34"/>
      <c r="BE2" s="33">
        <v>108159</v>
      </c>
      <c r="BF2" s="33">
        <v>3204</v>
      </c>
      <c r="BG2" s="88">
        <v>1</v>
      </c>
      <c r="BH2" s="88">
        <v>0</v>
      </c>
      <c r="BI2" s="89" t="s">
        <v>3285</v>
      </c>
      <c r="BJ2" s="33"/>
      <c r="BK2" s="33">
        <v>7203</v>
      </c>
      <c r="BL2" s="33">
        <v>3056</v>
      </c>
      <c r="BM2" s="88">
        <v>1</v>
      </c>
      <c r="BN2" s="88">
        <v>0</v>
      </c>
      <c r="BO2" s="89" t="s">
        <v>3285</v>
      </c>
      <c r="BP2" s="89" t="s">
        <v>3285</v>
      </c>
      <c r="BQ2" s="34"/>
      <c r="BR2" s="33">
        <v>-1.5900000000000001E-2</v>
      </c>
      <c r="BS2" s="33">
        <v>-8.2000000000000007E-3</v>
      </c>
      <c r="BT2" s="89" t="s">
        <v>3288</v>
      </c>
      <c r="BU2" s="89" t="s">
        <v>3288</v>
      </c>
      <c r="BV2" s="33"/>
      <c r="BW2" s="100">
        <v>3.532</v>
      </c>
      <c r="BX2" s="100">
        <v>3.5009999999999999</v>
      </c>
      <c r="BY2" s="33"/>
    </row>
    <row r="3" spans="1:77">
      <c r="A3" s="145">
        <v>6.01</v>
      </c>
      <c r="B3" s="138">
        <v>6.01</v>
      </c>
      <c r="C3" s="86" t="s">
        <v>504</v>
      </c>
      <c r="D3" s="133" t="s">
        <v>348</v>
      </c>
      <c r="E3" s="80" t="s">
        <v>348</v>
      </c>
      <c r="F3" s="46" t="s">
        <v>348</v>
      </c>
      <c r="G3" s="46" t="s">
        <v>827</v>
      </c>
      <c r="H3" s="46" t="s">
        <v>828</v>
      </c>
      <c r="I3" s="46" t="s">
        <v>3377</v>
      </c>
      <c r="J3" s="46" t="s">
        <v>3315</v>
      </c>
      <c r="K3" s="46" t="s">
        <v>348</v>
      </c>
      <c r="L3" s="46">
        <v>6</v>
      </c>
      <c r="N3" s="46" t="s">
        <v>3395</v>
      </c>
      <c r="O3" s="46" t="s">
        <v>348</v>
      </c>
      <c r="P3" s="46">
        <v>5</v>
      </c>
      <c r="R3" s="46" t="s">
        <v>3609</v>
      </c>
      <c r="S3" s="46" t="s">
        <v>348</v>
      </c>
      <c r="T3" s="46">
        <v>2</v>
      </c>
      <c r="V3" s="46" t="s">
        <v>1326</v>
      </c>
      <c r="W3" s="46" t="s">
        <v>1452</v>
      </c>
      <c r="X3" s="46" t="s">
        <v>1413</v>
      </c>
      <c r="Y3" s="46" t="s">
        <v>2161</v>
      </c>
      <c r="Z3" s="46">
        <v>14</v>
      </c>
      <c r="AA3" s="46">
        <v>96.6</v>
      </c>
      <c r="AB3" s="46">
        <v>10</v>
      </c>
      <c r="AC3" s="46" t="s">
        <v>1454</v>
      </c>
      <c r="AD3" s="46" t="s">
        <v>2162</v>
      </c>
      <c r="AE3" s="46" t="s">
        <v>609</v>
      </c>
      <c r="AF3" s="46" t="s">
        <v>827</v>
      </c>
      <c r="AG3" s="46" t="s">
        <v>2163</v>
      </c>
      <c r="AH3" s="46" t="s">
        <v>2479</v>
      </c>
      <c r="AI3" s="46" t="s">
        <v>2480</v>
      </c>
      <c r="AJ3" s="46" t="s">
        <v>2481</v>
      </c>
      <c r="AK3" s="46">
        <v>11</v>
      </c>
      <c r="AL3" s="46">
        <v>98.6</v>
      </c>
      <c r="AM3" s="46">
        <v>4</v>
      </c>
      <c r="AN3" s="46" t="s">
        <v>2406</v>
      </c>
      <c r="AO3" s="46" t="s">
        <v>2482</v>
      </c>
      <c r="AP3" s="46" t="s">
        <v>3056</v>
      </c>
      <c r="AQ3" s="46" t="s">
        <v>828</v>
      </c>
      <c r="AR3" s="46" t="s">
        <v>2483</v>
      </c>
      <c r="AT3" s="48" t="s">
        <v>348</v>
      </c>
      <c r="AU3" s="41">
        <v>0.44059999999999999</v>
      </c>
      <c r="AV3" s="41"/>
      <c r="AW3" s="55">
        <v>3.548</v>
      </c>
      <c r="AX3" s="50">
        <v>0.16700000000000001</v>
      </c>
      <c r="AY3" s="55">
        <v>3.5739999999999998</v>
      </c>
      <c r="AZ3" s="50">
        <v>0.214</v>
      </c>
      <c r="BA3" s="43"/>
      <c r="BB3" s="55">
        <v>3.5259999999999998</v>
      </c>
      <c r="BC3" s="55">
        <v>2.427</v>
      </c>
      <c r="BD3" s="43"/>
      <c r="BE3" s="41">
        <v>78459.5</v>
      </c>
      <c r="BF3" s="41">
        <v>2238</v>
      </c>
      <c r="BG3" s="51">
        <v>1</v>
      </c>
      <c r="BH3" s="51">
        <v>0</v>
      </c>
      <c r="BI3" s="52" t="s">
        <v>3285</v>
      </c>
      <c r="BJ3" s="41"/>
      <c r="BK3" s="41">
        <v>6331</v>
      </c>
      <c r="BL3" s="41">
        <v>2901</v>
      </c>
      <c r="BM3" s="51">
        <v>1</v>
      </c>
      <c r="BN3" s="51">
        <v>0</v>
      </c>
      <c r="BO3" s="52" t="s">
        <v>3285</v>
      </c>
      <c r="BP3" s="52" t="s">
        <v>3285</v>
      </c>
      <c r="BQ3" s="43"/>
      <c r="BR3" s="41">
        <v>-3.5000000000000001E-3</v>
      </c>
      <c r="BS3" s="41">
        <v>-4.5999999999999999E-3</v>
      </c>
      <c r="BT3" s="52" t="s">
        <v>3288</v>
      </c>
      <c r="BU3" s="52" t="s">
        <v>3288</v>
      </c>
      <c r="BV3" s="41"/>
      <c r="BW3" s="55">
        <v>3.4929999999999999</v>
      </c>
      <c r="BX3" s="55">
        <v>3.5259999999999998</v>
      </c>
      <c r="BY3" s="41"/>
    </row>
    <row r="4" spans="1:77">
      <c r="A4" s="145">
        <v>6.01</v>
      </c>
      <c r="B4" s="138">
        <v>6.01</v>
      </c>
      <c r="C4" s="86" t="s">
        <v>504</v>
      </c>
      <c r="D4" s="133" t="s">
        <v>350</v>
      </c>
      <c r="E4" s="80" t="s">
        <v>350</v>
      </c>
      <c r="F4" s="46" t="s">
        <v>350</v>
      </c>
      <c r="G4" s="46" t="s">
        <v>1000</v>
      </c>
      <c r="H4" s="46" t="s">
        <v>1001</v>
      </c>
      <c r="I4" s="46" t="s">
        <v>3377</v>
      </c>
      <c r="J4" s="46" t="s">
        <v>3315</v>
      </c>
      <c r="K4" s="46" t="s">
        <v>350</v>
      </c>
      <c r="L4" s="46">
        <v>6</v>
      </c>
      <c r="N4" s="46" t="s">
        <v>3395</v>
      </c>
      <c r="O4" s="46" t="s">
        <v>350</v>
      </c>
      <c r="P4" s="46">
        <v>5</v>
      </c>
      <c r="R4" s="46" t="s">
        <v>3609</v>
      </c>
      <c r="S4" s="46" t="s">
        <v>350</v>
      </c>
      <c r="T4" s="46">
        <v>2</v>
      </c>
      <c r="V4" s="46" t="s">
        <v>1328</v>
      </c>
      <c r="W4" s="46" t="s">
        <v>1452</v>
      </c>
      <c r="X4" s="46" t="s">
        <v>1413</v>
      </c>
      <c r="Y4" s="46" t="s">
        <v>2167</v>
      </c>
      <c r="Z4" s="46">
        <v>14</v>
      </c>
      <c r="AA4" s="46">
        <v>92.2</v>
      </c>
      <c r="AB4" s="46">
        <v>23</v>
      </c>
      <c r="AC4" s="46" t="s">
        <v>1454</v>
      </c>
      <c r="AD4" s="46" t="s">
        <v>2168</v>
      </c>
      <c r="AE4" s="46" t="s">
        <v>1000</v>
      </c>
      <c r="AF4" s="46" t="s">
        <v>1000</v>
      </c>
      <c r="AG4" s="46" t="s">
        <v>2169</v>
      </c>
      <c r="AH4" s="46" t="s">
        <v>2479</v>
      </c>
      <c r="AI4" s="46" t="s">
        <v>2480</v>
      </c>
      <c r="AJ4" s="46" t="s">
        <v>3060</v>
      </c>
      <c r="AK4" s="46">
        <v>11</v>
      </c>
      <c r="AL4" s="46">
        <v>97.3</v>
      </c>
      <c r="AM4" s="46">
        <v>8</v>
      </c>
      <c r="AN4" s="46" t="s">
        <v>2406</v>
      </c>
      <c r="AO4" s="46" t="s">
        <v>3061</v>
      </c>
      <c r="AP4" s="46" t="s">
        <v>1001</v>
      </c>
      <c r="AQ4" s="46" t="s">
        <v>1001</v>
      </c>
      <c r="AR4" s="46" t="s">
        <v>3062</v>
      </c>
      <c r="AT4" s="48" t="s">
        <v>350</v>
      </c>
      <c r="AU4" s="41">
        <v>0.33360000000000001</v>
      </c>
      <c r="AV4" s="41"/>
      <c r="AW4" s="55">
        <v>3.6190000000000002</v>
      </c>
      <c r="AX4" s="50">
        <v>0.16400000000000001</v>
      </c>
      <c r="AY4" s="55">
        <v>3.6240000000000001</v>
      </c>
      <c r="AZ4" s="50">
        <v>0.27600000000000002</v>
      </c>
      <c r="BA4" s="43"/>
      <c r="BB4" s="55">
        <v>3.5630000000000002</v>
      </c>
      <c r="BC4" s="55">
        <v>2.4169999999999998</v>
      </c>
      <c r="BD4" s="43"/>
      <c r="BE4" s="41">
        <v>23008</v>
      </c>
      <c r="BF4" s="41">
        <v>1800</v>
      </c>
      <c r="BG4" s="51">
        <v>1</v>
      </c>
      <c r="BH4" s="51">
        <v>0</v>
      </c>
      <c r="BI4" s="52" t="s">
        <v>3285</v>
      </c>
      <c r="BJ4" s="41"/>
      <c r="BK4" s="41">
        <v>5669.5</v>
      </c>
      <c r="BL4" s="41">
        <v>3873</v>
      </c>
      <c r="BM4" s="51">
        <v>1</v>
      </c>
      <c r="BN4" s="51">
        <v>0</v>
      </c>
      <c r="BO4" s="52" t="s">
        <v>3285</v>
      </c>
      <c r="BP4" s="52" t="s">
        <v>3285</v>
      </c>
      <c r="BQ4" s="43"/>
      <c r="BR4" s="41">
        <v>-8.43E-2</v>
      </c>
      <c r="BS4" s="41">
        <v>-7.0000000000000007E-2</v>
      </c>
      <c r="BT4" s="52" t="s">
        <v>3288</v>
      </c>
      <c r="BU4" s="52" t="s">
        <v>3288</v>
      </c>
      <c r="BV4" s="41"/>
      <c r="BW4" s="55">
        <v>3.5579999999999998</v>
      </c>
      <c r="BX4" s="55">
        <v>3.6030000000000002</v>
      </c>
      <c r="BY4" s="41"/>
    </row>
    <row r="5" spans="1:77">
      <c r="A5" s="145">
        <v>6.01</v>
      </c>
      <c r="B5" s="138">
        <v>6.01</v>
      </c>
      <c r="C5" s="86" t="s">
        <v>504</v>
      </c>
      <c r="D5" s="133" t="s">
        <v>351</v>
      </c>
      <c r="E5" s="80" t="s">
        <v>351</v>
      </c>
      <c r="F5" s="46" t="s">
        <v>351</v>
      </c>
      <c r="G5" s="46" t="s">
        <v>1008</v>
      </c>
      <c r="H5" s="46" t="s">
        <v>1009</v>
      </c>
      <c r="I5" s="46" t="s">
        <v>3377</v>
      </c>
      <c r="J5" s="46" t="s">
        <v>3315</v>
      </c>
      <c r="K5" s="46" t="s">
        <v>351</v>
      </c>
      <c r="L5" s="46">
        <v>6</v>
      </c>
      <c r="N5" s="46" t="s">
        <v>3395</v>
      </c>
      <c r="O5" s="46" t="s">
        <v>351</v>
      </c>
      <c r="P5" s="46">
        <v>5</v>
      </c>
      <c r="R5" s="46" t="s">
        <v>3617</v>
      </c>
      <c r="S5" s="46" t="s">
        <v>351</v>
      </c>
      <c r="T5" s="46">
        <v>2</v>
      </c>
      <c r="V5" s="46" t="s">
        <v>1330</v>
      </c>
      <c r="W5" s="46" t="s">
        <v>1452</v>
      </c>
      <c r="X5" s="46" t="s">
        <v>1413</v>
      </c>
      <c r="Y5" s="46" t="s">
        <v>2173</v>
      </c>
      <c r="Z5" s="46">
        <v>14</v>
      </c>
      <c r="AA5" s="46">
        <v>98.6</v>
      </c>
      <c r="AB5" s="46">
        <v>4</v>
      </c>
      <c r="AC5" s="46" t="s">
        <v>1454</v>
      </c>
      <c r="AD5" s="46" t="s">
        <v>2174</v>
      </c>
      <c r="AE5" s="46" t="s">
        <v>1008</v>
      </c>
      <c r="AF5" s="46" t="s">
        <v>1008</v>
      </c>
      <c r="AG5" s="46" t="s">
        <v>2175</v>
      </c>
      <c r="AH5" s="46" t="s">
        <v>2479</v>
      </c>
      <c r="AI5" s="46" t="s">
        <v>2480</v>
      </c>
      <c r="AJ5" s="46" t="s">
        <v>3065</v>
      </c>
      <c r="AK5" s="46">
        <v>11</v>
      </c>
      <c r="AL5" s="46">
        <v>98.6</v>
      </c>
      <c r="AM5" s="46">
        <v>4</v>
      </c>
      <c r="AN5" s="46" t="s">
        <v>2406</v>
      </c>
      <c r="AO5" s="46" t="s">
        <v>3066</v>
      </c>
      <c r="AP5" s="46" t="s">
        <v>1009</v>
      </c>
      <c r="AQ5" s="46" t="s">
        <v>1009</v>
      </c>
      <c r="AR5" s="46" t="s">
        <v>3067</v>
      </c>
      <c r="AT5" s="48" t="s">
        <v>351</v>
      </c>
      <c r="AU5" s="41">
        <v>0.54830000000000001</v>
      </c>
      <c r="AV5" s="41"/>
      <c r="AW5" s="55">
        <v>3.5529999999999999</v>
      </c>
      <c r="AX5" s="50">
        <v>0.14799999999999999</v>
      </c>
      <c r="AY5" s="55">
        <v>3.62</v>
      </c>
      <c r="AZ5" s="50">
        <v>0.14699999999999999</v>
      </c>
      <c r="BA5" s="43"/>
      <c r="BB5" s="55">
        <v>3.569</v>
      </c>
      <c r="BC5" s="49">
        <v>2.3220000000000001</v>
      </c>
      <c r="BD5" s="43"/>
      <c r="BE5" s="41">
        <v>14361</v>
      </c>
      <c r="BF5" s="41">
        <v>1753</v>
      </c>
      <c r="BG5" s="51">
        <v>1</v>
      </c>
      <c r="BH5" s="51">
        <v>0</v>
      </c>
      <c r="BI5" s="52" t="s">
        <v>3285</v>
      </c>
      <c r="BJ5" s="41"/>
      <c r="BK5" s="41">
        <v>2752</v>
      </c>
      <c r="BL5" s="41">
        <v>2418</v>
      </c>
      <c r="BM5" s="51">
        <v>0</v>
      </c>
      <c r="BN5" s="51">
        <v>0</v>
      </c>
      <c r="BO5" s="52" t="s">
        <v>3289</v>
      </c>
      <c r="BP5" s="52" t="s">
        <v>3287</v>
      </c>
      <c r="BQ5" s="43"/>
      <c r="BR5" s="41">
        <v>-7.8899999999999998E-2</v>
      </c>
      <c r="BS5" s="41">
        <v>-7.85E-2</v>
      </c>
      <c r="BT5" s="52" t="s">
        <v>3288</v>
      </c>
      <c r="BU5" s="52" t="s">
        <v>3288</v>
      </c>
      <c r="BV5" s="41"/>
      <c r="BW5" s="49">
        <v>3.1379999999999999</v>
      </c>
      <c r="BX5" s="49">
        <v>3.2839999999999998</v>
      </c>
      <c r="BY5" s="41"/>
    </row>
    <row r="6" spans="1:77">
      <c r="A6" s="145">
        <v>6.01</v>
      </c>
      <c r="B6" s="138">
        <v>6.01</v>
      </c>
      <c r="C6" s="86" t="s">
        <v>504</v>
      </c>
      <c r="D6" s="133" t="s">
        <v>346</v>
      </c>
      <c r="E6" s="80" t="s">
        <v>346</v>
      </c>
      <c r="F6" s="46" t="s">
        <v>346</v>
      </c>
      <c r="G6" s="46" t="s">
        <v>915</v>
      </c>
      <c r="H6" s="46" t="s">
        <v>916</v>
      </c>
      <c r="I6" s="46" t="s">
        <v>3377</v>
      </c>
      <c r="J6" s="46" t="s">
        <v>3315</v>
      </c>
      <c r="K6" s="46" t="s">
        <v>346</v>
      </c>
      <c r="L6" s="46">
        <v>6</v>
      </c>
      <c r="N6" s="46" t="s">
        <v>3395</v>
      </c>
      <c r="O6" s="46" t="s">
        <v>346</v>
      </c>
      <c r="P6" s="46">
        <v>5</v>
      </c>
      <c r="R6" s="46" t="s">
        <v>3519</v>
      </c>
      <c r="S6" s="46" t="s">
        <v>346</v>
      </c>
      <c r="T6" s="46">
        <v>1</v>
      </c>
      <c r="V6" s="46" t="s">
        <v>1324</v>
      </c>
      <c r="W6" s="46" t="s">
        <v>1452</v>
      </c>
      <c r="X6" s="46" t="s">
        <v>1413</v>
      </c>
      <c r="Y6" s="46" t="s">
        <v>2153</v>
      </c>
      <c r="Z6" s="46">
        <v>14</v>
      </c>
      <c r="AA6" s="46">
        <v>97.8</v>
      </c>
      <c r="AB6" s="46">
        <v>6</v>
      </c>
      <c r="AC6" s="46" t="s">
        <v>1454</v>
      </c>
      <c r="AD6" s="46" t="s">
        <v>2154</v>
      </c>
      <c r="AE6" s="46" t="s">
        <v>2155</v>
      </c>
      <c r="AF6" s="46" t="s">
        <v>915</v>
      </c>
      <c r="AG6" s="46" t="s">
        <v>2156</v>
      </c>
      <c r="AH6" s="46" t="s">
        <v>2479</v>
      </c>
      <c r="AI6" s="46" t="s">
        <v>2480</v>
      </c>
      <c r="AJ6" s="46" t="s">
        <v>3048</v>
      </c>
      <c r="AK6" s="46">
        <v>11</v>
      </c>
      <c r="AL6" s="46">
        <v>98.9</v>
      </c>
      <c r="AM6" s="46">
        <v>3</v>
      </c>
      <c r="AN6" s="46" t="s">
        <v>2406</v>
      </c>
      <c r="AO6" s="46" t="s">
        <v>3049</v>
      </c>
      <c r="AP6" s="46" t="s">
        <v>3050</v>
      </c>
      <c r="AQ6" s="46" t="s">
        <v>916</v>
      </c>
      <c r="AR6" s="46" t="s">
        <v>3051</v>
      </c>
      <c r="AT6" s="48" t="s">
        <v>346</v>
      </c>
      <c r="AU6" s="41">
        <v>0.25519999999999998</v>
      </c>
      <c r="AV6" s="41"/>
      <c r="AW6" s="55">
        <v>3.6320000000000001</v>
      </c>
      <c r="AX6" s="50">
        <v>0.13100000000000001</v>
      </c>
      <c r="AY6" s="55">
        <v>3.5710000000000002</v>
      </c>
      <c r="AZ6" s="50">
        <v>0.16500000000000001</v>
      </c>
      <c r="BA6" s="43"/>
      <c r="BB6" s="55">
        <v>3.5089999999999999</v>
      </c>
      <c r="BC6" s="55">
        <v>2.5129999999999999</v>
      </c>
      <c r="BD6" s="43"/>
      <c r="BE6" s="41">
        <v>113860</v>
      </c>
      <c r="BF6" s="41">
        <v>2786</v>
      </c>
      <c r="BG6" s="51">
        <v>1</v>
      </c>
      <c r="BH6" s="51">
        <v>0</v>
      </c>
      <c r="BI6" s="52" t="s">
        <v>3285</v>
      </c>
      <c r="BJ6" s="41"/>
      <c r="BK6" s="41">
        <v>6972</v>
      </c>
      <c r="BL6" s="41">
        <v>2709</v>
      </c>
      <c r="BM6" s="51">
        <v>1</v>
      </c>
      <c r="BN6" s="51">
        <v>0</v>
      </c>
      <c r="BO6" s="52" t="s">
        <v>3285</v>
      </c>
      <c r="BP6" s="52" t="s">
        <v>3285</v>
      </c>
      <c r="BQ6" s="43"/>
      <c r="BR6" s="41">
        <v>-1.7600000000000001E-2</v>
      </c>
      <c r="BS6" s="41">
        <v>-1.83E-2</v>
      </c>
      <c r="BT6" s="52" t="s">
        <v>3288</v>
      </c>
      <c r="BU6" s="52" t="s">
        <v>3288</v>
      </c>
      <c r="BV6" s="41"/>
      <c r="BW6" s="55">
        <v>3.5030000000000001</v>
      </c>
      <c r="BX6" s="55">
        <v>3.56</v>
      </c>
      <c r="BY6" s="41"/>
    </row>
    <row r="7" spans="1:77" s="40" customFormat="1" ht="17" thickBot="1">
      <c r="A7" s="146">
        <v>6.01</v>
      </c>
      <c r="B7" s="139">
        <v>6.01</v>
      </c>
      <c r="C7" s="121" t="s">
        <v>504</v>
      </c>
      <c r="D7" s="134" t="s">
        <v>349</v>
      </c>
      <c r="E7" s="84" t="s">
        <v>349</v>
      </c>
      <c r="F7" s="40" t="s">
        <v>349</v>
      </c>
      <c r="G7" s="40" t="s">
        <v>975</v>
      </c>
      <c r="H7" s="40" t="s">
        <v>976</v>
      </c>
      <c r="I7" s="40" t="s">
        <v>3377</v>
      </c>
      <c r="J7" s="40" t="s">
        <v>3315</v>
      </c>
      <c r="K7" s="40" t="s">
        <v>349</v>
      </c>
      <c r="L7" s="40">
        <v>6</v>
      </c>
      <c r="N7" s="40" t="s">
        <v>3483</v>
      </c>
      <c r="O7" s="40" t="s">
        <v>349</v>
      </c>
      <c r="P7" s="40">
        <v>1</v>
      </c>
      <c r="R7" s="40" t="s">
        <v>3629</v>
      </c>
      <c r="S7" s="40" t="s">
        <v>349</v>
      </c>
      <c r="T7" s="40">
        <v>1</v>
      </c>
      <c r="V7" s="40" t="s">
        <v>1327</v>
      </c>
      <c r="W7" s="40" t="s">
        <v>1452</v>
      </c>
      <c r="X7" s="40" t="s">
        <v>1413</v>
      </c>
      <c r="Y7" s="40" t="s">
        <v>2164</v>
      </c>
      <c r="Z7" s="40">
        <v>14</v>
      </c>
      <c r="AA7" s="40">
        <v>96.6</v>
      </c>
      <c r="AB7" s="40">
        <v>10</v>
      </c>
      <c r="AC7" s="40" t="s">
        <v>1454</v>
      </c>
      <c r="AD7" s="40" t="s">
        <v>2165</v>
      </c>
      <c r="AE7" s="40" t="s">
        <v>975</v>
      </c>
      <c r="AF7" s="40" t="s">
        <v>975</v>
      </c>
      <c r="AG7" s="40" t="s">
        <v>2166</v>
      </c>
      <c r="AH7" s="40" t="s">
        <v>2479</v>
      </c>
      <c r="AI7" s="40" t="s">
        <v>2480</v>
      </c>
      <c r="AJ7" s="40" t="s">
        <v>3057</v>
      </c>
      <c r="AK7" s="40">
        <v>11</v>
      </c>
      <c r="AL7" s="40">
        <v>96.9</v>
      </c>
      <c r="AM7" s="40">
        <v>9</v>
      </c>
      <c r="AN7" s="40" t="s">
        <v>2406</v>
      </c>
      <c r="AO7" s="40" t="s">
        <v>3058</v>
      </c>
      <c r="AP7" s="40" t="s">
        <v>976</v>
      </c>
      <c r="AQ7" s="40" t="s">
        <v>976</v>
      </c>
      <c r="AR7" s="40" t="s">
        <v>3059</v>
      </c>
      <c r="AT7" s="85" t="s">
        <v>349</v>
      </c>
      <c r="AU7" s="35">
        <v>0.35449999999999998</v>
      </c>
      <c r="AV7" s="35"/>
      <c r="AW7" s="102">
        <v>3.6280000000000001</v>
      </c>
      <c r="AX7" s="102">
        <v>3.4969999999999999</v>
      </c>
      <c r="AY7" s="102">
        <v>3.677</v>
      </c>
      <c r="AZ7" s="90">
        <v>0.22800000000000001</v>
      </c>
      <c r="BA7" s="37"/>
      <c r="BB7" s="102">
        <v>3.6059999999999999</v>
      </c>
      <c r="BC7" s="110">
        <v>2.339</v>
      </c>
      <c r="BD7" s="37"/>
      <c r="BE7" s="35">
        <v>54197.5</v>
      </c>
      <c r="BF7" s="35">
        <v>2283.5</v>
      </c>
      <c r="BG7" s="93">
        <v>1</v>
      </c>
      <c r="BH7" s="93">
        <v>0</v>
      </c>
      <c r="BI7" s="94" t="s">
        <v>3285</v>
      </c>
      <c r="BJ7" s="35"/>
      <c r="BK7" s="35">
        <v>5671</v>
      </c>
      <c r="BL7" s="35">
        <v>2034</v>
      </c>
      <c r="BM7" s="93">
        <v>1</v>
      </c>
      <c r="BN7" s="93">
        <v>0</v>
      </c>
      <c r="BO7" s="94" t="s">
        <v>3285</v>
      </c>
      <c r="BP7" s="94" t="s">
        <v>3285</v>
      </c>
      <c r="BQ7" s="37"/>
      <c r="BR7" s="35">
        <v>-0.1246</v>
      </c>
      <c r="BS7" s="35">
        <v>-7.3099999999999998E-2</v>
      </c>
      <c r="BT7" s="94" t="s">
        <v>3288</v>
      </c>
      <c r="BU7" s="94" t="s">
        <v>3288</v>
      </c>
      <c r="BV7" s="35"/>
      <c r="BW7" s="102">
        <v>3.5859999999999999</v>
      </c>
      <c r="BX7" s="102">
        <v>3.5779999999999998</v>
      </c>
      <c r="BY7" s="35"/>
    </row>
    <row r="8" spans="1:77" ht="17" thickBot="1">
      <c r="A8" s="143"/>
      <c r="B8" s="136"/>
      <c r="C8" s="127"/>
      <c r="D8" s="127"/>
      <c r="E8" s="47"/>
      <c r="F8" s="47"/>
      <c r="G8" s="79"/>
      <c r="H8" s="79"/>
      <c r="AV8" s="47"/>
    </row>
    <row r="9" spans="1:77" s="81" customFormat="1">
      <c r="A9" s="147">
        <v>4.01</v>
      </c>
      <c r="B9" s="140">
        <v>4.0999999999999996</v>
      </c>
      <c r="C9" s="120" t="s">
        <v>503</v>
      </c>
      <c r="D9" s="132" t="s">
        <v>339</v>
      </c>
      <c r="E9" s="82" t="s">
        <v>339</v>
      </c>
      <c r="F9" s="81" t="s">
        <v>339</v>
      </c>
      <c r="G9" s="81" t="s">
        <v>893</v>
      </c>
      <c r="H9" s="81" t="s">
        <v>894</v>
      </c>
      <c r="I9" s="81" t="s">
        <v>3377</v>
      </c>
      <c r="J9" s="81" t="s">
        <v>3304</v>
      </c>
      <c r="K9" s="81" t="s">
        <v>339</v>
      </c>
      <c r="L9" s="81">
        <v>6</v>
      </c>
      <c r="N9" s="81" t="s">
        <v>3384</v>
      </c>
      <c r="O9" s="81" t="s">
        <v>339</v>
      </c>
      <c r="P9" s="81">
        <v>2</v>
      </c>
      <c r="R9" s="81" t="s">
        <v>3508</v>
      </c>
      <c r="S9" s="81" t="s">
        <v>339</v>
      </c>
      <c r="T9" s="81">
        <v>2</v>
      </c>
      <c r="V9" s="81" t="s">
        <v>1317</v>
      </c>
      <c r="W9" s="81" t="s">
        <v>1729</v>
      </c>
      <c r="X9" s="81" t="s">
        <v>1413</v>
      </c>
      <c r="Y9" s="81" t="s">
        <v>2128</v>
      </c>
      <c r="Z9" s="81">
        <v>14</v>
      </c>
      <c r="AA9" s="81">
        <v>98.2</v>
      </c>
      <c r="AB9" s="81">
        <v>5</v>
      </c>
      <c r="AC9" s="81" t="s">
        <v>1567</v>
      </c>
      <c r="AD9" s="81" t="s">
        <v>2129</v>
      </c>
      <c r="AE9" s="81" t="s">
        <v>2130</v>
      </c>
      <c r="AF9" s="81" t="s">
        <v>893</v>
      </c>
      <c r="AG9" s="81" t="s">
        <v>2131</v>
      </c>
      <c r="AH9" s="81" t="s">
        <v>2603</v>
      </c>
      <c r="AI9" s="81" t="s">
        <v>2452</v>
      </c>
      <c r="AJ9" s="81" t="s">
        <v>3027</v>
      </c>
      <c r="AK9" s="81">
        <v>9</v>
      </c>
      <c r="AL9" s="81">
        <v>99.2</v>
      </c>
      <c r="AM9" s="81">
        <v>2</v>
      </c>
      <c r="AN9" s="81" t="s">
        <v>2406</v>
      </c>
      <c r="AO9" s="81" t="s">
        <v>3028</v>
      </c>
      <c r="AP9" s="81" t="s">
        <v>3029</v>
      </c>
      <c r="AQ9" s="81" t="s">
        <v>894</v>
      </c>
      <c r="AR9" s="81" t="s">
        <v>3030</v>
      </c>
      <c r="AT9" s="83" t="s">
        <v>339</v>
      </c>
      <c r="AU9" s="33">
        <v>0.23480000000000001</v>
      </c>
      <c r="AV9" s="33"/>
      <c r="AW9" s="100">
        <v>3.577</v>
      </c>
      <c r="AX9" s="100">
        <v>3.5470000000000002</v>
      </c>
      <c r="AY9" s="100">
        <v>3.6059999999999999</v>
      </c>
      <c r="AZ9" s="87">
        <v>0.30399999999999999</v>
      </c>
      <c r="BA9" s="34"/>
      <c r="BB9" s="87">
        <v>9.5000000000000001E-2</v>
      </c>
      <c r="BC9" s="87">
        <v>8.6999999999999994E-2</v>
      </c>
      <c r="BD9" s="34"/>
      <c r="BE9" s="33">
        <v>71944</v>
      </c>
      <c r="BF9" s="33">
        <v>1806</v>
      </c>
      <c r="BG9" s="88">
        <v>1</v>
      </c>
      <c r="BH9" s="88">
        <v>0</v>
      </c>
      <c r="BI9" s="89" t="s">
        <v>3285</v>
      </c>
      <c r="BJ9" s="33"/>
      <c r="BK9" s="33">
        <v>2613</v>
      </c>
      <c r="BL9" s="33">
        <v>2725</v>
      </c>
      <c r="BM9" s="88">
        <v>0</v>
      </c>
      <c r="BN9" s="88">
        <v>0</v>
      </c>
      <c r="BO9" s="89" t="s">
        <v>3289</v>
      </c>
      <c r="BP9" s="89" t="s">
        <v>3287</v>
      </c>
      <c r="BQ9" s="34"/>
      <c r="BR9" s="33">
        <v>1.0631999999999999</v>
      </c>
      <c r="BS9" s="33">
        <v>2.12E-2</v>
      </c>
      <c r="BT9" s="89" t="s">
        <v>3290</v>
      </c>
      <c r="BU9" s="89" t="s">
        <v>3288</v>
      </c>
      <c r="BV9" s="33"/>
      <c r="BW9" s="100">
        <v>3.4729999999999999</v>
      </c>
      <c r="BX9" s="106">
        <v>1.44</v>
      </c>
      <c r="BY9" s="33"/>
    </row>
    <row r="10" spans="1:77">
      <c r="A10" s="148">
        <v>4.01</v>
      </c>
      <c r="B10" s="141">
        <v>4.0999999999999996</v>
      </c>
      <c r="C10" s="86" t="s">
        <v>503</v>
      </c>
      <c r="D10" s="133" t="s">
        <v>340</v>
      </c>
      <c r="E10" s="80" t="s">
        <v>340</v>
      </c>
      <c r="F10" s="46" t="s">
        <v>340</v>
      </c>
      <c r="G10" s="46" t="s">
        <v>917</v>
      </c>
      <c r="H10" s="46" t="s">
        <v>918</v>
      </c>
      <c r="I10" s="46" t="s">
        <v>3377</v>
      </c>
      <c r="J10" s="46" t="s">
        <v>3304</v>
      </c>
      <c r="K10" s="46" t="s">
        <v>340</v>
      </c>
      <c r="L10" s="46">
        <v>6</v>
      </c>
      <c r="N10" s="46" t="s">
        <v>3384</v>
      </c>
      <c r="O10" s="46" t="s">
        <v>340</v>
      </c>
      <c r="P10" s="46">
        <v>2</v>
      </c>
      <c r="R10" s="46" t="s">
        <v>3508</v>
      </c>
      <c r="S10" s="46" t="s">
        <v>340</v>
      </c>
      <c r="T10" s="46">
        <v>2</v>
      </c>
      <c r="V10" s="46" t="s">
        <v>1319</v>
      </c>
      <c r="W10" s="46" t="s">
        <v>1729</v>
      </c>
      <c r="X10" s="46" t="s">
        <v>1413</v>
      </c>
      <c r="Y10" s="46" t="s">
        <v>2135</v>
      </c>
      <c r="Z10" s="46">
        <v>14</v>
      </c>
      <c r="AA10" s="46">
        <v>99.6</v>
      </c>
      <c r="AB10" s="46">
        <v>1</v>
      </c>
      <c r="AC10" s="46" t="s">
        <v>1563</v>
      </c>
      <c r="AD10" s="46" t="s">
        <v>2136</v>
      </c>
      <c r="AE10" s="46" t="s">
        <v>2137</v>
      </c>
      <c r="AF10" s="46" t="s">
        <v>917</v>
      </c>
      <c r="AG10" s="46" t="s">
        <v>2138</v>
      </c>
      <c r="AH10" s="46" t="s">
        <v>2603</v>
      </c>
      <c r="AI10" s="46" t="s">
        <v>2452</v>
      </c>
      <c r="AJ10" s="46" t="s">
        <v>3034</v>
      </c>
      <c r="AK10" s="46">
        <v>9</v>
      </c>
      <c r="AL10" s="46">
        <v>100</v>
      </c>
      <c r="AM10" s="46">
        <v>0</v>
      </c>
      <c r="AN10" s="46" t="s">
        <v>2406</v>
      </c>
      <c r="AO10" s="46" t="s">
        <v>3035</v>
      </c>
      <c r="AP10" s="46" t="s">
        <v>3036</v>
      </c>
      <c r="AQ10" s="46" t="s">
        <v>918</v>
      </c>
      <c r="AR10" s="46" t="s">
        <v>3037</v>
      </c>
      <c r="AT10" s="48" t="s">
        <v>340</v>
      </c>
      <c r="AU10" s="41">
        <v>0.40239999999999998</v>
      </c>
      <c r="AV10" s="41"/>
      <c r="AW10" s="60">
        <v>2.5960000000000001</v>
      </c>
      <c r="AX10" s="56">
        <v>2.6629999999999998</v>
      </c>
      <c r="AY10" s="55">
        <v>3.5289999999999999</v>
      </c>
      <c r="AZ10" s="50">
        <v>0.14299999999999999</v>
      </c>
      <c r="BA10" s="43"/>
      <c r="BB10" s="50">
        <v>9.6000000000000002E-2</v>
      </c>
      <c r="BC10" s="50">
        <v>0.09</v>
      </c>
      <c r="BD10" s="43"/>
      <c r="BE10" s="41">
        <v>65649</v>
      </c>
      <c r="BF10" s="41">
        <v>2161</v>
      </c>
      <c r="BG10" s="51">
        <v>1</v>
      </c>
      <c r="BH10" s="51">
        <v>0</v>
      </c>
      <c r="BI10" s="52" t="s">
        <v>3285</v>
      </c>
      <c r="BJ10" s="41"/>
      <c r="BK10" s="41">
        <v>3078</v>
      </c>
      <c r="BL10" s="41">
        <v>2554</v>
      </c>
      <c r="BM10" s="51">
        <v>0</v>
      </c>
      <c r="BN10" s="51">
        <v>0</v>
      </c>
      <c r="BO10" s="52" t="s">
        <v>3285</v>
      </c>
      <c r="BP10" s="52" t="s">
        <v>3285</v>
      </c>
      <c r="BQ10" s="43"/>
      <c r="BR10" s="41">
        <v>-1.9699999999999999E-2</v>
      </c>
      <c r="BS10" s="41">
        <v>-1.9800000000000002E-2</v>
      </c>
      <c r="BT10" s="52" t="s">
        <v>3288</v>
      </c>
      <c r="BU10" s="52" t="s">
        <v>3288</v>
      </c>
      <c r="BV10" s="41"/>
      <c r="BW10" s="66">
        <v>1.7070000000000001</v>
      </c>
      <c r="BX10" s="54">
        <v>0.53200000000000003</v>
      </c>
      <c r="BY10" s="41"/>
    </row>
    <row r="11" spans="1:77">
      <c r="A11" s="148">
        <v>4.01</v>
      </c>
      <c r="B11" s="141">
        <v>4.0999999999999996</v>
      </c>
      <c r="C11" s="86" t="s">
        <v>503</v>
      </c>
      <c r="D11" s="133" t="s">
        <v>341</v>
      </c>
      <c r="E11" s="80" t="s">
        <v>341</v>
      </c>
      <c r="F11" s="46" t="s">
        <v>341</v>
      </c>
      <c r="G11" s="46" t="s">
        <v>507</v>
      </c>
      <c r="H11" s="46" t="s">
        <v>508</v>
      </c>
      <c r="I11" s="46" t="s">
        <v>3377</v>
      </c>
      <c r="J11" s="46" t="s">
        <v>3304</v>
      </c>
      <c r="K11" s="46" t="s">
        <v>341</v>
      </c>
      <c r="L11" s="46">
        <v>6</v>
      </c>
      <c r="N11" s="46" t="s">
        <v>3402</v>
      </c>
      <c r="O11" s="46" t="s">
        <v>341</v>
      </c>
      <c r="P11" s="46">
        <v>2</v>
      </c>
      <c r="R11" s="46" t="s">
        <v>3526</v>
      </c>
      <c r="S11" s="46" t="s">
        <v>341</v>
      </c>
      <c r="T11" s="46">
        <v>2</v>
      </c>
      <c r="V11" s="46" t="s">
        <v>1320</v>
      </c>
      <c r="W11" s="46" t="s">
        <v>1729</v>
      </c>
      <c r="X11" s="46" t="s">
        <v>1413</v>
      </c>
      <c r="Y11" s="46" t="s">
        <v>2139</v>
      </c>
      <c r="Z11" s="46">
        <v>14</v>
      </c>
      <c r="AA11" s="46">
        <v>93.6</v>
      </c>
      <c r="AB11" s="46">
        <v>19</v>
      </c>
      <c r="AC11" s="46" t="s">
        <v>1567</v>
      </c>
      <c r="AD11" s="46" t="s">
        <v>2140</v>
      </c>
      <c r="AE11" s="46" t="s">
        <v>507</v>
      </c>
      <c r="AF11" s="46" t="s">
        <v>507</v>
      </c>
      <c r="AG11" s="46" t="s">
        <v>2141</v>
      </c>
      <c r="AH11" s="46" t="s">
        <v>2603</v>
      </c>
      <c r="AI11" s="46" t="s">
        <v>2452</v>
      </c>
      <c r="AJ11" s="46" t="s">
        <v>3038</v>
      </c>
      <c r="AK11" s="46">
        <v>9</v>
      </c>
      <c r="AL11" s="46">
        <v>97.6</v>
      </c>
      <c r="AM11" s="46">
        <v>7</v>
      </c>
      <c r="AN11" s="46" t="s">
        <v>2406</v>
      </c>
      <c r="AO11" s="46" t="s">
        <v>3039</v>
      </c>
      <c r="AP11" s="46" t="s">
        <v>508</v>
      </c>
      <c r="AQ11" s="46" t="s">
        <v>508</v>
      </c>
      <c r="AR11" s="46" t="s">
        <v>3040</v>
      </c>
      <c r="AT11" s="48" t="s">
        <v>341</v>
      </c>
      <c r="AU11" s="41">
        <v>0.3906</v>
      </c>
      <c r="AV11" s="41"/>
      <c r="AW11" s="55">
        <v>3.6150000000000002</v>
      </c>
      <c r="AX11" s="55">
        <v>3.6139999999999999</v>
      </c>
      <c r="AY11" s="55">
        <v>3.59</v>
      </c>
      <c r="AZ11" s="57">
        <v>0.66</v>
      </c>
      <c r="BA11" s="43"/>
      <c r="BB11" s="50">
        <v>0.11</v>
      </c>
      <c r="BC11" s="50">
        <v>8.8999999999999996E-2</v>
      </c>
      <c r="BD11" s="43"/>
      <c r="BE11" s="41">
        <v>15723</v>
      </c>
      <c r="BF11" s="41">
        <v>1694</v>
      </c>
      <c r="BG11" s="51">
        <v>1</v>
      </c>
      <c r="BH11" s="51">
        <v>0</v>
      </c>
      <c r="BI11" s="52" t="s">
        <v>3285</v>
      </c>
      <c r="BJ11" s="41"/>
      <c r="BK11" s="41">
        <v>2176</v>
      </c>
      <c r="BL11" s="41">
        <v>3308</v>
      </c>
      <c r="BM11" s="51">
        <v>0</v>
      </c>
      <c r="BN11" s="51">
        <v>0</v>
      </c>
      <c r="BO11" s="52" t="s">
        <v>3286</v>
      </c>
      <c r="BP11" s="52" t="s">
        <v>3287</v>
      </c>
      <c r="BQ11" s="43"/>
      <c r="BR11" s="41">
        <v>-6.2600000000000003E-2</v>
      </c>
      <c r="BS11" s="41">
        <v>0.1108</v>
      </c>
      <c r="BT11" s="52" t="s">
        <v>3288</v>
      </c>
      <c r="BU11" s="52" t="s">
        <v>3288</v>
      </c>
      <c r="BV11" s="41"/>
      <c r="BW11" s="55">
        <v>3.4039999999999999</v>
      </c>
      <c r="BX11" s="67">
        <v>1.347</v>
      </c>
      <c r="BY11" s="41"/>
    </row>
    <row r="12" spans="1:77">
      <c r="A12" s="148">
        <v>4.01</v>
      </c>
      <c r="B12" s="141">
        <v>4.0999999999999996</v>
      </c>
      <c r="C12" s="86" t="s">
        <v>503</v>
      </c>
      <c r="D12" s="133" t="s">
        <v>342</v>
      </c>
      <c r="E12" s="80" t="s">
        <v>342</v>
      </c>
      <c r="F12" s="46" t="s">
        <v>342</v>
      </c>
      <c r="G12" s="46" t="s">
        <v>871</v>
      </c>
      <c r="H12" s="46" t="s">
        <v>872</v>
      </c>
      <c r="I12" s="46" t="s">
        <v>3377</v>
      </c>
      <c r="J12" s="46" t="s">
        <v>3304</v>
      </c>
      <c r="K12" s="46" t="s">
        <v>342</v>
      </c>
      <c r="L12" s="46">
        <v>6</v>
      </c>
      <c r="N12" s="46" t="s">
        <v>3402</v>
      </c>
      <c r="O12" s="46" t="s">
        <v>342</v>
      </c>
      <c r="P12" s="46">
        <v>2</v>
      </c>
      <c r="R12" s="46" t="s">
        <v>3526</v>
      </c>
      <c r="S12" s="46" t="s">
        <v>342</v>
      </c>
      <c r="T12" s="46">
        <v>2</v>
      </c>
      <c r="V12" s="46" t="s">
        <v>1321</v>
      </c>
      <c r="W12" s="46" t="s">
        <v>1729</v>
      </c>
      <c r="X12" s="46" t="s">
        <v>1413</v>
      </c>
      <c r="Y12" s="46" t="s">
        <v>2142</v>
      </c>
      <c r="Z12" s="46">
        <v>14</v>
      </c>
      <c r="AA12" s="46">
        <v>93.9</v>
      </c>
      <c r="AB12" s="46">
        <v>18</v>
      </c>
      <c r="AC12" s="46" t="s">
        <v>1567</v>
      </c>
      <c r="AD12" s="46" t="s">
        <v>2143</v>
      </c>
      <c r="AE12" s="46" t="s">
        <v>2144</v>
      </c>
      <c r="AF12" s="46" t="s">
        <v>871</v>
      </c>
      <c r="AG12" s="46" t="s">
        <v>2145</v>
      </c>
      <c r="AH12" s="46" t="s">
        <v>2603</v>
      </c>
      <c r="AI12" s="46" t="s">
        <v>2452</v>
      </c>
      <c r="AJ12" s="46" t="s">
        <v>2620</v>
      </c>
      <c r="AK12" s="46">
        <v>9</v>
      </c>
      <c r="AL12" s="46">
        <v>97.2</v>
      </c>
      <c r="AM12" s="46">
        <v>8</v>
      </c>
      <c r="AN12" s="46" t="s">
        <v>2406</v>
      </c>
      <c r="AO12" s="46" t="s">
        <v>2731</v>
      </c>
      <c r="AP12" s="46" t="s">
        <v>3041</v>
      </c>
      <c r="AQ12" s="46" t="s">
        <v>872</v>
      </c>
      <c r="AR12" s="46" t="s">
        <v>3042</v>
      </c>
      <c r="AT12" s="48" t="s">
        <v>342</v>
      </c>
      <c r="AU12" s="41">
        <v>0.47960000000000003</v>
      </c>
      <c r="AV12" s="41"/>
      <c r="AW12" s="55">
        <v>3.61</v>
      </c>
      <c r="AX12" s="55">
        <v>3.581</v>
      </c>
      <c r="AY12" s="55">
        <v>3.6389999999999998</v>
      </c>
      <c r="AZ12" s="54">
        <v>0.40200000000000002</v>
      </c>
      <c r="BA12" s="43"/>
      <c r="BB12" s="50">
        <v>0.11600000000000001</v>
      </c>
      <c r="BC12" s="50">
        <v>8.8999999999999996E-2</v>
      </c>
      <c r="BD12" s="43"/>
      <c r="BE12" s="41">
        <v>12655.5</v>
      </c>
      <c r="BF12" s="41">
        <v>1855.5</v>
      </c>
      <c r="BG12" s="51">
        <v>1</v>
      </c>
      <c r="BH12" s="51">
        <v>0</v>
      </c>
      <c r="BI12" s="52" t="s">
        <v>3285</v>
      </c>
      <c r="BJ12" s="41"/>
      <c r="BK12" s="41">
        <v>3125</v>
      </c>
      <c r="BL12" s="41">
        <v>2365.5</v>
      </c>
      <c r="BM12" s="51">
        <v>0</v>
      </c>
      <c r="BN12" s="51">
        <v>0</v>
      </c>
      <c r="BO12" s="52" t="s">
        <v>3285</v>
      </c>
      <c r="BP12" s="52" t="s">
        <v>3285</v>
      </c>
      <c r="BQ12" s="43"/>
      <c r="BR12" s="41">
        <v>-7.3700000000000002E-2</v>
      </c>
      <c r="BS12" s="41">
        <v>-6.8400000000000002E-2</v>
      </c>
      <c r="BT12" s="52" t="s">
        <v>3288</v>
      </c>
      <c r="BU12" s="52" t="s">
        <v>3288</v>
      </c>
      <c r="BV12" s="41"/>
      <c r="BW12" s="58">
        <v>3.0840000000000001</v>
      </c>
      <c r="BX12" s="67">
        <v>1.1930000000000001</v>
      </c>
      <c r="BY12" s="41"/>
    </row>
    <row r="13" spans="1:77">
      <c r="A13" s="148">
        <v>4.01</v>
      </c>
      <c r="B13" s="141">
        <v>4.0999999999999996</v>
      </c>
      <c r="C13" s="86" t="s">
        <v>503</v>
      </c>
      <c r="D13" s="133" t="s">
        <v>343</v>
      </c>
      <c r="E13" s="80" t="s">
        <v>343</v>
      </c>
      <c r="F13" s="46" t="s">
        <v>343</v>
      </c>
      <c r="G13" s="46" t="s">
        <v>680</v>
      </c>
      <c r="H13" s="46" t="s">
        <v>681</v>
      </c>
      <c r="I13" s="46" t="s">
        <v>3377</v>
      </c>
      <c r="J13" s="46" t="s">
        <v>3304</v>
      </c>
      <c r="K13" s="46" t="s">
        <v>343</v>
      </c>
      <c r="L13" s="46">
        <v>6</v>
      </c>
      <c r="N13" s="46" t="s">
        <v>3446</v>
      </c>
      <c r="O13" s="46" t="s">
        <v>343</v>
      </c>
      <c r="P13" s="46">
        <v>2</v>
      </c>
      <c r="R13" s="46" t="s">
        <v>3578</v>
      </c>
      <c r="S13" s="46" t="s">
        <v>343</v>
      </c>
      <c r="T13" s="46">
        <v>1</v>
      </c>
      <c r="V13" s="46" t="s">
        <v>1322</v>
      </c>
      <c r="W13" s="46" t="s">
        <v>1729</v>
      </c>
      <c r="X13" s="46" t="s">
        <v>1413</v>
      </c>
      <c r="Y13" s="46" t="s">
        <v>2146</v>
      </c>
      <c r="Z13" s="46">
        <v>14</v>
      </c>
      <c r="AA13" s="46">
        <v>92.5</v>
      </c>
      <c r="AB13" s="46">
        <v>22</v>
      </c>
      <c r="AC13" s="46" t="s">
        <v>2147</v>
      </c>
      <c r="AD13" s="46" t="s">
        <v>2148</v>
      </c>
      <c r="AE13" s="46" t="s">
        <v>680</v>
      </c>
      <c r="AF13" s="46" t="s">
        <v>680</v>
      </c>
      <c r="AG13" s="46" t="s">
        <v>2149</v>
      </c>
      <c r="AH13" s="46" t="s">
        <v>2603</v>
      </c>
      <c r="AI13" s="46" t="s">
        <v>2452</v>
      </c>
      <c r="AJ13" s="46" t="s">
        <v>3043</v>
      </c>
      <c r="AK13" s="46">
        <v>10</v>
      </c>
      <c r="AL13" s="46">
        <v>93.7</v>
      </c>
      <c r="AM13" s="46">
        <v>18</v>
      </c>
      <c r="AN13" s="46" t="s">
        <v>2406</v>
      </c>
      <c r="AO13" s="46" t="s">
        <v>3044</v>
      </c>
      <c r="AP13" s="46" t="s">
        <v>681</v>
      </c>
      <c r="AQ13" s="46" t="s">
        <v>681</v>
      </c>
      <c r="AR13" s="46" t="s">
        <v>3045</v>
      </c>
      <c r="AT13" s="48" t="s">
        <v>343</v>
      </c>
      <c r="AU13" s="41">
        <v>0.29899999999999999</v>
      </c>
      <c r="AV13" s="41"/>
      <c r="AW13" s="61">
        <v>3.5619999999999998</v>
      </c>
      <c r="AX13" s="61">
        <v>3.5139999999999998</v>
      </c>
      <c r="AY13" s="61">
        <v>3.577</v>
      </c>
      <c r="AZ13" s="70">
        <v>0.89600000000000002</v>
      </c>
      <c r="BA13" s="42"/>
      <c r="BB13" s="50">
        <v>0.12</v>
      </c>
      <c r="BC13" s="50">
        <v>9.6000000000000002E-2</v>
      </c>
      <c r="BD13" s="43"/>
      <c r="BE13" s="41">
        <v>12691</v>
      </c>
      <c r="BF13" s="41">
        <v>2543</v>
      </c>
      <c r="BG13" s="51">
        <v>1</v>
      </c>
      <c r="BH13" s="51">
        <v>0</v>
      </c>
      <c r="BI13" s="52" t="s">
        <v>3285</v>
      </c>
      <c r="BJ13" s="41"/>
      <c r="BK13" s="41">
        <v>3730</v>
      </c>
      <c r="BL13" s="41">
        <v>66269</v>
      </c>
      <c r="BM13" s="51">
        <v>0</v>
      </c>
      <c r="BN13" s="51">
        <v>1</v>
      </c>
      <c r="BO13" s="52" t="s">
        <v>3286</v>
      </c>
      <c r="BP13" s="52" t="s">
        <v>3287</v>
      </c>
      <c r="BQ13" s="43"/>
      <c r="BR13" s="41">
        <v>-9.1200000000000003E-2</v>
      </c>
      <c r="BS13" s="41">
        <v>-0.1197</v>
      </c>
      <c r="BT13" s="52" t="s">
        <v>3288</v>
      </c>
      <c r="BU13" s="52" t="s">
        <v>3288</v>
      </c>
      <c r="BV13" s="41"/>
      <c r="BW13" s="56">
        <v>2.85</v>
      </c>
      <c r="BX13" s="57">
        <v>0.80900000000000005</v>
      </c>
      <c r="BY13" s="41"/>
    </row>
    <row r="14" spans="1:77" s="40" customFormat="1" ht="17" thickBot="1">
      <c r="A14" s="149">
        <v>4.01</v>
      </c>
      <c r="B14" s="142">
        <v>4.0999999999999996</v>
      </c>
      <c r="C14" s="121" t="s">
        <v>503</v>
      </c>
      <c r="D14" s="134" t="s">
        <v>344</v>
      </c>
      <c r="E14" s="84" t="s">
        <v>345</v>
      </c>
      <c r="F14" s="40" t="s">
        <v>344</v>
      </c>
      <c r="G14" s="40" t="s">
        <v>1095</v>
      </c>
      <c r="H14" s="40" t="s">
        <v>1096</v>
      </c>
      <c r="I14" s="40" t="s">
        <v>3377</v>
      </c>
      <c r="J14" s="40" t="s">
        <v>3304</v>
      </c>
      <c r="K14" s="40" t="s">
        <v>344</v>
      </c>
      <c r="L14" s="40">
        <v>6</v>
      </c>
      <c r="N14" s="40" t="s">
        <v>3446</v>
      </c>
      <c r="O14" s="40" t="s">
        <v>344</v>
      </c>
      <c r="P14" s="40">
        <v>2</v>
      </c>
      <c r="R14" s="40" t="s">
        <v>3660</v>
      </c>
      <c r="S14" s="40" t="s">
        <v>344</v>
      </c>
      <c r="T14" s="40">
        <v>1</v>
      </c>
      <c r="V14" s="40" t="s">
        <v>1323</v>
      </c>
      <c r="W14" s="40" t="s">
        <v>1729</v>
      </c>
      <c r="X14" s="40" t="s">
        <v>1413</v>
      </c>
      <c r="Y14" s="40" t="s">
        <v>2150</v>
      </c>
      <c r="Z14" s="40">
        <v>14</v>
      </c>
      <c r="AA14" s="40">
        <v>97.3</v>
      </c>
      <c r="AB14" s="40">
        <v>8</v>
      </c>
      <c r="AC14" s="40" t="s">
        <v>1474</v>
      </c>
      <c r="AD14" s="40" t="s">
        <v>2151</v>
      </c>
      <c r="AE14" s="40" t="s">
        <v>1095</v>
      </c>
      <c r="AF14" s="40" t="s">
        <v>1095</v>
      </c>
      <c r="AG14" s="40" t="s">
        <v>2152</v>
      </c>
      <c r="AH14" s="40" t="s">
        <v>2603</v>
      </c>
      <c r="AI14" s="40" t="s">
        <v>2452</v>
      </c>
      <c r="AJ14" s="40" t="s">
        <v>3034</v>
      </c>
      <c r="AK14" s="40">
        <v>9</v>
      </c>
      <c r="AL14" s="40">
        <v>99.3</v>
      </c>
      <c r="AM14" s="40">
        <v>2</v>
      </c>
      <c r="AN14" s="40" t="s">
        <v>2406</v>
      </c>
      <c r="AO14" s="40" t="s">
        <v>3046</v>
      </c>
      <c r="AP14" s="40" t="s">
        <v>1096</v>
      </c>
      <c r="AQ14" s="40" t="s">
        <v>1096</v>
      </c>
      <c r="AR14" s="40" t="s">
        <v>3047</v>
      </c>
      <c r="AT14" s="85" t="s">
        <v>345</v>
      </c>
      <c r="AU14" s="35">
        <v>0.27310000000000001</v>
      </c>
      <c r="AV14" s="35"/>
      <c r="AW14" s="102">
        <v>3.5579999999999998</v>
      </c>
      <c r="AX14" s="102">
        <v>3.5110000000000001</v>
      </c>
      <c r="AY14" s="102">
        <v>3.5640000000000001</v>
      </c>
      <c r="AZ14" s="90">
        <v>0.19800000000000001</v>
      </c>
      <c r="BA14" s="37"/>
      <c r="BB14" s="90">
        <v>0.12</v>
      </c>
      <c r="BC14" s="90">
        <v>0.17699999999999999</v>
      </c>
      <c r="BD14" s="37"/>
      <c r="BE14" s="35">
        <v>22326</v>
      </c>
      <c r="BF14" s="35">
        <v>1727</v>
      </c>
      <c r="BG14" s="93">
        <v>1</v>
      </c>
      <c r="BH14" s="93">
        <v>0</v>
      </c>
      <c r="BI14" s="94" t="s">
        <v>3285</v>
      </c>
      <c r="BJ14" s="35"/>
      <c r="BK14" s="35">
        <v>3383.5</v>
      </c>
      <c r="BL14" s="35">
        <v>2903.5</v>
      </c>
      <c r="BM14" s="93">
        <v>0</v>
      </c>
      <c r="BN14" s="93">
        <v>0</v>
      </c>
      <c r="BO14" s="94" t="s">
        <v>3289</v>
      </c>
      <c r="BP14" s="94" t="s">
        <v>3287</v>
      </c>
      <c r="BQ14" s="37"/>
      <c r="BR14" s="35">
        <v>-7.5300000000000006E-2</v>
      </c>
      <c r="BS14" s="35">
        <v>-3.8199999999999998E-2</v>
      </c>
      <c r="BT14" s="94" t="s">
        <v>3288</v>
      </c>
      <c r="BU14" s="94" t="s">
        <v>3288</v>
      </c>
      <c r="BV14" s="35"/>
      <c r="BW14" s="107">
        <v>2.5499999999999998</v>
      </c>
      <c r="BX14" s="95">
        <v>0.91500000000000004</v>
      </c>
      <c r="BY14" s="35"/>
    </row>
    <row r="15" spans="1:77" ht="17" thickBot="1">
      <c r="A15" s="143"/>
      <c r="B15" s="136"/>
      <c r="C15" s="127"/>
      <c r="D15" s="127"/>
      <c r="E15" s="47"/>
      <c r="F15" s="47"/>
      <c r="G15" s="79"/>
      <c r="H15" s="79"/>
      <c r="AV15" s="47"/>
    </row>
    <row r="16" spans="1:77" s="81" customFormat="1">
      <c r="A16" s="147">
        <v>3.01</v>
      </c>
      <c r="B16" s="140" t="s">
        <v>423</v>
      </c>
      <c r="C16" s="120" t="s">
        <v>498</v>
      </c>
      <c r="D16" s="132" t="s">
        <v>303</v>
      </c>
      <c r="E16" s="82" t="s">
        <v>303</v>
      </c>
      <c r="F16" s="81" t="s">
        <v>303</v>
      </c>
      <c r="G16" s="81" t="s">
        <v>883</v>
      </c>
      <c r="H16" s="81" t="s">
        <v>884</v>
      </c>
      <c r="I16" s="81" t="s">
        <v>3377</v>
      </c>
      <c r="J16" s="81" t="s">
        <v>3300</v>
      </c>
      <c r="K16" s="81" t="s">
        <v>303</v>
      </c>
      <c r="L16" s="81">
        <v>3</v>
      </c>
      <c r="N16" s="81" t="s">
        <v>3380</v>
      </c>
      <c r="O16" s="81" t="s">
        <v>303</v>
      </c>
      <c r="P16" s="81">
        <v>3</v>
      </c>
      <c r="R16" s="81" t="s">
        <v>3380</v>
      </c>
      <c r="S16" s="81" t="s">
        <v>303</v>
      </c>
      <c r="T16" s="81">
        <v>3</v>
      </c>
      <c r="V16" s="81" t="s">
        <v>1283</v>
      </c>
      <c r="W16" s="81" t="s">
        <v>1869</v>
      </c>
      <c r="X16" s="81" t="s">
        <v>1767</v>
      </c>
      <c r="Y16" s="81" t="s">
        <v>2015</v>
      </c>
      <c r="Z16" s="81">
        <v>13</v>
      </c>
      <c r="AA16" s="81">
        <v>100</v>
      </c>
      <c r="AB16" s="81">
        <v>0</v>
      </c>
      <c r="AC16" s="81" t="s">
        <v>1423</v>
      </c>
      <c r="AD16" s="81" t="s">
        <v>2016</v>
      </c>
      <c r="AE16" s="81" t="s">
        <v>2017</v>
      </c>
      <c r="AF16" s="81" t="s">
        <v>883</v>
      </c>
      <c r="AG16" s="81" t="s">
        <v>2018</v>
      </c>
      <c r="AH16" s="81" t="s">
        <v>2441</v>
      </c>
      <c r="AI16" s="81" t="s">
        <v>2433</v>
      </c>
      <c r="AJ16" s="81" t="s">
        <v>2922</v>
      </c>
      <c r="AK16" s="81">
        <v>11</v>
      </c>
      <c r="AL16" s="81">
        <v>98.9</v>
      </c>
      <c r="AM16" s="81">
        <v>3</v>
      </c>
      <c r="AN16" s="81" t="s">
        <v>2406</v>
      </c>
      <c r="AO16" s="81" t="s">
        <v>2923</v>
      </c>
      <c r="AP16" s="81" t="s">
        <v>2924</v>
      </c>
      <c r="AQ16" s="81" t="s">
        <v>884</v>
      </c>
      <c r="AR16" s="81" t="s">
        <v>2925</v>
      </c>
      <c r="AT16" s="83" t="s">
        <v>303</v>
      </c>
      <c r="AU16" s="33">
        <v>0.32319999999999999</v>
      </c>
      <c r="AV16" s="33"/>
      <c r="AW16" s="100">
        <v>3.5859999999999999</v>
      </c>
      <c r="AX16" s="87">
        <v>0.13600000000000001</v>
      </c>
      <c r="AY16" s="87">
        <v>0.125</v>
      </c>
      <c r="AZ16" s="87">
        <v>0.13500000000000001</v>
      </c>
      <c r="BA16" s="34"/>
      <c r="BB16" s="87">
        <v>0.114</v>
      </c>
      <c r="BC16" s="87">
        <v>8.4000000000000005E-2</v>
      </c>
      <c r="BD16" s="34"/>
      <c r="BE16" s="33">
        <v>173494</v>
      </c>
      <c r="BF16" s="33">
        <v>1951</v>
      </c>
      <c r="BG16" s="88">
        <v>1</v>
      </c>
      <c r="BH16" s="88">
        <v>0</v>
      </c>
      <c r="BI16" s="89" t="s">
        <v>3285</v>
      </c>
      <c r="BJ16" s="33"/>
      <c r="BK16" s="33">
        <v>28163</v>
      </c>
      <c r="BL16" s="33">
        <v>2387</v>
      </c>
      <c r="BM16" s="88">
        <v>1</v>
      </c>
      <c r="BN16" s="88">
        <v>0</v>
      </c>
      <c r="BO16" s="89" t="s">
        <v>3285</v>
      </c>
      <c r="BP16" s="89" t="s">
        <v>3285</v>
      </c>
      <c r="BQ16" s="34"/>
      <c r="BR16" s="33">
        <v>3.4200000000000001E-2</v>
      </c>
      <c r="BS16" s="33">
        <v>0.52639999999999998</v>
      </c>
      <c r="BT16" s="89" t="s">
        <v>3288</v>
      </c>
      <c r="BU16" s="89" t="s">
        <v>3290</v>
      </c>
      <c r="BV16" s="33"/>
      <c r="BW16" s="100">
        <v>3.4540000000000002</v>
      </c>
      <c r="BX16" s="87">
        <v>0.1</v>
      </c>
      <c r="BY16" s="33"/>
    </row>
    <row r="17" spans="1:77">
      <c r="A17" s="148">
        <v>3.01</v>
      </c>
      <c r="B17" s="141" t="s">
        <v>423</v>
      </c>
      <c r="C17" s="86" t="s">
        <v>498</v>
      </c>
      <c r="D17" s="133" t="s">
        <v>304</v>
      </c>
      <c r="E17" s="80" t="s">
        <v>305</v>
      </c>
      <c r="F17" s="46" t="s">
        <v>304</v>
      </c>
      <c r="G17" s="46" t="s">
        <v>1099</v>
      </c>
      <c r="H17" s="46" t="s">
        <v>1100</v>
      </c>
      <c r="I17" s="46" t="s">
        <v>3377</v>
      </c>
      <c r="J17" s="46" t="s">
        <v>3300</v>
      </c>
      <c r="K17" s="46" t="s">
        <v>304</v>
      </c>
      <c r="L17" s="46">
        <v>3</v>
      </c>
      <c r="N17" s="46" t="s">
        <v>3380</v>
      </c>
      <c r="O17" s="46" t="s">
        <v>304</v>
      </c>
      <c r="P17" s="46">
        <v>3</v>
      </c>
      <c r="R17" s="46" t="s">
        <v>3380</v>
      </c>
      <c r="S17" s="46" t="s">
        <v>304</v>
      </c>
      <c r="T17" s="46">
        <v>3</v>
      </c>
      <c r="V17" s="46" t="s">
        <v>1285</v>
      </c>
      <c r="W17" s="46" t="s">
        <v>1869</v>
      </c>
      <c r="X17" s="46" t="s">
        <v>1767</v>
      </c>
      <c r="Y17" s="46" t="s">
        <v>2015</v>
      </c>
      <c r="Z17" s="46">
        <v>13</v>
      </c>
      <c r="AA17" s="46">
        <v>98.6</v>
      </c>
      <c r="AB17" s="46">
        <v>4</v>
      </c>
      <c r="AC17" s="46" t="s">
        <v>1423</v>
      </c>
      <c r="AD17" s="46" t="s">
        <v>2023</v>
      </c>
      <c r="AE17" s="46" t="s">
        <v>1099</v>
      </c>
      <c r="AF17" s="46" t="s">
        <v>1099</v>
      </c>
      <c r="AG17" s="46" t="s">
        <v>2024</v>
      </c>
      <c r="AH17" s="46" t="s">
        <v>2441</v>
      </c>
      <c r="AI17" s="46" t="s">
        <v>2433</v>
      </c>
      <c r="AJ17" s="46" t="s">
        <v>2930</v>
      </c>
      <c r="AK17" s="46">
        <v>11</v>
      </c>
      <c r="AL17" s="46">
        <v>98.3</v>
      </c>
      <c r="AM17" s="46">
        <v>5</v>
      </c>
      <c r="AN17" s="46" t="s">
        <v>2406</v>
      </c>
      <c r="AO17" s="46" t="s">
        <v>2931</v>
      </c>
      <c r="AP17" s="46" t="s">
        <v>1100</v>
      </c>
      <c r="AQ17" s="46" t="s">
        <v>1100</v>
      </c>
      <c r="AR17" s="46" t="s">
        <v>2932</v>
      </c>
      <c r="AT17" s="48" t="s">
        <v>305</v>
      </c>
      <c r="AU17" s="41">
        <v>5.7410000000000003E-2</v>
      </c>
      <c r="AV17" s="41" t="s">
        <v>3291</v>
      </c>
      <c r="AW17" s="55">
        <v>3.6150000000000002</v>
      </c>
      <c r="AX17" s="50">
        <v>0.13600000000000001</v>
      </c>
      <c r="AY17" s="50">
        <v>0.11</v>
      </c>
      <c r="AZ17" s="50">
        <v>0.11899999999999999</v>
      </c>
      <c r="BA17" s="43"/>
      <c r="BB17" s="50">
        <v>0.104</v>
      </c>
      <c r="BC17" s="50">
        <v>8.5999999999999993E-2</v>
      </c>
      <c r="BD17" s="43"/>
      <c r="BE17" s="41">
        <v>296796</v>
      </c>
      <c r="BF17" s="41">
        <v>1856</v>
      </c>
      <c r="BG17" s="51">
        <v>1</v>
      </c>
      <c r="BH17" s="51">
        <v>0</v>
      </c>
      <c r="BI17" s="52" t="s">
        <v>3285</v>
      </c>
      <c r="BJ17" s="41"/>
      <c r="BK17" s="41">
        <v>127860</v>
      </c>
      <c r="BL17" s="41">
        <v>3623</v>
      </c>
      <c r="BM17" s="51">
        <v>1</v>
      </c>
      <c r="BN17" s="51">
        <v>0</v>
      </c>
      <c r="BO17" s="52" t="s">
        <v>3285</v>
      </c>
      <c r="BP17" s="52" t="s">
        <v>3285</v>
      </c>
      <c r="BQ17" s="43"/>
      <c r="BR17" s="41">
        <v>-7.9100000000000004E-2</v>
      </c>
      <c r="BS17" s="41">
        <v>-7.4399999999999994E-2</v>
      </c>
      <c r="BT17" s="52" t="s">
        <v>3288</v>
      </c>
      <c r="BU17" s="52" t="s">
        <v>3288</v>
      </c>
      <c r="BV17" s="41"/>
      <c r="BW17" s="55">
        <v>3.6</v>
      </c>
      <c r="BX17" s="50">
        <v>0.11</v>
      </c>
      <c r="BY17" s="41"/>
    </row>
    <row r="18" spans="1:77" s="40" customFormat="1" ht="17" thickBot="1">
      <c r="A18" s="149">
        <v>3.01</v>
      </c>
      <c r="B18" s="142" t="s">
        <v>423</v>
      </c>
      <c r="C18" s="121" t="s">
        <v>498</v>
      </c>
      <c r="D18" s="134" t="s">
        <v>306</v>
      </c>
      <c r="E18" s="84" t="s">
        <v>306</v>
      </c>
      <c r="F18" s="40" t="s">
        <v>306</v>
      </c>
      <c r="G18" s="40" t="s">
        <v>982</v>
      </c>
      <c r="H18" s="40" t="s">
        <v>983</v>
      </c>
      <c r="I18" s="40" t="s">
        <v>3377</v>
      </c>
      <c r="J18" s="40" t="s">
        <v>3300</v>
      </c>
      <c r="K18" s="40" t="s">
        <v>306</v>
      </c>
      <c r="L18" s="40">
        <v>3</v>
      </c>
      <c r="N18" s="40" t="s">
        <v>3380</v>
      </c>
      <c r="O18" s="40" t="s">
        <v>306</v>
      </c>
      <c r="P18" s="40">
        <v>3</v>
      </c>
      <c r="R18" s="40" t="s">
        <v>3380</v>
      </c>
      <c r="S18" s="40" t="s">
        <v>306</v>
      </c>
      <c r="T18" s="40">
        <v>3</v>
      </c>
      <c r="V18" s="40" t="s">
        <v>1286</v>
      </c>
      <c r="W18" s="40" t="s">
        <v>1869</v>
      </c>
      <c r="X18" s="40" t="s">
        <v>1767</v>
      </c>
      <c r="Y18" s="40" t="s">
        <v>2015</v>
      </c>
      <c r="Z18" s="40">
        <v>13</v>
      </c>
      <c r="AA18" s="40">
        <v>99</v>
      </c>
      <c r="AB18" s="40">
        <v>3</v>
      </c>
      <c r="AC18" s="40" t="s">
        <v>1423</v>
      </c>
      <c r="AD18" s="40" t="s">
        <v>2025</v>
      </c>
      <c r="AE18" s="40" t="s">
        <v>982</v>
      </c>
      <c r="AF18" s="40" t="s">
        <v>982</v>
      </c>
      <c r="AG18" s="40" t="s">
        <v>2026</v>
      </c>
      <c r="AH18" s="40" t="s">
        <v>2441</v>
      </c>
      <c r="AI18" s="40" t="s">
        <v>2433</v>
      </c>
      <c r="AJ18" s="40" t="s">
        <v>2933</v>
      </c>
      <c r="AK18" s="40">
        <v>11</v>
      </c>
      <c r="AL18" s="40">
        <v>94.8</v>
      </c>
      <c r="AM18" s="40">
        <v>15</v>
      </c>
      <c r="AN18" s="40" t="s">
        <v>2406</v>
      </c>
      <c r="AO18" s="40" t="s">
        <v>2934</v>
      </c>
      <c r="AP18" s="40" t="s">
        <v>983</v>
      </c>
      <c r="AQ18" s="40" t="s">
        <v>983</v>
      </c>
      <c r="AR18" s="40" t="s">
        <v>2935</v>
      </c>
      <c r="AT18" s="85" t="s">
        <v>306</v>
      </c>
      <c r="AU18" s="35">
        <v>1.7899999999999999E-2</v>
      </c>
      <c r="AV18" s="35" t="s">
        <v>3291</v>
      </c>
      <c r="AW18" s="102">
        <v>3.613</v>
      </c>
      <c r="AX18" s="90">
        <v>0.13900000000000001</v>
      </c>
      <c r="AY18" s="90">
        <v>0.108</v>
      </c>
      <c r="AZ18" s="90">
        <v>0.12</v>
      </c>
      <c r="BA18" s="37"/>
      <c r="BB18" s="90">
        <v>0.11600000000000001</v>
      </c>
      <c r="BC18" s="90">
        <v>8.7999999999999995E-2</v>
      </c>
      <c r="BD18" s="37"/>
      <c r="BE18" s="35">
        <v>468437.5</v>
      </c>
      <c r="BF18" s="35">
        <v>3913</v>
      </c>
      <c r="BG18" s="93">
        <v>1</v>
      </c>
      <c r="BH18" s="93">
        <v>0</v>
      </c>
      <c r="BI18" s="94" t="s">
        <v>3285</v>
      </c>
      <c r="BJ18" s="35"/>
      <c r="BK18" s="35">
        <v>299791</v>
      </c>
      <c r="BL18" s="35">
        <v>2738</v>
      </c>
      <c r="BM18" s="93">
        <v>1</v>
      </c>
      <c r="BN18" s="93">
        <v>0</v>
      </c>
      <c r="BO18" s="94" t="s">
        <v>3285</v>
      </c>
      <c r="BP18" s="94" t="s">
        <v>3285</v>
      </c>
      <c r="BQ18" s="37"/>
      <c r="BR18" s="35">
        <v>-8.4400000000000003E-2</v>
      </c>
      <c r="BS18" s="35">
        <v>-7.2099999999999997E-2</v>
      </c>
      <c r="BT18" s="94" t="s">
        <v>3288</v>
      </c>
      <c r="BU18" s="94" t="s">
        <v>3288</v>
      </c>
      <c r="BV18" s="35"/>
      <c r="BW18" s="102">
        <v>3.5950000000000002</v>
      </c>
      <c r="BX18" s="90">
        <v>0.108</v>
      </c>
      <c r="BY18" s="35"/>
    </row>
    <row r="19" spans="1:77" s="81" customFormat="1">
      <c r="A19" s="147">
        <v>3.02</v>
      </c>
      <c r="B19" s="140" t="s">
        <v>424</v>
      </c>
      <c r="C19" s="120" t="s">
        <v>499</v>
      </c>
      <c r="D19" s="132" t="s">
        <v>307</v>
      </c>
      <c r="E19" s="82" t="s">
        <v>307</v>
      </c>
      <c r="F19" s="81" t="s">
        <v>307</v>
      </c>
      <c r="G19" s="81" t="s">
        <v>755</v>
      </c>
      <c r="H19" s="81" t="s">
        <v>756</v>
      </c>
      <c r="I19" s="81" t="s">
        <v>3377</v>
      </c>
      <c r="J19" s="81" t="s">
        <v>3361</v>
      </c>
      <c r="K19" s="81" t="s">
        <v>307</v>
      </c>
      <c r="L19" s="81">
        <v>5</v>
      </c>
      <c r="N19" s="81" t="s">
        <v>3461</v>
      </c>
      <c r="O19" s="81" t="s">
        <v>307</v>
      </c>
      <c r="P19" s="81">
        <v>3</v>
      </c>
      <c r="R19" s="81" t="s">
        <v>3597</v>
      </c>
      <c r="S19" s="81" t="s">
        <v>307</v>
      </c>
      <c r="T19" s="81">
        <v>2</v>
      </c>
      <c r="V19" s="81" t="s">
        <v>1287</v>
      </c>
      <c r="W19" s="81" t="s">
        <v>1602</v>
      </c>
      <c r="X19" s="81" t="s">
        <v>1413</v>
      </c>
      <c r="Y19" s="81" t="s">
        <v>2027</v>
      </c>
      <c r="Z19" s="81">
        <v>17</v>
      </c>
      <c r="AA19" s="81">
        <v>94.9</v>
      </c>
      <c r="AB19" s="81">
        <v>15</v>
      </c>
      <c r="AC19" s="81" t="s">
        <v>1679</v>
      </c>
      <c r="AD19" s="81" t="s">
        <v>2028</v>
      </c>
      <c r="AE19" s="81" t="s">
        <v>587</v>
      </c>
      <c r="AF19" s="81" t="s">
        <v>755</v>
      </c>
      <c r="AG19" s="81" t="s">
        <v>2029</v>
      </c>
      <c r="AH19" s="81" t="s">
        <v>2451</v>
      </c>
      <c r="AI19" s="81" t="s">
        <v>2411</v>
      </c>
      <c r="AJ19" s="81" t="s">
        <v>2936</v>
      </c>
      <c r="AK19" s="81">
        <v>10</v>
      </c>
      <c r="AL19" s="81">
        <v>98.6</v>
      </c>
      <c r="AM19" s="81">
        <v>4</v>
      </c>
      <c r="AN19" s="81" t="s">
        <v>2406</v>
      </c>
      <c r="AO19" s="81" t="s">
        <v>2937</v>
      </c>
      <c r="AP19" s="81" t="s">
        <v>2938</v>
      </c>
      <c r="AQ19" s="81" t="s">
        <v>756</v>
      </c>
      <c r="AR19" s="81" t="s">
        <v>2939</v>
      </c>
      <c r="AT19" s="83" t="s">
        <v>307</v>
      </c>
      <c r="AU19" s="33">
        <v>0.1013</v>
      </c>
      <c r="AV19" s="33"/>
      <c r="AW19" s="100">
        <v>3.54</v>
      </c>
      <c r="AX19" s="100">
        <v>3.55</v>
      </c>
      <c r="AY19" s="105">
        <v>3.3319999999999999</v>
      </c>
      <c r="AZ19" s="87">
        <v>0.13200000000000001</v>
      </c>
      <c r="BA19" s="34"/>
      <c r="BB19" s="100">
        <v>3.5129999999999999</v>
      </c>
      <c r="BC19" s="114">
        <v>2.0409999999999999</v>
      </c>
      <c r="BD19" s="34"/>
      <c r="BE19" s="33">
        <v>28062.5</v>
      </c>
      <c r="BF19" s="33">
        <v>116395</v>
      </c>
      <c r="BG19" s="88">
        <v>1</v>
      </c>
      <c r="BH19" s="88">
        <v>1</v>
      </c>
      <c r="BI19" s="89" t="s">
        <v>3286</v>
      </c>
      <c r="BJ19" s="33"/>
      <c r="BK19" s="33">
        <v>4742</v>
      </c>
      <c r="BL19" s="33">
        <v>97151</v>
      </c>
      <c r="BM19" s="88">
        <v>1</v>
      </c>
      <c r="BN19" s="88">
        <v>1</v>
      </c>
      <c r="BO19" s="89" t="s">
        <v>3286</v>
      </c>
      <c r="BP19" s="89" t="s">
        <v>3286</v>
      </c>
      <c r="BQ19" s="34"/>
      <c r="BR19" s="33">
        <v>-3.5999999999999999E-3</v>
      </c>
      <c r="BS19" s="33">
        <v>-1.06E-2</v>
      </c>
      <c r="BT19" s="89" t="s">
        <v>3288</v>
      </c>
      <c r="BU19" s="89" t="s">
        <v>3288</v>
      </c>
      <c r="BV19" s="33"/>
      <c r="BW19" s="113">
        <v>1.887</v>
      </c>
      <c r="BX19" s="100">
        <v>3.4910000000000001</v>
      </c>
      <c r="BY19" s="33"/>
    </row>
    <row r="20" spans="1:77">
      <c r="A20" s="148">
        <v>3.02</v>
      </c>
      <c r="B20" s="141" t="s">
        <v>424</v>
      </c>
      <c r="C20" s="86" t="s">
        <v>499</v>
      </c>
      <c r="D20" s="133" t="s">
        <v>309</v>
      </c>
      <c r="E20" s="80" t="s">
        <v>310</v>
      </c>
      <c r="F20" s="46" t="s">
        <v>309</v>
      </c>
      <c r="G20" s="46" t="s">
        <v>1020</v>
      </c>
      <c r="H20" s="46" t="s">
        <v>1021</v>
      </c>
      <c r="I20" s="46" t="s">
        <v>3377</v>
      </c>
      <c r="J20" s="46" t="s">
        <v>3361</v>
      </c>
      <c r="K20" s="46" t="s">
        <v>309</v>
      </c>
      <c r="L20" s="46">
        <v>5</v>
      </c>
      <c r="N20" s="46" t="s">
        <v>3461</v>
      </c>
      <c r="O20" s="46" t="s">
        <v>309</v>
      </c>
      <c r="P20" s="46">
        <v>3</v>
      </c>
      <c r="R20" s="46" t="s">
        <v>3597</v>
      </c>
      <c r="S20" s="46" t="s">
        <v>309</v>
      </c>
      <c r="T20" s="46">
        <v>2</v>
      </c>
      <c r="V20" s="46" t="s">
        <v>1289</v>
      </c>
      <c r="W20" s="46" t="s">
        <v>1602</v>
      </c>
      <c r="X20" s="46" t="s">
        <v>1413</v>
      </c>
      <c r="Y20" s="46" t="s">
        <v>2034</v>
      </c>
      <c r="Z20" s="46">
        <v>17</v>
      </c>
      <c r="AA20" s="46">
        <v>100</v>
      </c>
      <c r="AB20" s="46">
        <v>0</v>
      </c>
      <c r="AC20" s="46" t="s">
        <v>1679</v>
      </c>
      <c r="AD20" s="46" t="s">
        <v>2035</v>
      </c>
      <c r="AE20" s="46" t="s">
        <v>1020</v>
      </c>
      <c r="AF20" s="46" t="s">
        <v>1020</v>
      </c>
      <c r="AG20" s="46" t="s">
        <v>2036</v>
      </c>
      <c r="AH20" s="46" t="s">
        <v>2451</v>
      </c>
      <c r="AI20" s="46" t="s">
        <v>2411</v>
      </c>
      <c r="AJ20" s="46" t="s">
        <v>2942</v>
      </c>
      <c r="AK20" s="46">
        <v>11</v>
      </c>
      <c r="AL20" s="46">
        <v>100</v>
      </c>
      <c r="AM20" s="46">
        <v>0</v>
      </c>
      <c r="AN20" s="46" t="s">
        <v>2406</v>
      </c>
      <c r="AO20" s="46" t="s">
        <v>2943</v>
      </c>
      <c r="AP20" s="46" t="s">
        <v>1021</v>
      </c>
      <c r="AQ20" s="46" t="s">
        <v>1021</v>
      </c>
      <c r="AR20" s="46" t="s">
        <v>2944</v>
      </c>
      <c r="AT20" s="48" t="s">
        <v>310</v>
      </c>
      <c r="AU20" s="41">
        <v>0.12540000000000001</v>
      </c>
      <c r="AV20" s="41"/>
      <c r="AW20" s="50">
        <v>0.129</v>
      </c>
      <c r="AX20" s="50">
        <v>0.14199999999999999</v>
      </c>
      <c r="AY20" s="50">
        <v>0.13700000000000001</v>
      </c>
      <c r="AZ20" s="50">
        <v>0.14199999999999999</v>
      </c>
      <c r="BA20" s="43"/>
      <c r="BB20" s="50">
        <v>0.13600000000000001</v>
      </c>
      <c r="BC20" s="50">
        <v>0.11</v>
      </c>
      <c r="BD20" s="43"/>
      <c r="BE20" s="41">
        <v>8190</v>
      </c>
      <c r="BF20" s="41">
        <v>36558</v>
      </c>
      <c r="BG20" s="51">
        <v>1</v>
      </c>
      <c r="BH20" s="51">
        <v>1</v>
      </c>
      <c r="BI20" s="52" t="s">
        <v>3286</v>
      </c>
      <c r="BJ20" s="41"/>
      <c r="BK20" s="41">
        <v>2736</v>
      </c>
      <c r="BL20" s="41">
        <v>61634</v>
      </c>
      <c r="BM20" s="51">
        <v>0</v>
      </c>
      <c r="BN20" s="51">
        <v>1</v>
      </c>
      <c r="BO20" s="52" t="s">
        <v>3286</v>
      </c>
      <c r="BP20" s="52" t="s">
        <v>3286</v>
      </c>
      <c r="BQ20" s="43"/>
      <c r="BR20" s="41">
        <v>-7.3899999999999993E-2</v>
      </c>
      <c r="BS20" s="41">
        <v>-7.8899999999999998E-2</v>
      </c>
      <c r="BT20" s="52" t="s">
        <v>3288</v>
      </c>
      <c r="BU20" s="52" t="s">
        <v>3288</v>
      </c>
      <c r="BV20" s="41"/>
      <c r="BW20" s="50">
        <v>0.124</v>
      </c>
      <c r="BX20" s="50">
        <v>0.17499999999999999</v>
      </c>
      <c r="BY20" s="41"/>
    </row>
    <row r="21" spans="1:77">
      <c r="A21" s="148">
        <v>3.02</v>
      </c>
      <c r="B21" s="141" t="s">
        <v>424</v>
      </c>
      <c r="C21" s="86" t="s">
        <v>499</v>
      </c>
      <c r="D21" s="133" t="s">
        <v>313</v>
      </c>
      <c r="E21" s="80" t="s">
        <v>314</v>
      </c>
      <c r="F21" s="46" t="s">
        <v>313</v>
      </c>
      <c r="G21" s="46" t="s">
        <v>1059</v>
      </c>
      <c r="H21" s="46" t="s">
        <v>1060</v>
      </c>
      <c r="I21" s="46" t="s">
        <v>3377</v>
      </c>
      <c r="J21" s="46" t="s">
        <v>3361</v>
      </c>
      <c r="K21" s="46" t="s">
        <v>313</v>
      </c>
      <c r="L21" s="46">
        <v>5</v>
      </c>
      <c r="N21" s="46" t="s">
        <v>3461</v>
      </c>
      <c r="O21" s="46" t="s">
        <v>313</v>
      </c>
      <c r="P21" s="46">
        <v>3</v>
      </c>
      <c r="R21" s="46" t="s">
        <v>3645</v>
      </c>
      <c r="S21" s="46" t="s">
        <v>313</v>
      </c>
      <c r="T21" s="46">
        <v>1</v>
      </c>
      <c r="V21" s="46" t="s">
        <v>1291</v>
      </c>
      <c r="W21" s="46" t="s">
        <v>1602</v>
      </c>
      <c r="X21" s="46" t="s">
        <v>1413</v>
      </c>
      <c r="Y21" s="46" t="s">
        <v>2040</v>
      </c>
      <c r="Z21" s="46">
        <v>17</v>
      </c>
      <c r="AA21" s="46">
        <v>97.6</v>
      </c>
      <c r="AB21" s="46">
        <v>7</v>
      </c>
      <c r="AC21" s="46" t="s">
        <v>1679</v>
      </c>
      <c r="AD21" s="46" t="s">
        <v>2041</v>
      </c>
      <c r="AE21" s="46" t="s">
        <v>1059</v>
      </c>
      <c r="AF21" s="46" t="s">
        <v>1059</v>
      </c>
      <c r="AG21" s="46" t="s">
        <v>2042</v>
      </c>
      <c r="AH21" s="46" t="s">
        <v>2451</v>
      </c>
      <c r="AI21" s="46" t="s">
        <v>2411</v>
      </c>
      <c r="AJ21" s="46" t="s">
        <v>2948</v>
      </c>
      <c r="AK21" s="46">
        <v>10</v>
      </c>
      <c r="AL21" s="46">
        <v>95.8</v>
      </c>
      <c r="AM21" s="46">
        <v>12</v>
      </c>
      <c r="AN21" s="46" t="s">
        <v>2406</v>
      </c>
      <c r="AO21" s="46" t="s">
        <v>2949</v>
      </c>
      <c r="AP21" s="46" t="s">
        <v>1060</v>
      </c>
      <c r="AQ21" s="46" t="s">
        <v>1060</v>
      </c>
      <c r="AR21" s="46" t="s">
        <v>2950</v>
      </c>
      <c r="AT21" s="48" t="s">
        <v>314</v>
      </c>
      <c r="AU21" s="41">
        <v>7.4520000000000003E-2</v>
      </c>
      <c r="AV21" s="41"/>
      <c r="AW21" s="55">
        <v>3.57</v>
      </c>
      <c r="AX21" s="55">
        <v>3.4910000000000001</v>
      </c>
      <c r="AY21" s="55">
        <v>3.5579999999999998</v>
      </c>
      <c r="AZ21" s="50">
        <v>0.13300000000000001</v>
      </c>
      <c r="BA21" s="43"/>
      <c r="BB21" s="55">
        <v>3.4670000000000001</v>
      </c>
      <c r="BC21" s="58">
        <v>2.226</v>
      </c>
      <c r="BD21" s="43"/>
      <c r="BE21" s="41">
        <v>8182</v>
      </c>
      <c r="BF21" s="41">
        <v>104425.5</v>
      </c>
      <c r="BG21" s="51">
        <v>1</v>
      </c>
      <c r="BH21" s="51">
        <v>1</v>
      </c>
      <c r="BI21" s="52" t="s">
        <v>3286</v>
      </c>
      <c r="BJ21" s="41"/>
      <c r="BK21" s="41">
        <v>4711</v>
      </c>
      <c r="BL21" s="41">
        <v>143776</v>
      </c>
      <c r="BM21" s="51">
        <v>1</v>
      </c>
      <c r="BN21" s="51">
        <v>1</v>
      </c>
      <c r="BO21" s="52" t="s">
        <v>3286</v>
      </c>
      <c r="BP21" s="52" t="s">
        <v>3286</v>
      </c>
      <c r="BQ21" s="43"/>
      <c r="BR21" s="41">
        <v>-7.1599999999999997E-2</v>
      </c>
      <c r="BS21" s="41">
        <v>-4.1000000000000002E-2</v>
      </c>
      <c r="BT21" s="52" t="s">
        <v>3288</v>
      </c>
      <c r="BU21" s="52" t="s">
        <v>3288</v>
      </c>
      <c r="BV21" s="41"/>
      <c r="BW21" s="58">
        <v>2.883</v>
      </c>
      <c r="BX21" s="55">
        <v>3.5329999999999999</v>
      </c>
      <c r="BY21" s="41"/>
    </row>
    <row r="22" spans="1:77">
      <c r="A22" s="148">
        <v>3.02</v>
      </c>
      <c r="B22" s="141" t="s">
        <v>424</v>
      </c>
      <c r="C22" s="86" t="s">
        <v>499</v>
      </c>
      <c r="D22" s="133" t="s">
        <v>308</v>
      </c>
      <c r="E22" s="80" t="s">
        <v>308</v>
      </c>
      <c r="F22" s="46" t="s">
        <v>308</v>
      </c>
      <c r="G22" s="46" t="s">
        <v>811</v>
      </c>
      <c r="H22" s="46" t="s">
        <v>812</v>
      </c>
      <c r="I22" s="46" t="s">
        <v>3377</v>
      </c>
      <c r="J22" s="46" t="s">
        <v>3361</v>
      </c>
      <c r="K22" s="46" t="s">
        <v>308</v>
      </c>
      <c r="L22" s="46">
        <v>5</v>
      </c>
      <c r="N22" s="46" t="s">
        <v>3469</v>
      </c>
      <c r="O22" s="46" t="s">
        <v>308</v>
      </c>
      <c r="P22" s="46">
        <v>1</v>
      </c>
      <c r="R22" s="46" t="s">
        <v>3607</v>
      </c>
      <c r="S22" s="46" t="s">
        <v>308</v>
      </c>
      <c r="T22" s="46">
        <v>1</v>
      </c>
      <c r="V22" s="46" t="s">
        <v>1288</v>
      </c>
      <c r="W22" s="46" t="s">
        <v>1602</v>
      </c>
      <c r="X22" s="46" t="s">
        <v>1413</v>
      </c>
      <c r="Y22" s="46" t="s">
        <v>2030</v>
      </c>
      <c r="Z22" s="46">
        <v>17</v>
      </c>
      <c r="AA22" s="46">
        <v>95.6</v>
      </c>
      <c r="AB22" s="46">
        <v>13</v>
      </c>
      <c r="AC22" s="46" t="s">
        <v>1563</v>
      </c>
      <c r="AD22" s="46" t="s">
        <v>2031</v>
      </c>
      <c r="AE22" s="46" t="s">
        <v>2032</v>
      </c>
      <c r="AF22" s="46" t="s">
        <v>811</v>
      </c>
      <c r="AG22" s="46" t="s">
        <v>2033</v>
      </c>
      <c r="AH22" s="46" t="s">
        <v>2451</v>
      </c>
      <c r="AI22" s="46" t="s">
        <v>2411</v>
      </c>
      <c r="AJ22" s="46" t="s">
        <v>2936</v>
      </c>
      <c r="AK22" s="46">
        <v>10</v>
      </c>
      <c r="AL22" s="46">
        <v>99</v>
      </c>
      <c r="AM22" s="46">
        <v>3</v>
      </c>
      <c r="AN22" s="46" t="s">
        <v>2406</v>
      </c>
      <c r="AO22" s="46" t="s">
        <v>2937</v>
      </c>
      <c r="AP22" s="46" t="s">
        <v>2940</v>
      </c>
      <c r="AQ22" s="46" t="s">
        <v>812</v>
      </c>
      <c r="AR22" s="46" t="s">
        <v>2941</v>
      </c>
      <c r="AT22" s="48" t="s">
        <v>308</v>
      </c>
      <c r="AU22" s="41">
        <v>0.15609999999999999</v>
      </c>
      <c r="AV22" s="41"/>
      <c r="AW22" s="55">
        <v>3.5390000000000001</v>
      </c>
      <c r="AX22" s="55">
        <v>3.5489999999999999</v>
      </c>
      <c r="AY22" s="49">
        <v>3.379</v>
      </c>
      <c r="AZ22" s="50">
        <v>0.13200000000000001</v>
      </c>
      <c r="BA22" s="43"/>
      <c r="BB22" s="55">
        <v>3.5449999999999999</v>
      </c>
      <c r="BC22" s="58">
        <v>2.1070000000000002</v>
      </c>
      <c r="BD22" s="43"/>
      <c r="BE22" s="41">
        <v>27805</v>
      </c>
      <c r="BF22" s="41">
        <v>73273</v>
      </c>
      <c r="BG22" s="51">
        <v>1</v>
      </c>
      <c r="BH22" s="51">
        <v>1</v>
      </c>
      <c r="BI22" s="52" t="s">
        <v>3286</v>
      </c>
      <c r="BJ22" s="41"/>
      <c r="BK22" s="41">
        <v>3846.5</v>
      </c>
      <c r="BL22" s="41">
        <v>98376.5</v>
      </c>
      <c r="BM22" s="51">
        <v>0</v>
      </c>
      <c r="BN22" s="51">
        <v>1</v>
      </c>
      <c r="BO22" s="52" t="s">
        <v>3286</v>
      </c>
      <c r="BP22" s="52" t="s">
        <v>3286</v>
      </c>
      <c r="BQ22" s="43"/>
      <c r="BR22" s="41">
        <v>1.35E-2</v>
      </c>
      <c r="BS22" s="41">
        <v>1.21E-2</v>
      </c>
      <c r="BT22" s="52" t="s">
        <v>3288</v>
      </c>
      <c r="BU22" s="52" t="s">
        <v>3288</v>
      </c>
      <c r="BV22" s="41"/>
      <c r="BW22" s="58">
        <v>3.101</v>
      </c>
      <c r="BX22" s="55">
        <v>3.5230000000000001</v>
      </c>
      <c r="BY22" s="41"/>
    </row>
    <row r="23" spans="1:77" s="40" customFormat="1" ht="17" thickBot="1">
      <c r="A23" s="149">
        <v>3.02</v>
      </c>
      <c r="B23" s="142" t="s">
        <v>424</v>
      </c>
      <c r="C23" s="121" t="s">
        <v>499</v>
      </c>
      <c r="D23" s="134" t="s">
        <v>311</v>
      </c>
      <c r="E23" s="84" t="s">
        <v>312</v>
      </c>
      <c r="F23" s="40" t="s">
        <v>311</v>
      </c>
      <c r="G23" s="40" t="s">
        <v>1034</v>
      </c>
      <c r="H23" s="40" t="s">
        <v>1035</v>
      </c>
      <c r="I23" s="40" t="s">
        <v>3377</v>
      </c>
      <c r="J23" s="40" t="s">
        <v>3361</v>
      </c>
      <c r="K23" s="40" t="s">
        <v>311</v>
      </c>
      <c r="L23" s="40">
        <v>5</v>
      </c>
      <c r="N23" s="40" t="s">
        <v>3487</v>
      </c>
      <c r="O23" s="40" t="s">
        <v>311</v>
      </c>
      <c r="P23" s="40">
        <v>1</v>
      </c>
      <c r="R23" s="40" t="s">
        <v>3636</v>
      </c>
      <c r="S23" s="40" t="s">
        <v>311</v>
      </c>
      <c r="T23" s="40">
        <v>1</v>
      </c>
      <c r="V23" s="40" t="s">
        <v>1290</v>
      </c>
      <c r="W23" s="40" t="s">
        <v>1602</v>
      </c>
      <c r="X23" s="40" t="s">
        <v>1413</v>
      </c>
      <c r="Y23" s="40" t="s">
        <v>2037</v>
      </c>
      <c r="Z23" s="40">
        <v>17</v>
      </c>
      <c r="AA23" s="40">
        <v>93.9</v>
      </c>
      <c r="AB23" s="40">
        <v>18</v>
      </c>
      <c r="AC23" s="40" t="s">
        <v>1567</v>
      </c>
      <c r="AD23" s="40" t="s">
        <v>2038</v>
      </c>
      <c r="AE23" s="40" t="s">
        <v>1034</v>
      </c>
      <c r="AF23" s="40" t="s">
        <v>1034</v>
      </c>
      <c r="AG23" s="40" t="s">
        <v>2039</v>
      </c>
      <c r="AH23" s="40" t="s">
        <v>2451</v>
      </c>
      <c r="AI23" s="40" t="s">
        <v>2411</v>
      </c>
      <c r="AJ23" s="40" t="s">
        <v>2945</v>
      </c>
      <c r="AK23" s="40">
        <v>10</v>
      </c>
      <c r="AL23" s="40">
        <v>95.8</v>
      </c>
      <c r="AM23" s="40">
        <v>12</v>
      </c>
      <c r="AN23" s="40" t="s">
        <v>2406</v>
      </c>
      <c r="AO23" s="40" t="s">
        <v>2946</v>
      </c>
      <c r="AP23" s="40" t="s">
        <v>1035</v>
      </c>
      <c r="AQ23" s="40" t="s">
        <v>1035</v>
      </c>
      <c r="AR23" s="40" t="s">
        <v>2947</v>
      </c>
      <c r="AT23" s="85" t="s">
        <v>312</v>
      </c>
      <c r="AU23" s="35">
        <v>0.1013</v>
      </c>
      <c r="AV23" s="35"/>
      <c r="AW23" s="102">
        <v>3.48</v>
      </c>
      <c r="AX23" s="102">
        <v>3.552</v>
      </c>
      <c r="AY23" s="103">
        <v>2.7229999999999999</v>
      </c>
      <c r="AZ23" s="90">
        <v>0.124</v>
      </c>
      <c r="BA23" s="37"/>
      <c r="BB23" s="102">
        <v>3.5110000000000001</v>
      </c>
      <c r="BC23" s="107">
        <v>1.9019999999999999</v>
      </c>
      <c r="BD23" s="37"/>
      <c r="BE23" s="35">
        <v>9654</v>
      </c>
      <c r="BF23" s="35">
        <v>128771.5</v>
      </c>
      <c r="BG23" s="93">
        <v>1</v>
      </c>
      <c r="BH23" s="93">
        <v>1</v>
      </c>
      <c r="BI23" s="94" t="s">
        <v>3286</v>
      </c>
      <c r="BJ23" s="35"/>
      <c r="BK23" s="35">
        <v>3151.5</v>
      </c>
      <c r="BL23" s="35">
        <v>131926</v>
      </c>
      <c r="BM23" s="93">
        <v>0</v>
      </c>
      <c r="BN23" s="93">
        <v>1</v>
      </c>
      <c r="BO23" s="94" t="s">
        <v>3286</v>
      </c>
      <c r="BP23" s="94" t="s">
        <v>3286</v>
      </c>
      <c r="BQ23" s="37"/>
      <c r="BR23" s="35">
        <v>-0.1103</v>
      </c>
      <c r="BS23" s="35">
        <v>9.9000000000000008E-3</v>
      </c>
      <c r="BT23" s="94" t="s">
        <v>3288</v>
      </c>
      <c r="BU23" s="94" t="s">
        <v>3288</v>
      </c>
      <c r="BV23" s="35"/>
      <c r="BW23" s="96">
        <v>1.7390000000000001</v>
      </c>
      <c r="BX23" s="102">
        <v>3.581</v>
      </c>
      <c r="BY23" s="35"/>
    </row>
    <row r="24" spans="1:77" s="81" customFormat="1">
      <c r="A24" s="147">
        <v>3.03</v>
      </c>
      <c r="B24" s="140" t="s">
        <v>425</v>
      </c>
      <c r="C24" s="120" t="s">
        <v>500</v>
      </c>
      <c r="D24" s="132" t="s">
        <v>317</v>
      </c>
      <c r="E24" s="82" t="s">
        <v>317</v>
      </c>
      <c r="F24" s="81" t="s">
        <v>317</v>
      </c>
      <c r="G24" s="81" t="s">
        <v>990</v>
      </c>
      <c r="H24" s="81" t="s">
        <v>991</v>
      </c>
      <c r="I24" s="81" t="s">
        <v>3377</v>
      </c>
      <c r="J24" s="81" t="s">
        <v>3372</v>
      </c>
      <c r="K24" s="81" t="s">
        <v>317</v>
      </c>
      <c r="L24" s="81">
        <v>5</v>
      </c>
      <c r="N24" s="81" t="s">
        <v>3489</v>
      </c>
      <c r="O24" s="81" t="s">
        <v>317</v>
      </c>
      <c r="P24" s="81">
        <v>5</v>
      </c>
      <c r="R24" s="81" t="s">
        <v>3666</v>
      </c>
      <c r="S24" s="81" t="s">
        <v>317</v>
      </c>
      <c r="T24" s="81">
        <v>3</v>
      </c>
      <c r="V24" s="81" t="s">
        <v>1293</v>
      </c>
      <c r="W24" s="81" t="s">
        <v>1844</v>
      </c>
      <c r="X24" s="81" t="s">
        <v>1413</v>
      </c>
      <c r="Y24" s="81" t="s">
        <v>2046</v>
      </c>
      <c r="Z24" s="81">
        <v>6</v>
      </c>
      <c r="AA24" s="81">
        <v>93.3</v>
      </c>
      <c r="AB24" s="81">
        <v>20</v>
      </c>
      <c r="AC24" s="81" t="s">
        <v>1414</v>
      </c>
      <c r="AD24" s="81" t="s">
        <v>2047</v>
      </c>
      <c r="AE24" s="81" t="s">
        <v>990</v>
      </c>
      <c r="AF24" s="81" t="s">
        <v>990</v>
      </c>
      <c r="AG24" s="81" t="s">
        <v>2048</v>
      </c>
      <c r="AH24" s="81" t="s">
        <v>2451</v>
      </c>
      <c r="AI24" s="81" t="s">
        <v>2452</v>
      </c>
      <c r="AJ24" s="81" t="s">
        <v>2954</v>
      </c>
      <c r="AK24" s="81">
        <v>9</v>
      </c>
      <c r="AL24" s="81">
        <v>96.8</v>
      </c>
      <c r="AM24" s="81">
        <v>9</v>
      </c>
      <c r="AN24" s="81" t="s">
        <v>2406</v>
      </c>
      <c r="AO24" s="81" t="s">
        <v>2955</v>
      </c>
      <c r="AP24" s="81" t="s">
        <v>991</v>
      </c>
      <c r="AQ24" s="81" t="s">
        <v>991</v>
      </c>
      <c r="AR24" s="81" t="s">
        <v>2956</v>
      </c>
      <c r="AT24" s="83" t="s">
        <v>317</v>
      </c>
      <c r="AU24" s="33">
        <v>0.60040000000000004</v>
      </c>
      <c r="AV24" s="33"/>
      <c r="AW24" s="100">
        <v>3.5990000000000002</v>
      </c>
      <c r="AX24" s="100">
        <v>3.5369999999999999</v>
      </c>
      <c r="AY24" s="100">
        <v>3.5459999999999998</v>
      </c>
      <c r="AZ24" s="87">
        <v>0.26600000000000001</v>
      </c>
      <c r="BA24" s="34"/>
      <c r="BB24" s="87">
        <v>0.11700000000000001</v>
      </c>
      <c r="BC24" s="87">
        <v>0.10299999999999999</v>
      </c>
      <c r="BD24" s="34"/>
      <c r="BE24" s="33">
        <v>7933.5</v>
      </c>
      <c r="BF24" s="33">
        <v>1757</v>
      </c>
      <c r="BG24" s="88">
        <v>0</v>
      </c>
      <c r="BH24" s="88">
        <v>0</v>
      </c>
      <c r="BI24" s="89" t="s">
        <v>3285</v>
      </c>
      <c r="BJ24" s="33"/>
      <c r="BK24" s="33">
        <v>2393</v>
      </c>
      <c r="BL24" s="33">
        <v>1997</v>
      </c>
      <c r="BM24" s="88">
        <v>0</v>
      </c>
      <c r="BN24" s="88">
        <v>0</v>
      </c>
      <c r="BO24" s="89" t="s">
        <v>3289</v>
      </c>
      <c r="BP24" s="89" t="s">
        <v>3287</v>
      </c>
      <c r="BQ24" s="34"/>
      <c r="BR24" s="33">
        <v>-0.13689999999999999</v>
      </c>
      <c r="BS24" s="33">
        <v>-4.2099999999999999E-2</v>
      </c>
      <c r="BT24" s="89" t="s">
        <v>3288</v>
      </c>
      <c r="BU24" s="89" t="s">
        <v>3288</v>
      </c>
      <c r="BV24" s="33"/>
      <c r="BW24" s="101">
        <v>2.7149999999999999</v>
      </c>
      <c r="BX24" s="116">
        <v>0.79300000000000004</v>
      </c>
      <c r="BY24" s="33"/>
    </row>
    <row r="25" spans="1:77">
      <c r="A25" s="148">
        <v>3.03</v>
      </c>
      <c r="B25" s="141" t="s">
        <v>425</v>
      </c>
      <c r="C25" s="86" t="s">
        <v>500</v>
      </c>
      <c r="D25" s="133" t="s">
        <v>319</v>
      </c>
      <c r="E25" s="80" t="s">
        <v>319</v>
      </c>
      <c r="F25" s="46" t="s">
        <v>319</v>
      </c>
      <c r="G25" s="46" t="s">
        <v>1012</v>
      </c>
      <c r="H25" s="46" t="s">
        <v>1013</v>
      </c>
      <c r="I25" s="46" t="s">
        <v>3377</v>
      </c>
      <c r="J25" s="46" t="s">
        <v>3372</v>
      </c>
      <c r="K25" s="46" t="s">
        <v>319</v>
      </c>
      <c r="L25" s="46">
        <v>5</v>
      </c>
      <c r="N25" s="46" t="s">
        <v>3489</v>
      </c>
      <c r="O25" s="46" t="s">
        <v>319</v>
      </c>
      <c r="P25" s="46">
        <v>5</v>
      </c>
      <c r="R25" s="46" t="s">
        <v>3666</v>
      </c>
      <c r="S25" s="46" t="s">
        <v>3675</v>
      </c>
      <c r="T25" s="46">
        <v>3</v>
      </c>
      <c r="V25" s="46" t="s">
        <v>1297</v>
      </c>
      <c r="W25" s="46" t="s">
        <v>1844</v>
      </c>
      <c r="X25" s="46" t="s">
        <v>1413</v>
      </c>
      <c r="Y25" s="46" t="s">
        <v>2060</v>
      </c>
      <c r="Z25" s="46">
        <v>6</v>
      </c>
      <c r="AA25" s="46">
        <v>98.7</v>
      </c>
      <c r="AB25" s="46">
        <v>4</v>
      </c>
      <c r="AC25" s="46" t="s">
        <v>1414</v>
      </c>
      <c r="AD25" s="46" t="s">
        <v>2061</v>
      </c>
      <c r="AE25" s="46" t="s">
        <v>1012</v>
      </c>
      <c r="AF25" s="46" t="s">
        <v>1012</v>
      </c>
      <c r="AG25" s="46" t="s">
        <v>2062</v>
      </c>
      <c r="AH25" s="46" t="s">
        <v>2451</v>
      </c>
      <c r="AI25" s="46" t="s">
        <v>2452</v>
      </c>
      <c r="AJ25" s="46" t="s">
        <v>2967</v>
      </c>
      <c r="AK25" s="46">
        <v>9</v>
      </c>
      <c r="AL25" s="46">
        <v>100</v>
      </c>
      <c r="AM25" s="46">
        <v>0</v>
      </c>
      <c r="AN25" s="46" t="s">
        <v>2406</v>
      </c>
      <c r="AO25" s="46" t="s">
        <v>2968</v>
      </c>
      <c r="AP25" s="46" t="s">
        <v>1013</v>
      </c>
      <c r="AQ25" s="46" t="s">
        <v>1013</v>
      </c>
      <c r="AR25" s="46" t="s">
        <v>2969</v>
      </c>
      <c r="AT25" s="48" t="s">
        <v>319</v>
      </c>
      <c r="AU25" s="41">
        <v>0.2334</v>
      </c>
      <c r="AV25" s="41" t="s">
        <v>3294</v>
      </c>
      <c r="AW25" s="55">
        <v>3.5539999999999998</v>
      </c>
      <c r="AX25" s="58">
        <v>3.0169999999999999</v>
      </c>
      <c r="AY25" s="55">
        <v>3.5739999999999998</v>
      </c>
      <c r="AZ25" s="50">
        <v>0.34300000000000003</v>
      </c>
      <c r="BA25" s="43"/>
      <c r="BB25" s="50">
        <v>0.11799999999999999</v>
      </c>
      <c r="BC25" s="50">
        <v>0.11799999999999999</v>
      </c>
      <c r="BD25" s="43"/>
      <c r="BE25" s="41">
        <v>33066</v>
      </c>
      <c r="BF25" s="41">
        <v>1846</v>
      </c>
      <c r="BG25" s="51">
        <v>1</v>
      </c>
      <c r="BH25" s="51">
        <v>0</v>
      </c>
      <c r="BI25" s="52" t="s">
        <v>3285</v>
      </c>
      <c r="BJ25" s="41"/>
      <c r="BK25" s="41">
        <v>4922</v>
      </c>
      <c r="BL25" s="41">
        <v>2257</v>
      </c>
      <c r="BM25" s="51">
        <v>1</v>
      </c>
      <c r="BN25" s="51">
        <v>0</v>
      </c>
      <c r="BO25" s="52" t="s">
        <v>3285</v>
      </c>
      <c r="BP25" s="52" t="s">
        <v>3285</v>
      </c>
      <c r="BQ25" s="43"/>
      <c r="BR25" s="41">
        <v>-0.10929999999999999</v>
      </c>
      <c r="BS25" s="41">
        <v>-4.2099999999999999E-2</v>
      </c>
      <c r="BT25" s="52" t="s">
        <v>3288</v>
      </c>
      <c r="BU25" s="52" t="s">
        <v>3288</v>
      </c>
      <c r="BV25" s="41"/>
      <c r="BW25" s="68">
        <v>1.4570000000000001</v>
      </c>
      <c r="BX25" s="50">
        <v>0.33900000000000002</v>
      </c>
      <c r="BY25" s="41"/>
    </row>
    <row r="26" spans="1:77">
      <c r="A26" s="148">
        <v>3.03</v>
      </c>
      <c r="B26" s="141" t="s">
        <v>425</v>
      </c>
      <c r="C26" s="86" t="s">
        <v>500</v>
      </c>
      <c r="D26" s="133" t="s">
        <v>320</v>
      </c>
      <c r="E26" s="80" t="s">
        <v>320</v>
      </c>
      <c r="F26" s="46" t="s">
        <v>320</v>
      </c>
      <c r="G26" s="46" t="s">
        <v>1014</v>
      </c>
      <c r="H26" s="46" t="s">
        <v>1015</v>
      </c>
      <c r="I26" s="46" t="s">
        <v>3377</v>
      </c>
      <c r="J26" s="46" t="s">
        <v>3372</v>
      </c>
      <c r="K26" s="46" t="s">
        <v>320</v>
      </c>
      <c r="L26" s="46">
        <v>5</v>
      </c>
      <c r="N26" s="46" t="s">
        <v>3489</v>
      </c>
      <c r="O26" s="46" t="s">
        <v>320</v>
      </c>
      <c r="P26" s="46">
        <v>5</v>
      </c>
      <c r="R26" s="46" t="s">
        <v>3666</v>
      </c>
      <c r="S26" s="46" t="s">
        <v>320</v>
      </c>
      <c r="T26" s="46">
        <v>3</v>
      </c>
      <c r="V26" s="46" t="s">
        <v>1298</v>
      </c>
      <c r="W26" s="46" t="s">
        <v>1844</v>
      </c>
      <c r="X26" s="46" t="s">
        <v>1413</v>
      </c>
      <c r="Y26" s="46" t="s">
        <v>2063</v>
      </c>
      <c r="Z26" s="46">
        <v>6</v>
      </c>
      <c r="AA26" s="46">
        <v>93.6</v>
      </c>
      <c r="AB26" s="46">
        <v>19</v>
      </c>
      <c r="AC26" s="46" t="s">
        <v>1414</v>
      </c>
      <c r="AD26" s="46" t="s">
        <v>2064</v>
      </c>
      <c r="AE26" s="46" t="s">
        <v>1014</v>
      </c>
      <c r="AF26" s="46" t="s">
        <v>1014</v>
      </c>
      <c r="AG26" s="46" t="s">
        <v>2065</v>
      </c>
      <c r="AH26" s="46" t="s">
        <v>2451</v>
      </c>
      <c r="AI26" s="46" t="s">
        <v>2452</v>
      </c>
      <c r="AJ26" s="46" t="s">
        <v>2951</v>
      </c>
      <c r="AK26" s="46">
        <v>9</v>
      </c>
      <c r="AL26" s="46">
        <v>94.7</v>
      </c>
      <c r="AM26" s="46">
        <v>15</v>
      </c>
      <c r="AN26" s="46" t="s">
        <v>2406</v>
      </c>
      <c r="AO26" s="46" t="s">
        <v>2970</v>
      </c>
      <c r="AP26" s="46" t="s">
        <v>1015</v>
      </c>
      <c r="AQ26" s="46" t="s">
        <v>1015</v>
      </c>
      <c r="AR26" s="46" t="s">
        <v>2971</v>
      </c>
      <c r="AT26" s="48" t="s">
        <v>320</v>
      </c>
      <c r="AU26" s="41">
        <v>0.26929999999999998</v>
      </c>
      <c r="AV26" s="41" t="s">
        <v>3291</v>
      </c>
      <c r="AW26" s="55">
        <v>3.5259999999999998</v>
      </c>
      <c r="AX26" s="49">
        <v>3.4319999999999999</v>
      </c>
      <c r="AY26" s="55">
        <v>3.5310000000000001</v>
      </c>
      <c r="AZ26" s="50">
        <v>0.35299999999999998</v>
      </c>
      <c r="BA26" s="43"/>
      <c r="BB26" s="50">
        <v>0.124</v>
      </c>
      <c r="BC26" s="50">
        <v>0.108</v>
      </c>
      <c r="BD26" s="43"/>
      <c r="BE26" s="41">
        <v>25541</v>
      </c>
      <c r="BF26" s="41">
        <v>2210</v>
      </c>
      <c r="BG26" s="51">
        <v>1</v>
      </c>
      <c r="BH26" s="51">
        <v>0</v>
      </c>
      <c r="BI26" s="52" t="s">
        <v>3285</v>
      </c>
      <c r="BJ26" s="41"/>
      <c r="BK26" s="41">
        <v>3439.5</v>
      </c>
      <c r="BL26" s="41">
        <v>2288</v>
      </c>
      <c r="BM26" s="51">
        <v>0</v>
      </c>
      <c r="BN26" s="51">
        <v>0</v>
      </c>
      <c r="BO26" s="52" t="s">
        <v>3285</v>
      </c>
      <c r="BP26" s="52" t="s">
        <v>3285</v>
      </c>
      <c r="BQ26" s="43"/>
      <c r="BR26" s="41">
        <v>-8.3799999999999999E-2</v>
      </c>
      <c r="BS26" s="41">
        <v>-3.9600000000000003E-2</v>
      </c>
      <c r="BT26" s="52" t="s">
        <v>3288</v>
      </c>
      <c r="BU26" s="52" t="s">
        <v>3288</v>
      </c>
      <c r="BV26" s="41"/>
      <c r="BW26" s="66">
        <v>1.6120000000000001</v>
      </c>
      <c r="BX26" s="50">
        <v>0.307</v>
      </c>
      <c r="BY26" s="41"/>
    </row>
    <row r="27" spans="1:77">
      <c r="A27" s="148">
        <v>3.03</v>
      </c>
      <c r="B27" s="141" t="s">
        <v>425</v>
      </c>
      <c r="C27" s="86" t="s">
        <v>500</v>
      </c>
      <c r="D27" s="133" t="s">
        <v>315</v>
      </c>
      <c r="E27" s="80" t="s">
        <v>316</v>
      </c>
      <c r="F27" s="46" t="s">
        <v>315</v>
      </c>
      <c r="G27" s="46" t="s">
        <v>1041</v>
      </c>
      <c r="H27" s="46" t="s">
        <v>1042</v>
      </c>
      <c r="I27" s="46" t="s">
        <v>3377</v>
      </c>
      <c r="J27" s="46" t="s">
        <v>3372</v>
      </c>
      <c r="K27" s="46" t="s">
        <v>315</v>
      </c>
      <c r="L27" s="46">
        <v>5</v>
      </c>
      <c r="N27" s="46" t="s">
        <v>3489</v>
      </c>
      <c r="O27" s="46" t="s">
        <v>315</v>
      </c>
      <c r="P27" s="46">
        <v>5</v>
      </c>
      <c r="R27" s="46" t="s">
        <v>3638</v>
      </c>
      <c r="S27" s="46" t="s">
        <v>315</v>
      </c>
      <c r="T27" s="46">
        <v>1</v>
      </c>
      <c r="V27" s="46" t="s">
        <v>1292</v>
      </c>
      <c r="W27" s="46" t="s">
        <v>1844</v>
      </c>
      <c r="X27" s="46" t="s">
        <v>1413</v>
      </c>
      <c r="Y27" s="46" t="s">
        <v>2043</v>
      </c>
      <c r="Z27" s="46">
        <v>6</v>
      </c>
      <c r="AA27" s="46">
        <v>95</v>
      </c>
      <c r="AB27" s="46">
        <v>15</v>
      </c>
      <c r="AC27" s="46" t="s">
        <v>1414</v>
      </c>
      <c r="AD27" s="46" t="s">
        <v>2044</v>
      </c>
      <c r="AE27" s="46" t="s">
        <v>1041</v>
      </c>
      <c r="AF27" s="46" t="s">
        <v>1041</v>
      </c>
      <c r="AG27" s="46" t="s">
        <v>2045</v>
      </c>
      <c r="AH27" s="46" t="s">
        <v>2451</v>
      </c>
      <c r="AI27" s="46" t="s">
        <v>2452</v>
      </c>
      <c r="AJ27" s="46" t="s">
        <v>2951</v>
      </c>
      <c r="AK27" s="46">
        <v>9</v>
      </c>
      <c r="AL27" s="46">
        <v>92</v>
      </c>
      <c r="AM27" s="46">
        <v>9</v>
      </c>
      <c r="AN27" s="46" t="s">
        <v>2406</v>
      </c>
      <c r="AO27" s="46" t="s">
        <v>2952</v>
      </c>
      <c r="AP27" s="46" t="s">
        <v>1042</v>
      </c>
      <c r="AQ27" s="46" t="s">
        <v>1042</v>
      </c>
      <c r="AR27" s="46" t="s">
        <v>2953</v>
      </c>
      <c r="AT27" s="48" t="s">
        <v>316</v>
      </c>
      <c r="AU27" s="41">
        <v>0.2492</v>
      </c>
      <c r="AV27" s="41"/>
      <c r="AW27" s="55">
        <v>3.6419999999999999</v>
      </c>
      <c r="AX27" s="55">
        <v>3.629</v>
      </c>
      <c r="AY27" s="55">
        <v>3.6309999999999998</v>
      </c>
      <c r="AZ27" s="57">
        <v>0.69099999999999995</v>
      </c>
      <c r="BA27" s="43"/>
      <c r="BB27" s="50">
        <v>0.126</v>
      </c>
      <c r="BC27" s="50">
        <v>9.0999999999999998E-2</v>
      </c>
      <c r="BD27" s="43"/>
      <c r="BE27" s="41">
        <v>29763</v>
      </c>
      <c r="BF27" s="41">
        <v>1820</v>
      </c>
      <c r="BG27" s="51">
        <v>1</v>
      </c>
      <c r="BH27" s="51">
        <v>0</v>
      </c>
      <c r="BI27" s="52" t="s">
        <v>3285</v>
      </c>
      <c r="BJ27" s="41"/>
      <c r="BK27" s="41">
        <v>3103.5</v>
      </c>
      <c r="BL27" s="41">
        <v>74115</v>
      </c>
      <c r="BM27" s="51">
        <v>0</v>
      </c>
      <c r="BN27" s="51">
        <v>1</v>
      </c>
      <c r="BO27" s="52" t="s">
        <v>3286</v>
      </c>
      <c r="BP27" s="52" t="s">
        <v>3287</v>
      </c>
      <c r="BQ27" s="43"/>
      <c r="BR27" s="41">
        <v>-8.9700000000000002E-2</v>
      </c>
      <c r="BS27" s="41">
        <v>-4.5400000000000003E-2</v>
      </c>
      <c r="BT27" s="52" t="s">
        <v>3288</v>
      </c>
      <c r="BU27" s="52" t="s">
        <v>3288</v>
      </c>
      <c r="BV27" s="41"/>
      <c r="BW27" s="55">
        <v>3.4129999999999998</v>
      </c>
      <c r="BX27" s="60">
        <v>2.4220000000000002</v>
      </c>
      <c r="BY27" s="41"/>
    </row>
    <row r="28" spans="1:77" s="40" customFormat="1" ht="17" thickBot="1">
      <c r="A28" s="149">
        <v>3.03</v>
      </c>
      <c r="B28" s="142" t="s">
        <v>425</v>
      </c>
      <c r="C28" s="121" t="s">
        <v>500</v>
      </c>
      <c r="D28" s="134" t="s">
        <v>318</v>
      </c>
      <c r="E28" s="84" t="s">
        <v>318</v>
      </c>
      <c r="F28" s="40" t="s">
        <v>318</v>
      </c>
      <c r="G28" s="40" t="s">
        <v>992</v>
      </c>
      <c r="H28" s="40" t="s">
        <v>993</v>
      </c>
      <c r="I28" s="40" t="s">
        <v>3377</v>
      </c>
      <c r="J28" s="40" t="s">
        <v>3372</v>
      </c>
      <c r="K28" s="40" t="s">
        <v>318</v>
      </c>
      <c r="L28" s="40">
        <v>5</v>
      </c>
      <c r="N28" s="40" t="s">
        <v>3489</v>
      </c>
      <c r="O28" s="40" t="s">
        <v>318</v>
      </c>
      <c r="P28" s="40">
        <v>5</v>
      </c>
      <c r="R28" s="40" t="s">
        <v>3667</v>
      </c>
      <c r="S28" s="40" t="s">
        <v>318</v>
      </c>
      <c r="T28" s="40">
        <v>1</v>
      </c>
      <c r="V28" s="40" t="s">
        <v>1294</v>
      </c>
      <c r="W28" s="40" t="s">
        <v>1844</v>
      </c>
      <c r="X28" s="40" t="s">
        <v>1413</v>
      </c>
      <c r="Y28" s="40" t="s">
        <v>2049</v>
      </c>
      <c r="Z28" s="40">
        <v>6</v>
      </c>
      <c r="AA28" s="40">
        <v>96.6</v>
      </c>
      <c r="AB28" s="40">
        <v>10</v>
      </c>
      <c r="AC28" s="40" t="s">
        <v>1414</v>
      </c>
      <c r="AD28" s="40" t="s">
        <v>2050</v>
      </c>
      <c r="AE28" s="40" t="s">
        <v>992</v>
      </c>
      <c r="AF28" s="40" t="s">
        <v>992</v>
      </c>
      <c r="AG28" s="40" t="s">
        <v>2051</v>
      </c>
      <c r="AH28" s="40" t="s">
        <v>2451</v>
      </c>
      <c r="AI28" s="40" t="s">
        <v>2452</v>
      </c>
      <c r="AJ28" s="40" t="s">
        <v>2957</v>
      </c>
      <c r="AK28" s="40">
        <v>9</v>
      </c>
      <c r="AL28" s="40">
        <v>96.8</v>
      </c>
      <c r="AM28" s="40">
        <v>9</v>
      </c>
      <c r="AN28" s="40" t="s">
        <v>2406</v>
      </c>
      <c r="AO28" s="40" t="s">
        <v>2958</v>
      </c>
      <c r="AP28" s="40" t="s">
        <v>993</v>
      </c>
      <c r="AQ28" s="40" t="s">
        <v>993</v>
      </c>
      <c r="AR28" s="40" t="s">
        <v>2959</v>
      </c>
      <c r="AT28" s="85" t="s">
        <v>318</v>
      </c>
      <c r="AU28" s="35">
        <v>0.4899</v>
      </c>
      <c r="AV28" s="35"/>
      <c r="AW28" s="102">
        <v>3.5139999999999998</v>
      </c>
      <c r="AX28" s="102">
        <v>3.4870000000000001</v>
      </c>
      <c r="AY28" s="102">
        <v>3.5459999999999998</v>
      </c>
      <c r="AZ28" s="92">
        <v>0.43099999999999999</v>
      </c>
      <c r="BA28" s="37"/>
      <c r="BB28" s="90">
        <v>0.14299999999999999</v>
      </c>
      <c r="BC28" s="90">
        <v>0.104</v>
      </c>
      <c r="BD28" s="37"/>
      <c r="BE28" s="35">
        <v>8749</v>
      </c>
      <c r="BF28" s="35">
        <v>1616</v>
      </c>
      <c r="BG28" s="93">
        <v>1</v>
      </c>
      <c r="BH28" s="93">
        <v>0</v>
      </c>
      <c r="BI28" s="94" t="s">
        <v>3285</v>
      </c>
      <c r="BJ28" s="35"/>
      <c r="BK28" s="35">
        <v>2663</v>
      </c>
      <c r="BL28" s="35">
        <v>2125</v>
      </c>
      <c r="BM28" s="93">
        <v>0</v>
      </c>
      <c r="BN28" s="93">
        <v>0</v>
      </c>
      <c r="BO28" s="94" t="s">
        <v>3285</v>
      </c>
      <c r="BP28" s="94" t="s">
        <v>3285</v>
      </c>
      <c r="BQ28" s="37"/>
      <c r="BR28" s="35">
        <v>-0.1116</v>
      </c>
      <c r="BS28" s="35">
        <v>-4.48E-2</v>
      </c>
      <c r="BT28" s="94" t="s">
        <v>3288</v>
      </c>
      <c r="BU28" s="94" t="s">
        <v>3288</v>
      </c>
      <c r="BV28" s="35"/>
      <c r="BW28" s="91">
        <v>2.3050000000000002</v>
      </c>
      <c r="BX28" s="99">
        <v>0.64200000000000002</v>
      </c>
      <c r="BY28" s="35"/>
    </row>
    <row r="29" spans="1:77" s="81" customFormat="1">
      <c r="A29" s="147">
        <v>3.04</v>
      </c>
      <c r="B29" s="140" t="s">
        <v>426</v>
      </c>
      <c r="C29" s="120" t="s">
        <v>501</v>
      </c>
      <c r="D29" s="132" t="s">
        <v>301</v>
      </c>
      <c r="E29" s="82" t="s">
        <v>302</v>
      </c>
      <c r="F29" s="81" t="s">
        <v>1022</v>
      </c>
      <c r="G29" s="81" t="s">
        <v>1023</v>
      </c>
      <c r="H29" s="81" t="s">
        <v>1024</v>
      </c>
      <c r="I29" s="81" t="s">
        <v>3377</v>
      </c>
      <c r="J29" s="81" t="s">
        <v>3301</v>
      </c>
      <c r="K29" s="81" t="s">
        <v>1022</v>
      </c>
      <c r="L29" s="81">
        <v>13</v>
      </c>
      <c r="N29" s="81" t="s">
        <v>3381</v>
      </c>
      <c r="O29" s="81" t="s">
        <v>1022</v>
      </c>
      <c r="P29" s="81">
        <v>6</v>
      </c>
      <c r="R29" s="81" t="s">
        <v>3505</v>
      </c>
      <c r="S29" s="81" t="s">
        <v>1022</v>
      </c>
      <c r="T29" s="81">
        <v>6</v>
      </c>
      <c r="V29" s="81" t="s">
        <v>1282</v>
      </c>
      <c r="W29" s="81" t="s">
        <v>1452</v>
      </c>
      <c r="X29" s="81" t="s">
        <v>1413</v>
      </c>
      <c r="Y29" s="81" t="s">
        <v>2012</v>
      </c>
      <c r="Z29" s="81">
        <v>18</v>
      </c>
      <c r="AA29" s="81">
        <v>97.6</v>
      </c>
      <c r="AB29" s="81">
        <v>7</v>
      </c>
      <c r="AC29" s="81" t="s">
        <v>1454</v>
      </c>
      <c r="AD29" s="81" t="s">
        <v>2013</v>
      </c>
      <c r="AE29" s="81" t="s">
        <v>1023</v>
      </c>
      <c r="AF29" s="81" t="s">
        <v>1023</v>
      </c>
      <c r="AG29" s="81" t="s">
        <v>2014</v>
      </c>
      <c r="AH29" s="81" t="s">
        <v>2603</v>
      </c>
      <c r="AI29" s="81" t="s">
        <v>2452</v>
      </c>
      <c r="AJ29" s="81" t="s">
        <v>2919</v>
      </c>
      <c r="AK29" s="81">
        <v>9</v>
      </c>
      <c r="AL29" s="81">
        <v>98.5</v>
      </c>
      <c r="AM29" s="81">
        <v>4</v>
      </c>
      <c r="AN29" s="81" t="s">
        <v>2406</v>
      </c>
      <c r="AO29" s="81" t="s">
        <v>2920</v>
      </c>
      <c r="AP29" s="81" t="s">
        <v>1024</v>
      </c>
      <c r="AQ29" s="81" t="s">
        <v>1024</v>
      </c>
      <c r="AR29" s="81" t="s">
        <v>2921</v>
      </c>
      <c r="AT29" s="83" t="s">
        <v>302</v>
      </c>
      <c r="AU29" s="33">
        <v>3.2370000000000003E-2</v>
      </c>
      <c r="AV29" s="33"/>
      <c r="AW29" s="87">
        <v>0.123</v>
      </c>
      <c r="AX29" s="87">
        <v>0.115</v>
      </c>
      <c r="AY29" s="87">
        <v>0.11600000000000001</v>
      </c>
      <c r="AZ29" s="87">
        <v>0.11</v>
      </c>
      <c r="BA29" s="34"/>
      <c r="BB29" s="87">
        <v>0.111</v>
      </c>
      <c r="BC29" s="87">
        <v>9.4E-2</v>
      </c>
      <c r="BD29" s="34"/>
      <c r="BE29" s="33">
        <v>11276</v>
      </c>
      <c r="BF29" s="33">
        <v>387825.5</v>
      </c>
      <c r="BG29" s="88">
        <v>1</v>
      </c>
      <c r="BH29" s="88">
        <v>1</v>
      </c>
      <c r="BI29" s="89" t="s">
        <v>3286</v>
      </c>
      <c r="BJ29" s="33"/>
      <c r="BK29" s="33">
        <v>4481.5</v>
      </c>
      <c r="BL29" s="33">
        <v>200974</v>
      </c>
      <c r="BM29" s="88">
        <v>0</v>
      </c>
      <c r="BN29" s="88">
        <v>1</v>
      </c>
      <c r="BO29" s="89" t="s">
        <v>3286</v>
      </c>
      <c r="BP29" s="89" t="s">
        <v>3286</v>
      </c>
      <c r="BQ29" s="34"/>
      <c r="BR29" s="33">
        <v>-8.3099999999999993E-2</v>
      </c>
      <c r="BS29" s="33">
        <v>-5.57E-2</v>
      </c>
      <c r="BT29" s="89" t="s">
        <v>3288</v>
      </c>
      <c r="BU29" s="89" t="s">
        <v>3288</v>
      </c>
      <c r="BV29" s="33"/>
      <c r="BW29" s="87">
        <v>0.123</v>
      </c>
      <c r="BX29" s="87">
        <v>0.14899999999999999</v>
      </c>
      <c r="BY29" s="33"/>
    </row>
    <row r="30" spans="1:77">
      <c r="A30" s="148">
        <v>3.04</v>
      </c>
      <c r="B30" s="141" t="s">
        <v>426</v>
      </c>
      <c r="C30" s="86" t="s">
        <v>501</v>
      </c>
      <c r="D30" s="133" t="s">
        <v>321</v>
      </c>
      <c r="E30" s="80" t="s">
        <v>321</v>
      </c>
      <c r="F30" s="46" t="s">
        <v>321</v>
      </c>
      <c r="G30" s="46" t="s">
        <v>885</v>
      </c>
      <c r="H30" s="46" t="s">
        <v>886</v>
      </c>
      <c r="I30" s="46" t="s">
        <v>3377</v>
      </c>
      <c r="J30" s="46" t="s">
        <v>3301</v>
      </c>
      <c r="K30" s="46" t="s">
        <v>321</v>
      </c>
      <c r="L30" s="46">
        <v>13</v>
      </c>
      <c r="N30" s="46" t="s">
        <v>3381</v>
      </c>
      <c r="O30" s="46" t="s">
        <v>321</v>
      </c>
      <c r="P30" s="46">
        <v>6</v>
      </c>
      <c r="R30" s="46" t="s">
        <v>3505</v>
      </c>
      <c r="S30" s="46" t="s">
        <v>321</v>
      </c>
      <c r="T30" s="46">
        <v>6</v>
      </c>
      <c r="V30" s="46" t="s">
        <v>1299</v>
      </c>
      <c r="W30" s="46" t="s">
        <v>1452</v>
      </c>
      <c r="X30" s="46" t="s">
        <v>1413</v>
      </c>
      <c r="Y30" s="46" t="s">
        <v>2066</v>
      </c>
      <c r="Z30" s="46">
        <v>18</v>
      </c>
      <c r="AA30" s="46">
        <v>93.8</v>
      </c>
      <c r="AB30" s="46">
        <v>3</v>
      </c>
      <c r="AC30" s="46" t="s">
        <v>1454</v>
      </c>
      <c r="AD30" s="46" t="s">
        <v>2067</v>
      </c>
      <c r="AE30" s="46" t="s">
        <v>2068</v>
      </c>
      <c r="AF30" s="46" t="s">
        <v>885</v>
      </c>
      <c r="AG30" s="46" t="s">
        <v>2069</v>
      </c>
      <c r="AH30" s="46" t="s">
        <v>2603</v>
      </c>
      <c r="AI30" s="46" t="s">
        <v>2452</v>
      </c>
      <c r="AJ30" s="46" t="s">
        <v>2972</v>
      </c>
      <c r="AK30" s="46">
        <v>9</v>
      </c>
      <c r="AL30" s="46">
        <v>99.2</v>
      </c>
      <c r="AM30" s="46">
        <v>2</v>
      </c>
      <c r="AN30" s="46" t="s">
        <v>2406</v>
      </c>
      <c r="AO30" s="46" t="s">
        <v>2973</v>
      </c>
      <c r="AP30" s="46" t="s">
        <v>2974</v>
      </c>
      <c r="AQ30" s="46" t="s">
        <v>886</v>
      </c>
      <c r="AR30" s="46" t="s">
        <v>2975</v>
      </c>
      <c r="AT30" s="48" t="s">
        <v>321</v>
      </c>
      <c r="AU30" s="41">
        <v>0.34760000000000002</v>
      </c>
      <c r="AV30" s="41"/>
      <c r="AW30" s="50">
        <v>0.185</v>
      </c>
      <c r="AX30" s="50">
        <v>0.13400000000000001</v>
      </c>
      <c r="AY30" s="50">
        <v>0.13600000000000001</v>
      </c>
      <c r="AZ30" s="50">
        <v>0.14799999999999999</v>
      </c>
      <c r="BA30" s="43"/>
      <c r="BB30" s="50">
        <v>0.121</v>
      </c>
      <c r="BC30" s="50">
        <v>9.7000000000000003E-2</v>
      </c>
      <c r="BD30" s="43"/>
      <c r="BE30" s="41">
        <v>49171</v>
      </c>
      <c r="BF30" s="41">
        <v>217420</v>
      </c>
      <c r="BG30" s="51">
        <v>1</v>
      </c>
      <c r="BH30" s="51">
        <v>1</v>
      </c>
      <c r="BI30" s="52" t="s">
        <v>3286</v>
      </c>
      <c r="BJ30" s="41"/>
      <c r="BK30" s="41">
        <v>3571</v>
      </c>
      <c r="BL30" s="41">
        <v>48295</v>
      </c>
      <c r="BM30" s="51">
        <v>0</v>
      </c>
      <c r="BN30" s="51">
        <v>1</v>
      </c>
      <c r="BO30" s="52" t="s">
        <v>3286</v>
      </c>
      <c r="BP30" s="52" t="s">
        <v>3286</v>
      </c>
      <c r="BQ30" s="43"/>
      <c r="BR30" s="41">
        <v>0.99709999999999999</v>
      </c>
      <c r="BS30" s="41">
        <v>0.77029999999999998</v>
      </c>
      <c r="BT30" s="52" t="s">
        <v>3290</v>
      </c>
      <c r="BU30" s="52" t="s">
        <v>3290</v>
      </c>
      <c r="BV30" s="41"/>
      <c r="BW30" s="50">
        <v>0.122</v>
      </c>
      <c r="BX30" s="50">
        <v>0.16600000000000001</v>
      </c>
      <c r="BY30" s="41"/>
    </row>
    <row r="31" spans="1:77">
      <c r="A31" s="148">
        <v>3.04</v>
      </c>
      <c r="B31" s="141" t="s">
        <v>426</v>
      </c>
      <c r="C31" s="86" t="s">
        <v>501</v>
      </c>
      <c r="D31" s="133" t="s">
        <v>322</v>
      </c>
      <c r="E31" s="80" t="s">
        <v>322</v>
      </c>
      <c r="F31" s="46" t="s">
        <v>322</v>
      </c>
      <c r="G31" s="46" t="s">
        <v>889</v>
      </c>
      <c r="H31" s="46" t="s">
        <v>890</v>
      </c>
      <c r="I31" s="46" t="s">
        <v>3377</v>
      </c>
      <c r="J31" s="46" t="s">
        <v>3301</v>
      </c>
      <c r="K31" s="46" t="s">
        <v>322</v>
      </c>
      <c r="L31" s="46">
        <v>13</v>
      </c>
      <c r="N31" s="46" t="s">
        <v>3381</v>
      </c>
      <c r="O31" s="46" t="s">
        <v>322</v>
      </c>
      <c r="P31" s="46">
        <v>6</v>
      </c>
      <c r="R31" s="46" t="s">
        <v>3505</v>
      </c>
      <c r="S31" s="46" t="s">
        <v>322</v>
      </c>
      <c r="T31" s="46">
        <v>6</v>
      </c>
      <c r="V31" s="46" t="s">
        <v>1300</v>
      </c>
      <c r="W31" s="46" t="s">
        <v>1452</v>
      </c>
      <c r="X31" s="46" t="s">
        <v>1413</v>
      </c>
      <c r="Y31" s="46" t="s">
        <v>2012</v>
      </c>
      <c r="Z31" s="46">
        <v>18</v>
      </c>
      <c r="AA31" s="46">
        <v>97.8</v>
      </c>
      <c r="AB31" s="46">
        <v>6</v>
      </c>
      <c r="AC31" s="46" t="s">
        <v>1454</v>
      </c>
      <c r="AD31" s="46" t="s">
        <v>2013</v>
      </c>
      <c r="AE31" s="46" t="s">
        <v>2070</v>
      </c>
      <c r="AF31" s="46" t="s">
        <v>889</v>
      </c>
      <c r="AG31" s="46" t="s">
        <v>2071</v>
      </c>
      <c r="AH31" s="46" t="s">
        <v>2603</v>
      </c>
      <c r="AI31" s="46" t="s">
        <v>2452</v>
      </c>
      <c r="AJ31" s="46" t="s">
        <v>2919</v>
      </c>
      <c r="AK31" s="46">
        <v>9</v>
      </c>
      <c r="AL31" s="46">
        <v>98.5</v>
      </c>
      <c r="AM31" s="46">
        <v>4</v>
      </c>
      <c r="AN31" s="46" t="s">
        <v>2406</v>
      </c>
      <c r="AO31" s="46" t="s">
        <v>2920</v>
      </c>
      <c r="AP31" s="46" t="s">
        <v>2976</v>
      </c>
      <c r="AQ31" s="46" t="s">
        <v>890</v>
      </c>
      <c r="AR31" s="46" t="s">
        <v>2921</v>
      </c>
      <c r="AT31" s="48" t="s">
        <v>322</v>
      </c>
      <c r="AU31" s="41">
        <v>0.44479999999999997</v>
      </c>
      <c r="AV31" s="41"/>
      <c r="AW31" s="50">
        <v>0.247</v>
      </c>
      <c r="AX31" s="50">
        <v>0.14000000000000001</v>
      </c>
      <c r="AY31" s="50">
        <v>0.158</v>
      </c>
      <c r="AZ31" s="50">
        <v>0.151</v>
      </c>
      <c r="BA31" s="43"/>
      <c r="BB31" s="50">
        <v>0.11700000000000001</v>
      </c>
      <c r="BC31" s="50">
        <v>9.1999999999999998E-2</v>
      </c>
      <c r="BD31" s="43"/>
      <c r="BE31" s="41">
        <v>104944</v>
      </c>
      <c r="BF31" s="41">
        <v>183700</v>
      </c>
      <c r="BG31" s="51">
        <v>1</v>
      </c>
      <c r="BH31" s="51">
        <v>1</v>
      </c>
      <c r="BI31" s="52" t="s">
        <v>3286</v>
      </c>
      <c r="BJ31" s="41"/>
      <c r="BK31" s="41">
        <v>9781</v>
      </c>
      <c r="BL31" s="41">
        <v>47649</v>
      </c>
      <c r="BM31" s="51">
        <v>1</v>
      </c>
      <c r="BN31" s="51">
        <v>1</v>
      </c>
      <c r="BO31" s="52" t="s">
        <v>3286</v>
      </c>
      <c r="BP31" s="52" t="s">
        <v>3286</v>
      </c>
      <c r="BQ31" s="43"/>
      <c r="BR31" s="41">
        <v>1.4281999999999999</v>
      </c>
      <c r="BS31" s="41">
        <v>1.0508999999999999</v>
      </c>
      <c r="BT31" s="52" t="s">
        <v>3290</v>
      </c>
      <c r="BU31" s="52" t="s">
        <v>3290</v>
      </c>
      <c r="BV31" s="41"/>
      <c r="BW31" s="54">
        <v>0.45900000000000002</v>
      </c>
      <c r="BX31" s="50">
        <v>0.26300000000000001</v>
      </c>
      <c r="BY31" s="41"/>
    </row>
    <row r="32" spans="1:77">
      <c r="A32" s="148">
        <v>3.04</v>
      </c>
      <c r="B32" s="141" t="s">
        <v>426</v>
      </c>
      <c r="C32" s="86" t="s">
        <v>501</v>
      </c>
      <c r="D32" s="133" t="s">
        <v>323</v>
      </c>
      <c r="E32" s="80" t="s">
        <v>323</v>
      </c>
      <c r="F32" s="46" t="s">
        <v>323</v>
      </c>
      <c r="G32" s="46" t="s">
        <v>929</v>
      </c>
      <c r="H32" s="46" t="s">
        <v>930</v>
      </c>
      <c r="I32" s="46" t="s">
        <v>3377</v>
      </c>
      <c r="J32" s="46" t="s">
        <v>3301</v>
      </c>
      <c r="K32" s="46" t="s">
        <v>323</v>
      </c>
      <c r="L32" s="46">
        <v>13</v>
      </c>
      <c r="N32" s="46" t="s">
        <v>3381</v>
      </c>
      <c r="O32" s="46" t="s">
        <v>323</v>
      </c>
      <c r="P32" s="46">
        <v>6</v>
      </c>
      <c r="R32" s="46" t="s">
        <v>3505</v>
      </c>
      <c r="S32" s="46" t="s">
        <v>323</v>
      </c>
      <c r="T32" s="46">
        <v>6</v>
      </c>
      <c r="V32" s="46" t="s">
        <v>1301</v>
      </c>
      <c r="W32" s="46" t="s">
        <v>1452</v>
      </c>
      <c r="X32" s="46" t="s">
        <v>1413</v>
      </c>
      <c r="Y32" s="46" t="s">
        <v>2072</v>
      </c>
      <c r="Z32" s="46">
        <v>18</v>
      </c>
      <c r="AA32" s="46">
        <v>98.5</v>
      </c>
      <c r="AB32" s="46">
        <v>4</v>
      </c>
      <c r="AC32" s="46" t="s">
        <v>1454</v>
      </c>
      <c r="AD32" s="46" t="s">
        <v>2073</v>
      </c>
      <c r="AE32" s="46" t="s">
        <v>2074</v>
      </c>
      <c r="AF32" s="46" t="s">
        <v>929</v>
      </c>
      <c r="AG32" s="46" t="s">
        <v>2075</v>
      </c>
      <c r="AH32" s="46" t="s">
        <v>2603</v>
      </c>
      <c r="AI32" s="46" t="s">
        <v>2452</v>
      </c>
      <c r="AJ32" s="46" t="s">
        <v>2977</v>
      </c>
      <c r="AK32" s="46">
        <v>9</v>
      </c>
      <c r="AL32" s="46">
        <v>99.3</v>
      </c>
      <c r="AM32" s="46">
        <v>2</v>
      </c>
      <c r="AN32" s="46" t="s">
        <v>2406</v>
      </c>
      <c r="AO32" s="46" t="s">
        <v>2978</v>
      </c>
      <c r="AP32" s="46" t="s">
        <v>2979</v>
      </c>
      <c r="AQ32" s="46" t="s">
        <v>930</v>
      </c>
      <c r="AR32" s="46" t="s">
        <v>2980</v>
      </c>
      <c r="AT32" s="48" t="s">
        <v>323</v>
      </c>
      <c r="AU32" s="41">
        <v>0.317</v>
      </c>
      <c r="AV32" s="41"/>
      <c r="AW32" s="50">
        <v>0.17100000000000001</v>
      </c>
      <c r="AX32" s="50">
        <v>0.13900000000000001</v>
      </c>
      <c r="AY32" s="50">
        <v>0.14099999999999999</v>
      </c>
      <c r="AZ32" s="50">
        <v>0.16400000000000001</v>
      </c>
      <c r="BA32" s="43"/>
      <c r="BB32" s="50">
        <v>0.109</v>
      </c>
      <c r="BC32" s="50">
        <v>8.5000000000000006E-2</v>
      </c>
      <c r="BD32" s="43"/>
      <c r="BE32" s="41">
        <v>47207.5</v>
      </c>
      <c r="BF32" s="41">
        <v>208743</v>
      </c>
      <c r="BG32" s="51">
        <v>1</v>
      </c>
      <c r="BH32" s="51">
        <v>1</v>
      </c>
      <c r="BI32" s="52" t="s">
        <v>3286</v>
      </c>
      <c r="BJ32" s="41"/>
      <c r="BK32" s="41">
        <v>4176</v>
      </c>
      <c r="BL32" s="41">
        <v>58744</v>
      </c>
      <c r="BM32" s="51">
        <v>0</v>
      </c>
      <c r="BN32" s="51">
        <v>1</v>
      </c>
      <c r="BO32" s="52" t="s">
        <v>3286</v>
      </c>
      <c r="BP32" s="52" t="s">
        <v>3286</v>
      </c>
      <c r="BQ32" s="43"/>
      <c r="BR32" s="41">
        <v>0.24279999999999999</v>
      </c>
      <c r="BS32" s="41">
        <v>1.7399999999999999E-2</v>
      </c>
      <c r="BT32" s="52" t="s">
        <v>3290</v>
      </c>
      <c r="BU32" s="52" t="s">
        <v>3288</v>
      </c>
      <c r="BV32" s="41"/>
      <c r="BW32" s="50">
        <v>0.10100000000000001</v>
      </c>
      <c r="BX32" s="50">
        <v>0.115</v>
      </c>
      <c r="BY32" s="41"/>
    </row>
    <row r="33" spans="1:77">
      <c r="A33" s="148">
        <v>3.04</v>
      </c>
      <c r="B33" s="141" t="s">
        <v>426</v>
      </c>
      <c r="C33" s="86" t="s">
        <v>501</v>
      </c>
      <c r="D33" s="133" t="s">
        <v>325</v>
      </c>
      <c r="E33" s="80" t="s">
        <v>325</v>
      </c>
      <c r="F33" s="46" t="s">
        <v>325</v>
      </c>
      <c r="G33" s="46" t="s">
        <v>783</v>
      </c>
      <c r="H33" s="46" t="s">
        <v>784</v>
      </c>
      <c r="I33" s="46" t="s">
        <v>3377</v>
      </c>
      <c r="J33" s="46" t="s">
        <v>3301</v>
      </c>
      <c r="K33" s="46" t="s">
        <v>325</v>
      </c>
      <c r="L33" s="46">
        <v>13</v>
      </c>
      <c r="N33" s="46" t="s">
        <v>3381</v>
      </c>
      <c r="O33" s="46" t="s">
        <v>325</v>
      </c>
      <c r="P33" s="46">
        <v>6</v>
      </c>
      <c r="R33" s="46" t="s">
        <v>3505</v>
      </c>
      <c r="S33" s="46" t="s">
        <v>325</v>
      </c>
      <c r="T33" s="46">
        <v>6</v>
      </c>
      <c r="V33" s="46" t="s">
        <v>1303</v>
      </c>
      <c r="W33" s="46" t="s">
        <v>1452</v>
      </c>
      <c r="X33" s="46" t="s">
        <v>1413</v>
      </c>
      <c r="Y33" s="46" t="s">
        <v>2080</v>
      </c>
      <c r="Z33" s="46">
        <v>18</v>
      </c>
      <c r="AA33" s="46">
        <v>95.6</v>
      </c>
      <c r="AB33" s="46">
        <v>13</v>
      </c>
      <c r="AC33" s="46" t="s">
        <v>1454</v>
      </c>
      <c r="AD33" s="46" t="s">
        <v>2081</v>
      </c>
      <c r="AE33" s="46" t="s">
        <v>2082</v>
      </c>
      <c r="AF33" s="46" t="s">
        <v>783</v>
      </c>
      <c r="AG33" s="46" t="s">
        <v>2083</v>
      </c>
      <c r="AH33" s="46" t="s">
        <v>2603</v>
      </c>
      <c r="AI33" s="46" t="s">
        <v>2452</v>
      </c>
      <c r="AJ33" s="46" t="s">
        <v>2985</v>
      </c>
      <c r="AK33" s="46">
        <v>8</v>
      </c>
      <c r="AL33" s="46">
        <v>98.3</v>
      </c>
      <c r="AM33" s="46">
        <v>5</v>
      </c>
      <c r="AN33" s="46" t="s">
        <v>2406</v>
      </c>
      <c r="AO33" s="46" t="s">
        <v>2986</v>
      </c>
      <c r="AP33" s="46" t="s">
        <v>2987</v>
      </c>
      <c r="AQ33" s="46" t="s">
        <v>784</v>
      </c>
      <c r="AR33" s="46" t="s">
        <v>2988</v>
      </c>
      <c r="AT33" s="48" t="s">
        <v>325</v>
      </c>
      <c r="AU33" s="41">
        <v>0.32550000000000001</v>
      </c>
      <c r="AV33" s="41"/>
      <c r="AW33" s="50">
        <v>0.189</v>
      </c>
      <c r="AX33" s="50">
        <v>0.14299999999999999</v>
      </c>
      <c r="AY33" s="50">
        <v>0.14599999999999999</v>
      </c>
      <c r="AZ33" s="50">
        <v>0.16300000000000001</v>
      </c>
      <c r="BA33" s="43"/>
      <c r="BB33" s="50">
        <v>0.14199999999999999</v>
      </c>
      <c r="BC33" s="50">
        <v>0.104</v>
      </c>
      <c r="BD33" s="43"/>
      <c r="BE33" s="41">
        <v>135282</v>
      </c>
      <c r="BF33" s="41">
        <v>222620</v>
      </c>
      <c r="BG33" s="51">
        <v>1</v>
      </c>
      <c r="BH33" s="51">
        <v>1</v>
      </c>
      <c r="BI33" s="52" t="s">
        <v>3286</v>
      </c>
      <c r="BJ33" s="41"/>
      <c r="BK33" s="41">
        <v>9975</v>
      </c>
      <c r="BL33" s="41">
        <v>72938</v>
      </c>
      <c r="BM33" s="51">
        <v>1</v>
      </c>
      <c r="BN33" s="51">
        <v>1</v>
      </c>
      <c r="BO33" s="52" t="s">
        <v>3286</v>
      </c>
      <c r="BP33" s="52" t="s">
        <v>3286</v>
      </c>
      <c r="BQ33" s="43"/>
      <c r="BR33" s="41">
        <v>1.3989</v>
      </c>
      <c r="BS33" s="41">
        <v>1.0825</v>
      </c>
      <c r="BT33" s="52" t="s">
        <v>3290</v>
      </c>
      <c r="BU33" s="52" t="s">
        <v>3290</v>
      </c>
      <c r="BV33" s="41"/>
      <c r="BW33" s="50">
        <v>0.218</v>
      </c>
      <c r="BX33" s="50">
        <v>0.214</v>
      </c>
      <c r="BY33" s="41"/>
    </row>
    <row r="34" spans="1:77">
      <c r="A34" s="148">
        <v>3.04</v>
      </c>
      <c r="B34" s="141" t="s">
        <v>426</v>
      </c>
      <c r="C34" s="86" t="s">
        <v>501</v>
      </c>
      <c r="D34" s="133" t="s">
        <v>331</v>
      </c>
      <c r="E34" s="80" t="s">
        <v>332</v>
      </c>
      <c r="F34" s="46" t="s">
        <v>331</v>
      </c>
      <c r="G34" s="46" t="s">
        <v>931</v>
      </c>
      <c r="H34" s="46" t="s">
        <v>932</v>
      </c>
      <c r="I34" s="46" t="s">
        <v>3377</v>
      </c>
      <c r="J34" s="46" t="s">
        <v>3301</v>
      </c>
      <c r="K34" s="46" t="s">
        <v>331</v>
      </c>
      <c r="L34" s="46">
        <v>13</v>
      </c>
      <c r="N34" s="46" t="s">
        <v>3381</v>
      </c>
      <c r="O34" s="46" t="s">
        <v>331</v>
      </c>
      <c r="P34" s="46">
        <v>6</v>
      </c>
      <c r="R34" s="46" t="s">
        <v>3505</v>
      </c>
      <c r="S34" s="46" t="s">
        <v>331</v>
      </c>
      <c r="T34" s="46">
        <v>6</v>
      </c>
      <c r="V34" s="46" t="s">
        <v>1310</v>
      </c>
      <c r="W34" s="46" t="s">
        <v>1452</v>
      </c>
      <c r="X34" s="46" t="s">
        <v>1413</v>
      </c>
      <c r="Y34" s="46" t="s">
        <v>2072</v>
      </c>
      <c r="Z34" s="46">
        <v>18</v>
      </c>
      <c r="AA34" s="46">
        <v>98.2</v>
      </c>
      <c r="AB34" s="46">
        <v>5</v>
      </c>
      <c r="AC34" s="46" t="s">
        <v>1454</v>
      </c>
      <c r="AD34" s="46" t="s">
        <v>2073</v>
      </c>
      <c r="AE34" s="46" t="s">
        <v>2104</v>
      </c>
      <c r="AF34" s="46" t="s">
        <v>931</v>
      </c>
      <c r="AG34" s="46" t="s">
        <v>2105</v>
      </c>
      <c r="AH34" s="46" t="s">
        <v>2603</v>
      </c>
      <c r="AI34" s="46" t="s">
        <v>2452</v>
      </c>
      <c r="AJ34" s="46" t="s">
        <v>2977</v>
      </c>
      <c r="AK34" s="46">
        <v>9</v>
      </c>
      <c r="AL34" s="46">
        <v>99.3</v>
      </c>
      <c r="AM34" s="46">
        <v>2</v>
      </c>
      <c r="AN34" s="46" t="s">
        <v>2406</v>
      </c>
      <c r="AO34" s="46" t="s">
        <v>2978</v>
      </c>
      <c r="AP34" s="46" t="s">
        <v>3007</v>
      </c>
      <c r="AQ34" s="46" t="s">
        <v>932</v>
      </c>
      <c r="AR34" s="46" t="s">
        <v>3008</v>
      </c>
      <c r="AT34" s="48" t="s">
        <v>332</v>
      </c>
      <c r="AU34" s="41">
        <v>0.26889999999999997</v>
      </c>
      <c r="AV34" s="41" t="s">
        <v>3291</v>
      </c>
      <c r="AW34" s="50">
        <v>0.14799999999999999</v>
      </c>
      <c r="AX34" s="50">
        <v>0.14899999999999999</v>
      </c>
      <c r="AY34" s="50">
        <v>0.14099999999999999</v>
      </c>
      <c r="AZ34" s="50">
        <v>0.14699999999999999</v>
      </c>
      <c r="BA34" s="43"/>
      <c r="BB34" s="50">
        <v>0.115</v>
      </c>
      <c r="BC34" s="50">
        <v>0.106</v>
      </c>
      <c r="BD34" s="43"/>
      <c r="BE34" s="41">
        <v>43747.5</v>
      </c>
      <c r="BF34" s="41">
        <v>318761.5</v>
      </c>
      <c r="BG34" s="51">
        <v>1</v>
      </c>
      <c r="BH34" s="51">
        <v>1</v>
      </c>
      <c r="BI34" s="52" t="s">
        <v>3286</v>
      </c>
      <c r="BJ34" s="41"/>
      <c r="BK34" s="41">
        <v>3379</v>
      </c>
      <c r="BL34" s="41">
        <v>86585</v>
      </c>
      <c r="BM34" s="51">
        <v>0</v>
      </c>
      <c r="BN34" s="51">
        <v>1</v>
      </c>
      <c r="BO34" s="52" t="s">
        <v>3286</v>
      </c>
      <c r="BP34" s="52" t="s">
        <v>3286</v>
      </c>
      <c r="BQ34" s="43"/>
      <c r="BR34" s="41">
        <v>-8.8300000000000003E-2</v>
      </c>
      <c r="BS34" s="41">
        <v>7.8299999999999995E-2</v>
      </c>
      <c r="BT34" s="52" t="s">
        <v>3288</v>
      </c>
      <c r="BU34" s="52" t="s">
        <v>3288</v>
      </c>
      <c r="BV34" s="41"/>
      <c r="BW34" s="50">
        <v>0.108</v>
      </c>
      <c r="BX34" s="50">
        <v>0.125</v>
      </c>
      <c r="BY34" s="41"/>
    </row>
    <row r="35" spans="1:77">
      <c r="A35" s="148">
        <v>3.04</v>
      </c>
      <c r="B35" s="141" t="s">
        <v>426</v>
      </c>
      <c r="C35" s="86" t="s">
        <v>501</v>
      </c>
      <c r="D35" s="133" t="s">
        <v>324</v>
      </c>
      <c r="E35" s="80" t="s">
        <v>324</v>
      </c>
      <c r="F35" s="46" t="s">
        <v>324</v>
      </c>
      <c r="G35" s="46" t="s">
        <v>773</v>
      </c>
      <c r="H35" s="46" t="s">
        <v>774</v>
      </c>
      <c r="I35" s="46" t="s">
        <v>3377</v>
      </c>
      <c r="J35" s="46" t="s">
        <v>3301</v>
      </c>
      <c r="K35" s="46" t="s">
        <v>324</v>
      </c>
      <c r="L35" s="46">
        <v>13</v>
      </c>
      <c r="N35" s="46" t="s">
        <v>3423</v>
      </c>
      <c r="O35" s="46" t="s">
        <v>324</v>
      </c>
      <c r="P35" s="46">
        <v>4</v>
      </c>
      <c r="R35" s="46" t="s">
        <v>3550</v>
      </c>
      <c r="S35" s="46" t="s">
        <v>324</v>
      </c>
      <c r="T35" s="46">
        <v>4</v>
      </c>
      <c r="V35" s="46" t="s">
        <v>1302</v>
      </c>
      <c r="W35" s="46" t="s">
        <v>1452</v>
      </c>
      <c r="X35" s="46" t="s">
        <v>1413</v>
      </c>
      <c r="Y35" s="46" t="s">
        <v>2076</v>
      </c>
      <c r="Z35" s="46">
        <v>18</v>
      </c>
      <c r="AA35" s="46">
        <v>95.5</v>
      </c>
      <c r="AB35" s="46">
        <v>13</v>
      </c>
      <c r="AC35" s="46" t="s">
        <v>1454</v>
      </c>
      <c r="AD35" s="46" t="s">
        <v>2077</v>
      </c>
      <c r="AE35" s="46" t="s">
        <v>2078</v>
      </c>
      <c r="AF35" s="46" t="s">
        <v>773</v>
      </c>
      <c r="AG35" s="46" t="s">
        <v>2079</v>
      </c>
      <c r="AH35" s="46" t="s">
        <v>2603</v>
      </c>
      <c r="AI35" s="46" t="s">
        <v>2452</v>
      </c>
      <c r="AJ35" s="46" t="s">
        <v>2981</v>
      </c>
      <c r="AK35" s="46">
        <v>9</v>
      </c>
      <c r="AL35" s="46">
        <v>98.3</v>
      </c>
      <c r="AM35" s="46">
        <v>5</v>
      </c>
      <c r="AN35" s="46" t="s">
        <v>2406</v>
      </c>
      <c r="AO35" s="46" t="s">
        <v>2982</v>
      </c>
      <c r="AP35" s="46" t="s">
        <v>2983</v>
      </c>
      <c r="AQ35" s="46" t="s">
        <v>774</v>
      </c>
      <c r="AR35" s="46" t="s">
        <v>2984</v>
      </c>
      <c r="AT35" s="48" t="s">
        <v>324</v>
      </c>
      <c r="AU35" s="41">
        <v>0.316</v>
      </c>
      <c r="AV35" s="41"/>
      <c r="AW35" s="50">
        <v>0.21099999999999999</v>
      </c>
      <c r="AX35" s="50">
        <v>0.122</v>
      </c>
      <c r="AY35" s="50">
        <v>0.123</v>
      </c>
      <c r="AZ35" s="50">
        <v>0.13600000000000001</v>
      </c>
      <c r="BA35" s="43"/>
      <c r="BB35" s="50">
        <v>9.0999999999999998E-2</v>
      </c>
      <c r="BC35" s="50">
        <v>0.08</v>
      </c>
      <c r="BD35" s="43"/>
      <c r="BE35" s="41">
        <v>116864</v>
      </c>
      <c r="BF35" s="41">
        <v>268800.5</v>
      </c>
      <c r="BG35" s="51">
        <v>1</v>
      </c>
      <c r="BH35" s="51">
        <v>1</v>
      </c>
      <c r="BI35" s="52" t="s">
        <v>3286</v>
      </c>
      <c r="BJ35" s="41"/>
      <c r="BK35" s="41">
        <v>7830.5</v>
      </c>
      <c r="BL35" s="41">
        <v>73415.5</v>
      </c>
      <c r="BM35" s="51">
        <v>1</v>
      </c>
      <c r="BN35" s="51">
        <v>1</v>
      </c>
      <c r="BO35" s="52" t="s">
        <v>3286</v>
      </c>
      <c r="BP35" s="52" t="s">
        <v>3286</v>
      </c>
      <c r="BQ35" s="43"/>
      <c r="BR35" s="41">
        <v>0.96260000000000001</v>
      </c>
      <c r="BS35" s="41">
        <v>0.97509999999999997</v>
      </c>
      <c r="BT35" s="52" t="s">
        <v>3290</v>
      </c>
      <c r="BU35" s="52" t="s">
        <v>3290</v>
      </c>
      <c r="BV35" s="41"/>
      <c r="BW35" s="50">
        <v>0.254</v>
      </c>
      <c r="BX35" s="50">
        <v>0.29199999999999998</v>
      </c>
      <c r="BY35" s="41"/>
    </row>
    <row r="36" spans="1:77">
      <c r="A36" s="148">
        <v>3.04</v>
      </c>
      <c r="B36" s="141" t="s">
        <v>426</v>
      </c>
      <c r="C36" s="86" t="s">
        <v>501</v>
      </c>
      <c r="D36" s="133" t="s">
        <v>328</v>
      </c>
      <c r="E36" s="80" t="s">
        <v>328</v>
      </c>
      <c r="F36" s="46" t="s">
        <v>328</v>
      </c>
      <c r="G36" s="46" t="s">
        <v>865</v>
      </c>
      <c r="H36" s="46" t="s">
        <v>866</v>
      </c>
      <c r="I36" s="46" t="s">
        <v>3377</v>
      </c>
      <c r="J36" s="46" t="s">
        <v>3301</v>
      </c>
      <c r="K36" s="46" t="s">
        <v>328</v>
      </c>
      <c r="L36" s="46">
        <v>13</v>
      </c>
      <c r="N36" s="46" t="s">
        <v>3423</v>
      </c>
      <c r="O36" s="46" t="s">
        <v>328</v>
      </c>
      <c r="P36" s="46">
        <v>4</v>
      </c>
      <c r="R36" s="46" t="s">
        <v>3550</v>
      </c>
      <c r="S36" s="46" t="s">
        <v>328</v>
      </c>
      <c r="T36" s="46">
        <v>4</v>
      </c>
      <c r="V36" s="46" t="s">
        <v>1306</v>
      </c>
      <c r="W36" s="46" t="s">
        <v>1452</v>
      </c>
      <c r="X36" s="46" t="s">
        <v>1413</v>
      </c>
      <c r="Y36" s="46" t="s">
        <v>2092</v>
      </c>
      <c r="Z36" s="46">
        <v>18</v>
      </c>
      <c r="AA36" s="46">
        <v>91.7</v>
      </c>
      <c r="AB36" s="46">
        <v>16</v>
      </c>
      <c r="AC36" s="46" t="s">
        <v>1454</v>
      </c>
      <c r="AD36" s="46" t="s">
        <v>2093</v>
      </c>
      <c r="AE36" s="46" t="s">
        <v>2094</v>
      </c>
      <c r="AF36" s="46" t="s">
        <v>865</v>
      </c>
      <c r="AG36" s="46" t="s">
        <v>2095</v>
      </c>
      <c r="AH36" s="46" t="s">
        <v>2603</v>
      </c>
      <c r="AI36" s="46" t="s">
        <v>2452</v>
      </c>
      <c r="AJ36" s="46" t="s">
        <v>2996</v>
      </c>
      <c r="AK36" s="46">
        <v>9</v>
      </c>
      <c r="AL36" s="46">
        <v>95.1</v>
      </c>
      <c r="AM36" s="46">
        <v>14</v>
      </c>
      <c r="AN36" s="46" t="s">
        <v>2406</v>
      </c>
      <c r="AO36" s="46" t="s">
        <v>2997</v>
      </c>
      <c r="AP36" s="46" t="s">
        <v>2998</v>
      </c>
      <c r="AQ36" s="46" t="s">
        <v>866</v>
      </c>
      <c r="AR36" s="46" t="s">
        <v>2999</v>
      </c>
      <c r="AT36" s="48" t="s">
        <v>328</v>
      </c>
      <c r="AU36" s="41">
        <v>0.26169999999999999</v>
      </c>
      <c r="AV36" s="41"/>
      <c r="AW36" s="50">
        <v>0.161</v>
      </c>
      <c r="AX36" s="50">
        <v>0.121</v>
      </c>
      <c r="AY36" s="50">
        <v>0.17899999999999999</v>
      </c>
      <c r="AZ36" s="50">
        <v>0.13900000000000001</v>
      </c>
      <c r="BA36" s="43"/>
      <c r="BB36" s="50">
        <v>0.105</v>
      </c>
      <c r="BC36" s="50">
        <v>0.1</v>
      </c>
      <c r="BD36" s="43"/>
      <c r="BE36" s="41">
        <v>32062</v>
      </c>
      <c r="BF36" s="41">
        <v>340772</v>
      </c>
      <c r="BG36" s="51">
        <v>1</v>
      </c>
      <c r="BH36" s="51">
        <v>1</v>
      </c>
      <c r="BI36" s="52" t="s">
        <v>3286</v>
      </c>
      <c r="BJ36" s="41"/>
      <c r="BK36" s="41">
        <v>108799</v>
      </c>
      <c r="BL36" s="41">
        <v>6855</v>
      </c>
      <c r="BM36" s="51">
        <v>1</v>
      </c>
      <c r="BN36" s="51">
        <v>1</v>
      </c>
      <c r="BO36" s="52" t="s">
        <v>3285</v>
      </c>
      <c r="BP36" s="52" t="s">
        <v>3287</v>
      </c>
      <c r="BQ36" s="43"/>
      <c r="BR36" s="41">
        <v>2.3083999999999998</v>
      </c>
      <c r="BS36" s="41">
        <v>-1.61E-2</v>
      </c>
      <c r="BT36" s="52" t="s">
        <v>3290</v>
      </c>
      <c r="BU36" s="52" t="s">
        <v>3288</v>
      </c>
      <c r="BV36" s="41"/>
      <c r="BW36" s="50">
        <v>0.25800000000000001</v>
      </c>
      <c r="BX36" s="50">
        <v>0.24</v>
      </c>
      <c r="BY36" s="41"/>
    </row>
    <row r="37" spans="1:77">
      <c r="A37" s="148">
        <v>3.04</v>
      </c>
      <c r="B37" s="141" t="s">
        <v>426</v>
      </c>
      <c r="C37" s="86" t="s">
        <v>501</v>
      </c>
      <c r="D37" s="133" t="s">
        <v>330</v>
      </c>
      <c r="E37" s="80" t="s">
        <v>330</v>
      </c>
      <c r="F37" s="46" t="s">
        <v>330</v>
      </c>
      <c r="G37" s="46" t="s">
        <v>580</v>
      </c>
      <c r="H37" s="46" t="s">
        <v>581</v>
      </c>
      <c r="I37" s="46" t="s">
        <v>3377</v>
      </c>
      <c r="J37" s="46" t="s">
        <v>3301</v>
      </c>
      <c r="K37" s="46" t="s">
        <v>330</v>
      </c>
      <c r="L37" s="46">
        <v>13</v>
      </c>
      <c r="N37" s="46" t="s">
        <v>3423</v>
      </c>
      <c r="O37" s="46" t="s">
        <v>330</v>
      </c>
      <c r="P37" s="46">
        <v>4</v>
      </c>
      <c r="R37" s="46" t="s">
        <v>3550</v>
      </c>
      <c r="S37" s="46" t="s">
        <v>330</v>
      </c>
      <c r="T37" s="46">
        <v>4</v>
      </c>
      <c r="V37" s="46" t="s">
        <v>1309</v>
      </c>
      <c r="W37" s="46" t="s">
        <v>1452</v>
      </c>
      <c r="X37" s="46" t="s">
        <v>1413</v>
      </c>
      <c r="Y37" s="46" t="s">
        <v>2076</v>
      </c>
      <c r="Z37" s="46">
        <v>18</v>
      </c>
      <c r="AA37" s="46">
        <v>93.5</v>
      </c>
      <c r="AB37" s="46">
        <v>19</v>
      </c>
      <c r="AC37" s="46" t="s">
        <v>1454</v>
      </c>
      <c r="AD37" s="46" t="s">
        <v>2102</v>
      </c>
      <c r="AE37" s="46" t="s">
        <v>580</v>
      </c>
      <c r="AF37" s="46" t="s">
        <v>580</v>
      </c>
      <c r="AG37" s="46" t="s">
        <v>2103</v>
      </c>
      <c r="AH37" s="46" t="s">
        <v>2603</v>
      </c>
      <c r="AI37" s="46" t="s">
        <v>2452</v>
      </c>
      <c r="AJ37" s="46" t="s">
        <v>2972</v>
      </c>
      <c r="AK37" s="46">
        <v>9</v>
      </c>
      <c r="AL37" s="46">
        <v>97.2</v>
      </c>
      <c r="AM37" s="46">
        <v>8</v>
      </c>
      <c r="AN37" s="46" t="s">
        <v>2406</v>
      </c>
      <c r="AO37" s="46" t="s">
        <v>2973</v>
      </c>
      <c r="AP37" s="46" t="s">
        <v>581</v>
      </c>
      <c r="AQ37" s="46" t="s">
        <v>581</v>
      </c>
      <c r="AR37" s="46" t="s">
        <v>3006</v>
      </c>
      <c r="AT37" s="48" t="s">
        <v>330</v>
      </c>
      <c r="AU37" s="41">
        <v>0.47539999999999999</v>
      </c>
      <c r="AV37" s="41"/>
      <c r="AW37" s="54">
        <v>0.45800000000000002</v>
      </c>
      <c r="AX37" s="50">
        <v>0.129</v>
      </c>
      <c r="AY37" s="50">
        <v>0.25</v>
      </c>
      <c r="AZ37" s="50">
        <v>0.16400000000000001</v>
      </c>
      <c r="BA37" s="43"/>
      <c r="BB37" s="50">
        <v>0.115</v>
      </c>
      <c r="BC37" s="50">
        <v>9.8000000000000004E-2</v>
      </c>
      <c r="BD37" s="43"/>
      <c r="BE37" s="41">
        <v>34475</v>
      </c>
      <c r="BF37" s="41">
        <v>236272</v>
      </c>
      <c r="BG37" s="51">
        <v>1</v>
      </c>
      <c r="BH37" s="51">
        <v>1</v>
      </c>
      <c r="BI37" s="52" t="s">
        <v>3286</v>
      </c>
      <c r="BJ37" s="41"/>
      <c r="BK37" s="41">
        <v>157322</v>
      </c>
      <c r="BL37" s="41">
        <v>17291.5</v>
      </c>
      <c r="BM37" s="51">
        <v>1</v>
      </c>
      <c r="BN37" s="51">
        <v>1</v>
      </c>
      <c r="BO37" s="52" t="s">
        <v>3285</v>
      </c>
      <c r="BP37" s="52" t="s">
        <v>3287</v>
      </c>
      <c r="BQ37" s="43"/>
      <c r="BR37" s="41">
        <v>2.0785</v>
      </c>
      <c r="BS37" s="41">
        <v>2.5100000000000001E-2</v>
      </c>
      <c r="BT37" s="52" t="s">
        <v>3290</v>
      </c>
      <c r="BU37" s="52" t="s">
        <v>3288</v>
      </c>
      <c r="BV37" s="41"/>
      <c r="BW37" s="57">
        <v>0.66600000000000004</v>
      </c>
      <c r="BX37" s="54">
        <v>0.47499999999999998</v>
      </c>
      <c r="BY37" s="41"/>
    </row>
    <row r="38" spans="1:77">
      <c r="A38" s="148">
        <v>3.04</v>
      </c>
      <c r="B38" s="141" t="s">
        <v>426</v>
      </c>
      <c r="C38" s="86" t="s">
        <v>501</v>
      </c>
      <c r="D38" s="133" t="s">
        <v>333</v>
      </c>
      <c r="E38" s="80" t="s">
        <v>333</v>
      </c>
      <c r="F38" s="46" t="s">
        <v>333</v>
      </c>
      <c r="G38" s="46" t="s">
        <v>652</v>
      </c>
      <c r="H38" s="46" t="s">
        <v>653</v>
      </c>
      <c r="I38" s="46" t="s">
        <v>3377</v>
      </c>
      <c r="J38" s="46" t="s">
        <v>3301</v>
      </c>
      <c r="K38" s="46" t="s">
        <v>333</v>
      </c>
      <c r="L38" s="46">
        <v>13</v>
      </c>
      <c r="N38" s="46" t="s">
        <v>3423</v>
      </c>
      <c r="O38" s="46" t="s">
        <v>333</v>
      </c>
      <c r="P38" s="46">
        <v>4</v>
      </c>
      <c r="R38" s="46" t="s">
        <v>3550</v>
      </c>
      <c r="S38" s="46" t="s">
        <v>333</v>
      </c>
      <c r="T38" s="46">
        <v>4</v>
      </c>
      <c r="V38" s="46" t="s">
        <v>1311</v>
      </c>
      <c r="W38" s="46" t="s">
        <v>1452</v>
      </c>
      <c r="X38" s="46" t="s">
        <v>1413</v>
      </c>
      <c r="Y38" s="46" t="s">
        <v>2076</v>
      </c>
      <c r="Z38" s="46">
        <v>18</v>
      </c>
      <c r="AA38" s="46">
        <v>94.2</v>
      </c>
      <c r="AB38" s="46">
        <v>17</v>
      </c>
      <c r="AC38" s="46" t="s">
        <v>1454</v>
      </c>
      <c r="AD38" s="46" t="s">
        <v>2106</v>
      </c>
      <c r="AE38" s="46" t="s">
        <v>652</v>
      </c>
      <c r="AF38" s="46" t="s">
        <v>652</v>
      </c>
      <c r="AG38" s="46" t="s">
        <v>2107</v>
      </c>
      <c r="AH38" s="46" t="s">
        <v>2603</v>
      </c>
      <c r="AI38" s="46" t="s">
        <v>2452</v>
      </c>
      <c r="AJ38" s="46" t="s">
        <v>2972</v>
      </c>
      <c r="AK38" s="46">
        <v>9</v>
      </c>
      <c r="AL38" s="46">
        <v>96.9</v>
      </c>
      <c r="AM38" s="46">
        <v>9</v>
      </c>
      <c r="AN38" s="46" t="s">
        <v>2406</v>
      </c>
      <c r="AO38" s="46" t="s">
        <v>2973</v>
      </c>
      <c r="AP38" s="46" t="s">
        <v>653</v>
      </c>
      <c r="AQ38" s="46" t="s">
        <v>653</v>
      </c>
      <c r="AR38" s="46" t="s">
        <v>3009</v>
      </c>
      <c r="AT38" s="48" t="s">
        <v>333</v>
      </c>
      <c r="AU38" s="41">
        <v>0.32319999999999999</v>
      </c>
      <c r="AV38" s="41"/>
      <c r="AW38" s="64">
        <v>0.36499999999999999</v>
      </c>
      <c r="AX38" s="63">
        <v>0.14499999999999999</v>
      </c>
      <c r="AY38" s="63">
        <v>0.16200000000000001</v>
      </c>
      <c r="AZ38" s="63">
        <v>0.16200000000000001</v>
      </c>
      <c r="BA38" s="42"/>
      <c r="BB38" s="50">
        <v>0.125</v>
      </c>
      <c r="BC38" s="50">
        <v>8.7999999999999995E-2</v>
      </c>
      <c r="BD38" s="43"/>
      <c r="BE38" s="41">
        <v>71428</v>
      </c>
      <c r="BF38" s="41">
        <v>189808.5</v>
      </c>
      <c r="BG38" s="51">
        <v>1</v>
      </c>
      <c r="BH38" s="51">
        <v>1</v>
      </c>
      <c r="BI38" s="52" t="s">
        <v>3286</v>
      </c>
      <c r="BJ38" s="41"/>
      <c r="BK38" s="41">
        <v>26008</v>
      </c>
      <c r="BL38" s="41">
        <v>6272</v>
      </c>
      <c r="BM38" s="51">
        <v>1</v>
      </c>
      <c r="BN38" s="51">
        <v>1</v>
      </c>
      <c r="BO38" s="52" t="s">
        <v>3285</v>
      </c>
      <c r="BP38" s="52" t="s">
        <v>3287</v>
      </c>
      <c r="BQ38" s="43"/>
      <c r="BR38" s="41">
        <v>1.7799</v>
      </c>
      <c r="BS38" s="41">
        <v>1.5182</v>
      </c>
      <c r="BT38" s="52" t="s">
        <v>3290</v>
      </c>
      <c r="BU38" s="52" t="s">
        <v>3290</v>
      </c>
      <c r="BV38" s="41"/>
      <c r="BW38" s="54">
        <v>0.46300000000000002</v>
      </c>
      <c r="BX38" s="50">
        <v>0.30299999999999999</v>
      </c>
      <c r="BY38" s="41"/>
    </row>
    <row r="39" spans="1:77">
      <c r="A39" s="148">
        <v>3.04</v>
      </c>
      <c r="B39" s="141" t="s">
        <v>426</v>
      </c>
      <c r="C39" s="86" t="s">
        <v>501</v>
      </c>
      <c r="D39" s="133" t="s">
        <v>326</v>
      </c>
      <c r="E39" s="80" t="s">
        <v>326</v>
      </c>
      <c r="F39" s="46" t="s">
        <v>326</v>
      </c>
      <c r="G39" s="46" t="s">
        <v>807</v>
      </c>
      <c r="H39" s="46" t="s">
        <v>808</v>
      </c>
      <c r="I39" s="46" t="s">
        <v>3377</v>
      </c>
      <c r="J39" s="46" t="s">
        <v>3301</v>
      </c>
      <c r="K39" s="46" t="s">
        <v>326</v>
      </c>
      <c r="L39" s="46">
        <v>13</v>
      </c>
      <c r="N39" s="46" t="s">
        <v>3410</v>
      </c>
      <c r="O39" s="46" t="s">
        <v>326</v>
      </c>
      <c r="P39" s="46">
        <v>3</v>
      </c>
      <c r="R39" s="46" t="s">
        <v>3534</v>
      </c>
      <c r="S39" s="46" t="s">
        <v>326</v>
      </c>
      <c r="T39" s="46">
        <v>3</v>
      </c>
      <c r="V39" s="46" t="s">
        <v>1304</v>
      </c>
      <c r="W39" s="46" t="s">
        <v>1452</v>
      </c>
      <c r="X39" s="46" t="s">
        <v>1413</v>
      </c>
      <c r="Y39" s="46" t="s">
        <v>2084</v>
      </c>
      <c r="Z39" s="46">
        <v>18</v>
      </c>
      <c r="AA39" s="46">
        <v>90.4</v>
      </c>
      <c r="AB39" s="46">
        <v>28</v>
      </c>
      <c r="AC39" s="46" t="s">
        <v>1454</v>
      </c>
      <c r="AD39" s="46" t="s">
        <v>2085</v>
      </c>
      <c r="AE39" s="46" t="s">
        <v>2086</v>
      </c>
      <c r="AF39" s="46" t="s">
        <v>807</v>
      </c>
      <c r="AG39" s="46" t="s">
        <v>2087</v>
      </c>
      <c r="AH39" s="46" t="s">
        <v>2603</v>
      </c>
      <c r="AI39" s="46" t="s">
        <v>2452</v>
      </c>
      <c r="AJ39" s="46" t="s">
        <v>2989</v>
      </c>
      <c r="AK39" s="46">
        <v>8</v>
      </c>
      <c r="AL39" s="46">
        <v>94.6</v>
      </c>
      <c r="AM39" s="46">
        <v>15</v>
      </c>
      <c r="AN39" s="46" t="s">
        <v>2406</v>
      </c>
      <c r="AO39" s="46" t="s">
        <v>2990</v>
      </c>
      <c r="AP39" s="46" t="s">
        <v>600</v>
      </c>
      <c r="AQ39" s="46" t="s">
        <v>808</v>
      </c>
      <c r="AR39" s="46" t="s">
        <v>2991</v>
      </c>
      <c r="AT39" s="48" t="s">
        <v>326</v>
      </c>
      <c r="AU39" s="41">
        <v>0.1613</v>
      </c>
      <c r="AV39" s="41"/>
      <c r="AW39" s="50">
        <v>0.16300000000000001</v>
      </c>
      <c r="AX39" s="50">
        <v>0.115</v>
      </c>
      <c r="AY39" s="50">
        <v>0.14499999999999999</v>
      </c>
      <c r="AZ39" s="50">
        <v>0.121</v>
      </c>
      <c r="BA39" s="43"/>
      <c r="BB39" s="50">
        <v>0.105</v>
      </c>
      <c r="BC39" s="50">
        <v>8.2000000000000003E-2</v>
      </c>
      <c r="BD39" s="43"/>
      <c r="BE39" s="41">
        <v>109774</v>
      </c>
      <c r="BF39" s="41">
        <v>398645</v>
      </c>
      <c r="BG39" s="51">
        <v>1</v>
      </c>
      <c r="BH39" s="51">
        <v>1</v>
      </c>
      <c r="BI39" s="52" t="s">
        <v>3286</v>
      </c>
      <c r="BJ39" s="41"/>
      <c r="BK39" s="41">
        <v>13699</v>
      </c>
      <c r="BL39" s="41">
        <v>140142.5</v>
      </c>
      <c r="BM39" s="51">
        <v>1</v>
      </c>
      <c r="BN39" s="51">
        <v>1</v>
      </c>
      <c r="BO39" s="52" t="s">
        <v>3286</v>
      </c>
      <c r="BP39" s="52" t="s">
        <v>3286</v>
      </c>
      <c r="BQ39" s="43"/>
      <c r="BR39" s="41">
        <v>1.5916999999999999</v>
      </c>
      <c r="BS39" s="41">
        <v>1.3253999999999999</v>
      </c>
      <c r="BT39" s="52" t="s">
        <v>3290</v>
      </c>
      <c r="BU39" s="52" t="s">
        <v>3290</v>
      </c>
      <c r="BV39" s="41"/>
      <c r="BW39" s="50">
        <v>0.22900000000000001</v>
      </c>
      <c r="BX39" s="50">
        <v>0.21</v>
      </c>
      <c r="BY39" s="41"/>
    </row>
    <row r="40" spans="1:77">
      <c r="A40" s="148">
        <v>3.04</v>
      </c>
      <c r="B40" s="141" t="s">
        <v>426</v>
      </c>
      <c r="C40" s="86" t="s">
        <v>501</v>
      </c>
      <c r="D40" s="133" t="s">
        <v>327</v>
      </c>
      <c r="E40" s="80" t="s">
        <v>327</v>
      </c>
      <c r="F40" s="46" t="s">
        <v>327</v>
      </c>
      <c r="G40" s="46" t="s">
        <v>823</v>
      </c>
      <c r="H40" s="46" t="s">
        <v>824</v>
      </c>
      <c r="I40" s="46" t="s">
        <v>3377</v>
      </c>
      <c r="J40" s="46" t="s">
        <v>3301</v>
      </c>
      <c r="K40" s="46" t="s">
        <v>327</v>
      </c>
      <c r="L40" s="46">
        <v>13</v>
      </c>
      <c r="N40" s="46" t="s">
        <v>3410</v>
      </c>
      <c r="O40" s="46" t="s">
        <v>327</v>
      </c>
      <c r="P40" s="46">
        <v>3</v>
      </c>
      <c r="R40" s="46" t="s">
        <v>3534</v>
      </c>
      <c r="S40" s="46" t="s">
        <v>327</v>
      </c>
      <c r="T40" s="46">
        <v>3</v>
      </c>
      <c r="V40" s="46" t="s">
        <v>1305</v>
      </c>
      <c r="W40" s="46" t="s">
        <v>1452</v>
      </c>
      <c r="X40" s="46" t="s">
        <v>1413</v>
      </c>
      <c r="Y40" s="46" t="s">
        <v>2088</v>
      </c>
      <c r="Z40" s="46">
        <v>18</v>
      </c>
      <c r="AA40" s="46">
        <v>93.5</v>
      </c>
      <c r="AB40" s="46">
        <v>19</v>
      </c>
      <c r="AC40" s="46" t="s">
        <v>1454</v>
      </c>
      <c r="AD40" s="46" t="s">
        <v>2089</v>
      </c>
      <c r="AE40" s="46" t="s">
        <v>2090</v>
      </c>
      <c r="AF40" s="46" t="s">
        <v>823</v>
      </c>
      <c r="AG40" s="46" t="s">
        <v>2091</v>
      </c>
      <c r="AH40" s="46" t="s">
        <v>2603</v>
      </c>
      <c r="AI40" s="46" t="s">
        <v>2452</v>
      </c>
      <c r="AJ40" s="46" t="s">
        <v>2992</v>
      </c>
      <c r="AK40" s="46">
        <v>8</v>
      </c>
      <c r="AL40" s="46">
        <v>98.6</v>
      </c>
      <c r="AM40" s="46">
        <v>4</v>
      </c>
      <c r="AN40" s="46" t="s">
        <v>2406</v>
      </c>
      <c r="AO40" s="46" t="s">
        <v>2993</v>
      </c>
      <c r="AP40" s="46" t="s">
        <v>2994</v>
      </c>
      <c r="AQ40" s="46" t="s">
        <v>824</v>
      </c>
      <c r="AR40" s="46" t="s">
        <v>2995</v>
      </c>
      <c r="AT40" s="48" t="s">
        <v>327</v>
      </c>
      <c r="AU40" s="41">
        <v>0.31759999999999999</v>
      </c>
      <c r="AV40" s="41"/>
      <c r="AW40" s="50">
        <v>0.158</v>
      </c>
      <c r="AX40" s="50">
        <v>0.13100000000000001</v>
      </c>
      <c r="AY40" s="50">
        <v>0.128</v>
      </c>
      <c r="AZ40" s="50">
        <v>0.14000000000000001</v>
      </c>
      <c r="BA40" s="43"/>
      <c r="BB40" s="50">
        <v>0.11600000000000001</v>
      </c>
      <c r="BC40" s="50">
        <v>8.3000000000000004E-2</v>
      </c>
      <c r="BD40" s="43"/>
      <c r="BE40" s="41">
        <v>103807</v>
      </c>
      <c r="BF40" s="41">
        <v>250171</v>
      </c>
      <c r="BG40" s="51">
        <v>1</v>
      </c>
      <c r="BH40" s="51">
        <v>1</v>
      </c>
      <c r="BI40" s="52" t="s">
        <v>3286</v>
      </c>
      <c r="BJ40" s="41"/>
      <c r="BK40" s="41">
        <v>13675</v>
      </c>
      <c r="BL40" s="41">
        <v>85673</v>
      </c>
      <c r="BM40" s="51">
        <v>1</v>
      </c>
      <c r="BN40" s="51">
        <v>1</v>
      </c>
      <c r="BO40" s="52" t="s">
        <v>3286</v>
      </c>
      <c r="BP40" s="52" t="s">
        <v>3286</v>
      </c>
      <c r="BQ40" s="43"/>
      <c r="BR40" s="41">
        <v>0.12839999999999999</v>
      </c>
      <c r="BS40" s="41">
        <v>4.2700000000000002E-2</v>
      </c>
      <c r="BT40" s="52" t="s">
        <v>3288</v>
      </c>
      <c r="BU40" s="52" t="s">
        <v>3288</v>
      </c>
      <c r="BV40" s="41"/>
      <c r="BW40" s="50">
        <v>0.17799999999999999</v>
      </c>
      <c r="BX40" s="50">
        <v>0.161</v>
      </c>
      <c r="BY40" s="41"/>
    </row>
    <row r="41" spans="1:77" s="40" customFormat="1" ht="17" thickBot="1">
      <c r="A41" s="149">
        <v>3.04</v>
      </c>
      <c r="B41" s="142" t="s">
        <v>426</v>
      </c>
      <c r="C41" s="121" t="s">
        <v>501</v>
      </c>
      <c r="D41" s="134" t="s">
        <v>329</v>
      </c>
      <c r="E41" s="84" t="s">
        <v>329</v>
      </c>
      <c r="F41" s="40" t="s">
        <v>329</v>
      </c>
      <c r="G41" s="40" t="s">
        <v>525</v>
      </c>
      <c r="H41" s="40" t="s">
        <v>526</v>
      </c>
      <c r="I41" s="40" t="s">
        <v>3377</v>
      </c>
      <c r="J41" s="40" t="s">
        <v>3301</v>
      </c>
      <c r="K41" s="40" t="s">
        <v>329</v>
      </c>
      <c r="L41" s="40">
        <v>13</v>
      </c>
      <c r="N41" s="40" t="s">
        <v>3410</v>
      </c>
      <c r="O41" s="40" t="s">
        <v>329</v>
      </c>
      <c r="P41" s="40">
        <v>3</v>
      </c>
      <c r="R41" s="40" t="s">
        <v>3534</v>
      </c>
      <c r="S41" s="40" t="s">
        <v>329</v>
      </c>
      <c r="T41" s="40">
        <v>3</v>
      </c>
      <c r="V41" s="40" t="s">
        <v>1308</v>
      </c>
      <c r="W41" s="40" t="s">
        <v>1452</v>
      </c>
      <c r="X41" s="40" t="s">
        <v>1413</v>
      </c>
      <c r="Y41" s="40" t="s">
        <v>2099</v>
      </c>
      <c r="Z41" s="40">
        <v>18</v>
      </c>
      <c r="AA41" s="40">
        <v>93.5</v>
      </c>
      <c r="AB41" s="40">
        <v>19</v>
      </c>
      <c r="AC41" s="40" t="s">
        <v>1454</v>
      </c>
      <c r="AD41" s="40" t="s">
        <v>2100</v>
      </c>
      <c r="AE41" s="40" t="s">
        <v>525</v>
      </c>
      <c r="AF41" s="40" t="s">
        <v>525</v>
      </c>
      <c r="AG41" s="40" t="s">
        <v>2101</v>
      </c>
      <c r="AH41" s="40" t="s">
        <v>2603</v>
      </c>
      <c r="AI41" s="40" t="s">
        <v>2452</v>
      </c>
      <c r="AJ41" s="40" t="s">
        <v>3003</v>
      </c>
      <c r="AK41" s="40">
        <v>8</v>
      </c>
      <c r="AL41" s="40">
        <v>97.9</v>
      </c>
      <c r="AM41" s="40">
        <v>6</v>
      </c>
      <c r="AN41" s="40" t="s">
        <v>2406</v>
      </c>
      <c r="AO41" s="40" t="s">
        <v>3004</v>
      </c>
      <c r="AP41" s="40" t="s">
        <v>526</v>
      </c>
      <c r="AQ41" s="40" t="s">
        <v>526</v>
      </c>
      <c r="AR41" s="40" t="s">
        <v>3005</v>
      </c>
      <c r="AT41" s="85" t="s">
        <v>329</v>
      </c>
      <c r="AU41" s="35">
        <v>0.39939999999999998</v>
      </c>
      <c r="AV41" s="35"/>
      <c r="AW41" s="90">
        <v>0.153</v>
      </c>
      <c r="AX41" s="90">
        <v>0.13</v>
      </c>
      <c r="AY41" s="90">
        <v>0.185</v>
      </c>
      <c r="AZ41" s="90">
        <v>0.14799999999999999</v>
      </c>
      <c r="BA41" s="37"/>
      <c r="BB41" s="90">
        <v>0.125</v>
      </c>
      <c r="BC41" s="90">
        <v>8.5999999999999993E-2</v>
      </c>
      <c r="BD41" s="37"/>
      <c r="BE41" s="35">
        <v>9341</v>
      </c>
      <c r="BF41" s="35">
        <v>259954</v>
      </c>
      <c r="BG41" s="93">
        <v>1</v>
      </c>
      <c r="BH41" s="93">
        <v>1</v>
      </c>
      <c r="BI41" s="94" t="s">
        <v>3286</v>
      </c>
      <c r="BJ41" s="35"/>
      <c r="BK41" s="35">
        <v>135215.5</v>
      </c>
      <c r="BL41" s="35">
        <v>6605</v>
      </c>
      <c r="BM41" s="93">
        <v>1</v>
      </c>
      <c r="BN41" s="93">
        <v>1</v>
      </c>
      <c r="BO41" s="94" t="s">
        <v>3285</v>
      </c>
      <c r="BP41" s="94" t="s">
        <v>3287</v>
      </c>
      <c r="BQ41" s="37"/>
      <c r="BR41" s="35">
        <v>3.2319</v>
      </c>
      <c r="BS41" s="35">
        <v>1.0345</v>
      </c>
      <c r="BT41" s="94" t="s">
        <v>3290</v>
      </c>
      <c r="BU41" s="94" t="s">
        <v>3290</v>
      </c>
      <c r="BV41" s="35"/>
      <c r="BW41" s="90">
        <v>0.186</v>
      </c>
      <c r="BX41" s="90">
        <v>0.219</v>
      </c>
      <c r="BY41" s="35"/>
    </row>
    <row r="42" spans="1:77" s="81" customFormat="1">
      <c r="A42" s="147">
        <v>3.05</v>
      </c>
      <c r="B42" s="140" t="s">
        <v>427</v>
      </c>
      <c r="C42" s="120" t="s">
        <v>502</v>
      </c>
      <c r="D42" s="132" t="s">
        <v>334</v>
      </c>
      <c r="E42" s="82" t="s">
        <v>334</v>
      </c>
      <c r="F42" s="81" t="s">
        <v>334</v>
      </c>
      <c r="G42" s="81" t="s">
        <v>897</v>
      </c>
      <c r="H42" s="81" t="s">
        <v>898</v>
      </c>
      <c r="I42" s="81" t="s">
        <v>3377</v>
      </c>
      <c r="J42" s="81" t="s">
        <v>3306</v>
      </c>
      <c r="K42" s="81" t="s">
        <v>334</v>
      </c>
      <c r="L42" s="81">
        <v>5</v>
      </c>
      <c r="N42" s="81" t="s">
        <v>3386</v>
      </c>
      <c r="O42" s="81" t="s">
        <v>334</v>
      </c>
      <c r="P42" s="81">
        <v>5</v>
      </c>
      <c r="R42" s="81" t="s">
        <v>3510</v>
      </c>
      <c r="S42" s="81" t="s">
        <v>334</v>
      </c>
      <c r="T42" s="81">
        <v>3</v>
      </c>
      <c r="V42" s="81" t="s">
        <v>1312</v>
      </c>
      <c r="W42" s="81" t="s">
        <v>1579</v>
      </c>
      <c r="X42" s="81" t="s">
        <v>1428</v>
      </c>
      <c r="Y42" s="81" t="s">
        <v>2108</v>
      </c>
      <c r="Z42" s="81">
        <v>10</v>
      </c>
      <c r="AA42" s="81">
        <v>96.7</v>
      </c>
      <c r="AB42" s="81">
        <v>9</v>
      </c>
      <c r="AC42" s="81" t="s">
        <v>2006</v>
      </c>
      <c r="AD42" s="81" t="s">
        <v>2109</v>
      </c>
      <c r="AE42" s="81" t="s">
        <v>2110</v>
      </c>
      <c r="AF42" s="81" t="s">
        <v>897</v>
      </c>
      <c r="AG42" s="81" t="s">
        <v>2111</v>
      </c>
      <c r="AH42" s="81" t="s">
        <v>2416</v>
      </c>
      <c r="AI42" s="81" t="s">
        <v>2404</v>
      </c>
      <c r="AJ42" s="81" t="s">
        <v>3010</v>
      </c>
      <c r="AK42" s="81">
        <v>9</v>
      </c>
      <c r="AL42" s="81">
        <v>98.6</v>
      </c>
      <c r="AM42" s="81">
        <v>4</v>
      </c>
      <c r="AN42" s="81" t="s">
        <v>2406</v>
      </c>
      <c r="AO42" s="81" t="s">
        <v>3011</v>
      </c>
      <c r="AP42" s="81" t="s">
        <v>3012</v>
      </c>
      <c r="AQ42" s="81" t="s">
        <v>898</v>
      </c>
      <c r="AR42" s="81" t="s">
        <v>3013</v>
      </c>
      <c r="AT42" s="83" t="s">
        <v>334</v>
      </c>
      <c r="AU42" s="33">
        <v>0.52080000000000004</v>
      </c>
      <c r="AV42" s="33"/>
      <c r="AW42" s="100">
        <v>3.5859999999999999</v>
      </c>
      <c r="AX42" s="87">
        <v>0.13300000000000001</v>
      </c>
      <c r="AY42" s="87">
        <v>0.185</v>
      </c>
      <c r="AZ42" s="87">
        <v>0.156</v>
      </c>
      <c r="BA42" s="34"/>
      <c r="BB42" s="87">
        <v>9.8000000000000004E-2</v>
      </c>
      <c r="BC42" s="87">
        <v>9.5000000000000001E-2</v>
      </c>
      <c r="BD42" s="34"/>
      <c r="BE42" s="33">
        <v>79743</v>
      </c>
      <c r="BF42" s="33">
        <v>1922</v>
      </c>
      <c r="BG42" s="88">
        <v>1</v>
      </c>
      <c r="BH42" s="88">
        <v>0</v>
      </c>
      <c r="BI42" s="89" t="s">
        <v>3285</v>
      </c>
      <c r="BJ42" s="33"/>
      <c r="BK42" s="33">
        <v>11066.5</v>
      </c>
      <c r="BL42" s="33">
        <v>3035</v>
      </c>
      <c r="BM42" s="88">
        <v>1</v>
      </c>
      <c r="BN42" s="88">
        <v>0</v>
      </c>
      <c r="BO42" s="89" t="s">
        <v>3285</v>
      </c>
      <c r="BP42" s="89" t="s">
        <v>3285</v>
      </c>
      <c r="BQ42" s="34"/>
      <c r="BR42" s="33">
        <v>-2.5100000000000001E-2</v>
      </c>
      <c r="BS42" s="33">
        <v>-1.41E-2</v>
      </c>
      <c r="BT42" s="89" t="s">
        <v>3288</v>
      </c>
      <c r="BU42" s="89" t="s">
        <v>3288</v>
      </c>
      <c r="BV42" s="33"/>
      <c r="BW42" s="100">
        <v>3.5129999999999999</v>
      </c>
      <c r="BX42" s="87">
        <v>0.115</v>
      </c>
      <c r="BY42" s="33"/>
    </row>
    <row r="43" spans="1:77">
      <c r="A43" s="148">
        <v>3.05</v>
      </c>
      <c r="B43" s="141" t="s">
        <v>427</v>
      </c>
      <c r="C43" s="86" t="s">
        <v>502</v>
      </c>
      <c r="D43" s="133" t="s">
        <v>335</v>
      </c>
      <c r="E43" s="80" t="s">
        <v>335</v>
      </c>
      <c r="F43" s="46" t="s">
        <v>335</v>
      </c>
      <c r="G43" s="46" t="s">
        <v>785</v>
      </c>
      <c r="H43" s="46" t="s">
        <v>786</v>
      </c>
      <c r="I43" s="46" t="s">
        <v>3377</v>
      </c>
      <c r="J43" s="46" t="s">
        <v>3306</v>
      </c>
      <c r="K43" s="46" t="s">
        <v>335</v>
      </c>
      <c r="L43" s="46">
        <v>5</v>
      </c>
      <c r="N43" s="46" t="s">
        <v>3386</v>
      </c>
      <c r="O43" s="46" t="s">
        <v>335</v>
      </c>
      <c r="P43" s="46">
        <v>5</v>
      </c>
      <c r="R43" s="46" t="s">
        <v>3510</v>
      </c>
      <c r="S43" s="46" t="s">
        <v>335</v>
      </c>
      <c r="T43" s="46">
        <v>3</v>
      </c>
      <c r="V43" s="46" t="s">
        <v>1313</v>
      </c>
      <c r="W43" s="46" t="s">
        <v>1579</v>
      </c>
      <c r="X43" s="46" t="s">
        <v>1428</v>
      </c>
      <c r="Y43" s="46" t="s">
        <v>2112</v>
      </c>
      <c r="Z43" s="46">
        <v>10</v>
      </c>
      <c r="AA43" s="46">
        <v>93.5</v>
      </c>
      <c r="AB43" s="46">
        <v>19</v>
      </c>
      <c r="AC43" s="46" t="s">
        <v>1604</v>
      </c>
      <c r="AD43" s="46" t="s">
        <v>2113</v>
      </c>
      <c r="AE43" s="46" t="s">
        <v>2114</v>
      </c>
      <c r="AF43" s="46" t="s">
        <v>785</v>
      </c>
      <c r="AG43" s="46" t="s">
        <v>2115</v>
      </c>
      <c r="AH43" s="46" t="s">
        <v>2416</v>
      </c>
      <c r="AI43" s="46" t="s">
        <v>2404</v>
      </c>
      <c r="AJ43" s="46" t="s">
        <v>3010</v>
      </c>
      <c r="AK43" s="46">
        <v>9</v>
      </c>
      <c r="AL43" s="46">
        <v>98</v>
      </c>
      <c r="AM43" s="46">
        <v>6</v>
      </c>
      <c r="AN43" s="46" t="s">
        <v>2406</v>
      </c>
      <c r="AO43" s="46" t="s">
        <v>3014</v>
      </c>
      <c r="AP43" s="46" t="s">
        <v>3015</v>
      </c>
      <c r="AQ43" s="46" t="s">
        <v>786</v>
      </c>
      <c r="AR43" s="46" t="s">
        <v>3016</v>
      </c>
      <c r="AT43" s="48" t="s">
        <v>335</v>
      </c>
      <c r="AU43" s="41">
        <v>0.55779999999999996</v>
      </c>
      <c r="AV43" s="41"/>
      <c r="AW43" s="55">
        <v>3.5750000000000002</v>
      </c>
      <c r="AX43" s="50">
        <v>0.13900000000000001</v>
      </c>
      <c r="AY43" s="50">
        <v>0.124</v>
      </c>
      <c r="AZ43" s="50">
        <v>0.14599999999999999</v>
      </c>
      <c r="BA43" s="43"/>
      <c r="BB43" s="50">
        <v>0.10299999999999999</v>
      </c>
      <c r="BC43" s="50">
        <v>8.7999999999999995E-2</v>
      </c>
      <c r="BD43" s="43"/>
      <c r="BE43" s="41">
        <v>130831.5</v>
      </c>
      <c r="BF43" s="41">
        <v>2070.5</v>
      </c>
      <c r="BG43" s="51">
        <v>1</v>
      </c>
      <c r="BH43" s="51">
        <v>0</v>
      </c>
      <c r="BI43" s="52" t="s">
        <v>3285</v>
      </c>
      <c r="BJ43" s="41"/>
      <c r="BK43" s="41">
        <v>17111</v>
      </c>
      <c r="BL43" s="41">
        <v>2750.5</v>
      </c>
      <c r="BM43" s="51">
        <v>1</v>
      </c>
      <c r="BN43" s="51">
        <v>0</v>
      </c>
      <c r="BO43" s="52" t="s">
        <v>3285</v>
      </c>
      <c r="BP43" s="52" t="s">
        <v>3285</v>
      </c>
      <c r="BQ43" s="43"/>
      <c r="BR43" s="41">
        <v>-7.7000000000000002E-3</v>
      </c>
      <c r="BS43" s="41">
        <v>4.0500000000000001E-2</v>
      </c>
      <c r="BT43" s="52" t="s">
        <v>3288</v>
      </c>
      <c r="BU43" s="52" t="s">
        <v>3288</v>
      </c>
      <c r="BV43" s="41"/>
      <c r="BW43" s="55">
        <v>3.5249999999999999</v>
      </c>
      <c r="BX43" s="50">
        <v>9.0999999999999998E-2</v>
      </c>
      <c r="BY43" s="41"/>
    </row>
    <row r="44" spans="1:77">
      <c r="A44" s="148">
        <v>3.05</v>
      </c>
      <c r="B44" s="141" t="s">
        <v>427</v>
      </c>
      <c r="C44" s="86" t="s">
        <v>502</v>
      </c>
      <c r="D44" s="133" t="s">
        <v>336</v>
      </c>
      <c r="E44" s="80" t="s">
        <v>336</v>
      </c>
      <c r="F44" s="46" t="s">
        <v>336</v>
      </c>
      <c r="G44" s="46" t="s">
        <v>847</v>
      </c>
      <c r="H44" s="46" t="s">
        <v>848</v>
      </c>
      <c r="I44" s="46" t="s">
        <v>3377</v>
      </c>
      <c r="J44" s="46" t="s">
        <v>3306</v>
      </c>
      <c r="K44" s="46" t="s">
        <v>336</v>
      </c>
      <c r="L44" s="46">
        <v>5</v>
      </c>
      <c r="N44" s="46" t="s">
        <v>3386</v>
      </c>
      <c r="O44" s="46" t="s">
        <v>336</v>
      </c>
      <c r="P44" s="46">
        <v>5</v>
      </c>
      <c r="R44" s="46" t="s">
        <v>3510</v>
      </c>
      <c r="S44" s="46" t="s">
        <v>336</v>
      </c>
      <c r="T44" s="46">
        <v>3</v>
      </c>
      <c r="V44" s="46" t="s">
        <v>1314</v>
      </c>
      <c r="W44" s="46" t="s">
        <v>1579</v>
      </c>
      <c r="X44" s="46" t="s">
        <v>1428</v>
      </c>
      <c r="Y44" s="46" t="s">
        <v>2116</v>
      </c>
      <c r="Z44" s="46">
        <v>10</v>
      </c>
      <c r="AA44" s="46">
        <v>96.9</v>
      </c>
      <c r="AB44" s="46">
        <v>9</v>
      </c>
      <c r="AC44" s="46" t="s">
        <v>2117</v>
      </c>
      <c r="AD44" s="46" t="s">
        <v>2118</v>
      </c>
      <c r="AE44" s="46" t="s">
        <v>2119</v>
      </c>
      <c r="AF44" s="46" t="s">
        <v>847</v>
      </c>
      <c r="AG44" s="46" t="s">
        <v>2120</v>
      </c>
      <c r="AH44" s="46" t="s">
        <v>2416</v>
      </c>
      <c r="AI44" s="46" t="s">
        <v>2404</v>
      </c>
      <c r="AJ44" s="46" t="s">
        <v>3017</v>
      </c>
      <c r="AK44" s="46">
        <v>9</v>
      </c>
      <c r="AL44" s="46">
        <v>97.7</v>
      </c>
      <c r="AM44" s="46">
        <v>7</v>
      </c>
      <c r="AN44" s="46" t="s">
        <v>2406</v>
      </c>
      <c r="AO44" s="46" t="s">
        <v>3018</v>
      </c>
      <c r="AP44" s="46" t="s">
        <v>3019</v>
      </c>
      <c r="AQ44" s="46" t="s">
        <v>848</v>
      </c>
      <c r="AR44" s="46" t="s">
        <v>3020</v>
      </c>
      <c r="AT44" s="48" t="s">
        <v>336</v>
      </c>
      <c r="AU44" s="41">
        <v>0.33600000000000002</v>
      </c>
      <c r="AV44" s="41"/>
      <c r="AW44" s="55">
        <v>3.5569999999999999</v>
      </c>
      <c r="AX44" s="50">
        <v>0.11899999999999999</v>
      </c>
      <c r="AY44" s="50">
        <v>0.113</v>
      </c>
      <c r="AZ44" s="50">
        <v>0.129</v>
      </c>
      <c r="BA44" s="43"/>
      <c r="BB44" s="50">
        <v>0.10299999999999999</v>
      </c>
      <c r="BC44" s="50">
        <v>7.9000000000000001E-2</v>
      </c>
      <c r="BD44" s="43"/>
      <c r="BE44" s="41">
        <v>127369</v>
      </c>
      <c r="BF44" s="41">
        <v>2103.5</v>
      </c>
      <c r="BG44" s="51">
        <v>1</v>
      </c>
      <c r="BH44" s="51">
        <v>0</v>
      </c>
      <c r="BI44" s="52" t="s">
        <v>3285</v>
      </c>
      <c r="BJ44" s="41"/>
      <c r="BK44" s="41">
        <v>25749</v>
      </c>
      <c r="BL44" s="41">
        <v>2608</v>
      </c>
      <c r="BM44" s="51">
        <v>1</v>
      </c>
      <c r="BN44" s="51">
        <v>0</v>
      </c>
      <c r="BO44" s="52" t="s">
        <v>3285</v>
      </c>
      <c r="BP44" s="52" t="s">
        <v>3285</v>
      </c>
      <c r="BQ44" s="43"/>
      <c r="BR44" s="41">
        <v>0.78049999999999997</v>
      </c>
      <c r="BS44" s="41">
        <v>0.45140000000000002</v>
      </c>
      <c r="BT44" s="52" t="s">
        <v>3290</v>
      </c>
      <c r="BU44" s="52" t="s">
        <v>3290</v>
      </c>
      <c r="BV44" s="41"/>
      <c r="BW44" s="55">
        <v>3.5409999999999999</v>
      </c>
      <c r="BX44" s="50">
        <v>9.7000000000000003E-2</v>
      </c>
      <c r="BY44" s="41"/>
    </row>
    <row r="45" spans="1:77">
      <c r="A45" s="148">
        <v>3.05</v>
      </c>
      <c r="B45" s="141" t="s">
        <v>427</v>
      </c>
      <c r="C45" s="86" t="s">
        <v>502</v>
      </c>
      <c r="D45" s="133" t="s">
        <v>337</v>
      </c>
      <c r="E45" s="80" t="s">
        <v>337</v>
      </c>
      <c r="F45" s="46" t="s">
        <v>337</v>
      </c>
      <c r="G45" s="46" t="s">
        <v>851</v>
      </c>
      <c r="H45" s="46" t="s">
        <v>852</v>
      </c>
      <c r="I45" s="46" t="s">
        <v>3377</v>
      </c>
      <c r="J45" s="46" t="s">
        <v>3306</v>
      </c>
      <c r="K45" s="46" t="s">
        <v>337</v>
      </c>
      <c r="L45" s="46">
        <v>5</v>
      </c>
      <c r="N45" s="46" t="s">
        <v>3386</v>
      </c>
      <c r="O45" s="46" t="s">
        <v>337</v>
      </c>
      <c r="P45" s="46">
        <v>5</v>
      </c>
      <c r="R45" s="46" t="s">
        <v>3613</v>
      </c>
      <c r="S45" s="46" t="s">
        <v>337</v>
      </c>
      <c r="T45" s="46">
        <v>2</v>
      </c>
      <c r="V45" s="46" t="s">
        <v>1315</v>
      </c>
      <c r="W45" s="46" t="s">
        <v>1579</v>
      </c>
      <c r="X45" s="46" t="s">
        <v>1428</v>
      </c>
      <c r="Y45" s="46" t="s">
        <v>2121</v>
      </c>
      <c r="Z45" s="46">
        <v>10</v>
      </c>
      <c r="AA45" s="46">
        <v>95.9</v>
      </c>
      <c r="AB45" s="46">
        <v>12</v>
      </c>
      <c r="AC45" s="46" t="s">
        <v>1679</v>
      </c>
      <c r="AD45" s="46" t="s">
        <v>2122</v>
      </c>
      <c r="AE45" s="46" t="s">
        <v>2123</v>
      </c>
      <c r="AF45" s="46" t="s">
        <v>851</v>
      </c>
      <c r="AG45" s="46" t="s">
        <v>2124</v>
      </c>
      <c r="AH45" s="46" t="s">
        <v>2416</v>
      </c>
      <c r="AI45" s="46" t="s">
        <v>2404</v>
      </c>
      <c r="AJ45" s="46" t="s">
        <v>3021</v>
      </c>
      <c r="AK45" s="46">
        <v>9</v>
      </c>
      <c r="AL45" s="46">
        <v>97</v>
      </c>
      <c r="AM45" s="46">
        <v>9</v>
      </c>
      <c r="AN45" s="46" t="s">
        <v>2406</v>
      </c>
      <c r="AO45" s="46" t="s">
        <v>3022</v>
      </c>
      <c r="AP45" s="46" t="s">
        <v>3023</v>
      </c>
      <c r="AQ45" s="46" t="s">
        <v>852</v>
      </c>
      <c r="AR45" s="46" t="s">
        <v>3024</v>
      </c>
      <c r="AT45" s="48" t="s">
        <v>337</v>
      </c>
      <c r="AU45" s="41">
        <v>0.44790000000000002</v>
      </c>
      <c r="AV45" s="41"/>
      <c r="AW45" s="55">
        <v>3.5510000000000002</v>
      </c>
      <c r="AX45" s="50">
        <v>0.14099999999999999</v>
      </c>
      <c r="AY45" s="50">
        <v>0.121</v>
      </c>
      <c r="AZ45" s="50">
        <v>0.14000000000000001</v>
      </c>
      <c r="BA45" s="43"/>
      <c r="BB45" s="50">
        <v>0.13300000000000001</v>
      </c>
      <c r="BC45" s="50">
        <v>8.5999999999999993E-2</v>
      </c>
      <c r="BD45" s="43"/>
      <c r="BE45" s="41">
        <v>134464</v>
      </c>
      <c r="BF45" s="41">
        <v>13061.5</v>
      </c>
      <c r="BG45" s="51">
        <v>1</v>
      </c>
      <c r="BH45" s="51">
        <v>1</v>
      </c>
      <c r="BI45" s="52" t="s">
        <v>3285</v>
      </c>
      <c r="BJ45" s="41"/>
      <c r="BK45" s="41">
        <v>29578</v>
      </c>
      <c r="BL45" s="41">
        <v>42569</v>
      </c>
      <c r="BM45" s="51">
        <v>1</v>
      </c>
      <c r="BN45" s="51">
        <v>1</v>
      </c>
      <c r="BO45" s="52" t="s">
        <v>3286</v>
      </c>
      <c r="BP45" s="52" t="s">
        <v>3287</v>
      </c>
      <c r="BQ45" s="43"/>
      <c r="BR45" s="41">
        <v>0.39369999999999999</v>
      </c>
      <c r="BS45" s="41">
        <v>0.1046</v>
      </c>
      <c r="BT45" s="52" t="s">
        <v>3290</v>
      </c>
      <c r="BU45" s="52" t="s">
        <v>3288</v>
      </c>
      <c r="BV45" s="41"/>
      <c r="BW45" s="55">
        <v>3.5190000000000001</v>
      </c>
      <c r="BX45" s="50">
        <v>0.1</v>
      </c>
      <c r="BY45" s="41"/>
    </row>
    <row r="46" spans="1:77" s="40" customFormat="1" ht="17" thickBot="1">
      <c r="A46" s="149">
        <v>3.05</v>
      </c>
      <c r="B46" s="142" t="s">
        <v>427</v>
      </c>
      <c r="C46" s="121" t="s">
        <v>502</v>
      </c>
      <c r="D46" s="134" t="s">
        <v>338</v>
      </c>
      <c r="E46" s="84" t="s">
        <v>338</v>
      </c>
      <c r="F46" s="40" t="s">
        <v>338</v>
      </c>
      <c r="G46" s="40" t="s">
        <v>996</v>
      </c>
      <c r="H46" s="40" t="s">
        <v>997</v>
      </c>
      <c r="I46" s="40" t="s">
        <v>3377</v>
      </c>
      <c r="J46" s="40" t="s">
        <v>3306</v>
      </c>
      <c r="K46" s="40" t="s">
        <v>338</v>
      </c>
      <c r="L46" s="40">
        <v>5</v>
      </c>
      <c r="N46" s="40" t="s">
        <v>3386</v>
      </c>
      <c r="O46" s="40" t="s">
        <v>338</v>
      </c>
      <c r="P46" s="40">
        <v>5</v>
      </c>
      <c r="R46" s="40" t="s">
        <v>3613</v>
      </c>
      <c r="S46" s="40" t="s">
        <v>338</v>
      </c>
      <c r="T46" s="40">
        <v>2</v>
      </c>
      <c r="V46" s="40" t="s">
        <v>1316</v>
      </c>
      <c r="W46" s="40" t="s">
        <v>1579</v>
      </c>
      <c r="X46" s="40" t="s">
        <v>1428</v>
      </c>
      <c r="Y46" s="40" t="s">
        <v>2125</v>
      </c>
      <c r="Z46" s="40">
        <v>10</v>
      </c>
      <c r="AA46" s="40">
        <v>89</v>
      </c>
      <c r="AB46" s="40">
        <v>32</v>
      </c>
      <c r="AC46" s="40" t="s">
        <v>1414</v>
      </c>
      <c r="AD46" s="40" t="s">
        <v>2126</v>
      </c>
      <c r="AE46" s="40" t="s">
        <v>996</v>
      </c>
      <c r="AF46" s="40" t="s">
        <v>996</v>
      </c>
      <c r="AG46" s="40" t="s">
        <v>2127</v>
      </c>
      <c r="AH46" s="40" t="s">
        <v>2416</v>
      </c>
      <c r="AI46" s="40" t="s">
        <v>2404</v>
      </c>
      <c r="AJ46" s="40" t="s">
        <v>3010</v>
      </c>
      <c r="AK46" s="40">
        <v>9</v>
      </c>
      <c r="AL46" s="40">
        <v>96.3</v>
      </c>
      <c r="AM46" s="40">
        <v>11</v>
      </c>
      <c r="AN46" s="40" t="s">
        <v>2406</v>
      </c>
      <c r="AO46" s="40" t="s">
        <v>3011</v>
      </c>
      <c r="AP46" s="40" t="s">
        <v>3025</v>
      </c>
      <c r="AQ46" s="40" t="s">
        <v>997</v>
      </c>
      <c r="AR46" s="40" t="s">
        <v>3026</v>
      </c>
      <c r="AT46" s="85" t="s">
        <v>338</v>
      </c>
      <c r="AU46" s="35">
        <v>0.23719999999999999</v>
      </c>
      <c r="AV46" s="35" t="s">
        <v>3291</v>
      </c>
      <c r="AW46" s="102">
        <v>3.57</v>
      </c>
      <c r="AX46" s="90">
        <v>0.18</v>
      </c>
      <c r="AY46" s="90">
        <v>0.13700000000000001</v>
      </c>
      <c r="AZ46" s="90">
        <v>0.14499999999999999</v>
      </c>
      <c r="BA46" s="37"/>
      <c r="BB46" s="90">
        <v>0.13700000000000001</v>
      </c>
      <c r="BC46" s="90">
        <v>0.10299999999999999</v>
      </c>
      <c r="BD46" s="37"/>
      <c r="BE46" s="35">
        <v>299174</v>
      </c>
      <c r="BF46" s="35">
        <v>3032</v>
      </c>
      <c r="BG46" s="93">
        <v>1</v>
      </c>
      <c r="BH46" s="93">
        <v>0</v>
      </c>
      <c r="BI46" s="94" t="s">
        <v>3285</v>
      </c>
      <c r="BJ46" s="35"/>
      <c r="BK46" s="35">
        <v>35892</v>
      </c>
      <c r="BL46" s="35">
        <v>2069</v>
      </c>
      <c r="BM46" s="93">
        <v>1</v>
      </c>
      <c r="BN46" s="93">
        <v>0</v>
      </c>
      <c r="BO46" s="94" t="s">
        <v>3285</v>
      </c>
      <c r="BP46" s="94" t="s">
        <v>3285</v>
      </c>
      <c r="BQ46" s="37"/>
      <c r="BR46" s="35">
        <v>-4.2799999999999998E-2</v>
      </c>
      <c r="BS46" s="35">
        <v>-3.2000000000000002E-3</v>
      </c>
      <c r="BT46" s="94" t="s">
        <v>3288</v>
      </c>
      <c r="BU46" s="94" t="s">
        <v>3288</v>
      </c>
      <c r="BV46" s="35"/>
      <c r="BW46" s="102">
        <v>3.4950000000000001</v>
      </c>
      <c r="BX46" s="90">
        <v>0.158</v>
      </c>
      <c r="BY46" s="35"/>
    </row>
    <row r="47" spans="1:77" s="86" customFormat="1" ht="17" thickBot="1">
      <c r="A47" s="148"/>
      <c r="B47" s="141"/>
      <c r="D47" s="133"/>
      <c r="E47" s="126"/>
      <c r="AT47" s="128"/>
      <c r="AU47" s="129"/>
      <c r="AV47" s="129"/>
      <c r="AW47" s="130"/>
      <c r="AX47" s="130"/>
      <c r="AY47" s="130"/>
      <c r="AZ47" s="130"/>
      <c r="BA47" s="130"/>
      <c r="BB47" s="130"/>
      <c r="BC47" s="130"/>
      <c r="BD47" s="130"/>
      <c r="BE47" s="129"/>
      <c r="BF47" s="129"/>
      <c r="BG47" s="131"/>
      <c r="BH47" s="131"/>
      <c r="BI47" s="131"/>
      <c r="BJ47" s="129"/>
      <c r="BK47" s="129"/>
      <c r="BL47" s="129"/>
      <c r="BM47" s="131"/>
      <c r="BN47" s="131"/>
      <c r="BO47" s="131"/>
      <c r="BP47" s="131"/>
      <c r="BQ47" s="130"/>
      <c r="BR47" s="129"/>
      <c r="BS47" s="129"/>
      <c r="BT47" s="131"/>
      <c r="BU47" s="131"/>
      <c r="BV47" s="129"/>
      <c r="BW47" s="130"/>
      <c r="BX47" s="130"/>
      <c r="BY47" s="129"/>
    </row>
    <row r="48" spans="1:77" s="81" customFormat="1">
      <c r="A48" s="147">
        <v>2.0099999999999998</v>
      </c>
      <c r="B48" s="140" t="s">
        <v>355</v>
      </c>
      <c r="C48" s="120" t="s">
        <v>433</v>
      </c>
      <c r="D48" s="132" t="s">
        <v>13</v>
      </c>
      <c r="E48" s="82" t="s">
        <v>13</v>
      </c>
      <c r="F48" s="81" t="s">
        <v>13</v>
      </c>
      <c r="G48" s="81" t="s">
        <v>771</v>
      </c>
      <c r="H48" s="81" t="s">
        <v>772</v>
      </c>
      <c r="I48" s="81" t="s">
        <v>3377</v>
      </c>
      <c r="J48" s="81" t="s">
        <v>3325</v>
      </c>
      <c r="K48" s="81" t="s">
        <v>13</v>
      </c>
      <c r="L48" s="81">
        <v>19</v>
      </c>
      <c r="N48" s="81" t="s">
        <v>3406</v>
      </c>
      <c r="O48" s="81" t="s">
        <v>13</v>
      </c>
      <c r="P48" s="81">
        <v>17</v>
      </c>
      <c r="R48" s="81" t="s">
        <v>3530</v>
      </c>
      <c r="S48" s="81" t="s">
        <v>13</v>
      </c>
      <c r="T48" s="81">
        <v>16</v>
      </c>
      <c r="V48" s="81" t="s">
        <v>1107</v>
      </c>
      <c r="W48" s="81" t="s">
        <v>1420</v>
      </c>
      <c r="X48" s="81" t="s">
        <v>1421</v>
      </c>
      <c r="Y48" s="81" t="s">
        <v>1422</v>
      </c>
      <c r="Z48" s="81">
        <v>17</v>
      </c>
      <c r="AA48" s="81">
        <v>94.6</v>
      </c>
      <c r="AB48" s="81">
        <v>16</v>
      </c>
      <c r="AC48" s="81" t="s">
        <v>1423</v>
      </c>
      <c r="AD48" s="81" t="s">
        <v>1424</v>
      </c>
      <c r="AE48" s="81" t="s">
        <v>1425</v>
      </c>
      <c r="AF48" s="81" t="s">
        <v>771</v>
      </c>
      <c r="AG48" s="81" t="s">
        <v>1426</v>
      </c>
      <c r="AH48" s="81" t="s">
        <v>2410</v>
      </c>
      <c r="AI48" s="81" t="s">
        <v>2411</v>
      </c>
      <c r="AJ48" s="81" t="s">
        <v>2412</v>
      </c>
      <c r="AK48" s="81">
        <v>9</v>
      </c>
      <c r="AL48" s="81">
        <v>98</v>
      </c>
      <c r="AM48" s="81">
        <v>6</v>
      </c>
      <c r="AN48" s="81" t="s">
        <v>2406</v>
      </c>
      <c r="AO48" s="81" t="s">
        <v>2413</v>
      </c>
      <c r="AP48" s="81" t="s">
        <v>2414</v>
      </c>
      <c r="AQ48" s="81" t="s">
        <v>772</v>
      </c>
      <c r="AR48" s="81" t="s">
        <v>2415</v>
      </c>
      <c r="AT48" s="83" t="s">
        <v>13</v>
      </c>
      <c r="AU48" s="38">
        <v>-3.176E-3</v>
      </c>
      <c r="AV48" s="38"/>
      <c r="AW48" s="87">
        <v>0.127</v>
      </c>
      <c r="AX48" s="87">
        <v>0.11700000000000001</v>
      </c>
      <c r="AY48" s="87">
        <v>0.115</v>
      </c>
      <c r="AZ48" s="87">
        <v>0.115</v>
      </c>
      <c r="BA48" s="34"/>
      <c r="BB48" s="87">
        <v>9.2999999999999999E-2</v>
      </c>
      <c r="BC48" s="87">
        <v>8.5999999999999993E-2</v>
      </c>
      <c r="BD48" s="34"/>
      <c r="BE48" s="33">
        <v>1898</v>
      </c>
      <c r="BF48" s="33">
        <v>2054</v>
      </c>
      <c r="BG48" s="88">
        <v>0</v>
      </c>
      <c r="BH48" s="88">
        <v>0</v>
      </c>
      <c r="BI48" s="89" t="s">
        <v>3289</v>
      </c>
      <c r="BJ48" s="33"/>
      <c r="BK48" s="33">
        <v>2517</v>
      </c>
      <c r="BL48" s="33">
        <v>8863.5</v>
      </c>
      <c r="BM48" s="88">
        <v>0</v>
      </c>
      <c r="BN48" s="88">
        <v>1</v>
      </c>
      <c r="BO48" s="89" t="s">
        <v>3286</v>
      </c>
      <c r="BP48" s="89" t="s">
        <v>3287</v>
      </c>
      <c r="BQ48" s="34"/>
      <c r="BR48" s="33">
        <v>1.0773999999999999</v>
      </c>
      <c r="BS48" s="33">
        <v>0.14280000000000001</v>
      </c>
      <c r="BT48" s="89" t="s">
        <v>3290</v>
      </c>
      <c r="BU48" s="89" t="s">
        <v>3288</v>
      </c>
      <c r="BV48" s="33"/>
      <c r="BW48" s="87">
        <v>0.104</v>
      </c>
      <c r="BX48" s="87">
        <v>0.105</v>
      </c>
      <c r="BY48" s="33"/>
    </row>
    <row r="49" spans="1:77">
      <c r="A49" s="148">
        <v>2.0099999999999998</v>
      </c>
      <c r="B49" s="141" t="s">
        <v>355</v>
      </c>
      <c r="C49" s="86" t="s">
        <v>433</v>
      </c>
      <c r="D49" s="133" t="s">
        <v>14</v>
      </c>
      <c r="E49" s="80" t="s">
        <v>14</v>
      </c>
      <c r="F49" s="46" t="s">
        <v>14</v>
      </c>
      <c r="G49" s="46" t="s">
        <v>777</v>
      </c>
      <c r="H49" s="46" t="s">
        <v>778</v>
      </c>
      <c r="I49" s="46" t="s">
        <v>3377</v>
      </c>
      <c r="J49" s="46" t="s">
        <v>3325</v>
      </c>
      <c r="K49" s="46" t="s">
        <v>14</v>
      </c>
      <c r="L49" s="46">
        <v>19</v>
      </c>
      <c r="N49" s="46" t="s">
        <v>3406</v>
      </c>
      <c r="O49" s="46" t="s">
        <v>14</v>
      </c>
      <c r="P49" s="46">
        <v>17</v>
      </c>
      <c r="R49" s="46" t="s">
        <v>3530</v>
      </c>
      <c r="S49" s="46" t="s">
        <v>14</v>
      </c>
      <c r="T49" s="46">
        <v>16</v>
      </c>
      <c r="V49" s="46" t="s">
        <v>1118</v>
      </c>
      <c r="W49" s="46" t="s">
        <v>1420</v>
      </c>
      <c r="X49" s="46" t="s">
        <v>1421</v>
      </c>
      <c r="Y49" s="46" t="s">
        <v>1465</v>
      </c>
      <c r="Z49" s="46">
        <v>17</v>
      </c>
      <c r="AA49" s="46">
        <v>94.9</v>
      </c>
      <c r="AB49" s="46">
        <v>15</v>
      </c>
      <c r="AC49" s="46" t="s">
        <v>1423</v>
      </c>
      <c r="AD49" s="46" t="s">
        <v>1466</v>
      </c>
      <c r="AE49" s="46" t="s">
        <v>1467</v>
      </c>
      <c r="AF49" s="46" t="s">
        <v>777</v>
      </c>
      <c r="AG49" s="46" t="s">
        <v>1468</v>
      </c>
      <c r="AH49" s="46" t="s">
        <v>2410</v>
      </c>
      <c r="AI49" s="46" t="s">
        <v>2411</v>
      </c>
      <c r="AJ49" s="46" t="s">
        <v>2412</v>
      </c>
      <c r="AK49" s="46">
        <v>9</v>
      </c>
      <c r="AL49" s="46">
        <v>97.7</v>
      </c>
      <c r="AM49" s="46">
        <v>7</v>
      </c>
      <c r="AN49" s="46" t="s">
        <v>2406</v>
      </c>
      <c r="AO49" s="46" t="s">
        <v>2413</v>
      </c>
      <c r="AP49" s="46" t="s">
        <v>2446</v>
      </c>
      <c r="AQ49" s="46" t="s">
        <v>778</v>
      </c>
      <c r="AR49" s="46" t="s">
        <v>2447</v>
      </c>
      <c r="AT49" s="48" t="s">
        <v>14</v>
      </c>
      <c r="AU49" s="41">
        <v>0.19189999999999999</v>
      </c>
      <c r="AV49" s="41"/>
      <c r="AW49" s="50">
        <v>0.123</v>
      </c>
      <c r="AX49" s="54">
        <v>0.46300000000000002</v>
      </c>
      <c r="AY49" s="50">
        <v>0.123</v>
      </c>
      <c r="AZ49" s="50">
        <v>0.107</v>
      </c>
      <c r="BA49" s="43"/>
      <c r="BB49" s="50">
        <v>0.1</v>
      </c>
      <c r="BC49" s="50">
        <v>0.08</v>
      </c>
      <c r="BD49" s="43"/>
      <c r="BE49" s="41">
        <v>135596</v>
      </c>
      <c r="BF49" s="41">
        <v>223921</v>
      </c>
      <c r="BG49" s="51">
        <v>1</v>
      </c>
      <c r="BH49" s="51">
        <v>1</v>
      </c>
      <c r="BI49" s="52" t="s">
        <v>3286</v>
      </c>
      <c r="BJ49" s="41"/>
      <c r="BK49" s="41">
        <v>10322</v>
      </c>
      <c r="BL49" s="41">
        <v>69966</v>
      </c>
      <c r="BM49" s="51">
        <v>1</v>
      </c>
      <c r="BN49" s="51">
        <v>1</v>
      </c>
      <c r="BO49" s="52" t="s">
        <v>3286</v>
      </c>
      <c r="BP49" s="52" t="s">
        <v>3286</v>
      </c>
      <c r="BQ49" s="43"/>
      <c r="BR49" s="41">
        <v>2.0375000000000001</v>
      </c>
      <c r="BS49" s="41">
        <v>1.5128999999999999</v>
      </c>
      <c r="BT49" s="52" t="s">
        <v>3290</v>
      </c>
      <c r="BU49" s="52" t="s">
        <v>3290</v>
      </c>
      <c r="BV49" s="41"/>
      <c r="BW49" s="54">
        <v>0.41399999999999998</v>
      </c>
      <c r="BX49" s="50">
        <v>0.11799999999999999</v>
      </c>
      <c r="BY49" s="41"/>
    </row>
    <row r="50" spans="1:77">
      <c r="A50" s="148">
        <v>2.0099999999999998</v>
      </c>
      <c r="B50" s="141" t="s">
        <v>355</v>
      </c>
      <c r="C50" s="86" t="s">
        <v>433</v>
      </c>
      <c r="D50" s="133" t="s">
        <v>16</v>
      </c>
      <c r="E50" s="80" t="s">
        <v>16</v>
      </c>
      <c r="F50" s="46" t="s">
        <v>16</v>
      </c>
      <c r="G50" s="46" t="s">
        <v>829</v>
      </c>
      <c r="H50" s="46" t="s">
        <v>830</v>
      </c>
      <c r="I50" s="46" t="s">
        <v>3377</v>
      </c>
      <c r="J50" s="46" t="s">
        <v>3325</v>
      </c>
      <c r="K50" s="46" t="s">
        <v>16</v>
      </c>
      <c r="L50" s="46">
        <v>19</v>
      </c>
      <c r="N50" s="46" t="s">
        <v>3406</v>
      </c>
      <c r="O50" s="46" t="s">
        <v>16</v>
      </c>
      <c r="P50" s="46">
        <v>17</v>
      </c>
      <c r="R50" s="46" t="s">
        <v>3530</v>
      </c>
      <c r="S50" s="46" t="s">
        <v>16</v>
      </c>
      <c r="T50" s="46">
        <v>16</v>
      </c>
      <c r="V50" s="46" t="s">
        <v>1139</v>
      </c>
      <c r="W50" s="46" t="s">
        <v>1420</v>
      </c>
      <c r="X50" s="46" t="s">
        <v>1421</v>
      </c>
      <c r="Y50" s="46" t="s">
        <v>1506</v>
      </c>
      <c r="Z50" s="46">
        <v>17</v>
      </c>
      <c r="AA50" s="46">
        <v>93.2</v>
      </c>
      <c r="AB50" s="46">
        <v>20</v>
      </c>
      <c r="AC50" s="46" t="s">
        <v>1423</v>
      </c>
      <c r="AD50" s="46" t="s">
        <v>1507</v>
      </c>
      <c r="AE50" s="46" t="s">
        <v>1549</v>
      </c>
      <c r="AF50" s="46" t="s">
        <v>829</v>
      </c>
      <c r="AG50" s="46" t="s">
        <v>1508</v>
      </c>
      <c r="AH50" s="46" t="s">
        <v>2410</v>
      </c>
      <c r="AI50" s="46" t="s">
        <v>2411</v>
      </c>
      <c r="AJ50" s="46" t="s">
        <v>2412</v>
      </c>
      <c r="AK50" s="46">
        <v>9</v>
      </c>
      <c r="AL50" s="46">
        <v>95</v>
      </c>
      <c r="AM50" s="46">
        <v>15</v>
      </c>
      <c r="AN50" s="46" t="s">
        <v>2406</v>
      </c>
      <c r="AO50" s="46" t="s">
        <v>2520</v>
      </c>
      <c r="AP50" s="46" t="s">
        <v>2521</v>
      </c>
      <c r="AQ50" s="46" t="s">
        <v>830</v>
      </c>
      <c r="AR50" s="46" t="s">
        <v>2522</v>
      </c>
      <c r="AT50" s="48" t="s">
        <v>16</v>
      </c>
      <c r="AU50" s="41">
        <v>0.17780000000000001</v>
      </c>
      <c r="AV50" s="41"/>
      <c r="AW50" s="50">
        <v>0.127</v>
      </c>
      <c r="AX50" s="54">
        <v>0.41399999999999998</v>
      </c>
      <c r="AY50" s="50">
        <v>0.125</v>
      </c>
      <c r="AZ50" s="50">
        <v>0.11600000000000001</v>
      </c>
      <c r="BA50" s="43"/>
      <c r="BB50" s="50">
        <v>9.6000000000000002E-2</v>
      </c>
      <c r="BC50" s="50">
        <v>8.3000000000000004E-2</v>
      </c>
      <c r="BD50" s="43"/>
      <c r="BE50" s="41">
        <v>163178.5</v>
      </c>
      <c r="BF50" s="41">
        <v>86090</v>
      </c>
      <c r="BG50" s="51">
        <v>1</v>
      </c>
      <c r="BH50" s="51">
        <v>1</v>
      </c>
      <c r="BI50" s="52" t="s">
        <v>3285</v>
      </c>
      <c r="BJ50" s="41"/>
      <c r="BK50" s="41">
        <v>16845</v>
      </c>
      <c r="BL50" s="41">
        <v>36750.5</v>
      </c>
      <c r="BM50" s="51">
        <v>1</v>
      </c>
      <c r="BN50" s="51">
        <v>1</v>
      </c>
      <c r="BO50" s="52" t="s">
        <v>3286</v>
      </c>
      <c r="BP50" s="52" t="s">
        <v>3287</v>
      </c>
      <c r="BQ50" s="43"/>
      <c r="BR50" s="41">
        <v>2.3216999999999999</v>
      </c>
      <c r="BS50" s="41">
        <v>1.5063</v>
      </c>
      <c r="BT50" s="52" t="s">
        <v>3290</v>
      </c>
      <c r="BU50" s="52" t="s">
        <v>3290</v>
      </c>
      <c r="BV50" s="41"/>
      <c r="BW50" s="54">
        <v>0.51600000000000001</v>
      </c>
      <c r="BX50" s="50">
        <v>0.121</v>
      </c>
      <c r="BY50" s="41"/>
    </row>
    <row r="51" spans="1:77">
      <c r="A51" s="148">
        <v>2.0099999999999998</v>
      </c>
      <c r="B51" s="141" t="s">
        <v>355</v>
      </c>
      <c r="C51" s="86" t="s">
        <v>433</v>
      </c>
      <c r="D51" s="133" t="s">
        <v>19</v>
      </c>
      <c r="E51" s="80" t="s">
        <v>19</v>
      </c>
      <c r="F51" s="46" t="s">
        <v>19</v>
      </c>
      <c r="G51" s="46" t="s">
        <v>515</v>
      </c>
      <c r="H51" s="46" t="s">
        <v>516</v>
      </c>
      <c r="I51" s="46" t="s">
        <v>3377</v>
      </c>
      <c r="J51" s="46" t="s">
        <v>3325</v>
      </c>
      <c r="K51" s="46" t="s">
        <v>19</v>
      </c>
      <c r="L51" s="46">
        <v>19</v>
      </c>
      <c r="N51" s="46" t="s">
        <v>3406</v>
      </c>
      <c r="O51" s="46" t="s">
        <v>19</v>
      </c>
      <c r="P51" s="46">
        <v>17</v>
      </c>
      <c r="R51" s="46" t="s">
        <v>3530</v>
      </c>
      <c r="S51" s="46" t="s">
        <v>19</v>
      </c>
      <c r="T51" s="46">
        <v>16</v>
      </c>
      <c r="V51" s="46" t="s">
        <v>1167</v>
      </c>
      <c r="W51" s="46" t="s">
        <v>1420</v>
      </c>
      <c r="X51" s="46" t="s">
        <v>1421</v>
      </c>
      <c r="Y51" s="46" t="s">
        <v>1636</v>
      </c>
      <c r="Z51" s="46">
        <v>17</v>
      </c>
      <c r="AA51" s="46">
        <v>95.3</v>
      </c>
      <c r="AB51" s="46">
        <v>14</v>
      </c>
      <c r="AC51" s="46" t="s">
        <v>1423</v>
      </c>
      <c r="AD51" s="46" t="s">
        <v>1637</v>
      </c>
      <c r="AE51" s="46" t="s">
        <v>515</v>
      </c>
      <c r="AF51" s="46" t="s">
        <v>515</v>
      </c>
      <c r="AG51" s="46" t="s">
        <v>1638</v>
      </c>
      <c r="AH51" s="46" t="s">
        <v>2410</v>
      </c>
      <c r="AI51" s="46" t="s">
        <v>2411</v>
      </c>
      <c r="AJ51" s="46" t="s">
        <v>2412</v>
      </c>
      <c r="AK51" s="46">
        <v>9</v>
      </c>
      <c r="AL51" s="46">
        <v>98.3</v>
      </c>
      <c r="AM51" s="46">
        <v>5</v>
      </c>
      <c r="AN51" s="46" t="s">
        <v>2406</v>
      </c>
      <c r="AO51" s="46" t="s">
        <v>2598</v>
      </c>
      <c r="AP51" s="46" t="s">
        <v>516</v>
      </c>
      <c r="AQ51" s="46" t="s">
        <v>516</v>
      </c>
      <c r="AR51" s="46" t="s">
        <v>2599</v>
      </c>
      <c r="AT51" s="48" t="s">
        <v>19</v>
      </c>
      <c r="AU51" s="41">
        <v>0.4224</v>
      </c>
      <c r="AV51" s="41"/>
      <c r="AW51" s="50">
        <v>0.129</v>
      </c>
      <c r="AX51" s="57">
        <v>0.68500000000000005</v>
      </c>
      <c r="AY51" s="50">
        <v>0.155</v>
      </c>
      <c r="AZ51" s="50">
        <v>0.11600000000000001</v>
      </c>
      <c r="BA51" s="43"/>
      <c r="BB51" s="50">
        <v>9.9000000000000005E-2</v>
      </c>
      <c r="BC51" s="50">
        <v>8.4000000000000005E-2</v>
      </c>
      <c r="BD51" s="43"/>
      <c r="BE51" s="41">
        <v>19496</v>
      </c>
      <c r="BF51" s="41">
        <v>77200</v>
      </c>
      <c r="BG51" s="51">
        <v>1</v>
      </c>
      <c r="BH51" s="51">
        <v>1</v>
      </c>
      <c r="BI51" s="52" t="s">
        <v>3286</v>
      </c>
      <c r="BJ51" s="41"/>
      <c r="BK51" s="41">
        <v>33730</v>
      </c>
      <c r="BL51" s="41">
        <v>6551</v>
      </c>
      <c r="BM51" s="51">
        <v>1</v>
      </c>
      <c r="BN51" s="51">
        <v>1</v>
      </c>
      <c r="BO51" s="52" t="s">
        <v>3285</v>
      </c>
      <c r="BP51" s="52" t="s">
        <v>3287</v>
      </c>
      <c r="BQ51" s="43"/>
      <c r="BR51" s="41">
        <v>2.4274</v>
      </c>
      <c r="BS51" s="41">
        <v>1.1999</v>
      </c>
      <c r="BT51" s="52" t="s">
        <v>3290</v>
      </c>
      <c r="BU51" s="52" t="s">
        <v>3290</v>
      </c>
      <c r="BV51" s="41"/>
      <c r="BW51" s="54">
        <v>0.496</v>
      </c>
      <c r="BX51" s="50">
        <v>0.13100000000000001</v>
      </c>
      <c r="BY51" s="41"/>
    </row>
    <row r="52" spans="1:77">
      <c r="A52" s="148">
        <v>2.0099999999999998</v>
      </c>
      <c r="B52" s="141" t="s">
        <v>355</v>
      </c>
      <c r="C52" s="86" t="s">
        <v>433</v>
      </c>
      <c r="D52" s="133" t="s">
        <v>20</v>
      </c>
      <c r="E52" s="80" t="s">
        <v>20</v>
      </c>
      <c r="F52" s="46" t="s">
        <v>20</v>
      </c>
      <c r="G52" s="46" t="s">
        <v>541</v>
      </c>
      <c r="H52" s="46" t="s">
        <v>542</v>
      </c>
      <c r="I52" s="46" t="s">
        <v>3377</v>
      </c>
      <c r="J52" s="46" t="s">
        <v>3325</v>
      </c>
      <c r="K52" s="46" t="s">
        <v>20</v>
      </c>
      <c r="L52" s="46">
        <v>19</v>
      </c>
      <c r="N52" s="46" t="s">
        <v>3406</v>
      </c>
      <c r="O52" s="46" t="s">
        <v>20</v>
      </c>
      <c r="P52" s="46">
        <v>17</v>
      </c>
      <c r="R52" s="46" t="s">
        <v>3530</v>
      </c>
      <c r="S52" s="46" t="s">
        <v>20</v>
      </c>
      <c r="T52" s="46">
        <v>16</v>
      </c>
      <c r="V52" s="46" t="s">
        <v>1177</v>
      </c>
      <c r="W52" s="46" t="s">
        <v>1420</v>
      </c>
      <c r="X52" s="46" t="s">
        <v>1421</v>
      </c>
      <c r="Y52" s="46" t="s">
        <v>1671</v>
      </c>
      <c r="Z52" s="46">
        <v>17</v>
      </c>
      <c r="AA52" s="46">
        <v>94.9</v>
      </c>
      <c r="AB52" s="46">
        <v>15</v>
      </c>
      <c r="AC52" s="46" t="s">
        <v>1423</v>
      </c>
      <c r="AD52" s="46" t="s">
        <v>1672</v>
      </c>
      <c r="AE52" s="46" t="s">
        <v>541</v>
      </c>
      <c r="AF52" s="46" t="s">
        <v>541</v>
      </c>
      <c r="AG52" s="46" t="s">
        <v>1673</v>
      </c>
      <c r="AH52" s="46" t="s">
        <v>2410</v>
      </c>
      <c r="AI52" s="46" t="s">
        <v>2411</v>
      </c>
      <c r="AJ52" s="46" t="s">
        <v>2412</v>
      </c>
      <c r="AK52" s="46">
        <v>9</v>
      </c>
      <c r="AL52" s="46">
        <v>98</v>
      </c>
      <c r="AM52" s="46">
        <v>6</v>
      </c>
      <c r="AN52" s="46" t="s">
        <v>2406</v>
      </c>
      <c r="AO52" s="46" t="s">
        <v>2413</v>
      </c>
      <c r="AP52" s="46" t="s">
        <v>542</v>
      </c>
      <c r="AQ52" s="46" t="s">
        <v>542</v>
      </c>
      <c r="AR52" s="46" t="s">
        <v>2631</v>
      </c>
      <c r="AT52" s="48" t="s">
        <v>20</v>
      </c>
      <c r="AU52" s="41">
        <v>0.22439999999999999</v>
      </c>
      <c r="AV52" s="41"/>
      <c r="AW52" s="50">
        <v>0.11799999999999999</v>
      </c>
      <c r="AX52" s="57">
        <v>0.76600000000000001</v>
      </c>
      <c r="AY52" s="50">
        <v>0.129</v>
      </c>
      <c r="AZ52" s="50">
        <v>0.128</v>
      </c>
      <c r="BA52" s="43"/>
      <c r="BB52" s="50">
        <v>0.105</v>
      </c>
      <c r="BC52" s="50">
        <v>9.8000000000000004E-2</v>
      </c>
      <c r="BD52" s="43"/>
      <c r="BE52" s="41">
        <v>8569.5</v>
      </c>
      <c r="BF52" s="41">
        <v>166159</v>
      </c>
      <c r="BG52" s="51">
        <v>1</v>
      </c>
      <c r="BH52" s="51">
        <v>1</v>
      </c>
      <c r="BI52" s="52" t="s">
        <v>3286</v>
      </c>
      <c r="BJ52" s="41"/>
      <c r="BK52" s="41">
        <v>99527</v>
      </c>
      <c r="BL52" s="41">
        <v>8365</v>
      </c>
      <c r="BM52" s="51">
        <v>1</v>
      </c>
      <c r="BN52" s="51">
        <v>1</v>
      </c>
      <c r="BO52" s="52" t="s">
        <v>3285</v>
      </c>
      <c r="BP52" s="52" t="s">
        <v>3287</v>
      </c>
      <c r="BQ52" s="43"/>
      <c r="BR52" s="41">
        <v>2.6164999999999998</v>
      </c>
      <c r="BS52" s="41">
        <v>1.3445</v>
      </c>
      <c r="BT52" s="52" t="s">
        <v>3290</v>
      </c>
      <c r="BU52" s="52" t="s">
        <v>3290</v>
      </c>
      <c r="BV52" s="41"/>
      <c r="BW52" s="54">
        <v>0.39300000000000002</v>
      </c>
      <c r="BX52" s="50">
        <v>0.11799999999999999</v>
      </c>
      <c r="BY52" s="41"/>
    </row>
    <row r="53" spans="1:77">
      <c r="A53" s="148">
        <v>2.0099999999999998</v>
      </c>
      <c r="B53" s="141" t="s">
        <v>355</v>
      </c>
      <c r="C53" s="86" t="s">
        <v>433</v>
      </c>
      <c r="D53" s="133" t="s">
        <v>21</v>
      </c>
      <c r="E53" s="80" t="s">
        <v>21</v>
      </c>
      <c r="F53" s="46" t="s">
        <v>21</v>
      </c>
      <c r="G53" s="46" t="s">
        <v>554</v>
      </c>
      <c r="H53" s="46" t="s">
        <v>555</v>
      </c>
      <c r="I53" s="46" t="s">
        <v>3377</v>
      </c>
      <c r="J53" s="46" t="s">
        <v>3325</v>
      </c>
      <c r="K53" s="46" t="s">
        <v>21</v>
      </c>
      <c r="L53" s="46">
        <v>19</v>
      </c>
      <c r="N53" s="46" t="s">
        <v>3406</v>
      </c>
      <c r="O53" s="46" t="s">
        <v>21</v>
      </c>
      <c r="P53" s="46">
        <v>17</v>
      </c>
      <c r="R53" s="46" t="s">
        <v>3530</v>
      </c>
      <c r="S53" s="46" t="s">
        <v>21</v>
      </c>
      <c r="T53" s="46">
        <v>16</v>
      </c>
      <c r="V53" s="46" t="s">
        <v>1178</v>
      </c>
      <c r="W53" s="46" t="s">
        <v>1420</v>
      </c>
      <c r="X53" s="46" t="s">
        <v>1421</v>
      </c>
      <c r="Y53" s="46" t="s">
        <v>1675</v>
      </c>
      <c r="Z53" s="46">
        <v>17</v>
      </c>
      <c r="AA53" s="46">
        <v>92.5</v>
      </c>
      <c r="AB53" s="46">
        <v>22</v>
      </c>
      <c r="AC53" s="46" t="s">
        <v>1423</v>
      </c>
      <c r="AD53" s="46" t="s">
        <v>1676</v>
      </c>
      <c r="AE53" s="46" t="s">
        <v>1677</v>
      </c>
      <c r="AF53" s="46" t="s">
        <v>554</v>
      </c>
      <c r="AG53" s="46" t="s">
        <v>1678</v>
      </c>
      <c r="AH53" s="46" t="s">
        <v>2410</v>
      </c>
      <c r="AI53" s="46" t="s">
        <v>2411</v>
      </c>
      <c r="AJ53" s="46" t="s">
        <v>2412</v>
      </c>
      <c r="AK53" s="46">
        <v>9</v>
      </c>
      <c r="AL53" s="46">
        <v>95.4</v>
      </c>
      <c r="AM53" s="46">
        <v>14</v>
      </c>
      <c r="AN53" s="46" t="s">
        <v>2406</v>
      </c>
      <c r="AO53" s="46" t="s">
        <v>2633</v>
      </c>
      <c r="AP53" s="46" t="s">
        <v>555</v>
      </c>
      <c r="AQ53" s="46" t="s">
        <v>555</v>
      </c>
      <c r="AR53" s="46" t="s">
        <v>2634</v>
      </c>
      <c r="AT53" s="48" t="s">
        <v>21</v>
      </c>
      <c r="AU53" s="41">
        <v>0.54820000000000002</v>
      </c>
      <c r="AV53" s="41"/>
      <c r="AW53" s="50">
        <v>0.113</v>
      </c>
      <c r="AX53" s="57">
        <v>0.746</v>
      </c>
      <c r="AY53" s="50">
        <v>0.14299999999999999</v>
      </c>
      <c r="AZ53" s="50">
        <v>0.13200000000000001</v>
      </c>
      <c r="BA53" s="43"/>
      <c r="BB53" s="50">
        <v>9.9000000000000005E-2</v>
      </c>
      <c r="BC53" s="50">
        <v>0.08</v>
      </c>
      <c r="BD53" s="43"/>
      <c r="BE53" s="41">
        <v>5883</v>
      </c>
      <c r="BF53" s="41">
        <v>42320</v>
      </c>
      <c r="BG53" s="51">
        <v>0</v>
      </c>
      <c r="BH53" s="51">
        <v>1</v>
      </c>
      <c r="BI53" s="52" t="s">
        <v>3286</v>
      </c>
      <c r="BJ53" s="41"/>
      <c r="BK53" s="41">
        <v>33603.5</v>
      </c>
      <c r="BL53" s="41">
        <v>9809</v>
      </c>
      <c r="BM53" s="51">
        <v>1</v>
      </c>
      <c r="BN53" s="51">
        <v>1</v>
      </c>
      <c r="BO53" s="52" t="s">
        <v>3285</v>
      </c>
      <c r="BP53" s="52" t="s">
        <v>3287</v>
      </c>
      <c r="BQ53" s="43"/>
      <c r="BR53" s="41">
        <v>2.8231000000000002</v>
      </c>
      <c r="BS53" s="41">
        <v>1.1345000000000001</v>
      </c>
      <c r="BT53" s="52" t="s">
        <v>3290</v>
      </c>
      <c r="BU53" s="52" t="s">
        <v>3290</v>
      </c>
      <c r="BV53" s="41"/>
      <c r="BW53" s="54">
        <v>0.53700000000000003</v>
      </c>
      <c r="BX53" s="50">
        <v>0.124</v>
      </c>
      <c r="BY53" s="41"/>
    </row>
    <row r="54" spans="1:77">
      <c r="A54" s="148">
        <v>2.0099999999999998</v>
      </c>
      <c r="B54" s="141" t="s">
        <v>355</v>
      </c>
      <c r="C54" s="86" t="s">
        <v>433</v>
      </c>
      <c r="D54" s="133" t="s">
        <v>22</v>
      </c>
      <c r="E54" s="80" t="s">
        <v>22</v>
      </c>
      <c r="F54" s="46" t="s">
        <v>22</v>
      </c>
      <c r="G54" s="46" t="s">
        <v>556</v>
      </c>
      <c r="H54" s="46" t="s">
        <v>557</v>
      </c>
      <c r="I54" s="46" t="s">
        <v>3377</v>
      </c>
      <c r="J54" s="46" t="s">
        <v>3325</v>
      </c>
      <c r="K54" s="46" t="s">
        <v>22</v>
      </c>
      <c r="L54" s="46">
        <v>19</v>
      </c>
      <c r="N54" s="46" t="s">
        <v>3406</v>
      </c>
      <c r="O54" s="46" t="s">
        <v>22</v>
      </c>
      <c r="P54" s="46">
        <v>17</v>
      </c>
      <c r="R54" s="46" t="s">
        <v>3530</v>
      </c>
      <c r="S54" s="46" t="s">
        <v>22</v>
      </c>
      <c r="T54" s="46">
        <v>16</v>
      </c>
      <c r="V54" s="46" t="s">
        <v>1186</v>
      </c>
      <c r="W54" s="46" t="s">
        <v>1420</v>
      </c>
      <c r="X54" s="46" t="s">
        <v>1421</v>
      </c>
      <c r="Y54" s="46" t="s">
        <v>1705</v>
      </c>
      <c r="Z54" s="46">
        <v>17</v>
      </c>
      <c r="AA54" s="46">
        <v>95.6</v>
      </c>
      <c r="AB54" s="46">
        <v>13</v>
      </c>
      <c r="AC54" s="46" t="s">
        <v>1423</v>
      </c>
      <c r="AD54" s="46" t="s">
        <v>1706</v>
      </c>
      <c r="AE54" s="46" t="s">
        <v>556</v>
      </c>
      <c r="AF54" s="46" t="s">
        <v>556</v>
      </c>
      <c r="AG54" s="46" t="s">
        <v>1707</v>
      </c>
      <c r="AH54" s="46" t="s">
        <v>2410</v>
      </c>
      <c r="AI54" s="46" t="s">
        <v>2411</v>
      </c>
      <c r="AJ54" s="46" t="s">
        <v>2412</v>
      </c>
      <c r="AK54" s="46">
        <v>9</v>
      </c>
      <c r="AL54" s="46">
        <v>96.7</v>
      </c>
      <c r="AM54" s="46">
        <v>10</v>
      </c>
      <c r="AN54" s="46" t="s">
        <v>2406</v>
      </c>
      <c r="AO54" s="46" t="s">
        <v>2656</v>
      </c>
      <c r="AP54" s="46" t="s">
        <v>557</v>
      </c>
      <c r="AQ54" s="46" t="s">
        <v>557</v>
      </c>
      <c r="AR54" s="46" t="s">
        <v>2657</v>
      </c>
      <c r="AT54" s="48" t="s">
        <v>22</v>
      </c>
      <c r="AU54" s="41">
        <v>0.39950000000000002</v>
      </c>
      <c r="AV54" s="41"/>
      <c r="AW54" s="50">
        <v>0.11700000000000001</v>
      </c>
      <c r="AX54" s="54">
        <v>0.55100000000000005</v>
      </c>
      <c r="AY54" s="50">
        <v>0.13500000000000001</v>
      </c>
      <c r="AZ54" s="50">
        <v>0.129</v>
      </c>
      <c r="BA54" s="43"/>
      <c r="BB54" s="50">
        <v>0.113</v>
      </c>
      <c r="BC54" s="50">
        <v>9.0999999999999998E-2</v>
      </c>
      <c r="BD54" s="43"/>
      <c r="BE54" s="41">
        <v>13478</v>
      </c>
      <c r="BF54" s="41">
        <v>65839.5</v>
      </c>
      <c r="BG54" s="51">
        <v>1</v>
      </c>
      <c r="BH54" s="51">
        <v>1</v>
      </c>
      <c r="BI54" s="52" t="s">
        <v>3286</v>
      </c>
      <c r="BJ54" s="41"/>
      <c r="BK54" s="41">
        <v>41935</v>
      </c>
      <c r="BL54" s="41">
        <v>5043</v>
      </c>
      <c r="BM54" s="51">
        <v>1</v>
      </c>
      <c r="BN54" s="51">
        <v>1</v>
      </c>
      <c r="BO54" s="52" t="s">
        <v>3285</v>
      </c>
      <c r="BP54" s="52" t="s">
        <v>3287</v>
      </c>
      <c r="BQ54" s="43"/>
      <c r="BR54" s="41">
        <v>2.3189000000000002</v>
      </c>
      <c r="BS54" s="41">
        <v>1.3113999999999999</v>
      </c>
      <c r="BT54" s="52" t="s">
        <v>3290</v>
      </c>
      <c r="BU54" s="52" t="s">
        <v>3290</v>
      </c>
      <c r="BV54" s="41"/>
      <c r="BW54" s="50">
        <v>0.314</v>
      </c>
      <c r="BX54" s="50">
        <v>0.125</v>
      </c>
      <c r="BY54" s="41"/>
    </row>
    <row r="55" spans="1:77">
      <c r="A55" s="148">
        <v>2.0099999999999998</v>
      </c>
      <c r="B55" s="141" t="s">
        <v>355</v>
      </c>
      <c r="C55" s="86" t="s">
        <v>433</v>
      </c>
      <c r="D55" s="133" t="s">
        <v>23</v>
      </c>
      <c r="E55" s="80" t="s">
        <v>23</v>
      </c>
      <c r="F55" s="46" t="s">
        <v>23</v>
      </c>
      <c r="G55" s="46" t="s">
        <v>566</v>
      </c>
      <c r="H55" s="46" t="s">
        <v>567</v>
      </c>
      <c r="I55" s="46" t="s">
        <v>3377</v>
      </c>
      <c r="J55" s="46" t="s">
        <v>3325</v>
      </c>
      <c r="K55" s="46" t="s">
        <v>23</v>
      </c>
      <c r="L55" s="46">
        <v>19</v>
      </c>
      <c r="N55" s="46" t="s">
        <v>3406</v>
      </c>
      <c r="O55" s="46" t="s">
        <v>23</v>
      </c>
      <c r="P55" s="46">
        <v>17</v>
      </c>
      <c r="R55" s="46" t="s">
        <v>3530</v>
      </c>
      <c r="S55" s="46" t="s">
        <v>23</v>
      </c>
      <c r="T55" s="46">
        <v>16</v>
      </c>
      <c r="V55" s="46" t="s">
        <v>1198</v>
      </c>
      <c r="W55" s="46" t="s">
        <v>1420</v>
      </c>
      <c r="X55" s="46" t="s">
        <v>1421</v>
      </c>
      <c r="Y55" s="46" t="s">
        <v>1740</v>
      </c>
      <c r="Z55" s="46">
        <v>17</v>
      </c>
      <c r="AA55" s="46">
        <v>92.2</v>
      </c>
      <c r="AB55" s="46">
        <v>23</v>
      </c>
      <c r="AC55" s="46" t="s">
        <v>1423</v>
      </c>
      <c r="AD55" s="46" t="s">
        <v>1741</v>
      </c>
      <c r="AE55" s="46" t="s">
        <v>566</v>
      </c>
      <c r="AF55" s="46" t="s">
        <v>566</v>
      </c>
      <c r="AG55" s="46" t="s">
        <v>1742</v>
      </c>
      <c r="AH55" s="46" t="s">
        <v>2410</v>
      </c>
      <c r="AI55" s="46" t="s">
        <v>2411</v>
      </c>
      <c r="AJ55" s="46" t="s">
        <v>2412</v>
      </c>
      <c r="AK55" s="46">
        <v>9</v>
      </c>
      <c r="AL55" s="46">
        <v>97.7</v>
      </c>
      <c r="AM55" s="46">
        <v>7</v>
      </c>
      <c r="AN55" s="46" t="s">
        <v>2406</v>
      </c>
      <c r="AO55" s="46" t="s">
        <v>2413</v>
      </c>
      <c r="AP55" s="46" t="s">
        <v>567</v>
      </c>
      <c r="AQ55" s="46" t="s">
        <v>567</v>
      </c>
      <c r="AR55" s="46" t="s">
        <v>2687</v>
      </c>
      <c r="AT55" s="48" t="s">
        <v>23</v>
      </c>
      <c r="AU55" s="41">
        <v>0.15609999999999999</v>
      </c>
      <c r="AV55" s="41"/>
      <c r="AW55" s="50">
        <v>0.12</v>
      </c>
      <c r="AX55" s="57">
        <v>0.63500000000000001</v>
      </c>
      <c r="AY55" s="50">
        <v>0.13700000000000001</v>
      </c>
      <c r="AZ55" s="50">
        <v>0.122</v>
      </c>
      <c r="BA55" s="43"/>
      <c r="BB55" s="50">
        <v>0.11899999999999999</v>
      </c>
      <c r="BC55" s="50">
        <v>8.7999999999999995E-2</v>
      </c>
      <c r="BD55" s="43"/>
      <c r="BE55" s="41">
        <v>51409</v>
      </c>
      <c r="BF55" s="41">
        <v>172527.5</v>
      </c>
      <c r="BG55" s="51">
        <v>1</v>
      </c>
      <c r="BH55" s="51">
        <v>1</v>
      </c>
      <c r="BI55" s="52" t="s">
        <v>3286</v>
      </c>
      <c r="BJ55" s="41"/>
      <c r="BK55" s="41">
        <v>97440</v>
      </c>
      <c r="BL55" s="41">
        <v>14730.5</v>
      </c>
      <c r="BM55" s="51">
        <v>1</v>
      </c>
      <c r="BN55" s="51">
        <v>1</v>
      </c>
      <c r="BO55" s="52" t="s">
        <v>3285</v>
      </c>
      <c r="BP55" s="52" t="s">
        <v>3287</v>
      </c>
      <c r="BQ55" s="43"/>
      <c r="BR55" s="41">
        <v>2.9096000000000002</v>
      </c>
      <c r="BS55" s="41">
        <v>1.3472</v>
      </c>
      <c r="BT55" s="52" t="s">
        <v>3290</v>
      </c>
      <c r="BU55" s="52" t="s">
        <v>3290</v>
      </c>
      <c r="BV55" s="41"/>
      <c r="BW55" s="54">
        <v>0.434</v>
      </c>
      <c r="BX55" s="50">
        <v>0.13400000000000001</v>
      </c>
      <c r="BY55" s="41"/>
    </row>
    <row r="56" spans="1:77">
      <c r="A56" s="148">
        <v>2.0099999999999998</v>
      </c>
      <c r="B56" s="141" t="s">
        <v>355</v>
      </c>
      <c r="C56" s="86" t="s">
        <v>433</v>
      </c>
      <c r="D56" s="133" t="s">
        <v>24</v>
      </c>
      <c r="E56" s="80" t="s">
        <v>24</v>
      </c>
      <c r="F56" s="46" t="s">
        <v>24</v>
      </c>
      <c r="G56" s="46" t="s">
        <v>576</v>
      </c>
      <c r="H56" s="46" t="s">
        <v>577</v>
      </c>
      <c r="I56" s="46" t="s">
        <v>3377</v>
      </c>
      <c r="J56" s="46" t="s">
        <v>3325</v>
      </c>
      <c r="K56" s="46" t="s">
        <v>24</v>
      </c>
      <c r="L56" s="46">
        <v>19</v>
      </c>
      <c r="N56" s="46" t="s">
        <v>3406</v>
      </c>
      <c r="O56" s="46" t="s">
        <v>24</v>
      </c>
      <c r="P56" s="46">
        <v>17</v>
      </c>
      <c r="R56" s="46" t="s">
        <v>3530</v>
      </c>
      <c r="S56" s="46" t="s">
        <v>24</v>
      </c>
      <c r="T56" s="46">
        <v>16</v>
      </c>
      <c r="V56" s="46" t="s">
        <v>1209</v>
      </c>
      <c r="W56" s="46" t="s">
        <v>1420</v>
      </c>
      <c r="X56" s="46" t="s">
        <v>1421</v>
      </c>
      <c r="Y56" s="46" t="s">
        <v>1705</v>
      </c>
      <c r="Z56" s="46">
        <v>17</v>
      </c>
      <c r="AA56" s="46">
        <v>96.9</v>
      </c>
      <c r="AB56" s="46">
        <v>9</v>
      </c>
      <c r="AC56" s="46" t="s">
        <v>1423</v>
      </c>
      <c r="AD56" s="46" t="s">
        <v>1706</v>
      </c>
      <c r="AE56" s="46" t="s">
        <v>576</v>
      </c>
      <c r="AF56" s="46" t="s">
        <v>576</v>
      </c>
      <c r="AG56" s="46" t="s">
        <v>1782</v>
      </c>
      <c r="AH56" s="46" t="s">
        <v>2410</v>
      </c>
      <c r="AI56" s="46" t="s">
        <v>2411</v>
      </c>
      <c r="AJ56" s="46" t="s">
        <v>2412</v>
      </c>
      <c r="AK56" s="46">
        <v>9</v>
      </c>
      <c r="AL56" s="46">
        <v>98.3</v>
      </c>
      <c r="AM56" s="46">
        <v>5</v>
      </c>
      <c r="AN56" s="46" t="s">
        <v>2406</v>
      </c>
      <c r="AO56" s="46" t="s">
        <v>2413</v>
      </c>
      <c r="AP56" s="46" t="s">
        <v>577</v>
      </c>
      <c r="AQ56" s="46" t="s">
        <v>577</v>
      </c>
      <c r="AR56" s="46" t="s">
        <v>2631</v>
      </c>
      <c r="AT56" s="48" t="s">
        <v>24</v>
      </c>
      <c r="AU56" s="41">
        <v>0.27710000000000001</v>
      </c>
      <c r="AV56" s="41"/>
      <c r="AW56" s="50">
        <v>0.11700000000000001</v>
      </c>
      <c r="AX56" s="54">
        <v>0.498</v>
      </c>
      <c r="AY56" s="50">
        <v>0.126</v>
      </c>
      <c r="AZ56" s="50">
        <v>0.13200000000000001</v>
      </c>
      <c r="BA56" s="43"/>
      <c r="BB56" s="50">
        <v>0.11600000000000001</v>
      </c>
      <c r="BC56" s="50">
        <v>0.09</v>
      </c>
      <c r="BD56" s="43"/>
      <c r="BE56" s="41">
        <v>1858</v>
      </c>
      <c r="BF56" s="41">
        <v>82839</v>
      </c>
      <c r="BG56" s="51">
        <v>0</v>
      </c>
      <c r="BH56" s="51">
        <v>1</v>
      </c>
      <c r="BI56" s="52" t="s">
        <v>3286</v>
      </c>
      <c r="BJ56" s="41"/>
      <c r="BK56" s="41">
        <v>39103</v>
      </c>
      <c r="BL56" s="41">
        <v>6785.5</v>
      </c>
      <c r="BM56" s="51">
        <v>1</v>
      </c>
      <c r="BN56" s="51">
        <v>1</v>
      </c>
      <c r="BO56" s="52" t="s">
        <v>3285</v>
      </c>
      <c r="BP56" s="52" t="s">
        <v>3287</v>
      </c>
      <c r="BQ56" s="43"/>
      <c r="BR56" s="41">
        <v>2.5202</v>
      </c>
      <c r="BS56" s="41">
        <v>0.98729999999999996</v>
      </c>
      <c r="BT56" s="52" t="s">
        <v>3290</v>
      </c>
      <c r="BU56" s="52" t="s">
        <v>3290</v>
      </c>
      <c r="BV56" s="41"/>
      <c r="BW56" s="50">
        <v>0.28399999999999997</v>
      </c>
      <c r="BX56" s="50">
        <v>0.111</v>
      </c>
      <c r="BY56" s="41"/>
    </row>
    <row r="57" spans="1:77">
      <c r="A57" s="148">
        <v>2.0099999999999998</v>
      </c>
      <c r="B57" s="141" t="s">
        <v>355</v>
      </c>
      <c r="C57" s="86" t="s">
        <v>433</v>
      </c>
      <c r="D57" s="133" t="s">
        <v>25</v>
      </c>
      <c r="E57" s="80" t="s">
        <v>25</v>
      </c>
      <c r="F57" s="46" t="s">
        <v>25</v>
      </c>
      <c r="G57" s="46" t="s">
        <v>642</v>
      </c>
      <c r="H57" s="46" t="s">
        <v>643</v>
      </c>
      <c r="I57" s="46" t="s">
        <v>3377</v>
      </c>
      <c r="J57" s="46" t="s">
        <v>3325</v>
      </c>
      <c r="K57" s="46" t="s">
        <v>25</v>
      </c>
      <c r="L57" s="46">
        <v>19</v>
      </c>
      <c r="N57" s="46" t="s">
        <v>3406</v>
      </c>
      <c r="O57" s="46" t="s">
        <v>25</v>
      </c>
      <c r="P57" s="46">
        <v>17</v>
      </c>
      <c r="R57" s="46" t="s">
        <v>3530</v>
      </c>
      <c r="S57" s="46" t="s">
        <v>25</v>
      </c>
      <c r="T57" s="46">
        <v>16</v>
      </c>
      <c r="V57" s="46" t="s">
        <v>1220</v>
      </c>
      <c r="W57" s="46" t="s">
        <v>1420</v>
      </c>
      <c r="X57" s="46" t="s">
        <v>1421</v>
      </c>
      <c r="Y57" s="46" t="s">
        <v>1816</v>
      </c>
      <c r="Z57" s="46">
        <v>17</v>
      </c>
      <c r="AA57" s="46">
        <v>94.9</v>
      </c>
      <c r="AB57" s="46">
        <v>15</v>
      </c>
      <c r="AC57" s="46" t="s">
        <v>1423</v>
      </c>
      <c r="AD57" s="46" t="s">
        <v>1817</v>
      </c>
      <c r="AE57" s="46" t="s">
        <v>642</v>
      </c>
      <c r="AF57" s="46" t="s">
        <v>642</v>
      </c>
      <c r="AG57" s="46" t="s">
        <v>1818</v>
      </c>
      <c r="AH57" s="46" t="s">
        <v>2410</v>
      </c>
      <c r="AI57" s="46" t="s">
        <v>2411</v>
      </c>
      <c r="AJ57" s="46" t="s">
        <v>2412</v>
      </c>
      <c r="AK57" s="46">
        <v>9</v>
      </c>
      <c r="AL57" s="46">
        <v>96.7</v>
      </c>
      <c r="AM57" s="46">
        <v>10</v>
      </c>
      <c r="AN57" s="46" t="s">
        <v>2406</v>
      </c>
      <c r="AO57" s="46" t="s">
        <v>2413</v>
      </c>
      <c r="AP57" s="46" t="s">
        <v>643</v>
      </c>
      <c r="AQ57" s="46" t="s">
        <v>643</v>
      </c>
      <c r="AR57" s="46" t="s">
        <v>2755</v>
      </c>
      <c r="AT57" s="48" t="s">
        <v>25</v>
      </c>
      <c r="AU57" s="41">
        <v>0.29170000000000001</v>
      </c>
      <c r="AV57" s="41"/>
      <c r="AW57" s="63">
        <v>0.11600000000000001</v>
      </c>
      <c r="AX57" s="62">
        <v>0.71799999999999997</v>
      </c>
      <c r="AY57" s="63">
        <v>0.13800000000000001</v>
      </c>
      <c r="AZ57" s="63">
        <v>0.11700000000000001</v>
      </c>
      <c r="BA57" s="42"/>
      <c r="BB57" s="50">
        <v>0.112</v>
      </c>
      <c r="BC57" s="50">
        <v>9.7000000000000003E-2</v>
      </c>
      <c r="BD57" s="43"/>
      <c r="BE57" s="41">
        <v>28303</v>
      </c>
      <c r="BF57" s="41">
        <v>63899</v>
      </c>
      <c r="BG57" s="51">
        <v>1</v>
      </c>
      <c r="BH57" s="51">
        <v>1</v>
      </c>
      <c r="BI57" s="52" t="s">
        <v>3286</v>
      </c>
      <c r="BJ57" s="41"/>
      <c r="BK57" s="41">
        <v>8576</v>
      </c>
      <c r="BL57" s="41">
        <v>12477</v>
      </c>
      <c r="BM57" s="51">
        <v>1</v>
      </c>
      <c r="BN57" s="51">
        <v>1</v>
      </c>
      <c r="BO57" s="52" t="s">
        <v>3286</v>
      </c>
      <c r="BP57" s="52" t="s">
        <v>3286</v>
      </c>
      <c r="BQ57" s="43"/>
      <c r="BR57" s="41">
        <v>2.3711000000000002</v>
      </c>
      <c r="BS57" s="41">
        <v>2.6360999999999999</v>
      </c>
      <c r="BT57" s="52" t="s">
        <v>3290</v>
      </c>
      <c r="BU57" s="52" t="s">
        <v>3290</v>
      </c>
      <c r="BV57" s="41"/>
      <c r="BW57" s="54">
        <v>0.442</v>
      </c>
      <c r="BX57" s="50">
        <v>0.13200000000000001</v>
      </c>
      <c r="BY57" s="41"/>
    </row>
    <row r="58" spans="1:77">
      <c r="A58" s="148">
        <v>2.0099999999999998</v>
      </c>
      <c r="B58" s="141" t="s">
        <v>355</v>
      </c>
      <c r="C58" s="86" t="s">
        <v>433</v>
      </c>
      <c r="D58" s="133" t="s">
        <v>26</v>
      </c>
      <c r="E58" s="80" t="s">
        <v>26</v>
      </c>
      <c r="F58" s="46" t="s">
        <v>26</v>
      </c>
      <c r="G58" s="46" t="s">
        <v>646</v>
      </c>
      <c r="H58" s="46" t="s">
        <v>647</v>
      </c>
      <c r="I58" s="46" t="s">
        <v>3377</v>
      </c>
      <c r="J58" s="46" t="s">
        <v>3325</v>
      </c>
      <c r="K58" s="46" t="s">
        <v>26</v>
      </c>
      <c r="L58" s="46">
        <v>19</v>
      </c>
      <c r="N58" s="46" t="s">
        <v>3406</v>
      </c>
      <c r="O58" s="46" t="s">
        <v>26</v>
      </c>
      <c r="P58" s="46">
        <v>17</v>
      </c>
      <c r="R58" s="46" t="s">
        <v>3530</v>
      </c>
      <c r="S58" s="46" t="s">
        <v>26</v>
      </c>
      <c r="T58" s="46">
        <v>16</v>
      </c>
      <c r="V58" s="46" t="s">
        <v>1231</v>
      </c>
      <c r="W58" s="46" t="s">
        <v>1420</v>
      </c>
      <c r="X58" s="46" t="s">
        <v>1421</v>
      </c>
      <c r="Y58" s="46" t="s">
        <v>1851</v>
      </c>
      <c r="Z58" s="46">
        <v>17</v>
      </c>
      <c r="AA58" s="46">
        <v>94.2</v>
      </c>
      <c r="AB58" s="46">
        <v>17</v>
      </c>
      <c r="AC58" s="46" t="s">
        <v>1423</v>
      </c>
      <c r="AD58" s="46" t="s">
        <v>1852</v>
      </c>
      <c r="AE58" s="46" t="s">
        <v>1853</v>
      </c>
      <c r="AF58" s="46" t="s">
        <v>646</v>
      </c>
      <c r="AG58" s="46" t="s">
        <v>1854</v>
      </c>
      <c r="AH58" s="46" t="s">
        <v>2410</v>
      </c>
      <c r="AI58" s="46" t="s">
        <v>2411</v>
      </c>
      <c r="AJ58" s="46" t="s">
        <v>2412</v>
      </c>
      <c r="AK58" s="46">
        <v>9</v>
      </c>
      <c r="AL58" s="46">
        <v>97</v>
      </c>
      <c r="AM58" s="46">
        <v>9</v>
      </c>
      <c r="AN58" s="46" t="s">
        <v>2406</v>
      </c>
      <c r="AO58" s="46" t="s">
        <v>2780</v>
      </c>
      <c r="AP58" s="46" t="s">
        <v>647</v>
      </c>
      <c r="AQ58" s="46" t="s">
        <v>647</v>
      </c>
      <c r="AR58" s="46" t="s">
        <v>2781</v>
      </c>
      <c r="AT58" s="48" t="s">
        <v>26</v>
      </c>
      <c r="AU58" s="41">
        <v>0.27360000000000001</v>
      </c>
      <c r="AV58" s="41"/>
      <c r="AW58" s="63">
        <v>0.11899999999999999</v>
      </c>
      <c r="AX58" s="64">
        <v>0.52500000000000002</v>
      </c>
      <c r="AY58" s="63">
        <v>0.127</v>
      </c>
      <c r="AZ58" s="63">
        <v>0.123</v>
      </c>
      <c r="BA58" s="42"/>
      <c r="BB58" s="50">
        <v>0.11600000000000001</v>
      </c>
      <c r="BC58" s="50">
        <v>9.2999999999999999E-2</v>
      </c>
      <c r="BD58" s="43"/>
      <c r="BE58" s="41">
        <v>33177.5</v>
      </c>
      <c r="BF58" s="41">
        <v>44530</v>
      </c>
      <c r="BG58" s="51">
        <v>1</v>
      </c>
      <c r="BH58" s="51">
        <v>1</v>
      </c>
      <c r="BI58" s="52" t="s">
        <v>3286</v>
      </c>
      <c r="BJ58" s="41"/>
      <c r="BK58" s="41">
        <v>11894</v>
      </c>
      <c r="BL58" s="41">
        <v>33574</v>
      </c>
      <c r="BM58" s="51">
        <v>1</v>
      </c>
      <c r="BN58" s="51">
        <v>1</v>
      </c>
      <c r="BO58" s="52" t="s">
        <v>3286</v>
      </c>
      <c r="BP58" s="52" t="s">
        <v>3286</v>
      </c>
      <c r="BQ58" s="43"/>
      <c r="BR58" s="41">
        <v>2.4756999999999998</v>
      </c>
      <c r="BS58" s="41">
        <v>1.1087</v>
      </c>
      <c r="BT58" s="52" t="s">
        <v>3290</v>
      </c>
      <c r="BU58" s="52" t="s">
        <v>3290</v>
      </c>
      <c r="BV58" s="41"/>
      <c r="BW58" s="50">
        <v>0.315</v>
      </c>
      <c r="BX58" s="50">
        <v>0.161</v>
      </c>
      <c r="BY58" s="41"/>
    </row>
    <row r="59" spans="1:77">
      <c r="A59" s="148">
        <v>2.0099999999999998</v>
      </c>
      <c r="B59" s="141" t="s">
        <v>355</v>
      </c>
      <c r="C59" s="86" t="s">
        <v>433</v>
      </c>
      <c r="D59" s="133" t="s">
        <v>27</v>
      </c>
      <c r="E59" s="80" t="s">
        <v>27</v>
      </c>
      <c r="F59" s="46" t="s">
        <v>27</v>
      </c>
      <c r="G59" s="46" t="s">
        <v>676</v>
      </c>
      <c r="H59" s="46" t="s">
        <v>677</v>
      </c>
      <c r="I59" s="46" t="s">
        <v>3377</v>
      </c>
      <c r="J59" s="46" t="s">
        <v>3325</v>
      </c>
      <c r="K59" s="46" t="s">
        <v>27</v>
      </c>
      <c r="L59" s="46">
        <v>19</v>
      </c>
      <c r="N59" s="46" t="s">
        <v>3406</v>
      </c>
      <c r="O59" s="46" t="s">
        <v>27</v>
      </c>
      <c r="P59" s="46">
        <v>17</v>
      </c>
      <c r="R59" s="46" t="s">
        <v>3530</v>
      </c>
      <c r="S59" s="46" t="s">
        <v>27</v>
      </c>
      <c r="T59" s="46">
        <v>16</v>
      </c>
      <c r="V59" s="46" t="s">
        <v>1242</v>
      </c>
      <c r="W59" s="46" t="s">
        <v>1420</v>
      </c>
      <c r="X59" s="46" t="s">
        <v>1421</v>
      </c>
      <c r="Y59" s="46" t="s">
        <v>1886</v>
      </c>
      <c r="Z59" s="46">
        <v>17</v>
      </c>
      <c r="AA59" s="46">
        <v>94.9</v>
      </c>
      <c r="AB59" s="46">
        <v>15</v>
      </c>
      <c r="AC59" s="46" t="s">
        <v>1423</v>
      </c>
      <c r="AD59" s="46" t="s">
        <v>1887</v>
      </c>
      <c r="AE59" s="46" t="s">
        <v>676</v>
      </c>
      <c r="AF59" s="46" t="s">
        <v>676</v>
      </c>
      <c r="AG59" s="46" t="s">
        <v>1888</v>
      </c>
      <c r="AH59" s="46" t="s">
        <v>2410</v>
      </c>
      <c r="AI59" s="46" t="s">
        <v>2411</v>
      </c>
      <c r="AJ59" s="46" t="s">
        <v>2412</v>
      </c>
      <c r="AK59" s="46">
        <v>9</v>
      </c>
      <c r="AL59" s="46">
        <v>99</v>
      </c>
      <c r="AM59" s="46">
        <v>3</v>
      </c>
      <c r="AN59" s="46" t="s">
        <v>2406</v>
      </c>
      <c r="AO59" s="46" t="s">
        <v>2413</v>
      </c>
      <c r="AP59" s="46" t="s">
        <v>677</v>
      </c>
      <c r="AQ59" s="46" t="s">
        <v>677</v>
      </c>
      <c r="AR59" s="46" t="s">
        <v>2810</v>
      </c>
      <c r="AT59" s="48" t="s">
        <v>27</v>
      </c>
      <c r="AU59" s="41">
        <v>0.39100000000000001</v>
      </c>
      <c r="AV59" s="41"/>
      <c r="AW59" s="63">
        <v>0.13400000000000001</v>
      </c>
      <c r="AX59" s="64">
        <v>0.48799999999999999</v>
      </c>
      <c r="AY59" s="63">
        <v>0.127</v>
      </c>
      <c r="AZ59" s="63">
        <v>0.126</v>
      </c>
      <c r="BA59" s="42"/>
      <c r="BB59" s="50">
        <v>0.112</v>
      </c>
      <c r="BC59" s="50">
        <v>0.26800000000000002</v>
      </c>
      <c r="BD59" s="43"/>
      <c r="BE59" s="41">
        <v>19529</v>
      </c>
      <c r="BF59" s="41">
        <v>45605.5</v>
      </c>
      <c r="BG59" s="51">
        <v>1</v>
      </c>
      <c r="BH59" s="51">
        <v>1</v>
      </c>
      <c r="BI59" s="52" t="s">
        <v>3286</v>
      </c>
      <c r="BJ59" s="41"/>
      <c r="BK59" s="41">
        <v>7868</v>
      </c>
      <c r="BL59" s="41">
        <v>2143</v>
      </c>
      <c r="BM59" s="51">
        <v>1</v>
      </c>
      <c r="BN59" s="51">
        <v>0</v>
      </c>
      <c r="BO59" s="52" t="s">
        <v>3285</v>
      </c>
      <c r="BP59" s="52" t="s">
        <v>3287</v>
      </c>
      <c r="BQ59" s="43"/>
      <c r="BR59" s="41">
        <v>1.9802999999999999</v>
      </c>
      <c r="BS59" s="41">
        <v>2.0447000000000002</v>
      </c>
      <c r="BT59" s="52" t="s">
        <v>3290</v>
      </c>
      <c r="BU59" s="52" t="s">
        <v>3290</v>
      </c>
      <c r="BV59" s="41"/>
      <c r="BW59" s="54">
        <v>0.39</v>
      </c>
      <c r="BX59" s="50">
        <v>0.13800000000000001</v>
      </c>
      <c r="BY59" s="41"/>
    </row>
    <row r="60" spans="1:77">
      <c r="A60" s="148">
        <v>2.0099999999999998</v>
      </c>
      <c r="B60" s="141" t="s">
        <v>355</v>
      </c>
      <c r="C60" s="86" t="s">
        <v>433</v>
      </c>
      <c r="D60" s="133" t="s">
        <v>28</v>
      </c>
      <c r="E60" s="80" t="s">
        <v>28</v>
      </c>
      <c r="F60" s="46" t="s">
        <v>28</v>
      </c>
      <c r="G60" s="46" t="s">
        <v>678</v>
      </c>
      <c r="H60" s="46" t="s">
        <v>679</v>
      </c>
      <c r="I60" s="46" t="s">
        <v>3377</v>
      </c>
      <c r="J60" s="46" t="s">
        <v>3325</v>
      </c>
      <c r="K60" s="46" t="s">
        <v>28</v>
      </c>
      <c r="L60" s="46">
        <v>19</v>
      </c>
      <c r="N60" s="46" t="s">
        <v>3406</v>
      </c>
      <c r="O60" s="46" t="s">
        <v>28</v>
      </c>
      <c r="P60" s="46">
        <v>17</v>
      </c>
      <c r="R60" s="46" t="s">
        <v>3530</v>
      </c>
      <c r="S60" s="46" t="s">
        <v>28</v>
      </c>
      <c r="T60" s="46">
        <v>16</v>
      </c>
      <c r="V60" s="46" t="s">
        <v>1253</v>
      </c>
      <c r="W60" s="46" t="s">
        <v>1420</v>
      </c>
      <c r="X60" s="46" t="s">
        <v>1421</v>
      </c>
      <c r="Y60" s="46" t="s">
        <v>1506</v>
      </c>
      <c r="Z60" s="46">
        <v>17</v>
      </c>
      <c r="AA60" s="46">
        <v>97.6</v>
      </c>
      <c r="AB60" s="46">
        <v>7</v>
      </c>
      <c r="AC60" s="46" t="s">
        <v>1423</v>
      </c>
      <c r="AD60" s="46" t="s">
        <v>1924</v>
      </c>
      <c r="AE60" s="46" t="s">
        <v>678</v>
      </c>
      <c r="AF60" s="46" t="s">
        <v>678</v>
      </c>
      <c r="AG60" s="46" t="s">
        <v>1925</v>
      </c>
      <c r="AH60" s="46" t="s">
        <v>2410</v>
      </c>
      <c r="AI60" s="46" t="s">
        <v>2411</v>
      </c>
      <c r="AJ60" s="46" t="s">
        <v>2412</v>
      </c>
      <c r="AK60" s="46">
        <v>9</v>
      </c>
      <c r="AL60" s="46">
        <v>99.3</v>
      </c>
      <c r="AM60" s="46">
        <v>2</v>
      </c>
      <c r="AN60" s="46" t="s">
        <v>2406</v>
      </c>
      <c r="AO60" s="46" t="s">
        <v>2413</v>
      </c>
      <c r="AP60" s="46" t="s">
        <v>679</v>
      </c>
      <c r="AQ60" s="46" t="s">
        <v>679</v>
      </c>
      <c r="AR60" s="46" t="s">
        <v>2845</v>
      </c>
      <c r="AT60" s="48" t="s">
        <v>28</v>
      </c>
      <c r="AU60" s="41">
        <v>0.30659999999999998</v>
      </c>
      <c r="AV60" s="41"/>
      <c r="AW60" s="63">
        <v>0.12</v>
      </c>
      <c r="AX60" s="64">
        <v>0.54400000000000004</v>
      </c>
      <c r="AY60" s="63">
        <v>0.11899999999999999</v>
      </c>
      <c r="AZ60" s="63">
        <v>0.11600000000000001</v>
      </c>
      <c r="BA60" s="42"/>
      <c r="BB60" s="50">
        <v>0.109</v>
      </c>
      <c r="BC60" s="50">
        <v>8.5000000000000006E-2</v>
      </c>
      <c r="BD60" s="43"/>
      <c r="BE60" s="41">
        <v>66156.5</v>
      </c>
      <c r="BF60" s="41">
        <v>47754</v>
      </c>
      <c r="BG60" s="51">
        <v>1</v>
      </c>
      <c r="BH60" s="51">
        <v>1</v>
      </c>
      <c r="BI60" s="52" t="s">
        <v>3285</v>
      </c>
      <c r="BJ60" s="41"/>
      <c r="BK60" s="41">
        <v>9375.5</v>
      </c>
      <c r="BL60" s="41">
        <v>5764</v>
      </c>
      <c r="BM60" s="51">
        <v>1</v>
      </c>
      <c r="BN60" s="51">
        <v>1</v>
      </c>
      <c r="BO60" s="52" t="s">
        <v>3285</v>
      </c>
      <c r="BP60" s="52" t="s">
        <v>3285</v>
      </c>
      <c r="BQ60" s="43"/>
      <c r="BR60" s="41">
        <v>2.3296000000000001</v>
      </c>
      <c r="BS60" s="41">
        <v>1.9666999999999999</v>
      </c>
      <c r="BT60" s="52" t="s">
        <v>3290</v>
      </c>
      <c r="BU60" s="52" t="s">
        <v>3290</v>
      </c>
      <c r="BV60" s="41"/>
      <c r="BW60" s="54">
        <v>0.34899999999999998</v>
      </c>
      <c r="BX60" s="50">
        <v>0.129</v>
      </c>
      <c r="BY60" s="41"/>
    </row>
    <row r="61" spans="1:77">
      <c r="A61" s="148">
        <v>2.0099999999999998</v>
      </c>
      <c r="B61" s="141" t="s">
        <v>355</v>
      </c>
      <c r="C61" s="86" t="s">
        <v>433</v>
      </c>
      <c r="D61" s="133" t="s">
        <v>29</v>
      </c>
      <c r="E61" s="80" t="s">
        <v>29</v>
      </c>
      <c r="F61" s="46" t="s">
        <v>29</v>
      </c>
      <c r="G61" s="46" t="s">
        <v>723</v>
      </c>
      <c r="H61" s="46" t="s">
        <v>724</v>
      </c>
      <c r="I61" s="46" t="s">
        <v>3377</v>
      </c>
      <c r="J61" s="46" t="s">
        <v>3325</v>
      </c>
      <c r="K61" s="46" t="s">
        <v>29</v>
      </c>
      <c r="L61" s="46">
        <v>19</v>
      </c>
      <c r="N61" s="46" t="s">
        <v>3406</v>
      </c>
      <c r="O61" s="46" t="s">
        <v>29</v>
      </c>
      <c r="P61" s="46">
        <v>17</v>
      </c>
      <c r="R61" s="46" t="s">
        <v>3530</v>
      </c>
      <c r="S61" s="46" t="s">
        <v>29</v>
      </c>
      <c r="T61" s="46">
        <v>16</v>
      </c>
      <c r="V61" s="46" t="s">
        <v>1263</v>
      </c>
      <c r="W61" s="46" t="s">
        <v>1420</v>
      </c>
      <c r="X61" s="46" t="s">
        <v>1421</v>
      </c>
      <c r="Y61" s="46" t="s">
        <v>1705</v>
      </c>
      <c r="Z61" s="46">
        <v>17</v>
      </c>
      <c r="AA61" s="46">
        <v>95.6</v>
      </c>
      <c r="AB61" s="46">
        <v>13</v>
      </c>
      <c r="AC61" s="46" t="s">
        <v>1423</v>
      </c>
      <c r="AD61" s="46" t="s">
        <v>1706</v>
      </c>
      <c r="AE61" s="46" t="s">
        <v>723</v>
      </c>
      <c r="AF61" s="46" t="s">
        <v>723</v>
      </c>
      <c r="AG61" s="46" t="s">
        <v>1958</v>
      </c>
      <c r="AH61" s="46" t="s">
        <v>2410</v>
      </c>
      <c r="AI61" s="46" t="s">
        <v>2411</v>
      </c>
      <c r="AJ61" s="46" t="s">
        <v>2412</v>
      </c>
      <c r="AK61" s="46">
        <v>9</v>
      </c>
      <c r="AL61" s="46">
        <v>97.7</v>
      </c>
      <c r="AM61" s="46">
        <v>7</v>
      </c>
      <c r="AN61" s="46" t="s">
        <v>2406</v>
      </c>
      <c r="AO61" s="46" t="s">
        <v>2413</v>
      </c>
      <c r="AP61" s="46" t="s">
        <v>724</v>
      </c>
      <c r="AQ61" s="46" t="s">
        <v>724</v>
      </c>
      <c r="AR61" s="46" t="s">
        <v>2872</v>
      </c>
      <c r="AT61" s="48" t="s">
        <v>29</v>
      </c>
      <c r="AU61" s="41">
        <v>0.27760000000000001</v>
      </c>
      <c r="AV61" s="41"/>
      <c r="AW61" s="50">
        <v>0.14099999999999999</v>
      </c>
      <c r="AX61" s="54">
        <v>0.38300000000000001</v>
      </c>
      <c r="AY61" s="50">
        <v>0.122</v>
      </c>
      <c r="AZ61" s="50">
        <v>0.115</v>
      </c>
      <c r="BA61" s="43"/>
      <c r="BB61" s="50">
        <v>0.122</v>
      </c>
      <c r="BC61" s="50">
        <v>0.10199999999999999</v>
      </c>
      <c r="BD61" s="43"/>
      <c r="BE61" s="41">
        <v>65670</v>
      </c>
      <c r="BF61" s="41">
        <v>143957</v>
      </c>
      <c r="BG61" s="51">
        <v>1</v>
      </c>
      <c r="BH61" s="51">
        <v>1</v>
      </c>
      <c r="BI61" s="52" t="s">
        <v>3286</v>
      </c>
      <c r="BJ61" s="41"/>
      <c r="BK61" s="41">
        <v>13394</v>
      </c>
      <c r="BL61" s="41">
        <v>40636</v>
      </c>
      <c r="BM61" s="51">
        <v>1</v>
      </c>
      <c r="BN61" s="51">
        <v>1</v>
      </c>
      <c r="BO61" s="52" t="s">
        <v>3286</v>
      </c>
      <c r="BP61" s="52" t="s">
        <v>3286</v>
      </c>
      <c r="BQ61" s="43"/>
      <c r="BR61" s="41">
        <v>2.1612</v>
      </c>
      <c r="BS61" s="41">
        <v>2.1017999999999999</v>
      </c>
      <c r="BT61" s="52" t="s">
        <v>3290</v>
      </c>
      <c r="BU61" s="52" t="s">
        <v>3290</v>
      </c>
      <c r="BV61" s="41"/>
      <c r="BW61" s="50">
        <v>0.31900000000000001</v>
      </c>
      <c r="BX61" s="50">
        <v>0.124</v>
      </c>
      <c r="BY61" s="41"/>
    </row>
    <row r="62" spans="1:77">
      <c r="A62" s="148">
        <v>2.0099999999999998</v>
      </c>
      <c r="B62" s="141" t="s">
        <v>355</v>
      </c>
      <c r="C62" s="86" t="s">
        <v>433</v>
      </c>
      <c r="D62" s="133" t="s">
        <v>30</v>
      </c>
      <c r="E62" s="80" t="s">
        <v>30</v>
      </c>
      <c r="F62" s="46" t="s">
        <v>30</v>
      </c>
      <c r="G62" s="46" t="s">
        <v>949</v>
      </c>
      <c r="H62" s="46" t="s">
        <v>950</v>
      </c>
      <c r="I62" s="46" t="s">
        <v>3377</v>
      </c>
      <c r="J62" s="46" t="s">
        <v>3325</v>
      </c>
      <c r="K62" s="46" t="s">
        <v>30</v>
      </c>
      <c r="L62" s="46">
        <v>19</v>
      </c>
      <c r="N62" s="46" t="s">
        <v>3406</v>
      </c>
      <c r="O62" s="46" t="s">
        <v>30</v>
      </c>
      <c r="P62" s="46">
        <v>17</v>
      </c>
      <c r="R62" s="46" t="s">
        <v>3530</v>
      </c>
      <c r="S62" s="46" t="s">
        <v>30</v>
      </c>
      <c r="T62" s="46">
        <v>16</v>
      </c>
      <c r="V62" s="46" t="s">
        <v>1270</v>
      </c>
      <c r="W62" s="46" t="s">
        <v>1420</v>
      </c>
      <c r="X62" s="46" t="s">
        <v>1421</v>
      </c>
      <c r="Y62" s="46" t="s">
        <v>1979</v>
      </c>
      <c r="Z62" s="46">
        <v>17</v>
      </c>
      <c r="AA62" s="46">
        <v>99.3</v>
      </c>
      <c r="AB62" s="46">
        <v>2</v>
      </c>
      <c r="AC62" s="46" t="s">
        <v>1423</v>
      </c>
      <c r="AD62" s="46" t="s">
        <v>1980</v>
      </c>
      <c r="AE62" s="46" t="s">
        <v>949</v>
      </c>
      <c r="AF62" s="46" t="s">
        <v>949</v>
      </c>
      <c r="AG62" s="46" t="s">
        <v>1981</v>
      </c>
      <c r="AH62" s="46" t="s">
        <v>2410</v>
      </c>
      <c r="AI62" s="46" t="s">
        <v>2411</v>
      </c>
      <c r="AJ62" s="46" t="s">
        <v>2577</v>
      </c>
      <c r="AK62" s="46">
        <v>9</v>
      </c>
      <c r="AL62" s="46">
        <v>97.7</v>
      </c>
      <c r="AM62" s="46">
        <v>7</v>
      </c>
      <c r="AN62" s="46" t="s">
        <v>2406</v>
      </c>
      <c r="AO62" s="46" t="s">
        <v>2890</v>
      </c>
      <c r="AP62" s="46" t="s">
        <v>950</v>
      </c>
      <c r="AQ62" s="46" t="s">
        <v>950</v>
      </c>
      <c r="AR62" s="46" t="s">
        <v>2891</v>
      </c>
      <c r="AT62" s="48" t="s">
        <v>30</v>
      </c>
      <c r="AU62" s="41">
        <v>0.2462</v>
      </c>
      <c r="AV62" s="41"/>
      <c r="AW62" s="50">
        <v>0.13400000000000001</v>
      </c>
      <c r="AX62" s="50">
        <v>0.14399999999999999</v>
      </c>
      <c r="AY62" s="50">
        <v>0.161</v>
      </c>
      <c r="AZ62" s="50">
        <v>0.14599999999999999</v>
      </c>
      <c r="BA62" s="43"/>
      <c r="BB62" s="50">
        <v>0.121</v>
      </c>
      <c r="BC62" s="50">
        <v>0.104</v>
      </c>
      <c r="BD62" s="43"/>
      <c r="BE62" s="41">
        <v>37762</v>
      </c>
      <c r="BF62" s="41">
        <v>43909</v>
      </c>
      <c r="BG62" s="51">
        <v>1</v>
      </c>
      <c r="BH62" s="51">
        <v>1</v>
      </c>
      <c r="BI62" s="52" t="s">
        <v>3289</v>
      </c>
      <c r="BJ62" s="41"/>
      <c r="BK62" s="41">
        <v>2938.5</v>
      </c>
      <c r="BL62" s="41">
        <v>4747</v>
      </c>
      <c r="BM62" s="51">
        <v>0</v>
      </c>
      <c r="BN62" s="51">
        <v>1</v>
      </c>
      <c r="BO62" s="52" t="s">
        <v>3286</v>
      </c>
      <c r="BP62" s="52" t="s">
        <v>3287</v>
      </c>
      <c r="BQ62" s="43"/>
      <c r="BR62" s="41">
        <v>0.46800000000000003</v>
      </c>
      <c r="BS62" s="41">
        <v>-0.10299999999999999</v>
      </c>
      <c r="BT62" s="52" t="s">
        <v>3290</v>
      </c>
      <c r="BU62" s="52" t="s">
        <v>3288</v>
      </c>
      <c r="BV62" s="41"/>
      <c r="BW62" s="50">
        <v>0.123</v>
      </c>
      <c r="BX62" s="50">
        <v>0.13900000000000001</v>
      </c>
      <c r="BY62" s="41"/>
    </row>
    <row r="63" spans="1:77">
      <c r="A63" s="148">
        <v>2.0099999999999998</v>
      </c>
      <c r="B63" s="141" t="s">
        <v>355</v>
      </c>
      <c r="C63" s="86" t="s">
        <v>433</v>
      </c>
      <c r="D63" s="133" t="s">
        <v>31</v>
      </c>
      <c r="E63" s="80" t="s">
        <v>31</v>
      </c>
      <c r="F63" s="46" t="s">
        <v>31</v>
      </c>
      <c r="G63" s="46" t="s">
        <v>959</v>
      </c>
      <c r="H63" s="46" t="s">
        <v>960</v>
      </c>
      <c r="I63" s="46" t="s">
        <v>3377</v>
      </c>
      <c r="J63" s="46" t="s">
        <v>3325</v>
      </c>
      <c r="K63" s="46" t="s">
        <v>31</v>
      </c>
      <c r="L63" s="46">
        <v>19</v>
      </c>
      <c r="N63" s="46" t="s">
        <v>3406</v>
      </c>
      <c r="O63" s="46" t="s">
        <v>31</v>
      </c>
      <c r="P63" s="46">
        <v>17</v>
      </c>
      <c r="R63" s="46" t="s">
        <v>3530</v>
      </c>
      <c r="S63" s="46" t="s">
        <v>31</v>
      </c>
      <c r="T63" s="46">
        <v>16</v>
      </c>
      <c r="V63" s="46" t="s">
        <v>1279</v>
      </c>
      <c r="W63" s="46" t="s">
        <v>1420</v>
      </c>
      <c r="X63" s="46" t="s">
        <v>1421</v>
      </c>
      <c r="Y63" s="46" t="s">
        <v>2002</v>
      </c>
      <c r="Z63" s="46">
        <v>17</v>
      </c>
      <c r="AA63" s="46">
        <v>99.3</v>
      </c>
      <c r="AB63" s="46">
        <v>2</v>
      </c>
      <c r="AC63" s="46" t="s">
        <v>1423</v>
      </c>
      <c r="AD63" s="46" t="s">
        <v>2003</v>
      </c>
      <c r="AE63" s="46" t="s">
        <v>959</v>
      </c>
      <c r="AF63" s="46" t="s">
        <v>959</v>
      </c>
      <c r="AG63" s="46" t="s">
        <v>2004</v>
      </c>
      <c r="AH63" s="46" t="s">
        <v>2410</v>
      </c>
      <c r="AI63" s="46" t="s">
        <v>2411</v>
      </c>
      <c r="AJ63" s="46" t="s">
        <v>2412</v>
      </c>
      <c r="AK63" s="46">
        <v>9</v>
      </c>
      <c r="AL63" s="46">
        <v>98.3</v>
      </c>
      <c r="AM63" s="46">
        <v>5</v>
      </c>
      <c r="AN63" s="46" t="s">
        <v>2406</v>
      </c>
      <c r="AO63" s="46" t="s">
        <v>2780</v>
      </c>
      <c r="AP63" s="46" t="s">
        <v>960</v>
      </c>
      <c r="AQ63" s="46" t="s">
        <v>960</v>
      </c>
      <c r="AR63" s="46" t="s">
        <v>2912</v>
      </c>
      <c r="AT63" s="48" t="s">
        <v>31</v>
      </c>
      <c r="AU63" s="41">
        <v>0.5363</v>
      </c>
      <c r="AV63" s="41"/>
      <c r="AW63" s="50">
        <v>0.14699999999999999</v>
      </c>
      <c r="AX63" s="50">
        <v>0.16700000000000001</v>
      </c>
      <c r="AY63" s="50">
        <v>0.13700000000000001</v>
      </c>
      <c r="AZ63" s="50">
        <v>0.14799999999999999</v>
      </c>
      <c r="BA63" s="43"/>
      <c r="BB63" s="65">
        <v>2.169</v>
      </c>
      <c r="BC63" s="54">
        <v>0.373</v>
      </c>
      <c r="BD63" s="43"/>
      <c r="BE63" s="41">
        <v>19074</v>
      </c>
      <c r="BF63" s="41">
        <v>24167.5</v>
      </c>
      <c r="BG63" s="51">
        <v>1</v>
      </c>
      <c r="BH63" s="51">
        <v>1</v>
      </c>
      <c r="BI63" s="52" t="s">
        <v>3286</v>
      </c>
      <c r="BJ63" s="41"/>
      <c r="BK63" s="41">
        <v>6081.5</v>
      </c>
      <c r="BL63" s="41">
        <v>11698</v>
      </c>
      <c r="BM63" s="51">
        <v>1</v>
      </c>
      <c r="BN63" s="51">
        <v>1</v>
      </c>
      <c r="BO63" s="52" t="s">
        <v>3286</v>
      </c>
      <c r="BP63" s="52" t="s">
        <v>3286</v>
      </c>
      <c r="BQ63" s="43"/>
      <c r="BR63" s="41">
        <v>-0.1263</v>
      </c>
      <c r="BS63" s="41">
        <v>-5.6500000000000002E-2</v>
      </c>
      <c r="BT63" s="52" t="s">
        <v>3288</v>
      </c>
      <c r="BU63" s="52" t="s">
        <v>3288</v>
      </c>
      <c r="BV63" s="41"/>
      <c r="BW63" s="59">
        <v>0.85799999999999998</v>
      </c>
      <c r="BX63" s="66">
        <v>1.7789999999999999</v>
      </c>
      <c r="BY63" s="41"/>
    </row>
    <row r="64" spans="1:77">
      <c r="A64" s="148">
        <v>2.0099999999999998</v>
      </c>
      <c r="B64" s="141" t="s">
        <v>355</v>
      </c>
      <c r="C64" s="86" t="s">
        <v>433</v>
      </c>
      <c r="D64" s="133" t="s">
        <v>15</v>
      </c>
      <c r="E64" s="80" t="s">
        <v>15</v>
      </c>
      <c r="F64" s="46" t="s">
        <v>15</v>
      </c>
      <c r="G64" s="46" t="s">
        <v>805</v>
      </c>
      <c r="H64" s="46" t="s">
        <v>806</v>
      </c>
      <c r="I64" s="46" t="s">
        <v>3377</v>
      </c>
      <c r="J64" s="46" t="s">
        <v>3325</v>
      </c>
      <c r="K64" s="46" t="s">
        <v>15</v>
      </c>
      <c r="L64" s="46">
        <v>19</v>
      </c>
      <c r="N64" s="46" t="s">
        <v>3406</v>
      </c>
      <c r="O64" s="46" t="s">
        <v>15</v>
      </c>
      <c r="P64" s="46">
        <v>17</v>
      </c>
      <c r="R64" s="46" t="s">
        <v>3606</v>
      </c>
      <c r="S64" s="46" t="s">
        <v>15</v>
      </c>
      <c r="T64" s="46">
        <v>1</v>
      </c>
      <c r="V64" s="46" t="s">
        <v>1128</v>
      </c>
      <c r="W64" s="46" t="s">
        <v>1420</v>
      </c>
      <c r="X64" s="46" t="s">
        <v>1421</v>
      </c>
      <c r="Y64" s="46" t="s">
        <v>1509</v>
      </c>
      <c r="Z64" s="46">
        <v>17</v>
      </c>
      <c r="AA64" s="46">
        <v>91.5</v>
      </c>
      <c r="AB64" s="46">
        <v>25</v>
      </c>
      <c r="AC64" s="46" t="s">
        <v>1510</v>
      </c>
      <c r="AD64" s="46" t="s">
        <v>1511</v>
      </c>
      <c r="AE64" s="46" t="s">
        <v>1512</v>
      </c>
      <c r="AF64" s="46" t="s">
        <v>805</v>
      </c>
      <c r="AG64" s="46" t="s">
        <v>1513</v>
      </c>
      <c r="AH64" s="46" t="s">
        <v>2410</v>
      </c>
      <c r="AI64" s="46" t="s">
        <v>2411</v>
      </c>
      <c r="AJ64" s="46" t="s">
        <v>2484</v>
      </c>
      <c r="AK64" s="46">
        <v>9</v>
      </c>
      <c r="AL64" s="46">
        <v>96.4</v>
      </c>
      <c r="AM64" s="46">
        <v>11</v>
      </c>
      <c r="AN64" s="46" t="s">
        <v>2406</v>
      </c>
      <c r="AO64" s="46" t="s">
        <v>2485</v>
      </c>
      <c r="AP64" s="46" t="s">
        <v>2486</v>
      </c>
      <c r="AQ64" s="46" t="s">
        <v>806</v>
      </c>
      <c r="AR64" s="46" t="s">
        <v>2487</v>
      </c>
      <c r="AT64" s="48" t="s">
        <v>15</v>
      </c>
      <c r="AU64" s="41">
        <v>0.33069999999999999</v>
      </c>
      <c r="AV64" s="41"/>
      <c r="AW64" s="50">
        <v>0.16</v>
      </c>
      <c r="AX64" s="57">
        <v>0.66200000000000003</v>
      </c>
      <c r="AY64" s="50">
        <v>0.14399999999999999</v>
      </c>
      <c r="AZ64" s="50">
        <v>0.13200000000000001</v>
      </c>
      <c r="BA64" s="43"/>
      <c r="BB64" s="50">
        <v>0.106</v>
      </c>
      <c r="BC64" s="50">
        <v>8.1000000000000003E-2</v>
      </c>
      <c r="BD64" s="43"/>
      <c r="BE64" s="41">
        <v>124947</v>
      </c>
      <c r="BF64" s="41">
        <v>161221.5</v>
      </c>
      <c r="BG64" s="51">
        <v>1</v>
      </c>
      <c r="BH64" s="51">
        <v>1</v>
      </c>
      <c r="BI64" s="52" t="s">
        <v>3286</v>
      </c>
      <c r="BJ64" s="41"/>
      <c r="BK64" s="41">
        <v>11343</v>
      </c>
      <c r="BL64" s="41">
        <v>62820</v>
      </c>
      <c r="BM64" s="51">
        <v>1</v>
      </c>
      <c r="BN64" s="51">
        <v>1</v>
      </c>
      <c r="BO64" s="52" t="s">
        <v>3286</v>
      </c>
      <c r="BP64" s="52" t="s">
        <v>3286</v>
      </c>
      <c r="BQ64" s="43"/>
      <c r="BR64" s="41">
        <v>1.5165</v>
      </c>
      <c r="BS64" s="41">
        <v>1.3340000000000001</v>
      </c>
      <c r="BT64" s="52" t="s">
        <v>3290</v>
      </c>
      <c r="BU64" s="52" t="s">
        <v>3290</v>
      </c>
      <c r="BV64" s="41"/>
      <c r="BW64" s="57">
        <v>0.66300000000000003</v>
      </c>
      <c r="BX64" s="50">
        <v>0.125</v>
      </c>
      <c r="BY64" s="41"/>
    </row>
    <row r="65" spans="1:77">
      <c r="A65" s="148">
        <v>2.0099999999999998</v>
      </c>
      <c r="B65" s="141" t="s">
        <v>355</v>
      </c>
      <c r="C65" s="86" t="s">
        <v>433</v>
      </c>
      <c r="D65" s="133" t="s">
        <v>17</v>
      </c>
      <c r="E65" s="80" t="s">
        <v>17</v>
      </c>
      <c r="F65" s="46" t="s">
        <v>17</v>
      </c>
      <c r="G65" s="46" t="s">
        <v>869</v>
      </c>
      <c r="H65" s="46" t="s">
        <v>870</v>
      </c>
      <c r="I65" s="46" t="s">
        <v>3377</v>
      </c>
      <c r="J65" s="46" t="s">
        <v>3325</v>
      </c>
      <c r="K65" s="46" t="s">
        <v>17</v>
      </c>
      <c r="L65" s="46">
        <v>19</v>
      </c>
      <c r="N65" s="46" t="s">
        <v>3474</v>
      </c>
      <c r="O65" s="46" t="s">
        <v>17</v>
      </c>
      <c r="P65" s="46">
        <v>2</v>
      </c>
      <c r="R65" s="46" t="s">
        <v>3474</v>
      </c>
      <c r="S65" s="46" t="s">
        <v>17</v>
      </c>
      <c r="T65" s="46">
        <v>2</v>
      </c>
      <c r="V65" s="46" t="s">
        <v>1150</v>
      </c>
      <c r="W65" s="46" t="s">
        <v>1420</v>
      </c>
      <c r="X65" s="46" t="s">
        <v>1421</v>
      </c>
      <c r="Y65" s="46" t="s">
        <v>1587</v>
      </c>
      <c r="Z65" s="46">
        <v>17</v>
      </c>
      <c r="AA65" s="46">
        <v>93.9</v>
      </c>
      <c r="AB65" s="46">
        <v>18</v>
      </c>
      <c r="AC65" s="46" t="s">
        <v>1423</v>
      </c>
      <c r="AD65" s="46" t="s">
        <v>1588</v>
      </c>
      <c r="AE65" s="46" t="s">
        <v>1589</v>
      </c>
      <c r="AF65" s="46" t="s">
        <v>869</v>
      </c>
      <c r="AG65" s="46" t="s">
        <v>1590</v>
      </c>
      <c r="AH65" s="46" t="s">
        <v>2410</v>
      </c>
      <c r="AI65" s="46" t="s">
        <v>2411</v>
      </c>
      <c r="AJ65" s="46" t="s">
        <v>2554</v>
      </c>
      <c r="AK65" s="46">
        <v>9</v>
      </c>
      <c r="AL65" s="46">
        <v>98.3</v>
      </c>
      <c r="AM65" s="46">
        <v>5</v>
      </c>
      <c r="AN65" s="46" t="s">
        <v>2406</v>
      </c>
      <c r="AO65" s="46" t="s">
        <v>2555</v>
      </c>
      <c r="AP65" s="46" t="s">
        <v>2556</v>
      </c>
      <c r="AQ65" s="46" t="s">
        <v>870</v>
      </c>
      <c r="AR65" s="46" t="s">
        <v>2557</v>
      </c>
      <c r="AT65" s="48" t="s">
        <v>17</v>
      </c>
      <c r="AU65" s="41">
        <v>0.59750000000000003</v>
      </c>
      <c r="AV65" s="41"/>
      <c r="AW65" s="50">
        <v>0.161</v>
      </c>
      <c r="AX65" s="50">
        <v>0.19700000000000001</v>
      </c>
      <c r="AY65" s="50">
        <v>0.14399999999999999</v>
      </c>
      <c r="AZ65" s="50">
        <v>0.14000000000000001</v>
      </c>
      <c r="BA65" s="43"/>
      <c r="BB65" s="50">
        <v>9.9000000000000005E-2</v>
      </c>
      <c r="BC65" s="50">
        <v>0.09</v>
      </c>
      <c r="BD65" s="43"/>
      <c r="BE65" s="41">
        <v>9190.5</v>
      </c>
      <c r="BF65" s="41">
        <v>36903.5</v>
      </c>
      <c r="BG65" s="51">
        <v>1</v>
      </c>
      <c r="BH65" s="51">
        <v>1</v>
      </c>
      <c r="BI65" s="52" t="s">
        <v>3286</v>
      </c>
      <c r="BJ65" s="41"/>
      <c r="BK65" s="41">
        <v>4073</v>
      </c>
      <c r="BL65" s="41">
        <v>13378.5</v>
      </c>
      <c r="BM65" s="51">
        <v>0</v>
      </c>
      <c r="BN65" s="51">
        <v>1</v>
      </c>
      <c r="BO65" s="52" t="s">
        <v>3286</v>
      </c>
      <c r="BP65" s="52" t="s">
        <v>3286</v>
      </c>
      <c r="BQ65" s="43"/>
      <c r="BR65" s="41">
        <v>0.19370000000000001</v>
      </c>
      <c r="BS65" s="41">
        <v>7.5600000000000001E-2</v>
      </c>
      <c r="BT65" s="52" t="s">
        <v>3288</v>
      </c>
      <c r="BU65" s="52" t="s">
        <v>3288</v>
      </c>
      <c r="BV65" s="41"/>
      <c r="BW65" s="50">
        <v>0.3</v>
      </c>
      <c r="BX65" s="50">
        <v>0.129</v>
      </c>
      <c r="BY65" s="41"/>
    </row>
    <row r="66" spans="1:77" s="40" customFormat="1" ht="17" thickBot="1">
      <c r="A66" s="149">
        <v>2.0099999999999998</v>
      </c>
      <c r="B66" s="142" t="s">
        <v>355</v>
      </c>
      <c r="C66" s="121" t="s">
        <v>433</v>
      </c>
      <c r="D66" s="134" t="s">
        <v>18</v>
      </c>
      <c r="E66" s="84" t="s">
        <v>18</v>
      </c>
      <c r="F66" s="40" t="s">
        <v>18</v>
      </c>
      <c r="G66" s="40" t="s">
        <v>877</v>
      </c>
      <c r="H66" s="40" t="s">
        <v>878</v>
      </c>
      <c r="I66" s="40" t="s">
        <v>3377</v>
      </c>
      <c r="J66" s="40" t="s">
        <v>3325</v>
      </c>
      <c r="K66" s="40" t="s">
        <v>18</v>
      </c>
      <c r="L66" s="40">
        <v>19</v>
      </c>
      <c r="N66" s="40" t="s">
        <v>3474</v>
      </c>
      <c r="O66" s="40" t="s">
        <v>18</v>
      </c>
      <c r="P66" s="40">
        <v>2</v>
      </c>
      <c r="R66" s="40" t="s">
        <v>3474</v>
      </c>
      <c r="S66" s="40" t="s">
        <v>18</v>
      </c>
      <c r="T66" s="40">
        <v>2</v>
      </c>
      <c r="V66" s="40" t="s">
        <v>1158</v>
      </c>
      <c r="W66" s="40" t="s">
        <v>1420</v>
      </c>
      <c r="X66" s="40" t="s">
        <v>1421</v>
      </c>
      <c r="Y66" s="40" t="s">
        <v>1607</v>
      </c>
      <c r="Z66" s="40">
        <v>17</v>
      </c>
      <c r="AA66" s="40">
        <v>88.5</v>
      </c>
      <c r="AB66" s="40">
        <v>34</v>
      </c>
      <c r="AC66" s="40" t="s">
        <v>1423</v>
      </c>
      <c r="AD66" s="40" t="s">
        <v>1608</v>
      </c>
      <c r="AE66" s="40" t="s">
        <v>618</v>
      </c>
      <c r="AF66" s="40" t="s">
        <v>877</v>
      </c>
      <c r="AG66" s="40" t="s">
        <v>1609</v>
      </c>
      <c r="AH66" s="40" t="s">
        <v>2410</v>
      </c>
      <c r="AI66" s="40" t="s">
        <v>2411</v>
      </c>
      <c r="AJ66" s="40" t="s">
        <v>2577</v>
      </c>
      <c r="AK66" s="40">
        <v>9</v>
      </c>
      <c r="AL66" s="40">
        <v>94.7</v>
      </c>
      <c r="AM66" s="40">
        <v>10</v>
      </c>
      <c r="AN66" s="40" t="s">
        <v>2406</v>
      </c>
      <c r="AO66" s="40" t="s">
        <v>2578</v>
      </c>
      <c r="AP66" s="40" t="s">
        <v>2579</v>
      </c>
      <c r="AQ66" s="40" t="s">
        <v>878</v>
      </c>
      <c r="AR66" s="40" t="s">
        <v>2580</v>
      </c>
      <c r="AT66" s="85" t="s">
        <v>18</v>
      </c>
      <c r="AU66" s="35">
        <v>5.5230000000000001E-2</v>
      </c>
      <c r="AV66" s="35"/>
      <c r="AW66" s="90">
        <v>0.14000000000000001</v>
      </c>
      <c r="AX66" s="90">
        <v>0.32900000000000001</v>
      </c>
      <c r="AY66" s="90">
        <v>0.13600000000000001</v>
      </c>
      <c r="AZ66" s="90">
        <v>0.114</v>
      </c>
      <c r="BA66" s="37"/>
      <c r="BB66" s="90">
        <v>9.7000000000000003E-2</v>
      </c>
      <c r="BC66" s="90">
        <v>8.4000000000000005E-2</v>
      </c>
      <c r="BD66" s="37"/>
      <c r="BE66" s="35">
        <v>46125</v>
      </c>
      <c r="BF66" s="35">
        <v>229165</v>
      </c>
      <c r="BG66" s="93">
        <v>1</v>
      </c>
      <c r="BH66" s="93">
        <v>1</v>
      </c>
      <c r="BI66" s="94" t="s">
        <v>3286</v>
      </c>
      <c r="BJ66" s="35"/>
      <c r="BK66" s="35">
        <v>18248</v>
      </c>
      <c r="BL66" s="35">
        <v>71470</v>
      </c>
      <c r="BM66" s="93">
        <v>1</v>
      </c>
      <c r="BN66" s="93">
        <v>1</v>
      </c>
      <c r="BO66" s="94" t="s">
        <v>3286</v>
      </c>
      <c r="BP66" s="94" t="s">
        <v>3286</v>
      </c>
      <c r="BQ66" s="37"/>
      <c r="BR66" s="35">
        <v>2.3126000000000002</v>
      </c>
      <c r="BS66" s="35">
        <v>1.3037000000000001</v>
      </c>
      <c r="BT66" s="94" t="s">
        <v>3290</v>
      </c>
      <c r="BU66" s="94" t="s">
        <v>3290</v>
      </c>
      <c r="BV66" s="35"/>
      <c r="BW66" s="92">
        <v>0.59499999999999997</v>
      </c>
      <c r="BX66" s="90">
        <v>0.13900000000000001</v>
      </c>
      <c r="BY66" s="35"/>
    </row>
    <row r="67" spans="1:77" s="81" customFormat="1">
      <c r="A67" s="147">
        <v>2.02</v>
      </c>
      <c r="B67" s="140" t="s">
        <v>368</v>
      </c>
      <c r="C67" s="120" t="s">
        <v>446</v>
      </c>
      <c r="D67" s="132" t="s">
        <v>103</v>
      </c>
      <c r="E67" s="82" t="s">
        <v>103</v>
      </c>
      <c r="F67" s="81" t="s">
        <v>103</v>
      </c>
      <c r="G67" s="81" t="s">
        <v>845</v>
      </c>
      <c r="H67" s="81" t="s">
        <v>846</v>
      </c>
      <c r="I67" s="81" t="s">
        <v>3377</v>
      </c>
      <c r="J67" s="81" t="s">
        <v>3324</v>
      </c>
      <c r="K67" s="81" t="s">
        <v>103</v>
      </c>
      <c r="L67" s="81">
        <v>11</v>
      </c>
      <c r="N67" s="81" t="s">
        <v>3415</v>
      </c>
      <c r="O67" s="81" t="s">
        <v>103</v>
      </c>
      <c r="P67" s="81">
        <v>7</v>
      </c>
      <c r="R67" s="81" t="s">
        <v>3540</v>
      </c>
      <c r="S67" s="81" t="s">
        <v>103</v>
      </c>
      <c r="T67" s="81">
        <v>5</v>
      </c>
      <c r="V67" s="81" t="s">
        <v>1399</v>
      </c>
      <c r="W67" s="81" t="s">
        <v>1427</v>
      </c>
      <c r="X67" s="81" t="s">
        <v>1428</v>
      </c>
      <c r="Y67" s="81" t="s">
        <v>2385</v>
      </c>
      <c r="Z67" s="81">
        <v>15</v>
      </c>
      <c r="AA67" s="81">
        <v>96.9</v>
      </c>
      <c r="AB67" s="81">
        <v>9</v>
      </c>
      <c r="AC67" s="81" t="s">
        <v>1416</v>
      </c>
      <c r="AD67" s="81" t="s">
        <v>2386</v>
      </c>
      <c r="AE67" s="81" t="s">
        <v>2387</v>
      </c>
      <c r="AF67" s="81" t="s">
        <v>845</v>
      </c>
      <c r="AG67" s="81" t="s">
        <v>2388</v>
      </c>
      <c r="AH67" s="81" t="s">
        <v>2416</v>
      </c>
      <c r="AI67" s="81" t="s">
        <v>2411</v>
      </c>
      <c r="AJ67" s="81" t="s">
        <v>2421</v>
      </c>
      <c r="AK67" s="81">
        <v>9</v>
      </c>
      <c r="AL67" s="81">
        <v>100</v>
      </c>
      <c r="AM67" s="81">
        <v>0</v>
      </c>
      <c r="AN67" s="81" t="s">
        <v>2406</v>
      </c>
      <c r="AO67" s="81" t="s">
        <v>2422</v>
      </c>
      <c r="AP67" s="81" t="s">
        <v>3266</v>
      </c>
      <c r="AQ67" s="81" t="s">
        <v>846</v>
      </c>
      <c r="AR67" s="81" t="s">
        <v>2423</v>
      </c>
      <c r="AT67" s="83" t="s">
        <v>103</v>
      </c>
      <c r="AU67" s="33">
        <v>0.16900000000000001</v>
      </c>
      <c r="AV67" s="33"/>
      <c r="AW67" s="100">
        <v>3.6059999999999999</v>
      </c>
      <c r="AX67" s="100">
        <v>3.4750000000000001</v>
      </c>
      <c r="AY67" s="104">
        <v>0.54800000000000004</v>
      </c>
      <c r="AZ67" s="87">
        <v>0.13400000000000001</v>
      </c>
      <c r="BA67" s="34"/>
      <c r="BB67" s="87">
        <v>9.2999999999999999E-2</v>
      </c>
      <c r="BC67" s="87">
        <v>8.6999999999999994E-2</v>
      </c>
      <c r="BD67" s="34"/>
      <c r="BE67" s="33">
        <v>110207</v>
      </c>
      <c r="BF67" s="33">
        <v>2386.5</v>
      </c>
      <c r="BG67" s="88">
        <v>1</v>
      </c>
      <c r="BH67" s="88">
        <v>0</v>
      </c>
      <c r="BI67" s="89" t="s">
        <v>3285</v>
      </c>
      <c r="BJ67" s="33"/>
      <c r="BK67" s="33">
        <v>13517</v>
      </c>
      <c r="BL67" s="33">
        <v>2450.5</v>
      </c>
      <c r="BM67" s="88">
        <v>1</v>
      </c>
      <c r="BN67" s="88">
        <v>0</v>
      </c>
      <c r="BO67" s="89" t="s">
        <v>3285</v>
      </c>
      <c r="BP67" s="89" t="s">
        <v>3285</v>
      </c>
      <c r="BQ67" s="34"/>
      <c r="BR67" s="33">
        <v>-1.2500000000000001E-2</v>
      </c>
      <c r="BS67" s="33">
        <v>-1.1000000000000001E-3</v>
      </c>
      <c r="BT67" s="89" t="s">
        <v>3288</v>
      </c>
      <c r="BU67" s="89" t="s">
        <v>3288</v>
      </c>
      <c r="BV67" s="33"/>
      <c r="BW67" s="100">
        <v>3.552</v>
      </c>
      <c r="BX67" s="115">
        <v>2.5579999999999998</v>
      </c>
      <c r="BY67" s="33"/>
    </row>
    <row r="68" spans="1:77">
      <c r="A68" s="148">
        <v>2.02</v>
      </c>
      <c r="B68" s="141" t="s">
        <v>368</v>
      </c>
      <c r="C68" s="86" t="s">
        <v>446</v>
      </c>
      <c r="D68" s="133" t="s">
        <v>106</v>
      </c>
      <c r="E68" s="80" t="s">
        <v>106</v>
      </c>
      <c r="F68" s="46" t="s">
        <v>106</v>
      </c>
      <c r="G68" s="46" t="s">
        <v>539</v>
      </c>
      <c r="H68" s="46" t="s">
        <v>540</v>
      </c>
      <c r="I68" s="46" t="s">
        <v>3377</v>
      </c>
      <c r="J68" s="46" t="s">
        <v>3324</v>
      </c>
      <c r="K68" s="46" t="s">
        <v>106</v>
      </c>
      <c r="L68" s="46">
        <v>11</v>
      </c>
      <c r="N68" s="46" t="s">
        <v>3415</v>
      </c>
      <c r="O68" s="46" t="s">
        <v>106</v>
      </c>
      <c r="P68" s="46">
        <v>7</v>
      </c>
      <c r="R68" s="46" t="s">
        <v>3540</v>
      </c>
      <c r="S68" s="46" t="s">
        <v>106</v>
      </c>
      <c r="T68" s="46">
        <v>5</v>
      </c>
      <c r="V68" s="46" t="s">
        <v>1109</v>
      </c>
      <c r="W68" s="46" t="s">
        <v>1427</v>
      </c>
      <c r="X68" s="46" t="s">
        <v>1428</v>
      </c>
      <c r="Y68" s="46" t="s">
        <v>1433</v>
      </c>
      <c r="Z68" s="46">
        <v>15</v>
      </c>
      <c r="AA68" s="46">
        <v>99.3</v>
      </c>
      <c r="AB68" s="46">
        <v>2</v>
      </c>
      <c r="AC68" s="46" t="s">
        <v>1434</v>
      </c>
      <c r="AD68" s="46" t="s">
        <v>1435</v>
      </c>
      <c r="AE68" s="46" t="s">
        <v>539</v>
      </c>
      <c r="AF68" s="46" t="s">
        <v>539</v>
      </c>
      <c r="AG68" s="46" t="s">
        <v>1436</v>
      </c>
      <c r="AH68" s="46" t="s">
        <v>2416</v>
      </c>
      <c r="AI68" s="46" t="s">
        <v>2411</v>
      </c>
      <c r="AJ68" s="46" t="s">
        <v>2421</v>
      </c>
      <c r="AK68" s="46">
        <v>9</v>
      </c>
      <c r="AL68" s="46">
        <v>100</v>
      </c>
      <c r="AM68" s="46">
        <v>0</v>
      </c>
      <c r="AN68" s="46" t="s">
        <v>2406</v>
      </c>
      <c r="AO68" s="46" t="s">
        <v>2422</v>
      </c>
      <c r="AP68" s="46" t="s">
        <v>540</v>
      </c>
      <c r="AQ68" s="46" t="s">
        <v>540</v>
      </c>
      <c r="AR68" s="46" t="s">
        <v>2423</v>
      </c>
      <c r="AT68" s="48" t="s">
        <v>106</v>
      </c>
      <c r="AU68" s="41">
        <v>0.15720000000000001</v>
      </c>
      <c r="AV68" s="41"/>
      <c r="AW68" s="49">
        <v>3.4529999999999998</v>
      </c>
      <c r="AX68" s="55">
        <v>3.5390000000000001</v>
      </c>
      <c r="AY68" s="50">
        <v>0.129</v>
      </c>
      <c r="AZ68" s="50">
        <v>0.13600000000000001</v>
      </c>
      <c r="BA68" s="43"/>
      <c r="BB68" s="50">
        <v>0.10100000000000001</v>
      </c>
      <c r="BC68" s="50">
        <v>7.9000000000000001E-2</v>
      </c>
      <c r="BD68" s="43"/>
      <c r="BE68" s="41">
        <v>9729</v>
      </c>
      <c r="BF68" s="41">
        <v>1926.5</v>
      </c>
      <c r="BG68" s="51">
        <v>1</v>
      </c>
      <c r="BH68" s="51">
        <v>0</v>
      </c>
      <c r="BI68" s="52" t="s">
        <v>3285</v>
      </c>
      <c r="BJ68" s="41"/>
      <c r="BK68" s="41">
        <v>2020</v>
      </c>
      <c r="BL68" s="41">
        <v>16353</v>
      </c>
      <c r="BM68" s="51">
        <v>0</v>
      </c>
      <c r="BN68" s="51">
        <v>1</v>
      </c>
      <c r="BO68" s="52" t="s">
        <v>3286</v>
      </c>
      <c r="BP68" s="52" t="s">
        <v>3287</v>
      </c>
      <c r="BQ68" s="43"/>
      <c r="BR68" s="41">
        <v>-6.2399999999999997E-2</v>
      </c>
      <c r="BS68" s="41">
        <v>-1.1299999999999999E-2</v>
      </c>
      <c r="BT68" s="52" t="s">
        <v>3288</v>
      </c>
      <c r="BU68" s="52" t="s">
        <v>3288</v>
      </c>
      <c r="BV68" s="41"/>
      <c r="BW68" s="49">
        <v>3.1379999999999999</v>
      </c>
      <c r="BX68" s="54">
        <v>0.50900000000000001</v>
      </c>
      <c r="BY68" s="41"/>
    </row>
    <row r="69" spans="1:77">
      <c r="A69" s="148">
        <v>2.02</v>
      </c>
      <c r="B69" s="141" t="s">
        <v>368</v>
      </c>
      <c r="C69" s="86" t="s">
        <v>446</v>
      </c>
      <c r="D69" s="133" t="s">
        <v>107</v>
      </c>
      <c r="E69" s="80" t="s">
        <v>107</v>
      </c>
      <c r="F69" s="46" t="s">
        <v>107</v>
      </c>
      <c r="G69" s="46" t="s">
        <v>547</v>
      </c>
      <c r="H69" s="46" t="s">
        <v>540</v>
      </c>
      <c r="I69" s="46" t="s">
        <v>3377</v>
      </c>
      <c r="J69" s="46" t="s">
        <v>3324</v>
      </c>
      <c r="K69" s="46" t="s">
        <v>107</v>
      </c>
      <c r="L69" s="46">
        <v>11</v>
      </c>
      <c r="N69" s="46" t="s">
        <v>3415</v>
      </c>
      <c r="O69" s="46" t="s">
        <v>107</v>
      </c>
      <c r="P69" s="46">
        <v>7</v>
      </c>
      <c r="R69" s="46" t="s">
        <v>3540</v>
      </c>
      <c r="S69" s="46" t="s">
        <v>107</v>
      </c>
      <c r="T69" s="46">
        <v>5</v>
      </c>
      <c r="V69" s="46" t="s">
        <v>1110</v>
      </c>
      <c r="W69" s="46" t="s">
        <v>1427</v>
      </c>
      <c r="X69" s="46" t="s">
        <v>1428</v>
      </c>
      <c r="Y69" s="46" t="s">
        <v>1437</v>
      </c>
      <c r="Z69" s="46">
        <v>15</v>
      </c>
      <c r="AA69" s="46">
        <v>98.3</v>
      </c>
      <c r="AB69" s="46">
        <v>5</v>
      </c>
      <c r="AC69" s="46" t="s">
        <v>1434</v>
      </c>
      <c r="AD69" s="46" t="s">
        <v>1438</v>
      </c>
      <c r="AE69" s="46" t="s">
        <v>547</v>
      </c>
      <c r="AF69" s="46" t="s">
        <v>547</v>
      </c>
      <c r="AG69" s="46" t="s">
        <v>1439</v>
      </c>
      <c r="AH69" s="46" t="s">
        <v>2416</v>
      </c>
      <c r="AI69" s="46" t="s">
        <v>2411</v>
      </c>
      <c r="AJ69" s="46" t="s">
        <v>2421</v>
      </c>
      <c r="AK69" s="46">
        <v>9</v>
      </c>
      <c r="AL69" s="46">
        <v>100</v>
      </c>
      <c r="AM69" s="46">
        <v>0</v>
      </c>
      <c r="AN69" s="46" t="s">
        <v>2406</v>
      </c>
      <c r="AO69" s="46" t="s">
        <v>2422</v>
      </c>
      <c r="AP69" s="46" t="s">
        <v>540</v>
      </c>
      <c r="AQ69" s="46" t="s">
        <v>540</v>
      </c>
      <c r="AR69" s="46" t="s">
        <v>2423</v>
      </c>
      <c r="AT69" s="48" t="s">
        <v>107</v>
      </c>
      <c r="AU69" s="41">
        <v>0.26669999999999999</v>
      </c>
      <c r="AV69" s="41"/>
      <c r="AW69" s="55">
        <v>3.6259999999999999</v>
      </c>
      <c r="AX69" s="55">
        <v>3.6269999999999998</v>
      </c>
      <c r="AY69" s="50">
        <v>0.16900000000000001</v>
      </c>
      <c r="AZ69" s="50">
        <v>0.16400000000000001</v>
      </c>
      <c r="BA69" s="43"/>
      <c r="BB69" s="50">
        <v>0.11</v>
      </c>
      <c r="BC69" s="50">
        <v>8.5999999999999993E-2</v>
      </c>
      <c r="BD69" s="43"/>
      <c r="BE69" s="41">
        <v>26733</v>
      </c>
      <c r="BF69" s="41">
        <v>2132</v>
      </c>
      <c r="BG69" s="51">
        <v>1</v>
      </c>
      <c r="BH69" s="51">
        <v>0</v>
      </c>
      <c r="BI69" s="52" t="s">
        <v>3285</v>
      </c>
      <c r="BJ69" s="41"/>
      <c r="BK69" s="41">
        <v>2184</v>
      </c>
      <c r="BL69" s="41">
        <v>13075</v>
      </c>
      <c r="BM69" s="51">
        <v>0</v>
      </c>
      <c r="BN69" s="51">
        <v>1</v>
      </c>
      <c r="BO69" s="52" t="s">
        <v>3286</v>
      </c>
      <c r="BP69" s="52" t="s">
        <v>3287</v>
      </c>
      <c r="BQ69" s="43"/>
      <c r="BR69" s="41">
        <v>-5.3900000000000003E-2</v>
      </c>
      <c r="BS69" s="41">
        <v>-4.4999999999999997E-3</v>
      </c>
      <c r="BT69" s="52" t="s">
        <v>3288</v>
      </c>
      <c r="BU69" s="52" t="s">
        <v>3288</v>
      </c>
      <c r="BV69" s="41"/>
      <c r="BW69" s="49">
        <v>3.262</v>
      </c>
      <c r="BX69" s="57">
        <v>0.64</v>
      </c>
      <c r="BY69" s="41"/>
    </row>
    <row r="70" spans="1:77">
      <c r="A70" s="148">
        <v>2.02</v>
      </c>
      <c r="B70" s="141" t="s">
        <v>368</v>
      </c>
      <c r="C70" s="86" t="s">
        <v>446</v>
      </c>
      <c r="D70" s="133" t="s">
        <v>108</v>
      </c>
      <c r="E70" s="80" t="s">
        <v>108</v>
      </c>
      <c r="F70" s="46" t="s">
        <v>108</v>
      </c>
      <c r="G70" s="46" t="s">
        <v>578</v>
      </c>
      <c r="H70" s="46" t="s">
        <v>579</v>
      </c>
      <c r="I70" s="46" t="s">
        <v>3377</v>
      </c>
      <c r="J70" s="46" t="s">
        <v>3324</v>
      </c>
      <c r="K70" s="46" t="s">
        <v>108</v>
      </c>
      <c r="L70" s="46">
        <v>11</v>
      </c>
      <c r="N70" s="46" t="s">
        <v>3415</v>
      </c>
      <c r="O70" s="46" t="s">
        <v>108</v>
      </c>
      <c r="P70" s="46">
        <v>7</v>
      </c>
      <c r="R70" s="46" t="s">
        <v>3540</v>
      </c>
      <c r="S70" s="46" t="s">
        <v>108</v>
      </c>
      <c r="T70" s="46">
        <v>5</v>
      </c>
      <c r="V70" s="46" t="s">
        <v>1111</v>
      </c>
      <c r="W70" s="46" t="s">
        <v>1427</v>
      </c>
      <c r="X70" s="46" t="s">
        <v>1428</v>
      </c>
      <c r="Y70" s="46" t="s">
        <v>1440</v>
      </c>
      <c r="Z70" s="46">
        <v>15</v>
      </c>
      <c r="AA70" s="46">
        <v>91.4</v>
      </c>
      <c r="AB70" s="46">
        <v>25</v>
      </c>
      <c r="AC70" s="46" t="s">
        <v>1416</v>
      </c>
      <c r="AD70" s="46" t="s">
        <v>1441</v>
      </c>
      <c r="AE70" s="46" t="s">
        <v>578</v>
      </c>
      <c r="AF70" s="46" t="s">
        <v>578</v>
      </c>
      <c r="AG70" s="46" t="s">
        <v>1442</v>
      </c>
      <c r="AH70" s="46" t="s">
        <v>2416</v>
      </c>
      <c r="AI70" s="46" t="s">
        <v>2411</v>
      </c>
      <c r="AJ70" s="46" t="s">
        <v>2421</v>
      </c>
      <c r="AK70" s="46">
        <v>9</v>
      </c>
      <c r="AL70" s="46">
        <v>96.7</v>
      </c>
      <c r="AM70" s="46">
        <v>10</v>
      </c>
      <c r="AN70" s="46" t="s">
        <v>2406</v>
      </c>
      <c r="AO70" s="46" t="s">
        <v>2422</v>
      </c>
      <c r="AP70" s="46" t="s">
        <v>579</v>
      </c>
      <c r="AQ70" s="46" t="s">
        <v>579</v>
      </c>
      <c r="AR70" s="46" t="s">
        <v>2424</v>
      </c>
      <c r="AT70" s="48" t="s">
        <v>108</v>
      </c>
      <c r="AU70" s="41">
        <v>9.4189999999999996E-2</v>
      </c>
      <c r="AV70" s="41"/>
      <c r="AW70" s="55">
        <v>3.5219999999999998</v>
      </c>
      <c r="AX70" s="55">
        <v>3.5409999999999999</v>
      </c>
      <c r="AY70" s="55">
        <v>3.5880000000000001</v>
      </c>
      <c r="AZ70" s="50">
        <v>0.17</v>
      </c>
      <c r="BA70" s="43"/>
      <c r="BB70" s="50">
        <v>0.10199999999999999</v>
      </c>
      <c r="BC70" s="50">
        <v>0.11700000000000001</v>
      </c>
      <c r="BD70" s="43"/>
      <c r="BE70" s="41">
        <v>13271.5</v>
      </c>
      <c r="BF70" s="41">
        <v>2773.5</v>
      </c>
      <c r="BG70" s="51">
        <v>1</v>
      </c>
      <c r="BH70" s="51">
        <v>0</v>
      </c>
      <c r="BI70" s="52" t="s">
        <v>3285</v>
      </c>
      <c r="BJ70" s="41"/>
      <c r="BK70" s="41">
        <v>4218</v>
      </c>
      <c r="BL70" s="41">
        <v>29689</v>
      </c>
      <c r="BM70" s="51">
        <v>0</v>
      </c>
      <c r="BN70" s="51">
        <v>1</v>
      </c>
      <c r="BO70" s="52" t="s">
        <v>3286</v>
      </c>
      <c r="BP70" s="52" t="s">
        <v>3287</v>
      </c>
      <c r="BQ70" s="43"/>
      <c r="BR70" s="41">
        <v>0.31509999999999999</v>
      </c>
      <c r="BS70" s="41">
        <v>0.1303</v>
      </c>
      <c r="BT70" s="52" t="s">
        <v>3290</v>
      </c>
      <c r="BU70" s="52" t="s">
        <v>3288</v>
      </c>
      <c r="BV70" s="41"/>
      <c r="BW70" s="55">
        <v>3.4279999999999999</v>
      </c>
      <c r="BX70" s="55">
        <v>3.419</v>
      </c>
      <c r="BY70" s="41"/>
    </row>
    <row r="71" spans="1:77">
      <c r="A71" s="148">
        <v>2.02</v>
      </c>
      <c r="B71" s="141" t="s">
        <v>368</v>
      </c>
      <c r="C71" s="86" t="s">
        <v>446</v>
      </c>
      <c r="D71" s="133" t="s">
        <v>109</v>
      </c>
      <c r="E71" s="80" t="s">
        <v>109</v>
      </c>
      <c r="F71" s="46" t="s">
        <v>109</v>
      </c>
      <c r="G71" s="46" t="s">
        <v>637</v>
      </c>
      <c r="H71" s="46" t="s">
        <v>540</v>
      </c>
      <c r="I71" s="46" t="s">
        <v>3377</v>
      </c>
      <c r="J71" s="46" t="s">
        <v>3324</v>
      </c>
      <c r="K71" s="46" t="s">
        <v>109</v>
      </c>
      <c r="L71" s="46">
        <v>11</v>
      </c>
      <c r="N71" s="46" t="s">
        <v>3415</v>
      </c>
      <c r="O71" s="46" t="s">
        <v>109</v>
      </c>
      <c r="P71" s="46">
        <v>7</v>
      </c>
      <c r="R71" s="46" t="s">
        <v>3540</v>
      </c>
      <c r="S71" s="46" t="s">
        <v>109</v>
      </c>
      <c r="T71" s="46">
        <v>5</v>
      </c>
      <c r="V71" s="46" t="s">
        <v>1112</v>
      </c>
      <c r="W71" s="46" t="s">
        <v>1427</v>
      </c>
      <c r="X71" s="46" t="s">
        <v>1428</v>
      </c>
      <c r="Y71" s="46" t="s">
        <v>1433</v>
      </c>
      <c r="Z71" s="46">
        <v>15</v>
      </c>
      <c r="AA71" s="46">
        <v>98.3</v>
      </c>
      <c r="AB71" s="46">
        <v>5</v>
      </c>
      <c r="AC71" s="46" t="s">
        <v>1434</v>
      </c>
      <c r="AD71" s="46" t="s">
        <v>1435</v>
      </c>
      <c r="AE71" s="46" t="s">
        <v>637</v>
      </c>
      <c r="AF71" s="46" t="s">
        <v>637</v>
      </c>
      <c r="AG71" s="46" t="s">
        <v>1443</v>
      </c>
      <c r="AH71" s="46" t="s">
        <v>2416</v>
      </c>
      <c r="AI71" s="46" t="s">
        <v>2411</v>
      </c>
      <c r="AJ71" s="46" t="s">
        <v>2421</v>
      </c>
      <c r="AK71" s="46">
        <v>9</v>
      </c>
      <c r="AL71" s="46">
        <v>100</v>
      </c>
      <c r="AM71" s="46">
        <v>0</v>
      </c>
      <c r="AN71" s="46" t="s">
        <v>2406</v>
      </c>
      <c r="AO71" s="46" t="s">
        <v>2422</v>
      </c>
      <c r="AP71" s="46" t="s">
        <v>540</v>
      </c>
      <c r="AQ71" s="46" t="s">
        <v>540</v>
      </c>
      <c r="AR71" s="46" t="s">
        <v>2423</v>
      </c>
      <c r="AT71" s="48" t="s">
        <v>109</v>
      </c>
      <c r="AU71" s="41">
        <v>0.16289999999999999</v>
      </c>
      <c r="AV71" s="41"/>
      <c r="AW71" s="61">
        <v>3.694</v>
      </c>
      <c r="AX71" s="61">
        <v>3.6419999999999999</v>
      </c>
      <c r="AY71" s="70">
        <v>1.1299999999999999</v>
      </c>
      <c r="AZ71" s="63">
        <v>0.15</v>
      </c>
      <c r="BA71" s="42"/>
      <c r="BB71" s="50">
        <v>0.126</v>
      </c>
      <c r="BC71" s="50">
        <v>8.7999999999999995E-2</v>
      </c>
      <c r="BD71" s="43"/>
      <c r="BE71" s="41">
        <v>61529.5</v>
      </c>
      <c r="BF71" s="41">
        <v>2197.5</v>
      </c>
      <c r="BG71" s="51">
        <v>1</v>
      </c>
      <c r="BH71" s="51">
        <v>0</v>
      </c>
      <c r="BI71" s="52" t="s">
        <v>3285</v>
      </c>
      <c r="BJ71" s="41"/>
      <c r="BK71" s="41">
        <v>35804</v>
      </c>
      <c r="BL71" s="41">
        <v>58196</v>
      </c>
      <c r="BM71" s="51">
        <v>1</v>
      </c>
      <c r="BN71" s="51">
        <v>1</v>
      </c>
      <c r="BO71" s="52" t="s">
        <v>3286</v>
      </c>
      <c r="BP71" s="52" t="s">
        <v>3287</v>
      </c>
      <c r="BQ71" s="43"/>
      <c r="BR71" s="41">
        <v>-0.10349999999999999</v>
      </c>
      <c r="BS71" s="41">
        <v>-0.14860000000000001</v>
      </c>
      <c r="BT71" s="52" t="s">
        <v>3288</v>
      </c>
      <c r="BU71" s="52" t="s">
        <v>3288</v>
      </c>
      <c r="BV71" s="41"/>
      <c r="BW71" s="55">
        <v>3.4929999999999999</v>
      </c>
      <c r="BX71" s="66">
        <v>1.8260000000000001</v>
      </c>
      <c r="BY71" s="41"/>
    </row>
    <row r="72" spans="1:77">
      <c r="A72" s="148">
        <v>2.02</v>
      </c>
      <c r="B72" s="141" t="s">
        <v>368</v>
      </c>
      <c r="C72" s="86" t="s">
        <v>446</v>
      </c>
      <c r="D72" s="133" t="s">
        <v>101</v>
      </c>
      <c r="E72" s="80" t="s">
        <v>101</v>
      </c>
      <c r="F72" s="46" t="s">
        <v>101</v>
      </c>
      <c r="G72" s="46" t="s">
        <v>769</v>
      </c>
      <c r="H72" s="46" t="s">
        <v>770</v>
      </c>
      <c r="I72" s="46" t="s">
        <v>3377</v>
      </c>
      <c r="J72" s="46" t="s">
        <v>3324</v>
      </c>
      <c r="K72" s="46" t="s">
        <v>101</v>
      </c>
      <c r="L72" s="46">
        <v>11</v>
      </c>
      <c r="N72" s="46" t="s">
        <v>3415</v>
      </c>
      <c r="O72" s="46" t="s">
        <v>101</v>
      </c>
      <c r="P72" s="46">
        <v>7</v>
      </c>
      <c r="R72" s="46" t="s">
        <v>3601</v>
      </c>
      <c r="S72" s="46" t="s">
        <v>101</v>
      </c>
      <c r="T72" s="46">
        <v>1</v>
      </c>
      <c r="V72" s="46" t="s">
        <v>1397</v>
      </c>
      <c r="W72" s="46" t="s">
        <v>1427</v>
      </c>
      <c r="X72" s="46" t="s">
        <v>1428</v>
      </c>
      <c r="Y72" s="46" t="s">
        <v>2377</v>
      </c>
      <c r="Z72" s="46">
        <v>15</v>
      </c>
      <c r="AA72" s="46">
        <v>94.8</v>
      </c>
      <c r="AB72" s="46">
        <v>15</v>
      </c>
      <c r="AC72" s="46" t="s">
        <v>1416</v>
      </c>
      <c r="AD72" s="46" t="s">
        <v>2378</v>
      </c>
      <c r="AE72" s="46" t="s">
        <v>2379</v>
      </c>
      <c r="AF72" s="46" t="s">
        <v>769</v>
      </c>
      <c r="AG72" s="46" t="s">
        <v>2380</v>
      </c>
      <c r="AH72" s="46" t="s">
        <v>2416</v>
      </c>
      <c r="AI72" s="46" t="s">
        <v>2411</v>
      </c>
      <c r="AJ72" s="46" t="s">
        <v>3258</v>
      </c>
      <c r="AK72" s="46">
        <v>9</v>
      </c>
      <c r="AL72" s="46">
        <v>97.7</v>
      </c>
      <c r="AM72" s="46">
        <v>7</v>
      </c>
      <c r="AN72" s="46" t="s">
        <v>2406</v>
      </c>
      <c r="AO72" s="46" t="s">
        <v>3259</v>
      </c>
      <c r="AP72" s="46" t="s">
        <v>3260</v>
      </c>
      <c r="AQ72" s="46" t="s">
        <v>770</v>
      </c>
      <c r="AR72" s="46" t="s">
        <v>3261</v>
      </c>
      <c r="AT72" s="48" t="s">
        <v>101</v>
      </c>
      <c r="AU72" s="41">
        <v>2.2780000000000002E-2</v>
      </c>
      <c r="AV72" s="41"/>
      <c r="AW72" s="55">
        <v>3.6</v>
      </c>
      <c r="AX72" s="55">
        <v>3.605</v>
      </c>
      <c r="AY72" s="54">
        <v>0.49399999999999999</v>
      </c>
      <c r="AZ72" s="50">
        <v>0.11799999999999999</v>
      </c>
      <c r="BA72" s="43"/>
      <c r="BB72" s="50">
        <v>0.10199999999999999</v>
      </c>
      <c r="BC72" s="50">
        <v>8.3000000000000004E-2</v>
      </c>
      <c r="BD72" s="43"/>
      <c r="BE72" s="41">
        <v>18499</v>
      </c>
      <c r="BF72" s="41">
        <v>2202.5</v>
      </c>
      <c r="BG72" s="51">
        <v>1</v>
      </c>
      <c r="BH72" s="51">
        <v>0</v>
      </c>
      <c r="BI72" s="52" t="s">
        <v>3285</v>
      </c>
      <c r="BJ72" s="41"/>
      <c r="BK72" s="41">
        <v>11097</v>
      </c>
      <c r="BL72" s="41">
        <v>3346</v>
      </c>
      <c r="BM72" s="51">
        <v>1</v>
      </c>
      <c r="BN72" s="51">
        <v>0</v>
      </c>
      <c r="BO72" s="52" t="s">
        <v>3285</v>
      </c>
      <c r="BP72" s="52" t="s">
        <v>3285</v>
      </c>
      <c r="BQ72" s="43"/>
      <c r="BR72" s="41">
        <v>-1.61E-2</v>
      </c>
      <c r="BS72" s="41">
        <v>-1.3899999999999999E-2</v>
      </c>
      <c r="BT72" s="52" t="s">
        <v>3288</v>
      </c>
      <c r="BU72" s="52" t="s">
        <v>3288</v>
      </c>
      <c r="BV72" s="41"/>
      <c r="BW72" s="49">
        <v>3.355</v>
      </c>
      <c r="BX72" s="68">
        <v>1.58</v>
      </c>
      <c r="BY72" s="41"/>
    </row>
    <row r="73" spans="1:77">
      <c r="A73" s="148">
        <v>2.02</v>
      </c>
      <c r="B73" s="141" t="s">
        <v>368</v>
      </c>
      <c r="C73" s="86" t="s">
        <v>446</v>
      </c>
      <c r="D73" s="133" t="s">
        <v>110</v>
      </c>
      <c r="E73" s="80" t="s">
        <v>110</v>
      </c>
      <c r="F73" s="46" t="s">
        <v>110</v>
      </c>
      <c r="G73" s="46" t="s">
        <v>638</v>
      </c>
      <c r="H73" s="46" t="s">
        <v>639</v>
      </c>
      <c r="I73" s="46" t="s">
        <v>3377</v>
      </c>
      <c r="J73" s="46" t="s">
        <v>3324</v>
      </c>
      <c r="K73" s="46" t="s">
        <v>110</v>
      </c>
      <c r="L73" s="46">
        <v>11</v>
      </c>
      <c r="N73" s="46" t="s">
        <v>3415</v>
      </c>
      <c r="O73" s="46" t="s">
        <v>110</v>
      </c>
      <c r="P73" s="46">
        <v>7</v>
      </c>
      <c r="R73" s="46" t="s">
        <v>3568</v>
      </c>
      <c r="S73" s="46" t="s">
        <v>110</v>
      </c>
      <c r="T73" s="46">
        <v>1</v>
      </c>
      <c r="V73" s="46" t="s">
        <v>1113</v>
      </c>
      <c r="W73" s="46" t="s">
        <v>1427</v>
      </c>
      <c r="X73" s="46" t="s">
        <v>1428</v>
      </c>
      <c r="Y73" s="46" t="s">
        <v>1444</v>
      </c>
      <c r="Z73" s="46">
        <v>15</v>
      </c>
      <c r="AA73" s="46">
        <v>98.3</v>
      </c>
      <c r="AB73" s="46">
        <v>5</v>
      </c>
      <c r="AC73" s="46" t="s">
        <v>1445</v>
      </c>
      <c r="AD73" s="46" t="s">
        <v>1446</v>
      </c>
      <c r="AE73" s="46" t="s">
        <v>638</v>
      </c>
      <c r="AF73" s="46" t="s">
        <v>638</v>
      </c>
      <c r="AG73" s="46" t="s">
        <v>1447</v>
      </c>
      <c r="AH73" s="46" t="s">
        <v>2416</v>
      </c>
      <c r="AI73" s="46" t="s">
        <v>2411</v>
      </c>
      <c r="AJ73" s="46" t="s">
        <v>2425</v>
      </c>
      <c r="AK73" s="46">
        <v>9</v>
      </c>
      <c r="AL73" s="46">
        <v>99</v>
      </c>
      <c r="AM73" s="46">
        <v>3</v>
      </c>
      <c r="AN73" s="46" t="s">
        <v>2406</v>
      </c>
      <c r="AO73" s="46" t="s">
        <v>2426</v>
      </c>
      <c r="AP73" s="46" t="s">
        <v>2427</v>
      </c>
      <c r="AQ73" s="46" t="s">
        <v>639</v>
      </c>
      <c r="AR73" s="46" t="s">
        <v>2428</v>
      </c>
      <c r="AT73" s="48" t="s">
        <v>110</v>
      </c>
      <c r="AU73" s="41">
        <v>0.154</v>
      </c>
      <c r="AV73" s="41"/>
      <c r="AW73" s="61">
        <v>3.548</v>
      </c>
      <c r="AX73" s="61">
        <v>3.5489999999999999</v>
      </c>
      <c r="AY73" s="71">
        <v>3.4369999999999998</v>
      </c>
      <c r="AZ73" s="63">
        <v>0.13300000000000001</v>
      </c>
      <c r="BA73" s="42"/>
      <c r="BB73" s="50">
        <v>0.111</v>
      </c>
      <c r="BC73" s="50">
        <v>9.1999999999999998E-2</v>
      </c>
      <c r="BD73" s="43"/>
      <c r="BE73" s="41">
        <v>48061</v>
      </c>
      <c r="BF73" s="41">
        <v>2189</v>
      </c>
      <c r="BG73" s="51">
        <v>1</v>
      </c>
      <c r="BH73" s="51">
        <v>0</v>
      </c>
      <c r="BI73" s="52" t="s">
        <v>3285</v>
      </c>
      <c r="BJ73" s="41"/>
      <c r="BK73" s="41">
        <v>28456</v>
      </c>
      <c r="BL73" s="41">
        <v>2384</v>
      </c>
      <c r="BM73" s="51">
        <v>1</v>
      </c>
      <c r="BN73" s="51">
        <v>0</v>
      </c>
      <c r="BO73" s="52" t="s">
        <v>3285</v>
      </c>
      <c r="BP73" s="52" t="s">
        <v>3285</v>
      </c>
      <c r="BQ73" s="43"/>
      <c r="BR73" s="41">
        <v>-9.9400000000000002E-2</v>
      </c>
      <c r="BS73" s="41">
        <v>-9.4700000000000006E-2</v>
      </c>
      <c r="BT73" s="52" t="s">
        <v>3288</v>
      </c>
      <c r="BU73" s="52" t="s">
        <v>3288</v>
      </c>
      <c r="BV73" s="41"/>
      <c r="BW73" s="49">
        <v>3.3719999999999999</v>
      </c>
      <c r="BX73" s="65">
        <v>2.1379999999999999</v>
      </c>
      <c r="BY73" s="41"/>
    </row>
    <row r="74" spans="1:77">
      <c r="A74" s="148">
        <v>2.02</v>
      </c>
      <c r="B74" s="141" t="s">
        <v>368</v>
      </c>
      <c r="C74" s="86" t="s">
        <v>446</v>
      </c>
      <c r="D74" s="133" t="s">
        <v>102</v>
      </c>
      <c r="E74" s="80" t="s">
        <v>102</v>
      </c>
      <c r="F74" s="46" t="s">
        <v>102</v>
      </c>
      <c r="G74" s="46" t="s">
        <v>833</v>
      </c>
      <c r="H74" s="46" t="s">
        <v>834</v>
      </c>
      <c r="I74" s="46" t="s">
        <v>3377</v>
      </c>
      <c r="J74" s="46" t="s">
        <v>3324</v>
      </c>
      <c r="K74" s="46" t="s">
        <v>102</v>
      </c>
      <c r="L74" s="46">
        <v>11</v>
      </c>
      <c r="N74" s="46" t="s">
        <v>3405</v>
      </c>
      <c r="O74" s="46" t="s">
        <v>102</v>
      </c>
      <c r="P74" s="46">
        <v>4</v>
      </c>
      <c r="R74" s="46" t="s">
        <v>3529</v>
      </c>
      <c r="S74" s="46" t="s">
        <v>102</v>
      </c>
      <c r="T74" s="46">
        <v>3</v>
      </c>
      <c r="V74" s="46" t="s">
        <v>1398</v>
      </c>
      <c r="W74" s="46" t="s">
        <v>1427</v>
      </c>
      <c r="X74" s="46" t="s">
        <v>1428</v>
      </c>
      <c r="Y74" s="46" t="s">
        <v>2381</v>
      </c>
      <c r="Z74" s="46">
        <v>15</v>
      </c>
      <c r="AA74" s="46">
        <v>93.2</v>
      </c>
      <c r="AB74" s="46">
        <v>20</v>
      </c>
      <c r="AC74" s="46" t="s">
        <v>1430</v>
      </c>
      <c r="AD74" s="46" t="s">
        <v>2382</v>
      </c>
      <c r="AE74" s="46" t="s">
        <v>2383</v>
      </c>
      <c r="AF74" s="46" t="s">
        <v>833</v>
      </c>
      <c r="AG74" s="46" t="s">
        <v>2384</v>
      </c>
      <c r="AH74" s="46" t="s">
        <v>2416</v>
      </c>
      <c r="AI74" s="46" t="s">
        <v>2411</v>
      </c>
      <c r="AJ74" s="46" t="s">
        <v>3262</v>
      </c>
      <c r="AK74" s="46">
        <v>10</v>
      </c>
      <c r="AL74" s="46">
        <v>98</v>
      </c>
      <c r="AM74" s="46">
        <v>6</v>
      </c>
      <c r="AN74" s="46" t="s">
        <v>2406</v>
      </c>
      <c r="AO74" s="46" t="s">
        <v>3263</v>
      </c>
      <c r="AP74" s="46" t="s">
        <v>3264</v>
      </c>
      <c r="AQ74" s="46" t="s">
        <v>834</v>
      </c>
      <c r="AR74" s="46" t="s">
        <v>3265</v>
      </c>
      <c r="AT74" s="48" t="s">
        <v>102</v>
      </c>
      <c r="AU74" s="41">
        <v>7.7880000000000005E-2</v>
      </c>
      <c r="AV74" s="41"/>
      <c r="AW74" s="55">
        <v>3.5859999999999999</v>
      </c>
      <c r="AX74" s="55">
        <v>3.593</v>
      </c>
      <c r="AY74" s="55">
        <v>3.5489999999999999</v>
      </c>
      <c r="AZ74" s="50">
        <v>0.14699999999999999</v>
      </c>
      <c r="BA74" s="43"/>
      <c r="BB74" s="50">
        <v>0.13100000000000001</v>
      </c>
      <c r="BC74" s="50">
        <v>8.6999999999999994E-2</v>
      </c>
      <c r="BD74" s="43"/>
      <c r="BE74" s="41">
        <v>84111</v>
      </c>
      <c r="BF74" s="41">
        <v>2765</v>
      </c>
      <c r="BG74" s="51">
        <v>1</v>
      </c>
      <c r="BH74" s="51">
        <v>0</v>
      </c>
      <c r="BI74" s="52" t="s">
        <v>3285</v>
      </c>
      <c r="BJ74" s="41"/>
      <c r="BK74" s="41">
        <v>27601.5</v>
      </c>
      <c r="BL74" s="41">
        <v>3481</v>
      </c>
      <c r="BM74" s="51">
        <v>1</v>
      </c>
      <c r="BN74" s="51">
        <v>0</v>
      </c>
      <c r="BO74" s="52" t="s">
        <v>3285</v>
      </c>
      <c r="BP74" s="52" t="s">
        <v>3285</v>
      </c>
      <c r="BQ74" s="43"/>
      <c r="BR74" s="41">
        <v>0.31669999999999998</v>
      </c>
      <c r="BS74" s="41">
        <v>0.53759999999999997</v>
      </c>
      <c r="BT74" s="52" t="s">
        <v>3290</v>
      </c>
      <c r="BU74" s="52" t="s">
        <v>3290</v>
      </c>
      <c r="BV74" s="41"/>
      <c r="BW74" s="55">
        <v>3.5110000000000001</v>
      </c>
      <c r="BX74" s="49">
        <v>3.1680000000000001</v>
      </c>
      <c r="BY74" s="41"/>
    </row>
    <row r="75" spans="1:77">
      <c r="A75" s="148">
        <v>2.02</v>
      </c>
      <c r="B75" s="141" t="s">
        <v>368</v>
      </c>
      <c r="C75" s="86" t="s">
        <v>446</v>
      </c>
      <c r="D75" s="133" t="s">
        <v>104</v>
      </c>
      <c r="E75" s="80" t="s">
        <v>104</v>
      </c>
      <c r="F75" s="46" t="s">
        <v>104</v>
      </c>
      <c r="G75" s="46" t="s">
        <v>513</v>
      </c>
      <c r="H75" s="46" t="s">
        <v>514</v>
      </c>
      <c r="I75" s="46" t="s">
        <v>3377</v>
      </c>
      <c r="J75" s="46" t="s">
        <v>3324</v>
      </c>
      <c r="K75" s="46" t="s">
        <v>104</v>
      </c>
      <c r="L75" s="46">
        <v>11</v>
      </c>
      <c r="N75" s="46" t="s">
        <v>3405</v>
      </c>
      <c r="O75" s="46" t="s">
        <v>104</v>
      </c>
      <c r="P75" s="46">
        <v>4</v>
      </c>
      <c r="R75" s="46" t="s">
        <v>3529</v>
      </c>
      <c r="S75" s="46" t="s">
        <v>104</v>
      </c>
      <c r="T75" s="46">
        <v>3</v>
      </c>
      <c r="V75" s="46" t="s">
        <v>1400</v>
      </c>
      <c r="W75" s="46" t="s">
        <v>1427</v>
      </c>
      <c r="X75" s="46" t="s">
        <v>1428</v>
      </c>
      <c r="Y75" s="46" t="s">
        <v>2389</v>
      </c>
      <c r="Z75" s="46">
        <v>15</v>
      </c>
      <c r="AA75" s="46">
        <v>93.2</v>
      </c>
      <c r="AB75" s="46">
        <v>20</v>
      </c>
      <c r="AC75" s="46" t="s">
        <v>1430</v>
      </c>
      <c r="AD75" s="46" t="s">
        <v>2390</v>
      </c>
      <c r="AE75" s="46" t="s">
        <v>513</v>
      </c>
      <c r="AF75" s="46" t="s">
        <v>513</v>
      </c>
      <c r="AG75" s="46" t="s">
        <v>2391</v>
      </c>
      <c r="AH75" s="46" t="s">
        <v>2416</v>
      </c>
      <c r="AI75" s="46" t="s">
        <v>2411</v>
      </c>
      <c r="AJ75" s="46" t="s">
        <v>3267</v>
      </c>
      <c r="AK75" s="46">
        <v>10</v>
      </c>
      <c r="AL75" s="46">
        <v>97.7</v>
      </c>
      <c r="AM75" s="46">
        <v>7</v>
      </c>
      <c r="AN75" s="46" t="s">
        <v>2406</v>
      </c>
      <c r="AO75" s="46" t="s">
        <v>3268</v>
      </c>
      <c r="AP75" s="46" t="s">
        <v>3269</v>
      </c>
      <c r="AQ75" s="46" t="s">
        <v>514</v>
      </c>
      <c r="AR75" s="46" t="s">
        <v>3270</v>
      </c>
      <c r="AT75" s="48" t="s">
        <v>104</v>
      </c>
      <c r="AU75" s="41">
        <v>0.1666</v>
      </c>
      <c r="AV75" s="41"/>
      <c r="AW75" s="55">
        <v>3.593</v>
      </c>
      <c r="AX75" s="55">
        <v>3.62</v>
      </c>
      <c r="AY75" s="55">
        <v>3.617</v>
      </c>
      <c r="AZ75" s="50">
        <v>0.155</v>
      </c>
      <c r="BA75" s="43"/>
      <c r="BB75" s="50">
        <v>0.113</v>
      </c>
      <c r="BC75" s="50">
        <v>8.8999999999999996E-2</v>
      </c>
      <c r="BD75" s="43"/>
      <c r="BE75" s="41">
        <v>63714</v>
      </c>
      <c r="BF75" s="41">
        <v>2333</v>
      </c>
      <c r="BG75" s="51">
        <v>1</v>
      </c>
      <c r="BH75" s="51">
        <v>0</v>
      </c>
      <c r="BI75" s="52" t="s">
        <v>3285</v>
      </c>
      <c r="BJ75" s="41"/>
      <c r="BK75" s="41">
        <v>2250.5</v>
      </c>
      <c r="BL75" s="41">
        <v>33753.5</v>
      </c>
      <c r="BM75" s="51">
        <v>0</v>
      </c>
      <c r="BN75" s="51">
        <v>1</v>
      </c>
      <c r="BO75" s="52" t="s">
        <v>3286</v>
      </c>
      <c r="BP75" s="52" t="s">
        <v>3287</v>
      </c>
      <c r="BQ75" s="43"/>
      <c r="BR75" s="41">
        <v>-5.8400000000000001E-2</v>
      </c>
      <c r="BS75" s="41">
        <v>-1.2500000000000001E-2</v>
      </c>
      <c r="BT75" s="52" t="s">
        <v>3288</v>
      </c>
      <c r="BU75" s="52" t="s">
        <v>3288</v>
      </c>
      <c r="BV75" s="41"/>
      <c r="BW75" s="55">
        <v>3.5289999999999999</v>
      </c>
      <c r="BX75" s="55">
        <v>3.5139999999999998</v>
      </c>
      <c r="BY75" s="41"/>
    </row>
    <row r="76" spans="1:77">
      <c r="A76" s="148">
        <v>2.02</v>
      </c>
      <c r="B76" s="141" t="s">
        <v>368</v>
      </c>
      <c r="C76" s="86" t="s">
        <v>446</v>
      </c>
      <c r="D76" s="133" t="s">
        <v>105</v>
      </c>
      <c r="E76" s="80" t="s">
        <v>105</v>
      </c>
      <c r="F76" s="46" t="s">
        <v>105</v>
      </c>
      <c r="G76" s="46" t="s">
        <v>529</v>
      </c>
      <c r="H76" s="46" t="s">
        <v>530</v>
      </c>
      <c r="I76" s="46" t="s">
        <v>3377</v>
      </c>
      <c r="J76" s="46" t="s">
        <v>3324</v>
      </c>
      <c r="K76" s="46" t="s">
        <v>105</v>
      </c>
      <c r="L76" s="46">
        <v>11</v>
      </c>
      <c r="N76" s="46" t="s">
        <v>3405</v>
      </c>
      <c r="O76" s="46" t="s">
        <v>105</v>
      </c>
      <c r="P76" s="46">
        <v>4</v>
      </c>
      <c r="R76" s="46" t="s">
        <v>3529</v>
      </c>
      <c r="S76" s="46" t="s">
        <v>105</v>
      </c>
      <c r="T76" s="46">
        <v>3</v>
      </c>
      <c r="V76" s="46" t="s">
        <v>1108</v>
      </c>
      <c r="W76" s="46" t="s">
        <v>1427</v>
      </c>
      <c r="X76" s="46" t="s">
        <v>1428</v>
      </c>
      <c r="Y76" s="46" t="s">
        <v>1429</v>
      </c>
      <c r="Z76" s="46">
        <v>15</v>
      </c>
      <c r="AA76" s="46">
        <v>93.9</v>
      </c>
      <c r="AB76" s="46">
        <v>18</v>
      </c>
      <c r="AC76" s="46" t="s">
        <v>1430</v>
      </c>
      <c r="AD76" s="46" t="s">
        <v>1431</v>
      </c>
      <c r="AE76" s="46" t="s">
        <v>529</v>
      </c>
      <c r="AF76" s="46" t="s">
        <v>529</v>
      </c>
      <c r="AG76" s="46" t="s">
        <v>1432</v>
      </c>
      <c r="AH76" s="46" t="s">
        <v>2416</v>
      </c>
      <c r="AI76" s="46" t="s">
        <v>2411</v>
      </c>
      <c r="AJ76" s="46" t="s">
        <v>2417</v>
      </c>
      <c r="AK76" s="46">
        <v>10</v>
      </c>
      <c r="AL76" s="46">
        <v>98.3</v>
      </c>
      <c r="AM76" s="46">
        <v>5</v>
      </c>
      <c r="AN76" s="46" t="s">
        <v>2406</v>
      </c>
      <c r="AO76" s="46" t="s">
        <v>2418</v>
      </c>
      <c r="AP76" s="46" t="s">
        <v>2419</v>
      </c>
      <c r="AQ76" s="46" t="s">
        <v>530</v>
      </c>
      <c r="AR76" s="46" t="s">
        <v>2420</v>
      </c>
      <c r="AT76" s="48" t="s">
        <v>105</v>
      </c>
      <c r="AU76" s="41">
        <v>0.1983</v>
      </c>
      <c r="AV76" s="41"/>
      <c r="AW76" s="55">
        <v>3.5920000000000001</v>
      </c>
      <c r="AX76" s="55">
        <v>3.5680000000000001</v>
      </c>
      <c r="AY76" s="55">
        <v>3.6230000000000002</v>
      </c>
      <c r="AZ76" s="50">
        <v>0.14000000000000001</v>
      </c>
      <c r="BA76" s="43"/>
      <c r="BB76" s="50">
        <v>0.106</v>
      </c>
      <c r="BC76" s="50">
        <v>0.08</v>
      </c>
      <c r="BD76" s="43"/>
      <c r="BE76" s="41">
        <v>56366</v>
      </c>
      <c r="BF76" s="41">
        <v>2415.5</v>
      </c>
      <c r="BG76" s="51">
        <v>1</v>
      </c>
      <c r="BH76" s="51">
        <v>0</v>
      </c>
      <c r="BI76" s="52" t="s">
        <v>3285</v>
      </c>
      <c r="BJ76" s="41"/>
      <c r="BK76" s="41">
        <v>2229.5</v>
      </c>
      <c r="BL76" s="41">
        <v>13317</v>
      </c>
      <c r="BM76" s="51">
        <v>0</v>
      </c>
      <c r="BN76" s="51">
        <v>1</v>
      </c>
      <c r="BO76" s="52" t="s">
        <v>3286</v>
      </c>
      <c r="BP76" s="52" t="s">
        <v>3287</v>
      </c>
      <c r="BQ76" s="43"/>
      <c r="BR76" s="41">
        <v>-5.0700000000000002E-2</v>
      </c>
      <c r="BS76" s="41">
        <v>-7.7999999999999996E-3</v>
      </c>
      <c r="BT76" s="52" t="s">
        <v>3288</v>
      </c>
      <c r="BU76" s="52" t="s">
        <v>3288</v>
      </c>
      <c r="BV76" s="41"/>
      <c r="BW76" s="55">
        <v>3.5409999999999999</v>
      </c>
      <c r="BX76" s="49">
        <v>3.2879999999999998</v>
      </c>
      <c r="BY76" s="41"/>
    </row>
    <row r="77" spans="1:77" s="40" customFormat="1" ht="17" thickBot="1">
      <c r="A77" s="149">
        <v>2.02</v>
      </c>
      <c r="B77" s="142" t="s">
        <v>368</v>
      </c>
      <c r="C77" s="121" t="s">
        <v>446</v>
      </c>
      <c r="D77" s="134" t="s">
        <v>111</v>
      </c>
      <c r="E77" s="84" t="s">
        <v>111</v>
      </c>
      <c r="F77" s="40" t="s">
        <v>111</v>
      </c>
      <c r="G77" s="40" t="s">
        <v>967</v>
      </c>
      <c r="H77" s="40" t="s">
        <v>968</v>
      </c>
      <c r="I77" s="40" t="s">
        <v>3377</v>
      </c>
      <c r="J77" s="40" t="s">
        <v>3324</v>
      </c>
      <c r="K77" s="40" t="s">
        <v>111</v>
      </c>
      <c r="L77" s="40">
        <v>11</v>
      </c>
      <c r="N77" s="40" t="s">
        <v>3405</v>
      </c>
      <c r="O77" s="40" t="s">
        <v>111</v>
      </c>
      <c r="P77" s="40">
        <v>4</v>
      </c>
      <c r="R77" s="40" t="s">
        <v>3628</v>
      </c>
      <c r="S77" s="40" t="s">
        <v>111</v>
      </c>
      <c r="T77" s="40">
        <v>1</v>
      </c>
      <c r="V77" s="40" t="s">
        <v>1114</v>
      </c>
      <c r="W77" s="40" t="s">
        <v>1427</v>
      </c>
      <c r="X77" s="40" t="s">
        <v>1428</v>
      </c>
      <c r="Y77" s="40" t="s">
        <v>1448</v>
      </c>
      <c r="Z77" s="40">
        <v>15</v>
      </c>
      <c r="AA77" s="40">
        <v>99</v>
      </c>
      <c r="AB77" s="40">
        <v>3</v>
      </c>
      <c r="AC77" s="40" t="s">
        <v>1449</v>
      </c>
      <c r="AD77" s="40" t="s">
        <v>1450</v>
      </c>
      <c r="AE77" s="40" t="s">
        <v>967</v>
      </c>
      <c r="AF77" s="40" t="s">
        <v>967</v>
      </c>
      <c r="AG77" s="40" t="s">
        <v>1451</v>
      </c>
      <c r="AH77" s="40" t="s">
        <v>2416</v>
      </c>
      <c r="AI77" s="40" t="s">
        <v>2411</v>
      </c>
      <c r="AJ77" s="40" t="s">
        <v>2425</v>
      </c>
      <c r="AK77" s="40">
        <v>9</v>
      </c>
      <c r="AL77" s="40">
        <v>98.3</v>
      </c>
      <c r="AM77" s="40">
        <v>5</v>
      </c>
      <c r="AN77" s="40" t="s">
        <v>2406</v>
      </c>
      <c r="AO77" s="40" t="s">
        <v>2429</v>
      </c>
      <c r="AP77" s="40" t="s">
        <v>2430</v>
      </c>
      <c r="AQ77" s="40" t="s">
        <v>968</v>
      </c>
      <c r="AR77" s="40" t="s">
        <v>2431</v>
      </c>
      <c r="AT77" s="85" t="s">
        <v>111</v>
      </c>
      <c r="AU77" s="35">
        <v>0.12189999999999999</v>
      </c>
      <c r="AV77" s="35"/>
      <c r="AW77" s="102">
        <v>3.6589999999999998</v>
      </c>
      <c r="AX77" s="102">
        <v>3.6779999999999999</v>
      </c>
      <c r="AY77" s="102">
        <v>3.59</v>
      </c>
      <c r="AZ77" s="90">
        <v>0.128</v>
      </c>
      <c r="BA77" s="37"/>
      <c r="BB77" s="90">
        <v>0.126</v>
      </c>
      <c r="BC77" s="90">
        <v>0.107</v>
      </c>
      <c r="BD77" s="37"/>
      <c r="BE77" s="35">
        <v>63345.5</v>
      </c>
      <c r="BF77" s="35">
        <v>2072</v>
      </c>
      <c r="BG77" s="93">
        <v>1</v>
      </c>
      <c r="BH77" s="93">
        <v>0</v>
      </c>
      <c r="BI77" s="94" t="s">
        <v>3285</v>
      </c>
      <c r="BJ77" s="35"/>
      <c r="BK77" s="35">
        <v>24298.5</v>
      </c>
      <c r="BL77" s="35">
        <v>2274</v>
      </c>
      <c r="BM77" s="93">
        <v>1</v>
      </c>
      <c r="BN77" s="93">
        <v>0</v>
      </c>
      <c r="BO77" s="94" t="s">
        <v>3285</v>
      </c>
      <c r="BP77" s="94" t="s">
        <v>3285</v>
      </c>
      <c r="BQ77" s="37"/>
      <c r="BR77" s="35">
        <v>-8.2400000000000001E-2</v>
      </c>
      <c r="BS77" s="35">
        <v>4.2799999999999998E-2</v>
      </c>
      <c r="BT77" s="94" t="s">
        <v>3288</v>
      </c>
      <c r="BU77" s="94" t="s">
        <v>3288</v>
      </c>
      <c r="BV77" s="35"/>
      <c r="BW77" s="102">
        <v>3.54</v>
      </c>
      <c r="BX77" s="91">
        <v>2.274</v>
      </c>
      <c r="BY77" s="35"/>
    </row>
    <row r="78" spans="1:77">
      <c r="A78" s="148">
        <v>2.0299999999999998</v>
      </c>
      <c r="B78" s="141" t="s">
        <v>357</v>
      </c>
      <c r="C78" s="86" t="s">
        <v>435</v>
      </c>
      <c r="D78" s="133" t="s">
        <v>42</v>
      </c>
      <c r="E78" s="80" t="s">
        <v>42</v>
      </c>
      <c r="F78" s="46" t="s">
        <v>42</v>
      </c>
      <c r="G78" s="46" t="s">
        <v>781</v>
      </c>
      <c r="H78" s="46" t="s">
        <v>782</v>
      </c>
      <c r="I78" s="46" t="s">
        <v>3377</v>
      </c>
      <c r="J78" s="46" t="s">
        <v>3331</v>
      </c>
      <c r="K78" s="46" t="s">
        <v>42</v>
      </c>
      <c r="L78" s="46">
        <v>10</v>
      </c>
      <c r="N78" s="46" t="s">
        <v>3414</v>
      </c>
      <c r="O78" s="46" t="s">
        <v>42</v>
      </c>
      <c r="P78" s="46">
        <v>9</v>
      </c>
      <c r="R78" s="46" t="s">
        <v>3539</v>
      </c>
      <c r="S78" s="46" t="s">
        <v>42</v>
      </c>
      <c r="T78" s="46">
        <v>8</v>
      </c>
      <c r="V78" s="46" t="s">
        <v>1336</v>
      </c>
      <c r="W78" s="46" t="s">
        <v>1558</v>
      </c>
      <c r="X78" s="46" t="s">
        <v>1428</v>
      </c>
      <c r="Y78" s="46" t="s">
        <v>2189</v>
      </c>
      <c r="Z78" s="46">
        <v>19</v>
      </c>
      <c r="AA78" s="46">
        <v>93.2</v>
      </c>
      <c r="AB78" s="46">
        <v>20</v>
      </c>
      <c r="AC78" s="46" t="s">
        <v>1430</v>
      </c>
      <c r="AD78" s="46" t="s">
        <v>2190</v>
      </c>
      <c r="AE78" s="46" t="s">
        <v>2191</v>
      </c>
      <c r="AF78" s="46" t="s">
        <v>781</v>
      </c>
      <c r="AG78" s="46" t="s">
        <v>2192</v>
      </c>
      <c r="AH78" s="46" t="s">
        <v>3074</v>
      </c>
      <c r="AI78" s="46" t="s">
        <v>2433</v>
      </c>
      <c r="AJ78" s="46" t="s">
        <v>3079</v>
      </c>
      <c r="AK78" s="46">
        <v>9</v>
      </c>
      <c r="AL78" s="46">
        <v>90.8</v>
      </c>
      <c r="AM78" s="46">
        <v>26</v>
      </c>
      <c r="AN78" s="46" t="s">
        <v>2406</v>
      </c>
      <c r="AO78" s="46" t="s">
        <v>3080</v>
      </c>
      <c r="AP78" s="46" t="s">
        <v>3081</v>
      </c>
      <c r="AQ78" s="46" t="s">
        <v>782</v>
      </c>
      <c r="AR78" s="46" t="s">
        <v>3082</v>
      </c>
      <c r="AT78" s="48" t="s">
        <v>42</v>
      </c>
      <c r="AU78" s="41">
        <v>0.30869999999999997</v>
      </c>
      <c r="AV78" s="41"/>
      <c r="AW78" s="59">
        <v>0.91</v>
      </c>
      <c r="AX78" s="50">
        <v>0.25900000000000001</v>
      </c>
      <c r="AY78" s="50">
        <v>0.111</v>
      </c>
      <c r="AZ78" s="50">
        <v>0.11600000000000001</v>
      </c>
      <c r="BA78" s="43"/>
      <c r="BB78" s="50">
        <v>9.0999999999999998E-2</v>
      </c>
      <c r="BC78" s="50">
        <v>8.3000000000000004E-2</v>
      </c>
      <c r="BD78" s="43"/>
      <c r="BE78" s="41">
        <v>133409</v>
      </c>
      <c r="BF78" s="41">
        <v>261001.5</v>
      </c>
      <c r="BG78" s="51">
        <v>1</v>
      </c>
      <c r="BH78" s="51">
        <v>1</v>
      </c>
      <c r="BI78" s="52" t="s">
        <v>3286</v>
      </c>
      <c r="BJ78" s="41"/>
      <c r="BK78" s="41">
        <v>10925</v>
      </c>
      <c r="BL78" s="41">
        <v>93477</v>
      </c>
      <c r="BM78" s="51">
        <v>1</v>
      </c>
      <c r="BN78" s="51">
        <v>1</v>
      </c>
      <c r="BO78" s="52" t="s">
        <v>3286</v>
      </c>
      <c r="BP78" s="52" t="s">
        <v>3286</v>
      </c>
      <c r="BQ78" s="43"/>
      <c r="BR78" s="41">
        <v>2.1120999999999999</v>
      </c>
      <c r="BS78" s="41">
        <v>1.5253000000000001</v>
      </c>
      <c r="BT78" s="52" t="s">
        <v>3290</v>
      </c>
      <c r="BU78" s="52" t="s">
        <v>3290</v>
      </c>
      <c r="BV78" s="41"/>
      <c r="BW78" s="66">
        <v>1.6359999999999999</v>
      </c>
      <c r="BX78" s="50">
        <v>0.122</v>
      </c>
      <c r="BY78" s="41"/>
    </row>
    <row r="79" spans="1:77">
      <c r="A79" s="148">
        <v>2.0299999999999998</v>
      </c>
      <c r="B79" s="141" t="s">
        <v>357</v>
      </c>
      <c r="C79" s="86" t="s">
        <v>435</v>
      </c>
      <c r="D79" s="133" t="s">
        <v>43</v>
      </c>
      <c r="E79" s="80" t="s">
        <v>43</v>
      </c>
      <c r="F79" s="46" t="s">
        <v>43</v>
      </c>
      <c r="G79" s="46" t="s">
        <v>815</v>
      </c>
      <c r="H79" s="46" t="s">
        <v>816</v>
      </c>
      <c r="I79" s="46" t="s">
        <v>3377</v>
      </c>
      <c r="J79" s="46" t="s">
        <v>3331</v>
      </c>
      <c r="K79" s="46" t="s">
        <v>43</v>
      </c>
      <c r="L79" s="46">
        <v>10</v>
      </c>
      <c r="N79" s="46" t="s">
        <v>3414</v>
      </c>
      <c r="O79" s="46" t="s">
        <v>43</v>
      </c>
      <c r="P79" s="46">
        <v>9</v>
      </c>
      <c r="R79" s="46" t="s">
        <v>3539</v>
      </c>
      <c r="S79" s="46" t="s">
        <v>43</v>
      </c>
      <c r="T79" s="46">
        <v>8</v>
      </c>
      <c r="V79" s="46" t="s">
        <v>1338</v>
      </c>
      <c r="W79" s="46" t="s">
        <v>1558</v>
      </c>
      <c r="X79" s="46" t="s">
        <v>1428</v>
      </c>
      <c r="Y79" s="46" t="s">
        <v>2197</v>
      </c>
      <c r="Z79" s="46">
        <v>19</v>
      </c>
      <c r="AA79" s="46">
        <v>95.2</v>
      </c>
      <c r="AB79" s="46">
        <v>14</v>
      </c>
      <c r="AC79" s="46" t="s">
        <v>1617</v>
      </c>
      <c r="AD79" s="46" t="s">
        <v>2198</v>
      </c>
      <c r="AE79" s="46" t="s">
        <v>2199</v>
      </c>
      <c r="AF79" s="46" t="s">
        <v>815</v>
      </c>
      <c r="AG79" s="46" t="s">
        <v>2200</v>
      </c>
      <c r="AH79" s="46" t="s">
        <v>3074</v>
      </c>
      <c r="AI79" s="46" t="s">
        <v>2433</v>
      </c>
      <c r="AJ79" s="46" t="s">
        <v>3086</v>
      </c>
      <c r="AK79" s="46">
        <v>9</v>
      </c>
      <c r="AL79" s="46">
        <v>94.3</v>
      </c>
      <c r="AM79" s="46">
        <v>16</v>
      </c>
      <c r="AN79" s="46" t="s">
        <v>2406</v>
      </c>
      <c r="AO79" s="46" t="s">
        <v>3087</v>
      </c>
      <c r="AP79" s="46" t="s">
        <v>605</v>
      </c>
      <c r="AQ79" s="46" t="s">
        <v>816</v>
      </c>
      <c r="AR79" s="46" t="s">
        <v>3088</v>
      </c>
      <c r="AT79" s="48" t="s">
        <v>43</v>
      </c>
      <c r="AU79" s="41">
        <v>0.2555</v>
      </c>
      <c r="AV79" s="41"/>
      <c r="AW79" s="50">
        <v>0.25900000000000001</v>
      </c>
      <c r="AX79" s="50">
        <v>0.2</v>
      </c>
      <c r="AY79" s="50">
        <v>0.125</v>
      </c>
      <c r="AZ79" s="50">
        <v>0.125</v>
      </c>
      <c r="BA79" s="43"/>
      <c r="BB79" s="50">
        <v>9.9000000000000005E-2</v>
      </c>
      <c r="BC79" s="50">
        <v>8.4000000000000005E-2</v>
      </c>
      <c r="BD79" s="43"/>
      <c r="BE79" s="41">
        <v>83878</v>
      </c>
      <c r="BF79" s="41">
        <v>153098</v>
      </c>
      <c r="BG79" s="51">
        <v>1</v>
      </c>
      <c r="BH79" s="51">
        <v>1</v>
      </c>
      <c r="BI79" s="52" t="s">
        <v>3286</v>
      </c>
      <c r="BJ79" s="41"/>
      <c r="BK79" s="41">
        <v>14023</v>
      </c>
      <c r="BL79" s="41">
        <v>96594</v>
      </c>
      <c r="BM79" s="51">
        <v>1</v>
      </c>
      <c r="BN79" s="51">
        <v>1</v>
      </c>
      <c r="BO79" s="52" t="s">
        <v>3286</v>
      </c>
      <c r="BP79" s="52" t="s">
        <v>3286</v>
      </c>
      <c r="BQ79" s="43"/>
      <c r="BR79" s="41">
        <v>0.14940000000000001</v>
      </c>
      <c r="BS79" s="41">
        <v>7.8299999999999995E-2</v>
      </c>
      <c r="BT79" s="52" t="s">
        <v>3288</v>
      </c>
      <c r="BU79" s="52" t="s">
        <v>3288</v>
      </c>
      <c r="BV79" s="41"/>
      <c r="BW79" s="57">
        <v>0.76900000000000002</v>
      </c>
      <c r="BX79" s="50">
        <v>0.109</v>
      </c>
      <c r="BY79" s="41"/>
    </row>
    <row r="80" spans="1:77">
      <c r="A80" s="148">
        <v>2.0299999999999998</v>
      </c>
      <c r="B80" s="141" t="s">
        <v>357</v>
      </c>
      <c r="C80" s="86" t="s">
        <v>435</v>
      </c>
      <c r="D80" s="133" t="s">
        <v>44</v>
      </c>
      <c r="E80" s="80" t="s">
        <v>44</v>
      </c>
      <c r="F80" s="46" t="s">
        <v>44</v>
      </c>
      <c r="G80" s="46" t="s">
        <v>819</v>
      </c>
      <c r="H80" s="46" t="s">
        <v>820</v>
      </c>
      <c r="I80" s="46" t="s">
        <v>3377</v>
      </c>
      <c r="J80" s="46" t="s">
        <v>3331</v>
      </c>
      <c r="K80" s="46" t="s">
        <v>44</v>
      </c>
      <c r="L80" s="46">
        <v>10</v>
      </c>
      <c r="N80" s="46" t="s">
        <v>3414</v>
      </c>
      <c r="O80" s="46" t="s">
        <v>44</v>
      </c>
      <c r="P80" s="46">
        <v>9</v>
      </c>
      <c r="R80" s="46" t="s">
        <v>3539</v>
      </c>
      <c r="S80" s="46" t="s">
        <v>44</v>
      </c>
      <c r="T80" s="46">
        <v>8</v>
      </c>
      <c r="V80" s="46" t="s">
        <v>1339</v>
      </c>
      <c r="W80" s="46" t="s">
        <v>1558</v>
      </c>
      <c r="X80" s="46" t="s">
        <v>1428</v>
      </c>
      <c r="Y80" s="46" t="s">
        <v>2201</v>
      </c>
      <c r="Z80" s="46">
        <v>19</v>
      </c>
      <c r="AA80" s="46">
        <v>91.1</v>
      </c>
      <c r="AB80" s="46">
        <v>26</v>
      </c>
      <c r="AC80" s="46" t="s">
        <v>1430</v>
      </c>
      <c r="AD80" s="46" t="s">
        <v>2202</v>
      </c>
      <c r="AE80" s="46" t="s">
        <v>2203</v>
      </c>
      <c r="AF80" s="46" t="s">
        <v>819</v>
      </c>
      <c r="AG80" s="46" t="s">
        <v>2204</v>
      </c>
      <c r="AH80" s="46" t="s">
        <v>3074</v>
      </c>
      <c r="AI80" s="46" t="s">
        <v>2433</v>
      </c>
      <c r="AJ80" s="46" t="s">
        <v>3089</v>
      </c>
      <c r="AK80" s="46">
        <v>9</v>
      </c>
      <c r="AL80" s="46">
        <v>93.8</v>
      </c>
      <c r="AM80" s="46">
        <v>17</v>
      </c>
      <c r="AN80" s="46" t="s">
        <v>2406</v>
      </c>
      <c r="AO80" s="46" t="s">
        <v>3090</v>
      </c>
      <c r="AP80" s="46" t="s">
        <v>3091</v>
      </c>
      <c r="AQ80" s="46" t="s">
        <v>820</v>
      </c>
      <c r="AR80" s="46" t="s">
        <v>3092</v>
      </c>
      <c r="AT80" s="48" t="s">
        <v>44</v>
      </c>
      <c r="AU80" s="41">
        <v>0.28129999999999999</v>
      </c>
      <c r="AV80" s="41"/>
      <c r="AW80" s="57">
        <v>0.65</v>
      </c>
      <c r="AX80" s="50">
        <v>0.20599999999999999</v>
      </c>
      <c r="AY80" s="50">
        <v>0.11799999999999999</v>
      </c>
      <c r="AZ80" s="50">
        <v>0.13100000000000001</v>
      </c>
      <c r="BA80" s="43"/>
      <c r="BB80" s="50">
        <v>0.13300000000000001</v>
      </c>
      <c r="BC80" s="50">
        <v>8.7999999999999995E-2</v>
      </c>
      <c r="BD80" s="43"/>
      <c r="BE80" s="41">
        <v>113285</v>
      </c>
      <c r="BF80" s="41">
        <v>261373</v>
      </c>
      <c r="BG80" s="51">
        <v>1</v>
      </c>
      <c r="BH80" s="51">
        <v>1</v>
      </c>
      <c r="BI80" s="52" t="s">
        <v>3286</v>
      </c>
      <c r="BJ80" s="41"/>
      <c r="BK80" s="41">
        <v>10884</v>
      </c>
      <c r="BL80" s="41">
        <v>68130.5</v>
      </c>
      <c r="BM80" s="51">
        <v>1</v>
      </c>
      <c r="BN80" s="51">
        <v>1</v>
      </c>
      <c r="BO80" s="52" t="s">
        <v>3286</v>
      </c>
      <c r="BP80" s="52" t="s">
        <v>3286</v>
      </c>
      <c r="BQ80" s="43"/>
      <c r="BR80" s="41">
        <v>1.1440999999999999</v>
      </c>
      <c r="BS80" s="41">
        <v>1.3182</v>
      </c>
      <c r="BT80" s="52" t="s">
        <v>3290</v>
      </c>
      <c r="BU80" s="52" t="s">
        <v>3290</v>
      </c>
      <c r="BV80" s="41"/>
      <c r="BW80" s="67">
        <v>1.173</v>
      </c>
      <c r="BX80" s="50">
        <v>0.13300000000000001</v>
      </c>
      <c r="BY80" s="41"/>
    </row>
    <row r="81" spans="1:77">
      <c r="A81" s="148">
        <v>2.0299999999999998</v>
      </c>
      <c r="B81" s="141" t="s">
        <v>357</v>
      </c>
      <c r="C81" s="86" t="s">
        <v>435</v>
      </c>
      <c r="D81" s="133" t="s">
        <v>45</v>
      </c>
      <c r="E81" s="80" t="s">
        <v>45</v>
      </c>
      <c r="F81" s="46" t="s">
        <v>45</v>
      </c>
      <c r="G81" s="46" t="s">
        <v>537</v>
      </c>
      <c r="H81" s="46" t="s">
        <v>538</v>
      </c>
      <c r="I81" s="46" t="s">
        <v>3377</v>
      </c>
      <c r="J81" s="46" t="s">
        <v>3331</v>
      </c>
      <c r="K81" s="46" t="s">
        <v>45</v>
      </c>
      <c r="L81" s="46">
        <v>10</v>
      </c>
      <c r="N81" s="46" t="s">
        <v>3414</v>
      </c>
      <c r="O81" s="46" t="s">
        <v>45</v>
      </c>
      <c r="P81" s="46">
        <v>9</v>
      </c>
      <c r="R81" s="46" t="s">
        <v>3539</v>
      </c>
      <c r="S81" s="46" t="s">
        <v>45</v>
      </c>
      <c r="T81" s="46">
        <v>8</v>
      </c>
      <c r="V81" s="46" t="s">
        <v>1340</v>
      </c>
      <c r="W81" s="46" t="s">
        <v>1558</v>
      </c>
      <c r="X81" s="46" t="s">
        <v>1428</v>
      </c>
      <c r="Y81" s="46" t="s">
        <v>2205</v>
      </c>
      <c r="Z81" s="46">
        <v>19</v>
      </c>
      <c r="AA81" s="46">
        <v>94.5</v>
      </c>
      <c r="AB81" s="46">
        <v>16</v>
      </c>
      <c r="AC81" s="46" t="s">
        <v>2206</v>
      </c>
      <c r="AD81" s="46" t="s">
        <v>2207</v>
      </c>
      <c r="AE81" s="46" t="s">
        <v>537</v>
      </c>
      <c r="AF81" s="46" t="s">
        <v>537</v>
      </c>
      <c r="AG81" s="46" t="s">
        <v>2208</v>
      </c>
      <c r="AH81" s="46" t="s">
        <v>3074</v>
      </c>
      <c r="AI81" s="46" t="s">
        <v>2433</v>
      </c>
      <c r="AJ81" s="46" t="s">
        <v>3093</v>
      </c>
      <c r="AK81" s="46">
        <v>9</v>
      </c>
      <c r="AL81" s="46">
        <v>94.3</v>
      </c>
      <c r="AM81" s="46">
        <v>16</v>
      </c>
      <c r="AN81" s="46" t="s">
        <v>2406</v>
      </c>
      <c r="AO81" s="46" t="s">
        <v>3094</v>
      </c>
      <c r="AP81" s="46" t="s">
        <v>538</v>
      </c>
      <c r="AQ81" s="46" t="s">
        <v>538</v>
      </c>
      <c r="AR81" s="46" t="s">
        <v>3095</v>
      </c>
      <c r="AT81" s="48" t="s">
        <v>45</v>
      </c>
      <c r="AU81" s="41">
        <v>0.28549999999999998</v>
      </c>
      <c r="AV81" s="41"/>
      <c r="AW81" s="54">
        <v>0.54600000000000004</v>
      </c>
      <c r="AX81" s="50">
        <v>0.13</v>
      </c>
      <c r="AY81" s="50">
        <v>0.129</v>
      </c>
      <c r="AZ81" s="50">
        <v>0.123</v>
      </c>
      <c r="BA81" s="43"/>
      <c r="BB81" s="50">
        <v>0.107</v>
      </c>
      <c r="BC81" s="50">
        <v>9.0999999999999998E-2</v>
      </c>
      <c r="BD81" s="43"/>
      <c r="BE81" s="41">
        <v>87062</v>
      </c>
      <c r="BF81" s="41">
        <v>291425.5</v>
      </c>
      <c r="BG81" s="51">
        <v>1</v>
      </c>
      <c r="BH81" s="51">
        <v>1</v>
      </c>
      <c r="BI81" s="52" t="s">
        <v>3286</v>
      </c>
      <c r="BJ81" s="41"/>
      <c r="BK81" s="41">
        <v>14497.5</v>
      </c>
      <c r="BL81" s="41">
        <v>88135.5</v>
      </c>
      <c r="BM81" s="51">
        <v>1</v>
      </c>
      <c r="BN81" s="51">
        <v>1</v>
      </c>
      <c r="BO81" s="52" t="s">
        <v>3286</v>
      </c>
      <c r="BP81" s="52" t="s">
        <v>3286</v>
      </c>
      <c r="BQ81" s="43"/>
      <c r="BR81" s="41">
        <v>1.6990000000000001</v>
      </c>
      <c r="BS81" s="41">
        <v>-9.9000000000000005E-2</v>
      </c>
      <c r="BT81" s="52" t="s">
        <v>3290</v>
      </c>
      <c r="BU81" s="52" t="s">
        <v>3288</v>
      </c>
      <c r="BV81" s="41"/>
      <c r="BW81" s="57">
        <v>0.78</v>
      </c>
      <c r="BX81" s="50">
        <v>0.11799999999999999</v>
      </c>
      <c r="BY81" s="41"/>
    </row>
    <row r="82" spans="1:77">
      <c r="A82" s="148">
        <v>2.0299999999999998</v>
      </c>
      <c r="B82" s="141" t="s">
        <v>357</v>
      </c>
      <c r="C82" s="86" t="s">
        <v>435</v>
      </c>
      <c r="D82" s="133" t="s">
        <v>46</v>
      </c>
      <c r="E82" s="80" t="s">
        <v>46</v>
      </c>
      <c r="F82" s="46" t="s">
        <v>46</v>
      </c>
      <c r="G82" s="46" t="s">
        <v>560</v>
      </c>
      <c r="H82" s="46" t="s">
        <v>561</v>
      </c>
      <c r="I82" s="46" t="s">
        <v>3377</v>
      </c>
      <c r="J82" s="46" t="s">
        <v>3331</v>
      </c>
      <c r="K82" s="46" t="s">
        <v>46</v>
      </c>
      <c r="L82" s="46">
        <v>10</v>
      </c>
      <c r="N82" s="46" t="s">
        <v>3414</v>
      </c>
      <c r="O82" s="46" t="s">
        <v>46</v>
      </c>
      <c r="P82" s="46">
        <v>9</v>
      </c>
      <c r="R82" s="46" t="s">
        <v>3539</v>
      </c>
      <c r="S82" s="46" t="s">
        <v>46</v>
      </c>
      <c r="T82" s="46">
        <v>8</v>
      </c>
      <c r="V82" s="46" t="s">
        <v>1341</v>
      </c>
      <c r="W82" s="46" t="s">
        <v>1558</v>
      </c>
      <c r="X82" s="46" t="s">
        <v>1428</v>
      </c>
      <c r="Y82" s="46" t="s">
        <v>2209</v>
      </c>
      <c r="Z82" s="46">
        <v>19</v>
      </c>
      <c r="AA82" s="46">
        <v>95.5</v>
      </c>
      <c r="AB82" s="46">
        <v>13</v>
      </c>
      <c r="AC82" s="46" t="s">
        <v>1430</v>
      </c>
      <c r="AD82" s="46" t="s">
        <v>2210</v>
      </c>
      <c r="AE82" s="46" t="s">
        <v>560</v>
      </c>
      <c r="AF82" s="46" t="s">
        <v>560</v>
      </c>
      <c r="AG82" s="46" t="s">
        <v>2211</v>
      </c>
      <c r="AH82" s="46" t="s">
        <v>3074</v>
      </c>
      <c r="AI82" s="46" t="s">
        <v>2433</v>
      </c>
      <c r="AJ82" s="46" t="s">
        <v>3096</v>
      </c>
      <c r="AK82" s="46">
        <v>9</v>
      </c>
      <c r="AL82" s="46">
        <v>95.4</v>
      </c>
      <c r="AM82" s="46">
        <v>13</v>
      </c>
      <c r="AN82" s="46" t="s">
        <v>2406</v>
      </c>
      <c r="AO82" s="46" t="s">
        <v>3097</v>
      </c>
      <c r="AP82" s="46" t="s">
        <v>561</v>
      </c>
      <c r="AQ82" s="46" t="s">
        <v>561</v>
      </c>
      <c r="AR82" s="46" t="s">
        <v>3098</v>
      </c>
      <c r="AT82" s="48" t="s">
        <v>46</v>
      </c>
      <c r="AU82" s="41">
        <v>0.32519999999999999</v>
      </c>
      <c r="AV82" s="41"/>
      <c r="AW82" s="54">
        <v>0.56799999999999995</v>
      </c>
      <c r="AX82" s="50">
        <v>0.158</v>
      </c>
      <c r="AY82" s="50">
        <v>0.11700000000000001</v>
      </c>
      <c r="AZ82" s="50">
        <v>0.114</v>
      </c>
      <c r="BA82" s="43"/>
      <c r="BB82" s="50">
        <v>0.11700000000000001</v>
      </c>
      <c r="BC82" s="50">
        <v>8.8999999999999996E-2</v>
      </c>
      <c r="BD82" s="43"/>
      <c r="BE82" s="41">
        <v>48910</v>
      </c>
      <c r="BF82" s="41">
        <v>184978</v>
      </c>
      <c r="BG82" s="51">
        <v>1</v>
      </c>
      <c r="BH82" s="51">
        <v>1</v>
      </c>
      <c r="BI82" s="52" t="s">
        <v>3286</v>
      </c>
      <c r="BJ82" s="41"/>
      <c r="BK82" s="41">
        <v>15196</v>
      </c>
      <c r="BL82" s="41">
        <v>84204</v>
      </c>
      <c r="BM82" s="51">
        <v>1</v>
      </c>
      <c r="BN82" s="51">
        <v>1</v>
      </c>
      <c r="BO82" s="52" t="s">
        <v>3286</v>
      </c>
      <c r="BP82" s="52" t="s">
        <v>3286</v>
      </c>
      <c r="BQ82" s="43"/>
      <c r="BR82" s="41">
        <v>-8.8300000000000003E-2</v>
      </c>
      <c r="BS82" s="41">
        <v>-9.8599999999999993E-2</v>
      </c>
      <c r="BT82" s="52" t="s">
        <v>3288</v>
      </c>
      <c r="BU82" s="52" t="s">
        <v>3288</v>
      </c>
      <c r="BV82" s="41"/>
      <c r="BW82" s="59">
        <v>0.96299999999999997</v>
      </c>
      <c r="BX82" s="50">
        <v>0.122</v>
      </c>
      <c r="BY82" s="41"/>
    </row>
    <row r="83" spans="1:77">
      <c r="A83" s="148">
        <v>2.0299999999999998</v>
      </c>
      <c r="B83" s="141" t="s">
        <v>357</v>
      </c>
      <c r="C83" s="86" t="s">
        <v>435</v>
      </c>
      <c r="D83" s="133" t="s">
        <v>47</v>
      </c>
      <c r="E83" s="80" t="s">
        <v>47</v>
      </c>
      <c r="F83" s="46" t="s">
        <v>47</v>
      </c>
      <c r="G83" s="46" t="s">
        <v>568</v>
      </c>
      <c r="H83" s="46" t="s">
        <v>569</v>
      </c>
      <c r="I83" s="46" t="s">
        <v>3377</v>
      </c>
      <c r="J83" s="46" t="s">
        <v>3331</v>
      </c>
      <c r="K83" s="46" t="s">
        <v>47</v>
      </c>
      <c r="L83" s="46">
        <v>10</v>
      </c>
      <c r="N83" s="46" t="s">
        <v>3414</v>
      </c>
      <c r="O83" s="46" t="s">
        <v>47</v>
      </c>
      <c r="P83" s="46">
        <v>9</v>
      </c>
      <c r="R83" s="46" t="s">
        <v>3539</v>
      </c>
      <c r="S83" s="46" t="s">
        <v>47</v>
      </c>
      <c r="T83" s="46">
        <v>8</v>
      </c>
      <c r="V83" s="46" t="s">
        <v>1342</v>
      </c>
      <c r="W83" s="46" t="s">
        <v>1558</v>
      </c>
      <c r="X83" s="46" t="s">
        <v>1428</v>
      </c>
      <c r="Y83" s="46" t="s">
        <v>2212</v>
      </c>
      <c r="Z83" s="46">
        <v>19</v>
      </c>
      <c r="AA83" s="46">
        <v>95.5</v>
      </c>
      <c r="AB83" s="46">
        <v>13</v>
      </c>
      <c r="AC83" s="46" t="s">
        <v>1430</v>
      </c>
      <c r="AD83" s="46" t="s">
        <v>2213</v>
      </c>
      <c r="AE83" s="46" t="s">
        <v>568</v>
      </c>
      <c r="AF83" s="46" t="s">
        <v>568</v>
      </c>
      <c r="AG83" s="46" t="s">
        <v>2214</v>
      </c>
      <c r="AH83" s="46" t="s">
        <v>3074</v>
      </c>
      <c r="AI83" s="46" t="s">
        <v>2433</v>
      </c>
      <c r="AJ83" s="46" t="s">
        <v>3099</v>
      </c>
      <c r="AK83" s="46">
        <v>9</v>
      </c>
      <c r="AL83" s="46">
        <v>96.1</v>
      </c>
      <c r="AM83" s="46">
        <v>11</v>
      </c>
      <c r="AN83" s="46" t="s">
        <v>2406</v>
      </c>
      <c r="AO83" s="46" t="s">
        <v>3100</v>
      </c>
      <c r="AP83" s="46" t="s">
        <v>569</v>
      </c>
      <c r="AQ83" s="46" t="s">
        <v>569</v>
      </c>
      <c r="AR83" s="46" t="s">
        <v>3101</v>
      </c>
      <c r="AT83" s="48" t="s">
        <v>47</v>
      </c>
      <c r="AU83" s="41">
        <v>0.44479999999999997</v>
      </c>
      <c r="AV83" s="41"/>
      <c r="AW83" s="59">
        <v>0.88400000000000001</v>
      </c>
      <c r="AX83" s="50">
        <v>0.23899999999999999</v>
      </c>
      <c r="AY83" s="50">
        <v>0.13100000000000001</v>
      </c>
      <c r="AZ83" s="50">
        <v>0.13300000000000001</v>
      </c>
      <c r="BA83" s="43"/>
      <c r="BB83" s="50">
        <v>9.9000000000000005E-2</v>
      </c>
      <c r="BC83" s="50">
        <v>8.6999999999999994E-2</v>
      </c>
      <c r="BD83" s="43"/>
      <c r="BE83" s="41">
        <v>89015</v>
      </c>
      <c r="BF83" s="41">
        <v>166535</v>
      </c>
      <c r="BG83" s="51">
        <v>1</v>
      </c>
      <c r="BH83" s="51">
        <v>1</v>
      </c>
      <c r="BI83" s="52" t="s">
        <v>3286</v>
      </c>
      <c r="BJ83" s="41"/>
      <c r="BK83" s="41">
        <v>9823</v>
      </c>
      <c r="BL83" s="41">
        <v>60921</v>
      </c>
      <c r="BM83" s="51">
        <v>1</v>
      </c>
      <c r="BN83" s="51">
        <v>1</v>
      </c>
      <c r="BO83" s="52" t="s">
        <v>3286</v>
      </c>
      <c r="BP83" s="52" t="s">
        <v>3286</v>
      </c>
      <c r="BQ83" s="43"/>
      <c r="BR83" s="41">
        <v>0.98429999999999995</v>
      </c>
      <c r="BS83" s="41">
        <v>1.0865</v>
      </c>
      <c r="BT83" s="52" t="s">
        <v>3290</v>
      </c>
      <c r="BU83" s="52" t="s">
        <v>3290</v>
      </c>
      <c r="BV83" s="41"/>
      <c r="BW83" s="67">
        <v>1.2769999999999999</v>
      </c>
      <c r="BX83" s="50">
        <v>0.124</v>
      </c>
      <c r="BY83" s="41"/>
    </row>
    <row r="84" spans="1:77">
      <c r="A84" s="148">
        <v>2.0299999999999998</v>
      </c>
      <c r="B84" s="141" t="s">
        <v>357</v>
      </c>
      <c r="C84" s="86" t="s">
        <v>435</v>
      </c>
      <c r="D84" s="133" t="s">
        <v>48</v>
      </c>
      <c r="E84" s="80" t="s">
        <v>48</v>
      </c>
      <c r="F84" s="46" t="s">
        <v>48</v>
      </c>
      <c r="G84" s="46" t="s">
        <v>702</v>
      </c>
      <c r="H84" s="46" t="s">
        <v>703</v>
      </c>
      <c r="I84" s="46" t="s">
        <v>3377</v>
      </c>
      <c r="J84" s="46" t="s">
        <v>3331</v>
      </c>
      <c r="K84" s="46" t="s">
        <v>48</v>
      </c>
      <c r="L84" s="46">
        <v>10</v>
      </c>
      <c r="N84" s="46" t="s">
        <v>3414</v>
      </c>
      <c r="O84" s="46" t="s">
        <v>48</v>
      </c>
      <c r="P84" s="46">
        <v>9</v>
      </c>
      <c r="R84" s="46" t="s">
        <v>3539</v>
      </c>
      <c r="S84" s="46" t="s">
        <v>48</v>
      </c>
      <c r="T84" s="46">
        <v>8</v>
      </c>
      <c r="V84" s="46" t="s">
        <v>1343</v>
      </c>
      <c r="W84" s="46" t="s">
        <v>1558</v>
      </c>
      <c r="X84" s="46" t="s">
        <v>1428</v>
      </c>
      <c r="Y84" s="46" t="s">
        <v>2215</v>
      </c>
      <c r="Z84" s="46">
        <v>19</v>
      </c>
      <c r="AA84" s="46">
        <v>91.5</v>
      </c>
      <c r="AB84" s="46">
        <v>25</v>
      </c>
      <c r="AC84" s="46" t="s">
        <v>1679</v>
      </c>
      <c r="AD84" s="46" t="s">
        <v>2216</v>
      </c>
      <c r="AE84" s="46" t="s">
        <v>702</v>
      </c>
      <c r="AF84" s="46" t="s">
        <v>702</v>
      </c>
      <c r="AG84" s="46" t="s">
        <v>2217</v>
      </c>
      <c r="AH84" s="46" t="s">
        <v>3074</v>
      </c>
      <c r="AI84" s="46" t="s">
        <v>2433</v>
      </c>
      <c r="AJ84" s="46" t="s">
        <v>3102</v>
      </c>
      <c r="AK84" s="46">
        <v>9</v>
      </c>
      <c r="AL84" s="46">
        <v>92.3</v>
      </c>
      <c r="AM84" s="46">
        <v>21</v>
      </c>
      <c r="AN84" s="46" t="s">
        <v>2406</v>
      </c>
      <c r="AO84" s="46" t="s">
        <v>3103</v>
      </c>
      <c r="AP84" s="46" t="s">
        <v>703</v>
      </c>
      <c r="AQ84" s="46" t="s">
        <v>703</v>
      </c>
      <c r="AR84" s="46" t="s">
        <v>3104</v>
      </c>
      <c r="AT84" s="48" t="s">
        <v>48</v>
      </c>
      <c r="AU84" s="41">
        <v>0.3528</v>
      </c>
      <c r="AV84" s="41"/>
      <c r="AW84" s="59">
        <v>1.121</v>
      </c>
      <c r="AX84" s="57">
        <v>0.78100000000000003</v>
      </c>
      <c r="AY84" s="50">
        <v>0.121</v>
      </c>
      <c r="AZ84" s="50">
        <v>0.121</v>
      </c>
      <c r="BA84" s="43"/>
      <c r="BB84" s="50">
        <v>0.10100000000000001</v>
      </c>
      <c r="BC84" s="50">
        <v>9.5000000000000001E-2</v>
      </c>
      <c r="BD84" s="43"/>
      <c r="BE84" s="41">
        <v>86457</v>
      </c>
      <c r="BF84" s="41">
        <v>230584</v>
      </c>
      <c r="BG84" s="51">
        <v>1</v>
      </c>
      <c r="BH84" s="51">
        <v>1</v>
      </c>
      <c r="BI84" s="52" t="s">
        <v>3286</v>
      </c>
      <c r="BJ84" s="41"/>
      <c r="BK84" s="41">
        <v>10969</v>
      </c>
      <c r="BL84" s="41">
        <v>75824</v>
      </c>
      <c r="BM84" s="51">
        <v>1</v>
      </c>
      <c r="BN84" s="51">
        <v>1</v>
      </c>
      <c r="BO84" s="52" t="s">
        <v>3286</v>
      </c>
      <c r="BP84" s="52" t="s">
        <v>3286</v>
      </c>
      <c r="BQ84" s="43"/>
      <c r="BR84" s="41">
        <v>2.2755000000000001</v>
      </c>
      <c r="BS84" s="41">
        <v>2.0747</v>
      </c>
      <c r="BT84" s="52" t="s">
        <v>3290</v>
      </c>
      <c r="BU84" s="52" t="s">
        <v>3290</v>
      </c>
      <c r="BV84" s="41"/>
      <c r="BW84" s="68">
        <v>1.526</v>
      </c>
      <c r="BX84" s="50">
        <v>0.16300000000000001</v>
      </c>
      <c r="BY84" s="41"/>
    </row>
    <row r="85" spans="1:77">
      <c r="A85" s="148">
        <v>2.0299999999999998</v>
      </c>
      <c r="B85" s="141" t="s">
        <v>357</v>
      </c>
      <c r="C85" s="86" t="s">
        <v>435</v>
      </c>
      <c r="D85" s="133" t="s">
        <v>49</v>
      </c>
      <c r="E85" s="80" t="s">
        <v>49</v>
      </c>
      <c r="F85" s="46" t="s">
        <v>49</v>
      </c>
      <c r="G85" s="46" t="s">
        <v>568</v>
      </c>
      <c r="H85" s="46" t="s">
        <v>718</v>
      </c>
      <c r="I85" s="46" t="s">
        <v>3377</v>
      </c>
      <c r="J85" s="46" t="s">
        <v>3331</v>
      </c>
      <c r="K85" s="46" t="s">
        <v>49</v>
      </c>
      <c r="L85" s="46">
        <v>10</v>
      </c>
      <c r="N85" s="46" t="s">
        <v>3414</v>
      </c>
      <c r="O85" s="46" t="s">
        <v>49</v>
      </c>
      <c r="P85" s="46">
        <v>9</v>
      </c>
      <c r="R85" s="46" t="s">
        <v>3539</v>
      </c>
      <c r="S85" s="46" t="s">
        <v>49</v>
      </c>
      <c r="T85" s="46">
        <v>8</v>
      </c>
      <c r="V85" s="46" t="s">
        <v>1344</v>
      </c>
      <c r="W85" s="46" t="s">
        <v>1558</v>
      </c>
      <c r="X85" s="46" t="s">
        <v>1428</v>
      </c>
      <c r="Y85" s="46" t="s">
        <v>2212</v>
      </c>
      <c r="Z85" s="46">
        <v>19</v>
      </c>
      <c r="AA85" s="46">
        <v>95.5</v>
      </c>
      <c r="AB85" s="46">
        <v>13</v>
      </c>
      <c r="AC85" s="46" t="s">
        <v>1430</v>
      </c>
      <c r="AD85" s="46" t="s">
        <v>2213</v>
      </c>
      <c r="AE85" s="46" t="s">
        <v>568</v>
      </c>
      <c r="AF85" s="46" t="s">
        <v>568</v>
      </c>
      <c r="AG85" s="46" t="s">
        <v>2214</v>
      </c>
      <c r="AH85" s="46" t="s">
        <v>3074</v>
      </c>
      <c r="AI85" s="46" t="s">
        <v>2433</v>
      </c>
      <c r="AJ85" s="46" t="s">
        <v>3099</v>
      </c>
      <c r="AK85" s="46">
        <v>9</v>
      </c>
      <c r="AL85" s="46">
        <v>96.1</v>
      </c>
      <c r="AM85" s="46">
        <v>11</v>
      </c>
      <c r="AN85" s="46" t="s">
        <v>2406</v>
      </c>
      <c r="AO85" s="46" t="s">
        <v>3100</v>
      </c>
      <c r="AP85" s="46" t="s">
        <v>718</v>
      </c>
      <c r="AQ85" s="46" t="s">
        <v>718</v>
      </c>
      <c r="AR85" s="46" t="s">
        <v>3101</v>
      </c>
      <c r="AT85" s="48" t="s">
        <v>49</v>
      </c>
      <c r="AU85" s="41">
        <v>0.37769999999999998</v>
      </c>
      <c r="AV85" s="41"/>
      <c r="AW85" s="57">
        <v>0.64700000000000002</v>
      </c>
      <c r="AX85" s="50">
        <v>0.28199999999999997</v>
      </c>
      <c r="AY85" s="50">
        <v>0.125</v>
      </c>
      <c r="AZ85" s="50">
        <v>0.124</v>
      </c>
      <c r="BA85" s="43"/>
      <c r="BB85" s="50">
        <v>0.13700000000000001</v>
      </c>
      <c r="BC85" s="50">
        <v>0.09</v>
      </c>
      <c r="BD85" s="43"/>
      <c r="BE85" s="41">
        <v>42163.5</v>
      </c>
      <c r="BF85" s="41">
        <v>247511</v>
      </c>
      <c r="BG85" s="51">
        <v>1</v>
      </c>
      <c r="BH85" s="51">
        <v>1</v>
      </c>
      <c r="BI85" s="52" t="s">
        <v>3286</v>
      </c>
      <c r="BJ85" s="41"/>
      <c r="BK85" s="41">
        <v>9646</v>
      </c>
      <c r="BL85" s="41">
        <v>66744</v>
      </c>
      <c r="BM85" s="51">
        <v>1</v>
      </c>
      <c r="BN85" s="51">
        <v>1</v>
      </c>
      <c r="BO85" s="52" t="s">
        <v>3286</v>
      </c>
      <c r="BP85" s="52" t="s">
        <v>3286</v>
      </c>
      <c r="BQ85" s="43"/>
      <c r="BR85" s="41">
        <v>0.75229999999999997</v>
      </c>
      <c r="BS85" s="41">
        <v>0.45910000000000001</v>
      </c>
      <c r="BT85" s="52" t="s">
        <v>3290</v>
      </c>
      <c r="BU85" s="52" t="s">
        <v>3290</v>
      </c>
      <c r="BV85" s="41"/>
      <c r="BW85" s="59">
        <v>1.0660000000000001</v>
      </c>
      <c r="BX85" s="50">
        <v>0.13400000000000001</v>
      </c>
      <c r="BY85" s="41"/>
    </row>
    <row r="86" spans="1:77">
      <c r="A86" s="148">
        <v>2.0299999999999998</v>
      </c>
      <c r="B86" s="141" t="s">
        <v>357</v>
      </c>
      <c r="C86" s="86" t="s">
        <v>435</v>
      </c>
      <c r="D86" s="133" t="s">
        <v>50</v>
      </c>
      <c r="E86" s="80" t="s">
        <v>50</v>
      </c>
      <c r="F86" s="46" t="s">
        <v>50</v>
      </c>
      <c r="G86" s="46" t="s">
        <v>1016</v>
      </c>
      <c r="H86" s="46" t="s">
        <v>1017</v>
      </c>
      <c r="I86" s="46" t="s">
        <v>3377</v>
      </c>
      <c r="J86" s="46" t="s">
        <v>3331</v>
      </c>
      <c r="K86" s="46" t="s">
        <v>50</v>
      </c>
      <c r="L86" s="46">
        <v>10</v>
      </c>
      <c r="N86" s="46" t="s">
        <v>3414</v>
      </c>
      <c r="O86" s="46" t="s">
        <v>50</v>
      </c>
      <c r="P86" s="46">
        <v>9</v>
      </c>
      <c r="R86" s="46" t="s">
        <v>3672</v>
      </c>
      <c r="S86" s="46" t="s">
        <v>50</v>
      </c>
      <c r="T86" s="46">
        <v>1</v>
      </c>
      <c r="V86" s="46" t="s">
        <v>1345</v>
      </c>
      <c r="W86" s="46" t="s">
        <v>1558</v>
      </c>
      <c r="X86" s="46" t="s">
        <v>1428</v>
      </c>
      <c r="Y86" s="46" t="s">
        <v>2218</v>
      </c>
      <c r="Z86" s="46">
        <v>19</v>
      </c>
      <c r="AA86" s="46">
        <v>95.9</v>
      </c>
      <c r="AB86" s="46">
        <v>12</v>
      </c>
      <c r="AC86" s="46" t="s">
        <v>1763</v>
      </c>
      <c r="AD86" s="46" t="s">
        <v>2219</v>
      </c>
      <c r="AE86" s="46" t="s">
        <v>1016</v>
      </c>
      <c r="AF86" s="46" t="s">
        <v>1016</v>
      </c>
      <c r="AG86" s="46" t="s">
        <v>2220</v>
      </c>
      <c r="AH86" s="46" t="s">
        <v>3074</v>
      </c>
      <c r="AI86" s="46" t="s">
        <v>2433</v>
      </c>
      <c r="AJ86" s="46" t="s">
        <v>3105</v>
      </c>
      <c r="AK86" s="46">
        <v>10</v>
      </c>
      <c r="AL86" s="46">
        <v>96.8</v>
      </c>
      <c r="AM86" s="46">
        <v>9</v>
      </c>
      <c r="AN86" s="46" t="s">
        <v>2406</v>
      </c>
      <c r="AO86" s="46" t="s">
        <v>3106</v>
      </c>
      <c r="AP86" s="46" t="s">
        <v>1017</v>
      </c>
      <c r="AQ86" s="46" t="s">
        <v>1017</v>
      </c>
      <c r="AR86" s="46" t="s">
        <v>3107</v>
      </c>
      <c r="AT86" s="48" t="s">
        <v>50</v>
      </c>
      <c r="AU86" s="41">
        <v>0.25840000000000002</v>
      </c>
      <c r="AV86" s="41"/>
      <c r="AW86" s="50">
        <v>0.14499999999999999</v>
      </c>
      <c r="AX86" s="50">
        <v>0.115</v>
      </c>
      <c r="AY86" s="50">
        <v>0.122</v>
      </c>
      <c r="AZ86" s="50">
        <v>0.107</v>
      </c>
      <c r="BA86" s="43"/>
      <c r="BB86" s="50">
        <v>0.109</v>
      </c>
      <c r="BC86" s="50">
        <v>9.7000000000000003E-2</v>
      </c>
      <c r="BD86" s="43"/>
      <c r="BE86" s="41">
        <v>162335</v>
      </c>
      <c r="BF86" s="41">
        <v>663884</v>
      </c>
      <c r="BG86" s="51">
        <v>1</v>
      </c>
      <c r="BH86" s="51">
        <v>1</v>
      </c>
      <c r="BI86" s="52" t="s">
        <v>3286</v>
      </c>
      <c r="BJ86" s="41"/>
      <c r="BK86" s="41">
        <v>36059</v>
      </c>
      <c r="BL86" s="41">
        <v>212166</v>
      </c>
      <c r="BM86" s="51">
        <v>1</v>
      </c>
      <c r="BN86" s="51">
        <v>1</v>
      </c>
      <c r="BO86" s="52" t="s">
        <v>3286</v>
      </c>
      <c r="BP86" s="52" t="s">
        <v>3286</v>
      </c>
      <c r="BQ86" s="43"/>
      <c r="BR86" s="41">
        <v>-7.5499999999999998E-2</v>
      </c>
      <c r="BS86" s="41">
        <v>-9.4299999999999995E-2</v>
      </c>
      <c r="BT86" s="52" t="s">
        <v>3288</v>
      </c>
      <c r="BU86" s="52" t="s">
        <v>3288</v>
      </c>
      <c r="BV86" s="41"/>
      <c r="BW86" s="57">
        <v>0.60399999999999998</v>
      </c>
      <c r="BX86" s="50">
        <v>0.13300000000000001</v>
      </c>
      <c r="BY86" s="41"/>
    </row>
    <row r="87" spans="1:77" ht="17" thickBot="1">
      <c r="A87" s="148">
        <v>2.0299999999999998</v>
      </c>
      <c r="B87" s="141" t="s">
        <v>357</v>
      </c>
      <c r="C87" s="86" t="s">
        <v>435</v>
      </c>
      <c r="D87" s="133" t="s">
        <v>41</v>
      </c>
      <c r="E87" s="80" t="s">
        <v>41</v>
      </c>
      <c r="F87" s="46" t="s">
        <v>41</v>
      </c>
      <c r="G87" s="46" t="s">
        <v>741</v>
      </c>
      <c r="H87" s="46" t="s">
        <v>742</v>
      </c>
      <c r="I87" s="46" t="s">
        <v>3377</v>
      </c>
      <c r="J87" s="46" t="s">
        <v>3331</v>
      </c>
      <c r="K87" s="46" t="s">
        <v>41</v>
      </c>
      <c r="L87" s="46">
        <v>10</v>
      </c>
      <c r="N87" s="46" t="s">
        <v>3458</v>
      </c>
      <c r="O87" s="46" t="s">
        <v>41</v>
      </c>
      <c r="P87" s="46">
        <v>1</v>
      </c>
      <c r="R87" s="46" t="s">
        <v>3593</v>
      </c>
      <c r="S87" s="46" t="s">
        <v>41</v>
      </c>
      <c r="T87" s="46">
        <v>1</v>
      </c>
      <c r="V87" s="46" t="s">
        <v>1335</v>
      </c>
      <c r="W87" s="46" t="s">
        <v>1558</v>
      </c>
      <c r="X87" s="46" t="s">
        <v>1428</v>
      </c>
      <c r="Y87" s="46" t="s">
        <v>2185</v>
      </c>
      <c r="Z87" s="46">
        <v>19</v>
      </c>
      <c r="AA87" s="46">
        <v>91.4</v>
      </c>
      <c r="AB87" s="46">
        <v>25</v>
      </c>
      <c r="AC87" s="46" t="s">
        <v>1697</v>
      </c>
      <c r="AD87" s="46" t="s">
        <v>2186</v>
      </c>
      <c r="AE87" s="46" t="s">
        <v>2187</v>
      </c>
      <c r="AF87" s="46" t="s">
        <v>741</v>
      </c>
      <c r="AG87" s="46" t="s">
        <v>2188</v>
      </c>
      <c r="AH87" s="46" t="s">
        <v>3074</v>
      </c>
      <c r="AI87" s="46" t="s">
        <v>2433</v>
      </c>
      <c r="AJ87" s="46" t="s">
        <v>3075</v>
      </c>
      <c r="AK87" s="46">
        <v>9</v>
      </c>
      <c r="AL87" s="46">
        <v>93.9</v>
      </c>
      <c r="AM87" s="46">
        <v>17</v>
      </c>
      <c r="AN87" s="46" t="s">
        <v>2406</v>
      </c>
      <c r="AO87" s="46" t="s">
        <v>3076</v>
      </c>
      <c r="AP87" s="46" t="s">
        <v>3077</v>
      </c>
      <c r="AQ87" s="46" t="s">
        <v>742</v>
      </c>
      <c r="AR87" s="46" t="s">
        <v>3078</v>
      </c>
      <c r="AT87" s="48" t="s">
        <v>41</v>
      </c>
      <c r="AU87" s="41">
        <v>0.3705</v>
      </c>
      <c r="AV87" s="41"/>
      <c r="AW87" s="50">
        <v>0.216</v>
      </c>
      <c r="AX87" s="54">
        <v>0.46600000000000003</v>
      </c>
      <c r="AY87" s="50">
        <v>0.13</v>
      </c>
      <c r="AZ87" s="50">
        <v>0.123</v>
      </c>
      <c r="BA87" s="43"/>
      <c r="BB87" s="50">
        <v>9.9000000000000005E-2</v>
      </c>
      <c r="BC87" s="50">
        <v>8.7999999999999995E-2</v>
      </c>
      <c r="BD87" s="43"/>
      <c r="BE87" s="41">
        <v>127002</v>
      </c>
      <c r="BF87" s="41">
        <v>248440</v>
      </c>
      <c r="BG87" s="51">
        <v>1</v>
      </c>
      <c r="BH87" s="51">
        <v>1</v>
      </c>
      <c r="BI87" s="52" t="s">
        <v>3286</v>
      </c>
      <c r="BJ87" s="41"/>
      <c r="BK87" s="41">
        <v>9870</v>
      </c>
      <c r="BL87" s="41">
        <v>38337</v>
      </c>
      <c r="BM87" s="51">
        <v>1</v>
      </c>
      <c r="BN87" s="51">
        <v>1</v>
      </c>
      <c r="BO87" s="52" t="s">
        <v>3286</v>
      </c>
      <c r="BP87" s="52" t="s">
        <v>3286</v>
      </c>
      <c r="BQ87" s="43"/>
      <c r="BR87" s="41">
        <v>1.4294</v>
      </c>
      <c r="BS87" s="41">
        <v>0.87480000000000002</v>
      </c>
      <c r="BT87" s="52" t="s">
        <v>3290</v>
      </c>
      <c r="BU87" s="52" t="s">
        <v>3290</v>
      </c>
      <c r="BV87" s="41"/>
      <c r="BW87" s="57">
        <v>0.77200000000000002</v>
      </c>
      <c r="BX87" s="50">
        <v>0.14599999999999999</v>
      </c>
      <c r="BY87" s="41"/>
    </row>
    <row r="88" spans="1:77" s="81" customFormat="1">
      <c r="A88" s="147">
        <v>2.04</v>
      </c>
      <c r="B88" s="140" t="s">
        <v>367</v>
      </c>
      <c r="C88" s="120" t="s">
        <v>445</v>
      </c>
      <c r="D88" s="132" t="s">
        <v>92</v>
      </c>
      <c r="E88" s="82" t="s">
        <v>92</v>
      </c>
      <c r="F88" s="81" t="s">
        <v>92</v>
      </c>
      <c r="G88" s="81" t="s">
        <v>749</v>
      </c>
      <c r="H88" s="81" t="s">
        <v>750</v>
      </c>
      <c r="I88" s="81" t="s">
        <v>3377</v>
      </c>
      <c r="J88" s="81" t="s">
        <v>3328</v>
      </c>
      <c r="K88" s="81" t="s">
        <v>92</v>
      </c>
      <c r="L88" s="81">
        <v>9</v>
      </c>
      <c r="N88" s="81" t="s">
        <v>3460</v>
      </c>
      <c r="O88" s="81" t="s">
        <v>92</v>
      </c>
      <c r="P88" s="81">
        <v>7</v>
      </c>
      <c r="R88" s="81" t="s">
        <v>3595</v>
      </c>
      <c r="S88" s="81" t="s">
        <v>92</v>
      </c>
      <c r="T88" s="81">
        <v>7</v>
      </c>
      <c r="V88" s="81" t="s">
        <v>1387</v>
      </c>
      <c r="W88" s="81" t="s">
        <v>1729</v>
      </c>
      <c r="X88" s="81" t="s">
        <v>1421</v>
      </c>
      <c r="Y88" s="81" t="s">
        <v>2346</v>
      </c>
      <c r="Z88" s="81">
        <v>14</v>
      </c>
      <c r="AA88" s="81">
        <v>96.6</v>
      </c>
      <c r="AB88" s="81">
        <v>10</v>
      </c>
      <c r="AC88" s="81" t="s">
        <v>1445</v>
      </c>
      <c r="AD88" s="81" t="s">
        <v>2347</v>
      </c>
      <c r="AE88" s="81" t="s">
        <v>2348</v>
      </c>
      <c r="AF88" s="81" t="s">
        <v>749</v>
      </c>
      <c r="AG88" s="81" t="s">
        <v>2349</v>
      </c>
      <c r="AH88" s="81" t="s">
        <v>2603</v>
      </c>
      <c r="AI88" s="81" t="s">
        <v>2460</v>
      </c>
      <c r="AJ88" s="81" t="s">
        <v>3227</v>
      </c>
      <c r="AK88" s="81">
        <v>9</v>
      </c>
      <c r="AL88" s="81">
        <v>98.3</v>
      </c>
      <c r="AM88" s="81">
        <v>5</v>
      </c>
      <c r="AN88" s="81" t="s">
        <v>2406</v>
      </c>
      <c r="AO88" s="81" t="s">
        <v>3228</v>
      </c>
      <c r="AP88" s="81" t="s">
        <v>3229</v>
      </c>
      <c r="AQ88" s="81" t="s">
        <v>750</v>
      </c>
      <c r="AR88" s="81" t="s">
        <v>3230</v>
      </c>
      <c r="AT88" s="83" t="s">
        <v>92</v>
      </c>
      <c r="AU88" s="33">
        <v>0.30480000000000002</v>
      </c>
      <c r="AV88" s="33"/>
      <c r="AW88" s="100">
        <v>3.5369999999999999</v>
      </c>
      <c r="AX88" s="100">
        <v>3.4990000000000001</v>
      </c>
      <c r="AY88" s="100">
        <v>3.605</v>
      </c>
      <c r="AZ88" s="87">
        <v>0.20200000000000001</v>
      </c>
      <c r="BA88" s="34"/>
      <c r="BB88" s="87">
        <v>9.1999999999999998E-2</v>
      </c>
      <c r="BC88" s="87">
        <v>8.1000000000000003E-2</v>
      </c>
      <c r="BD88" s="34"/>
      <c r="BE88" s="33">
        <v>39739</v>
      </c>
      <c r="BF88" s="33">
        <v>2242</v>
      </c>
      <c r="BG88" s="88">
        <v>1</v>
      </c>
      <c r="BH88" s="88">
        <v>0</v>
      </c>
      <c r="BI88" s="89" t="s">
        <v>3285</v>
      </c>
      <c r="BJ88" s="33"/>
      <c r="BK88" s="33">
        <v>2873</v>
      </c>
      <c r="BL88" s="33">
        <v>2477</v>
      </c>
      <c r="BM88" s="88">
        <v>0</v>
      </c>
      <c r="BN88" s="88">
        <v>0</v>
      </c>
      <c r="BO88" s="89" t="s">
        <v>3289</v>
      </c>
      <c r="BP88" s="89" t="s">
        <v>3287</v>
      </c>
      <c r="BQ88" s="34"/>
      <c r="BR88" s="33">
        <v>-1.9599999999999999E-2</v>
      </c>
      <c r="BS88" s="33">
        <v>-1.01E-2</v>
      </c>
      <c r="BT88" s="89" t="s">
        <v>3288</v>
      </c>
      <c r="BU88" s="89" t="s">
        <v>3288</v>
      </c>
      <c r="BV88" s="33"/>
      <c r="BW88" s="101">
        <v>2.8090000000000002</v>
      </c>
      <c r="BX88" s="97">
        <v>0.92600000000000005</v>
      </c>
      <c r="BY88" s="33"/>
    </row>
    <row r="89" spans="1:77">
      <c r="A89" s="148">
        <v>2.04</v>
      </c>
      <c r="B89" s="141" t="s">
        <v>367</v>
      </c>
      <c r="C89" s="86" t="s">
        <v>445</v>
      </c>
      <c r="D89" s="133" t="s">
        <v>93</v>
      </c>
      <c r="E89" s="80" t="s">
        <v>93</v>
      </c>
      <c r="F89" s="46" t="s">
        <v>93</v>
      </c>
      <c r="G89" s="46" t="s">
        <v>775</v>
      </c>
      <c r="H89" s="46" t="s">
        <v>776</v>
      </c>
      <c r="I89" s="46" t="s">
        <v>3377</v>
      </c>
      <c r="J89" s="46" t="s">
        <v>3328</v>
      </c>
      <c r="K89" s="46" t="s">
        <v>93</v>
      </c>
      <c r="L89" s="46">
        <v>9</v>
      </c>
      <c r="N89" s="46" t="s">
        <v>3460</v>
      </c>
      <c r="O89" s="46" t="s">
        <v>93</v>
      </c>
      <c r="P89" s="46">
        <v>7</v>
      </c>
      <c r="R89" s="46" t="s">
        <v>3595</v>
      </c>
      <c r="S89" s="46" t="s">
        <v>93</v>
      </c>
      <c r="T89" s="46">
        <v>7</v>
      </c>
      <c r="V89" s="46" t="s">
        <v>1388</v>
      </c>
      <c r="W89" s="46" t="s">
        <v>1729</v>
      </c>
      <c r="X89" s="46" t="s">
        <v>1421</v>
      </c>
      <c r="Y89" s="46" t="s">
        <v>2350</v>
      </c>
      <c r="Z89" s="46">
        <v>14</v>
      </c>
      <c r="AA89" s="46">
        <v>97.3</v>
      </c>
      <c r="AB89" s="46">
        <v>8</v>
      </c>
      <c r="AC89" s="46" t="s">
        <v>1445</v>
      </c>
      <c r="AD89" s="46" t="s">
        <v>2351</v>
      </c>
      <c r="AE89" s="46" t="s">
        <v>2352</v>
      </c>
      <c r="AF89" s="46" t="s">
        <v>775</v>
      </c>
      <c r="AG89" s="46" t="s">
        <v>2353</v>
      </c>
      <c r="AH89" s="46" t="s">
        <v>2603</v>
      </c>
      <c r="AI89" s="46" t="s">
        <v>2460</v>
      </c>
      <c r="AJ89" s="46" t="s">
        <v>3227</v>
      </c>
      <c r="AK89" s="46">
        <v>9</v>
      </c>
      <c r="AL89" s="46">
        <v>98.3</v>
      </c>
      <c r="AM89" s="46">
        <v>5</v>
      </c>
      <c r="AN89" s="46" t="s">
        <v>2406</v>
      </c>
      <c r="AO89" s="46" t="s">
        <v>3231</v>
      </c>
      <c r="AP89" s="46" t="s">
        <v>3232</v>
      </c>
      <c r="AQ89" s="46" t="s">
        <v>776</v>
      </c>
      <c r="AR89" s="46" t="s">
        <v>3233</v>
      </c>
      <c r="AT89" s="48" t="s">
        <v>93</v>
      </c>
      <c r="AU89" s="41">
        <v>0.45090000000000002</v>
      </c>
      <c r="AV89" s="41"/>
      <c r="AW89" s="55">
        <v>3.4569999999999999</v>
      </c>
      <c r="AX89" s="55">
        <v>3.55</v>
      </c>
      <c r="AY89" s="55">
        <v>3.6379999999999999</v>
      </c>
      <c r="AZ89" s="50">
        <v>0.20599999999999999</v>
      </c>
      <c r="BA89" s="43"/>
      <c r="BB89" s="50">
        <v>0.11600000000000001</v>
      </c>
      <c r="BC89" s="50">
        <v>8.3000000000000004E-2</v>
      </c>
      <c r="BD89" s="43"/>
      <c r="BE89" s="41">
        <v>45571</v>
      </c>
      <c r="BF89" s="41">
        <v>2234.5</v>
      </c>
      <c r="BG89" s="51">
        <v>1</v>
      </c>
      <c r="BH89" s="51">
        <v>0</v>
      </c>
      <c r="BI89" s="52" t="s">
        <v>3285</v>
      </c>
      <c r="BJ89" s="41"/>
      <c r="BK89" s="41">
        <v>2991</v>
      </c>
      <c r="BL89" s="41">
        <v>2887</v>
      </c>
      <c r="BM89" s="51">
        <v>0</v>
      </c>
      <c r="BN89" s="51">
        <v>0</v>
      </c>
      <c r="BO89" s="52" t="s">
        <v>3289</v>
      </c>
      <c r="BP89" s="52" t="s">
        <v>3287</v>
      </c>
      <c r="BQ89" s="43"/>
      <c r="BR89" s="41">
        <v>-1.2500000000000001E-2</v>
      </c>
      <c r="BS89" s="41">
        <v>-3.7000000000000002E-3</v>
      </c>
      <c r="BT89" s="52" t="s">
        <v>3288</v>
      </c>
      <c r="BU89" s="52" t="s">
        <v>3288</v>
      </c>
      <c r="BV89" s="41"/>
      <c r="BW89" s="60">
        <v>2.6080000000000001</v>
      </c>
      <c r="BX89" s="59">
        <v>1.097</v>
      </c>
      <c r="BY89" s="41"/>
    </row>
    <row r="90" spans="1:77">
      <c r="A90" s="148">
        <v>2.04</v>
      </c>
      <c r="B90" s="141" t="s">
        <v>367</v>
      </c>
      <c r="C90" s="86" t="s">
        <v>445</v>
      </c>
      <c r="D90" s="133" t="s">
        <v>94</v>
      </c>
      <c r="E90" s="80" t="s">
        <v>94</v>
      </c>
      <c r="F90" s="46" t="s">
        <v>94</v>
      </c>
      <c r="G90" s="46" t="s">
        <v>791</v>
      </c>
      <c r="H90" s="46" t="s">
        <v>792</v>
      </c>
      <c r="I90" s="46" t="s">
        <v>3377</v>
      </c>
      <c r="J90" s="46" t="s">
        <v>3328</v>
      </c>
      <c r="K90" s="46" t="s">
        <v>94</v>
      </c>
      <c r="L90" s="46">
        <v>9</v>
      </c>
      <c r="N90" s="46" t="s">
        <v>3460</v>
      </c>
      <c r="O90" s="46" t="s">
        <v>94</v>
      </c>
      <c r="P90" s="46">
        <v>7</v>
      </c>
      <c r="R90" s="46" t="s">
        <v>3595</v>
      </c>
      <c r="S90" s="46" t="s">
        <v>94</v>
      </c>
      <c r="T90" s="46">
        <v>7</v>
      </c>
      <c r="V90" s="46" t="s">
        <v>1389</v>
      </c>
      <c r="W90" s="46" t="s">
        <v>1729</v>
      </c>
      <c r="X90" s="46" t="s">
        <v>1421</v>
      </c>
      <c r="Y90" s="46" t="s">
        <v>2354</v>
      </c>
      <c r="Z90" s="46">
        <v>14</v>
      </c>
      <c r="AA90" s="46">
        <v>92.9</v>
      </c>
      <c r="AB90" s="46">
        <v>21</v>
      </c>
      <c r="AC90" s="46" t="s">
        <v>1445</v>
      </c>
      <c r="AD90" s="46" t="s">
        <v>2355</v>
      </c>
      <c r="AE90" s="46" t="s">
        <v>2356</v>
      </c>
      <c r="AF90" s="46" t="s">
        <v>791</v>
      </c>
      <c r="AG90" s="46" t="s">
        <v>2357</v>
      </c>
      <c r="AH90" s="46" t="s">
        <v>2603</v>
      </c>
      <c r="AI90" s="46" t="s">
        <v>2460</v>
      </c>
      <c r="AJ90" s="46" t="s">
        <v>3234</v>
      </c>
      <c r="AK90" s="46">
        <v>9</v>
      </c>
      <c r="AL90" s="46">
        <v>93.7</v>
      </c>
      <c r="AM90" s="46">
        <v>18</v>
      </c>
      <c r="AN90" s="46" t="s">
        <v>2406</v>
      </c>
      <c r="AO90" s="46" t="s">
        <v>3235</v>
      </c>
      <c r="AP90" s="46" t="s">
        <v>3236</v>
      </c>
      <c r="AQ90" s="46" t="s">
        <v>792</v>
      </c>
      <c r="AR90" s="46" t="s">
        <v>3237</v>
      </c>
      <c r="AT90" s="48" t="s">
        <v>94</v>
      </c>
      <c r="AU90" s="41">
        <v>0.3201</v>
      </c>
      <c r="AV90" s="41"/>
      <c r="AW90" s="55">
        <v>3.5539999999999998</v>
      </c>
      <c r="AX90" s="55">
        <v>3.5419999999999998</v>
      </c>
      <c r="AY90" s="55">
        <v>3.68</v>
      </c>
      <c r="AZ90" s="50">
        <v>0.19900000000000001</v>
      </c>
      <c r="BA90" s="43"/>
      <c r="BB90" s="50">
        <v>0.30099999999999999</v>
      </c>
      <c r="BC90" s="50">
        <v>0.13700000000000001</v>
      </c>
      <c r="BD90" s="43"/>
      <c r="BE90" s="41">
        <v>69999.5</v>
      </c>
      <c r="BF90" s="41">
        <v>7863</v>
      </c>
      <c r="BG90" s="51">
        <v>1</v>
      </c>
      <c r="BH90" s="51">
        <v>0</v>
      </c>
      <c r="BI90" s="52" t="s">
        <v>3285</v>
      </c>
      <c r="BJ90" s="41"/>
      <c r="BK90" s="41">
        <v>3427.5</v>
      </c>
      <c r="BL90" s="41">
        <v>3748</v>
      </c>
      <c r="BM90" s="51">
        <v>0</v>
      </c>
      <c r="BN90" s="51">
        <v>0</v>
      </c>
      <c r="BO90" s="52" t="s">
        <v>3289</v>
      </c>
      <c r="BP90" s="52" t="s">
        <v>3287</v>
      </c>
      <c r="BQ90" s="43"/>
      <c r="BR90" s="41">
        <v>-7.7999999999999996E-3</v>
      </c>
      <c r="BS90" s="41">
        <v>-1.2999999999999999E-3</v>
      </c>
      <c r="BT90" s="52" t="s">
        <v>3288</v>
      </c>
      <c r="BU90" s="52" t="s">
        <v>3288</v>
      </c>
      <c r="BV90" s="41"/>
      <c r="BW90" s="56">
        <v>2.66</v>
      </c>
      <c r="BX90" s="59">
        <v>0.95499999999999996</v>
      </c>
      <c r="BY90" s="41"/>
    </row>
    <row r="91" spans="1:77">
      <c r="A91" s="148">
        <v>2.04</v>
      </c>
      <c r="B91" s="141" t="s">
        <v>367</v>
      </c>
      <c r="C91" s="86" t="s">
        <v>445</v>
      </c>
      <c r="D91" s="133" t="s">
        <v>95</v>
      </c>
      <c r="E91" s="80" t="s">
        <v>95</v>
      </c>
      <c r="F91" s="46" t="s">
        <v>95</v>
      </c>
      <c r="G91" s="46" t="s">
        <v>793</v>
      </c>
      <c r="H91" s="46" t="s">
        <v>794</v>
      </c>
      <c r="I91" s="46" t="s">
        <v>3377</v>
      </c>
      <c r="J91" s="46" t="s">
        <v>3328</v>
      </c>
      <c r="K91" s="46" t="s">
        <v>95</v>
      </c>
      <c r="L91" s="46">
        <v>9</v>
      </c>
      <c r="N91" s="46" t="s">
        <v>3460</v>
      </c>
      <c r="O91" s="46" t="s">
        <v>95</v>
      </c>
      <c r="P91" s="46">
        <v>7</v>
      </c>
      <c r="R91" s="46" t="s">
        <v>3595</v>
      </c>
      <c r="S91" s="46" t="s">
        <v>95</v>
      </c>
      <c r="T91" s="46">
        <v>7</v>
      </c>
      <c r="V91" s="46" t="s">
        <v>1391</v>
      </c>
      <c r="W91" s="46" t="s">
        <v>1729</v>
      </c>
      <c r="X91" s="46" t="s">
        <v>1421</v>
      </c>
      <c r="Y91" s="46" t="s">
        <v>2354</v>
      </c>
      <c r="Z91" s="46">
        <v>14</v>
      </c>
      <c r="AA91" s="46">
        <v>97.6</v>
      </c>
      <c r="AB91" s="46">
        <v>7</v>
      </c>
      <c r="AC91" s="46" t="s">
        <v>1445</v>
      </c>
      <c r="AD91" s="46" t="s">
        <v>2355</v>
      </c>
      <c r="AE91" s="46" t="s">
        <v>2361</v>
      </c>
      <c r="AF91" s="46" t="s">
        <v>793</v>
      </c>
      <c r="AG91" s="46" t="s">
        <v>2362</v>
      </c>
      <c r="AH91" s="46" t="s">
        <v>2603</v>
      </c>
      <c r="AI91" s="46" t="s">
        <v>2460</v>
      </c>
      <c r="AJ91" s="46" t="s">
        <v>3227</v>
      </c>
      <c r="AK91" s="46">
        <v>9</v>
      </c>
      <c r="AL91" s="46">
        <v>97.9</v>
      </c>
      <c r="AM91" s="46">
        <v>6</v>
      </c>
      <c r="AN91" s="46" t="s">
        <v>2406</v>
      </c>
      <c r="AO91" s="46" t="s">
        <v>3231</v>
      </c>
      <c r="AP91" s="46" t="s">
        <v>3239</v>
      </c>
      <c r="AQ91" s="46" t="s">
        <v>794</v>
      </c>
      <c r="AR91" s="46" t="s">
        <v>3240</v>
      </c>
      <c r="AT91" s="48" t="s">
        <v>95</v>
      </c>
      <c r="AU91" s="41">
        <v>0.37909999999999999</v>
      </c>
      <c r="AV91" s="41"/>
      <c r="AW91" s="55">
        <v>3.4710000000000001</v>
      </c>
      <c r="AX91" s="55">
        <v>3.5049999999999999</v>
      </c>
      <c r="AY91" s="55">
        <v>3.5579999999999998</v>
      </c>
      <c r="AZ91" s="50">
        <v>0.192</v>
      </c>
      <c r="BA91" s="43"/>
      <c r="BB91" s="50">
        <v>0.33100000000000002</v>
      </c>
      <c r="BC91" s="50">
        <v>0.13600000000000001</v>
      </c>
      <c r="BD91" s="43"/>
      <c r="BE91" s="41">
        <v>51459</v>
      </c>
      <c r="BF91" s="41">
        <v>6214</v>
      </c>
      <c r="BG91" s="51">
        <v>1</v>
      </c>
      <c r="BH91" s="51">
        <v>0</v>
      </c>
      <c r="BI91" s="52" t="s">
        <v>3285</v>
      </c>
      <c r="BJ91" s="41"/>
      <c r="BK91" s="41">
        <v>3140</v>
      </c>
      <c r="BL91" s="41">
        <v>3740</v>
      </c>
      <c r="BM91" s="51">
        <v>0</v>
      </c>
      <c r="BN91" s="51">
        <v>0</v>
      </c>
      <c r="BO91" s="52" t="s">
        <v>3289</v>
      </c>
      <c r="BP91" s="52" t="s">
        <v>3287</v>
      </c>
      <c r="BQ91" s="43"/>
      <c r="BR91" s="41">
        <v>2.0000000000000001E-4</v>
      </c>
      <c r="BS91" s="41">
        <v>2.8500000000000001E-2</v>
      </c>
      <c r="BT91" s="52" t="s">
        <v>3288</v>
      </c>
      <c r="BU91" s="52" t="s">
        <v>3288</v>
      </c>
      <c r="BV91" s="41"/>
      <c r="BW91" s="60">
        <v>2.504</v>
      </c>
      <c r="BX91" s="59">
        <v>0.95199999999999996</v>
      </c>
      <c r="BY91" s="41"/>
    </row>
    <row r="92" spans="1:77">
      <c r="A92" s="148">
        <v>2.04</v>
      </c>
      <c r="B92" s="141" t="s">
        <v>367</v>
      </c>
      <c r="C92" s="86" t="s">
        <v>445</v>
      </c>
      <c r="D92" s="133" t="s">
        <v>96</v>
      </c>
      <c r="E92" s="80" t="s">
        <v>96</v>
      </c>
      <c r="F92" s="46" t="s">
        <v>96</v>
      </c>
      <c r="G92" s="46" t="s">
        <v>803</v>
      </c>
      <c r="H92" s="46" t="s">
        <v>804</v>
      </c>
      <c r="I92" s="46" t="s">
        <v>3377</v>
      </c>
      <c r="J92" s="46" t="s">
        <v>3328</v>
      </c>
      <c r="K92" s="46" t="s">
        <v>96</v>
      </c>
      <c r="L92" s="46">
        <v>9</v>
      </c>
      <c r="N92" s="46" t="s">
        <v>3460</v>
      </c>
      <c r="O92" s="46" t="s">
        <v>96</v>
      </c>
      <c r="P92" s="46">
        <v>7</v>
      </c>
      <c r="R92" s="46" t="s">
        <v>3595</v>
      </c>
      <c r="S92" s="46" t="s">
        <v>96</v>
      </c>
      <c r="T92" s="46">
        <v>7</v>
      </c>
      <c r="V92" s="46" t="s">
        <v>1392</v>
      </c>
      <c r="W92" s="46" t="s">
        <v>1729</v>
      </c>
      <c r="X92" s="46" t="s">
        <v>1421</v>
      </c>
      <c r="Y92" s="46" t="s">
        <v>2354</v>
      </c>
      <c r="Z92" s="46">
        <v>14</v>
      </c>
      <c r="AA92" s="46">
        <v>95.6</v>
      </c>
      <c r="AB92" s="46">
        <v>13</v>
      </c>
      <c r="AC92" s="46" t="s">
        <v>1445</v>
      </c>
      <c r="AD92" s="46" t="s">
        <v>2355</v>
      </c>
      <c r="AE92" s="46" t="s">
        <v>2363</v>
      </c>
      <c r="AF92" s="46" t="s">
        <v>803</v>
      </c>
      <c r="AG92" s="46" t="s">
        <v>2364</v>
      </c>
      <c r="AH92" s="46" t="s">
        <v>2603</v>
      </c>
      <c r="AI92" s="46" t="s">
        <v>2460</v>
      </c>
      <c r="AJ92" s="46" t="s">
        <v>3241</v>
      </c>
      <c r="AK92" s="46">
        <v>9</v>
      </c>
      <c r="AL92" s="46">
        <v>96.2</v>
      </c>
      <c r="AM92" s="46">
        <v>11</v>
      </c>
      <c r="AN92" s="46" t="s">
        <v>2406</v>
      </c>
      <c r="AO92" s="46" t="s">
        <v>3242</v>
      </c>
      <c r="AP92" s="46" t="s">
        <v>3243</v>
      </c>
      <c r="AQ92" s="46" t="s">
        <v>804</v>
      </c>
      <c r="AR92" s="46" t="s">
        <v>3244</v>
      </c>
      <c r="AT92" s="48" t="s">
        <v>96</v>
      </c>
      <c r="AU92" s="41">
        <v>0.39760000000000001</v>
      </c>
      <c r="AV92" s="41"/>
      <c r="AW92" s="55">
        <v>3.476</v>
      </c>
      <c r="AX92" s="55">
        <v>3.5</v>
      </c>
      <c r="AY92" s="55">
        <v>3.585</v>
      </c>
      <c r="AZ92" s="50">
        <v>0.20699999999999999</v>
      </c>
      <c r="BA92" s="43"/>
      <c r="BB92" s="50">
        <v>0.106</v>
      </c>
      <c r="BC92" s="50">
        <v>8.8999999999999996E-2</v>
      </c>
      <c r="BD92" s="43"/>
      <c r="BE92" s="41">
        <v>59248.5</v>
      </c>
      <c r="BF92" s="41">
        <v>2467</v>
      </c>
      <c r="BG92" s="51">
        <v>1</v>
      </c>
      <c r="BH92" s="51">
        <v>0</v>
      </c>
      <c r="BI92" s="52" t="s">
        <v>3285</v>
      </c>
      <c r="BJ92" s="41"/>
      <c r="BK92" s="41">
        <v>3807</v>
      </c>
      <c r="BL92" s="41">
        <v>2887</v>
      </c>
      <c r="BM92" s="51">
        <v>0</v>
      </c>
      <c r="BN92" s="51">
        <v>0</v>
      </c>
      <c r="BO92" s="52" t="s">
        <v>3285</v>
      </c>
      <c r="BP92" s="52" t="s">
        <v>3285</v>
      </c>
      <c r="BQ92" s="43"/>
      <c r="BR92" s="41">
        <v>-9.1999999999999998E-3</v>
      </c>
      <c r="BS92" s="41">
        <v>-1.0699999999999999E-2</v>
      </c>
      <c r="BT92" s="52" t="s">
        <v>3288</v>
      </c>
      <c r="BU92" s="52" t="s">
        <v>3288</v>
      </c>
      <c r="BV92" s="41"/>
      <c r="BW92" s="60">
        <v>2.5910000000000002</v>
      </c>
      <c r="BX92" s="59">
        <v>0.85799999999999998</v>
      </c>
      <c r="BY92" s="41"/>
    </row>
    <row r="93" spans="1:77">
      <c r="A93" s="148">
        <v>2.04</v>
      </c>
      <c r="B93" s="141" t="s">
        <v>367</v>
      </c>
      <c r="C93" s="86" t="s">
        <v>445</v>
      </c>
      <c r="D93" s="133" t="s">
        <v>97</v>
      </c>
      <c r="E93" s="80" t="s">
        <v>97</v>
      </c>
      <c r="F93" s="46" t="s">
        <v>97</v>
      </c>
      <c r="G93" s="46" t="s">
        <v>843</v>
      </c>
      <c r="H93" s="46" t="s">
        <v>844</v>
      </c>
      <c r="I93" s="46" t="s">
        <v>3377</v>
      </c>
      <c r="J93" s="46" t="s">
        <v>3328</v>
      </c>
      <c r="K93" s="46" t="s">
        <v>97</v>
      </c>
      <c r="L93" s="46">
        <v>9</v>
      </c>
      <c r="N93" s="46" t="s">
        <v>3460</v>
      </c>
      <c r="O93" s="46" t="s">
        <v>97</v>
      </c>
      <c r="P93" s="46">
        <v>7</v>
      </c>
      <c r="R93" s="46" t="s">
        <v>3595</v>
      </c>
      <c r="S93" s="46" t="s">
        <v>97</v>
      </c>
      <c r="T93" s="46">
        <v>7</v>
      </c>
      <c r="V93" s="46" t="s">
        <v>1393</v>
      </c>
      <c r="W93" s="46" t="s">
        <v>1729</v>
      </c>
      <c r="X93" s="46" t="s">
        <v>1421</v>
      </c>
      <c r="Y93" s="46" t="s">
        <v>2365</v>
      </c>
      <c r="Z93" s="46">
        <v>14</v>
      </c>
      <c r="AA93" s="46">
        <v>93.9</v>
      </c>
      <c r="AB93" s="46">
        <v>18</v>
      </c>
      <c r="AC93" s="46" t="s">
        <v>1445</v>
      </c>
      <c r="AD93" s="46" t="s">
        <v>2366</v>
      </c>
      <c r="AE93" s="46" t="s">
        <v>611</v>
      </c>
      <c r="AF93" s="46" t="s">
        <v>843</v>
      </c>
      <c r="AG93" s="46" t="s">
        <v>2367</v>
      </c>
      <c r="AH93" s="46" t="s">
        <v>2603</v>
      </c>
      <c r="AI93" s="46" t="s">
        <v>2460</v>
      </c>
      <c r="AJ93" s="46" t="s">
        <v>3245</v>
      </c>
      <c r="AK93" s="46">
        <v>9</v>
      </c>
      <c r="AL93" s="46">
        <v>96.2</v>
      </c>
      <c r="AM93" s="46">
        <v>11</v>
      </c>
      <c r="AN93" s="46" t="s">
        <v>2406</v>
      </c>
      <c r="AO93" s="46" t="s">
        <v>3246</v>
      </c>
      <c r="AP93" s="46" t="s">
        <v>3247</v>
      </c>
      <c r="AQ93" s="46" t="s">
        <v>844</v>
      </c>
      <c r="AR93" s="46" t="s">
        <v>3248</v>
      </c>
      <c r="AT93" s="48" t="s">
        <v>97</v>
      </c>
      <c r="AU93" s="41">
        <v>0.24199999999999999</v>
      </c>
      <c r="AV93" s="41"/>
      <c r="AW93" s="55">
        <v>3.4969999999999999</v>
      </c>
      <c r="AX93" s="49">
        <v>3.4169999999999998</v>
      </c>
      <c r="AY93" s="55">
        <v>3.512</v>
      </c>
      <c r="AZ93" s="50">
        <v>0.21099999999999999</v>
      </c>
      <c r="BA93" s="43"/>
      <c r="BB93" s="50">
        <v>9.1999999999999998E-2</v>
      </c>
      <c r="BC93" s="50">
        <v>0.19800000000000001</v>
      </c>
      <c r="BD93" s="43"/>
      <c r="BE93" s="41">
        <v>77164</v>
      </c>
      <c r="BF93" s="41">
        <v>1840</v>
      </c>
      <c r="BG93" s="51">
        <v>1</v>
      </c>
      <c r="BH93" s="51">
        <v>0</v>
      </c>
      <c r="BI93" s="52" t="s">
        <v>3285</v>
      </c>
      <c r="BJ93" s="41"/>
      <c r="BK93" s="41">
        <v>4529</v>
      </c>
      <c r="BL93" s="41">
        <v>2948</v>
      </c>
      <c r="BM93" s="51">
        <v>0</v>
      </c>
      <c r="BN93" s="51">
        <v>0</v>
      </c>
      <c r="BO93" s="52" t="s">
        <v>3285</v>
      </c>
      <c r="BP93" s="52" t="s">
        <v>3285</v>
      </c>
      <c r="BQ93" s="43"/>
      <c r="BR93" s="41">
        <v>-9.5999999999999992E-3</v>
      </c>
      <c r="BS93" s="41">
        <v>-2E-3</v>
      </c>
      <c r="BT93" s="52" t="s">
        <v>3288</v>
      </c>
      <c r="BU93" s="52" t="s">
        <v>3288</v>
      </c>
      <c r="BV93" s="41"/>
      <c r="BW93" s="58">
        <v>3.0510000000000002</v>
      </c>
      <c r="BX93" s="59">
        <v>0.90900000000000003</v>
      </c>
      <c r="BY93" s="41"/>
    </row>
    <row r="94" spans="1:77">
      <c r="A94" s="148">
        <v>2.04</v>
      </c>
      <c r="B94" s="141" t="s">
        <v>367</v>
      </c>
      <c r="C94" s="86" t="s">
        <v>445</v>
      </c>
      <c r="D94" s="133" t="s">
        <v>98</v>
      </c>
      <c r="E94" s="80" t="s">
        <v>98</v>
      </c>
      <c r="F94" s="46" t="s">
        <v>98</v>
      </c>
      <c r="G94" s="46" t="s">
        <v>875</v>
      </c>
      <c r="H94" s="46" t="s">
        <v>876</v>
      </c>
      <c r="I94" s="46" t="s">
        <v>3377</v>
      </c>
      <c r="J94" s="46" t="s">
        <v>3328</v>
      </c>
      <c r="K94" s="46" t="s">
        <v>98</v>
      </c>
      <c r="L94" s="46">
        <v>9</v>
      </c>
      <c r="N94" s="46" t="s">
        <v>3460</v>
      </c>
      <c r="O94" s="46" t="s">
        <v>98</v>
      </c>
      <c r="P94" s="46">
        <v>7</v>
      </c>
      <c r="R94" s="46" t="s">
        <v>3595</v>
      </c>
      <c r="S94" s="46" t="s">
        <v>98</v>
      </c>
      <c r="T94" s="46">
        <v>7</v>
      </c>
      <c r="V94" s="46" t="s">
        <v>1394</v>
      </c>
      <c r="W94" s="46" t="s">
        <v>1729</v>
      </c>
      <c r="X94" s="46" t="s">
        <v>1421</v>
      </c>
      <c r="Y94" s="46" t="s">
        <v>2346</v>
      </c>
      <c r="Z94" s="46">
        <v>14</v>
      </c>
      <c r="AA94" s="46">
        <v>94.6</v>
      </c>
      <c r="AB94" s="46">
        <v>16</v>
      </c>
      <c r="AC94" s="46" t="s">
        <v>1445</v>
      </c>
      <c r="AD94" s="46" t="s">
        <v>2368</v>
      </c>
      <c r="AE94" s="46" t="s">
        <v>2369</v>
      </c>
      <c r="AF94" s="46" t="s">
        <v>875</v>
      </c>
      <c r="AG94" s="46" t="s">
        <v>2370</v>
      </c>
      <c r="AH94" s="46" t="s">
        <v>2603</v>
      </c>
      <c r="AI94" s="46" t="s">
        <v>2460</v>
      </c>
      <c r="AJ94" s="46" t="s">
        <v>3249</v>
      </c>
      <c r="AK94" s="46">
        <v>9</v>
      </c>
      <c r="AL94" s="46">
        <v>97.2</v>
      </c>
      <c r="AM94" s="46">
        <v>8</v>
      </c>
      <c r="AN94" s="46" t="s">
        <v>2406</v>
      </c>
      <c r="AO94" s="46" t="s">
        <v>3250</v>
      </c>
      <c r="AP94" s="46" t="s">
        <v>3251</v>
      </c>
      <c r="AQ94" s="46" t="s">
        <v>876</v>
      </c>
      <c r="AR94" s="46" t="s">
        <v>3252</v>
      </c>
      <c r="AT94" s="48" t="s">
        <v>98</v>
      </c>
      <c r="AU94" s="41">
        <v>0.19969999999999999</v>
      </c>
      <c r="AV94" s="41"/>
      <c r="AW94" s="55">
        <v>3.5870000000000002</v>
      </c>
      <c r="AX94" s="55">
        <v>3.5659999999999998</v>
      </c>
      <c r="AY94" s="55">
        <v>3.6</v>
      </c>
      <c r="AZ94" s="50">
        <v>0.19700000000000001</v>
      </c>
      <c r="BA94" s="43"/>
      <c r="BB94" s="50">
        <v>0.112</v>
      </c>
      <c r="BC94" s="50">
        <v>8.4000000000000005E-2</v>
      </c>
      <c r="BD94" s="43"/>
      <c r="BE94" s="41">
        <v>8027.5</v>
      </c>
      <c r="BF94" s="41">
        <v>2302</v>
      </c>
      <c r="BG94" s="51">
        <v>0</v>
      </c>
      <c r="BH94" s="51">
        <v>0</v>
      </c>
      <c r="BI94" s="52" t="s">
        <v>3285</v>
      </c>
      <c r="BJ94" s="41"/>
      <c r="BK94" s="41">
        <v>3244.5</v>
      </c>
      <c r="BL94" s="41">
        <v>2147</v>
      </c>
      <c r="BM94" s="51">
        <v>0</v>
      </c>
      <c r="BN94" s="51">
        <v>0</v>
      </c>
      <c r="BO94" s="52" t="s">
        <v>3285</v>
      </c>
      <c r="BP94" s="52" t="s">
        <v>3285</v>
      </c>
      <c r="BQ94" s="43"/>
      <c r="BR94" s="41">
        <v>-2.5399999999999999E-2</v>
      </c>
      <c r="BS94" s="41">
        <v>-2.3999999999999998E-3</v>
      </c>
      <c r="BT94" s="52" t="s">
        <v>3288</v>
      </c>
      <c r="BU94" s="52" t="s">
        <v>3288</v>
      </c>
      <c r="BV94" s="41"/>
      <c r="BW94" s="56">
        <v>2.6920000000000002</v>
      </c>
      <c r="BX94" s="57">
        <v>0.753</v>
      </c>
      <c r="BY94" s="41"/>
    </row>
    <row r="95" spans="1:77">
      <c r="A95" s="148">
        <v>2.04</v>
      </c>
      <c r="B95" s="141" t="s">
        <v>367</v>
      </c>
      <c r="C95" s="86" t="s">
        <v>445</v>
      </c>
      <c r="D95" s="133" t="s">
        <v>99</v>
      </c>
      <c r="E95" s="80" t="s">
        <v>99</v>
      </c>
      <c r="F95" s="46" t="s">
        <v>99</v>
      </c>
      <c r="G95" s="46" t="s">
        <v>521</v>
      </c>
      <c r="H95" s="46" t="s">
        <v>522</v>
      </c>
      <c r="I95" s="46" t="s">
        <v>3377</v>
      </c>
      <c r="J95" s="46" t="s">
        <v>3328</v>
      </c>
      <c r="K95" s="46" t="s">
        <v>99</v>
      </c>
      <c r="L95" s="46">
        <v>9</v>
      </c>
      <c r="N95" s="46" t="s">
        <v>3409</v>
      </c>
      <c r="O95" s="46" t="s">
        <v>99</v>
      </c>
      <c r="P95" s="46">
        <v>2</v>
      </c>
      <c r="R95" s="46" t="s">
        <v>3533</v>
      </c>
      <c r="S95" s="46" t="s">
        <v>99</v>
      </c>
      <c r="T95" s="46">
        <v>1</v>
      </c>
      <c r="V95" s="46" t="s">
        <v>1395</v>
      </c>
      <c r="W95" s="46" t="s">
        <v>1729</v>
      </c>
      <c r="X95" s="46" t="s">
        <v>1421</v>
      </c>
      <c r="Y95" s="46" t="s">
        <v>2371</v>
      </c>
      <c r="Z95" s="46">
        <v>14</v>
      </c>
      <c r="AA95" s="46">
        <v>94.2</v>
      </c>
      <c r="AB95" s="46">
        <v>17</v>
      </c>
      <c r="AC95" s="46" t="s">
        <v>1423</v>
      </c>
      <c r="AD95" s="46" t="s">
        <v>2372</v>
      </c>
      <c r="AE95" s="46" t="s">
        <v>521</v>
      </c>
      <c r="AF95" s="46" t="s">
        <v>521</v>
      </c>
      <c r="AG95" s="46" t="s">
        <v>2373</v>
      </c>
      <c r="AH95" s="46" t="s">
        <v>2603</v>
      </c>
      <c r="AI95" s="46" t="s">
        <v>2460</v>
      </c>
      <c r="AJ95" s="46" t="s">
        <v>3253</v>
      </c>
      <c r="AK95" s="46">
        <v>8</v>
      </c>
      <c r="AL95" s="46">
        <v>97.2</v>
      </c>
      <c r="AM95" s="46">
        <v>8</v>
      </c>
      <c r="AN95" s="46" t="s">
        <v>2406</v>
      </c>
      <c r="AO95" s="46" t="s">
        <v>3254</v>
      </c>
      <c r="AP95" s="46" t="s">
        <v>522</v>
      </c>
      <c r="AQ95" s="46" t="s">
        <v>522</v>
      </c>
      <c r="AR95" s="46" t="s">
        <v>3255</v>
      </c>
      <c r="AT95" s="48" t="s">
        <v>99</v>
      </c>
      <c r="AU95" s="41">
        <v>0.39479999999999998</v>
      </c>
      <c r="AV95" s="41" t="s">
        <v>3291</v>
      </c>
      <c r="AW95" s="55">
        <v>3.5430000000000001</v>
      </c>
      <c r="AX95" s="55">
        <v>3.5030000000000001</v>
      </c>
      <c r="AY95" s="55">
        <v>3.6019999999999999</v>
      </c>
      <c r="AZ95" s="50">
        <v>0.26500000000000001</v>
      </c>
      <c r="BA95" s="43"/>
      <c r="BB95" s="50">
        <v>9.4E-2</v>
      </c>
      <c r="BC95" s="50">
        <v>8.3000000000000004E-2</v>
      </c>
      <c r="BD95" s="43"/>
      <c r="BE95" s="41">
        <v>17143</v>
      </c>
      <c r="BF95" s="41">
        <v>2090.5</v>
      </c>
      <c r="BG95" s="51">
        <v>1</v>
      </c>
      <c r="BH95" s="51">
        <v>0</v>
      </c>
      <c r="BI95" s="52" t="s">
        <v>3285</v>
      </c>
      <c r="BJ95" s="41"/>
      <c r="BK95" s="41">
        <v>3850.5</v>
      </c>
      <c r="BL95" s="41">
        <v>2278.5</v>
      </c>
      <c r="BM95" s="51">
        <v>0</v>
      </c>
      <c r="BN95" s="51">
        <v>0</v>
      </c>
      <c r="BO95" s="52" t="s">
        <v>3285</v>
      </c>
      <c r="BP95" s="52" t="s">
        <v>3285</v>
      </c>
      <c r="BQ95" s="43"/>
      <c r="BR95" s="41">
        <v>-7.3999999999999996E-2</v>
      </c>
      <c r="BS95" s="41">
        <v>-1.41E-2</v>
      </c>
      <c r="BT95" s="52" t="s">
        <v>3288</v>
      </c>
      <c r="BU95" s="52" t="s">
        <v>3288</v>
      </c>
      <c r="BV95" s="41"/>
      <c r="BW95" s="49">
        <v>3.21</v>
      </c>
      <c r="BX95" s="59">
        <v>1.012</v>
      </c>
      <c r="BY95" s="41"/>
    </row>
    <row r="96" spans="1:77" s="40" customFormat="1" ht="17" thickBot="1">
      <c r="A96" s="149">
        <v>2.04</v>
      </c>
      <c r="B96" s="142" t="s">
        <v>367</v>
      </c>
      <c r="C96" s="121" t="s">
        <v>445</v>
      </c>
      <c r="D96" s="134" t="s">
        <v>100</v>
      </c>
      <c r="E96" s="84" t="s">
        <v>100</v>
      </c>
      <c r="F96" s="40" t="s">
        <v>100</v>
      </c>
      <c r="G96" s="40" t="s">
        <v>1002</v>
      </c>
      <c r="H96" s="40" t="s">
        <v>1003</v>
      </c>
      <c r="I96" s="40" t="s">
        <v>3377</v>
      </c>
      <c r="J96" s="40" t="s">
        <v>3328</v>
      </c>
      <c r="K96" s="40" t="s">
        <v>100</v>
      </c>
      <c r="L96" s="40">
        <v>9</v>
      </c>
      <c r="N96" s="40" t="s">
        <v>3409</v>
      </c>
      <c r="O96" s="40" t="s">
        <v>100</v>
      </c>
      <c r="P96" s="40">
        <v>2</v>
      </c>
      <c r="R96" s="40" t="s">
        <v>3669</v>
      </c>
      <c r="S96" s="40" t="s">
        <v>100</v>
      </c>
      <c r="T96" s="40">
        <v>1</v>
      </c>
      <c r="V96" s="40" t="s">
        <v>1396</v>
      </c>
      <c r="W96" s="40" t="s">
        <v>1729</v>
      </c>
      <c r="X96" s="40" t="s">
        <v>1421</v>
      </c>
      <c r="Y96" s="40" t="s">
        <v>2374</v>
      </c>
      <c r="Z96" s="40">
        <v>14</v>
      </c>
      <c r="AA96" s="40">
        <v>93.5</v>
      </c>
      <c r="AB96" s="40">
        <v>19</v>
      </c>
      <c r="AC96" s="40" t="s">
        <v>1423</v>
      </c>
      <c r="AD96" s="40" t="s">
        <v>2375</v>
      </c>
      <c r="AE96" s="40" t="s">
        <v>1002</v>
      </c>
      <c r="AF96" s="40" t="s">
        <v>1002</v>
      </c>
      <c r="AG96" s="40" t="s">
        <v>2376</v>
      </c>
      <c r="AH96" s="40" t="s">
        <v>2603</v>
      </c>
      <c r="AI96" s="40" t="s">
        <v>2460</v>
      </c>
      <c r="AJ96" s="40" t="s">
        <v>2737</v>
      </c>
      <c r="AK96" s="40">
        <v>9</v>
      </c>
      <c r="AL96" s="40">
        <v>96.9</v>
      </c>
      <c r="AM96" s="40">
        <v>9</v>
      </c>
      <c r="AN96" s="40" t="s">
        <v>2406</v>
      </c>
      <c r="AO96" s="40" t="s">
        <v>3256</v>
      </c>
      <c r="AP96" s="40" t="s">
        <v>1003</v>
      </c>
      <c r="AQ96" s="40" t="s">
        <v>1003</v>
      </c>
      <c r="AR96" s="40" t="s">
        <v>3257</v>
      </c>
      <c r="AT96" s="85" t="s">
        <v>100</v>
      </c>
      <c r="AU96" s="35">
        <v>1.091E-2</v>
      </c>
      <c r="AV96" s="35" t="s">
        <v>3291</v>
      </c>
      <c r="AW96" s="102">
        <v>3.5329999999999999</v>
      </c>
      <c r="AX96" s="107">
        <v>2.5640000000000001</v>
      </c>
      <c r="AY96" s="102">
        <v>3.5529999999999999</v>
      </c>
      <c r="AZ96" s="90">
        <v>0.13900000000000001</v>
      </c>
      <c r="BA96" s="37"/>
      <c r="BB96" s="90">
        <v>0.125</v>
      </c>
      <c r="BC96" s="90">
        <v>0.10299999999999999</v>
      </c>
      <c r="BD96" s="37"/>
      <c r="BE96" s="35">
        <v>1859.5</v>
      </c>
      <c r="BF96" s="35">
        <v>1608</v>
      </c>
      <c r="BG96" s="93">
        <v>0</v>
      </c>
      <c r="BH96" s="93">
        <v>0</v>
      </c>
      <c r="BI96" s="94" t="s">
        <v>3289</v>
      </c>
      <c r="BJ96" s="35"/>
      <c r="BK96" s="35">
        <v>2646</v>
      </c>
      <c r="BL96" s="35">
        <v>1972</v>
      </c>
      <c r="BM96" s="93">
        <v>0</v>
      </c>
      <c r="BN96" s="93">
        <v>0</v>
      </c>
      <c r="BO96" s="94" t="s">
        <v>3285</v>
      </c>
      <c r="BP96" s="94" t="s">
        <v>3287</v>
      </c>
      <c r="BQ96" s="37"/>
      <c r="BR96" s="35">
        <v>-8.5000000000000006E-2</v>
      </c>
      <c r="BS96" s="35">
        <v>-5.1499999999999997E-2</v>
      </c>
      <c r="BT96" s="94" t="s">
        <v>3288</v>
      </c>
      <c r="BU96" s="94" t="s">
        <v>3288</v>
      </c>
      <c r="BV96" s="35"/>
      <c r="BW96" s="95">
        <v>1.0880000000000001</v>
      </c>
      <c r="BX96" s="90">
        <v>0.27200000000000002</v>
      </c>
      <c r="BY96" s="35"/>
    </row>
    <row r="97" spans="1:77">
      <c r="A97" s="148">
        <v>2.0499999999999998</v>
      </c>
      <c r="B97" s="141" t="s">
        <v>356</v>
      </c>
      <c r="C97" s="86" t="s">
        <v>434</v>
      </c>
      <c r="D97" s="133" t="s">
        <v>32</v>
      </c>
      <c r="E97" s="80" t="s">
        <v>32</v>
      </c>
      <c r="F97" s="46" t="s">
        <v>32</v>
      </c>
      <c r="G97" s="46" t="s">
        <v>733</v>
      </c>
      <c r="H97" s="46" t="s">
        <v>734</v>
      </c>
      <c r="I97" s="46" t="s">
        <v>3377</v>
      </c>
      <c r="J97" s="46" t="s">
        <v>3322</v>
      </c>
      <c r="K97" s="46" t="s">
        <v>32</v>
      </c>
      <c r="L97" s="46">
        <v>9</v>
      </c>
      <c r="N97" s="46" t="s">
        <v>3403</v>
      </c>
      <c r="O97" s="46" t="s">
        <v>32</v>
      </c>
      <c r="P97" s="46">
        <v>9</v>
      </c>
      <c r="R97" s="46" t="s">
        <v>3548</v>
      </c>
      <c r="S97" s="46" t="s">
        <v>32</v>
      </c>
      <c r="T97" s="46">
        <v>5</v>
      </c>
      <c r="V97" s="46" t="s">
        <v>1284</v>
      </c>
      <c r="W97" s="46" t="s">
        <v>1427</v>
      </c>
      <c r="X97" s="46" t="s">
        <v>1767</v>
      </c>
      <c r="Y97" s="46" t="s">
        <v>2019</v>
      </c>
      <c r="Z97" s="46">
        <v>18</v>
      </c>
      <c r="AA97" s="46">
        <v>97.6</v>
      </c>
      <c r="AB97" s="46">
        <v>7</v>
      </c>
      <c r="AC97" s="46" t="s">
        <v>1423</v>
      </c>
      <c r="AD97" s="46" t="s">
        <v>2020</v>
      </c>
      <c r="AE97" s="46" t="s">
        <v>2021</v>
      </c>
      <c r="AF97" s="46" t="s">
        <v>733</v>
      </c>
      <c r="AG97" s="46" t="s">
        <v>2022</v>
      </c>
      <c r="AH97" s="46" t="s">
        <v>2451</v>
      </c>
      <c r="AI97" s="46" t="s">
        <v>2452</v>
      </c>
      <c r="AJ97" s="46" t="s">
        <v>2926</v>
      </c>
      <c r="AK97" s="46">
        <v>10</v>
      </c>
      <c r="AL97" s="46">
        <v>98.6</v>
      </c>
      <c r="AM97" s="46">
        <v>4</v>
      </c>
      <c r="AN97" s="46" t="s">
        <v>2406</v>
      </c>
      <c r="AO97" s="46" t="s">
        <v>2927</v>
      </c>
      <c r="AP97" s="46" t="s">
        <v>2928</v>
      </c>
      <c r="AQ97" s="46" t="s">
        <v>734</v>
      </c>
      <c r="AR97" s="46" t="s">
        <v>2929</v>
      </c>
      <c r="AT97" s="48" t="s">
        <v>32</v>
      </c>
      <c r="AU97" s="41">
        <v>0.13400000000000001</v>
      </c>
      <c r="AV97" s="41"/>
      <c r="AW97" s="55">
        <v>3.605</v>
      </c>
      <c r="AX97" s="50">
        <v>0.13200000000000001</v>
      </c>
      <c r="AY97" s="50">
        <v>0.11600000000000001</v>
      </c>
      <c r="AZ97" s="50">
        <v>0.13300000000000001</v>
      </c>
      <c r="BA97" s="43"/>
      <c r="BB97" s="55">
        <v>3.5950000000000002</v>
      </c>
      <c r="BC97" s="49">
        <v>2.2789999999999999</v>
      </c>
      <c r="BD97" s="43"/>
      <c r="BE97" s="41">
        <v>231209.5</v>
      </c>
      <c r="BF97" s="41">
        <v>118187</v>
      </c>
      <c r="BG97" s="51">
        <v>1</v>
      </c>
      <c r="BH97" s="51">
        <v>1</v>
      </c>
      <c r="BI97" s="52" t="s">
        <v>3285</v>
      </c>
      <c r="BJ97" s="41"/>
      <c r="BK97" s="41">
        <v>20376</v>
      </c>
      <c r="BL97" s="41">
        <v>3773.5</v>
      </c>
      <c r="BM97" s="51">
        <v>1</v>
      </c>
      <c r="BN97" s="51">
        <v>0</v>
      </c>
      <c r="BO97" s="52" t="s">
        <v>3285</v>
      </c>
      <c r="BP97" s="52" t="s">
        <v>3285</v>
      </c>
      <c r="BQ97" s="43"/>
      <c r="BR97" s="41">
        <v>1.7588999999999999</v>
      </c>
      <c r="BS97" s="41">
        <v>1.3968</v>
      </c>
      <c r="BT97" s="52" t="s">
        <v>3290</v>
      </c>
      <c r="BU97" s="52" t="s">
        <v>3290</v>
      </c>
      <c r="BV97" s="41"/>
      <c r="BW97" s="55">
        <v>3.508</v>
      </c>
      <c r="BX97" s="53">
        <v>2.1230000000000002</v>
      </c>
      <c r="BY97" s="41"/>
    </row>
    <row r="98" spans="1:77">
      <c r="A98" s="148">
        <v>2.0499999999999998</v>
      </c>
      <c r="B98" s="141" t="s">
        <v>356</v>
      </c>
      <c r="C98" s="86" t="s">
        <v>434</v>
      </c>
      <c r="D98" s="133" t="s">
        <v>35</v>
      </c>
      <c r="E98" s="80" t="s">
        <v>35</v>
      </c>
      <c r="F98" s="46" t="s">
        <v>35</v>
      </c>
      <c r="G98" s="46" t="s">
        <v>570</v>
      </c>
      <c r="H98" s="46" t="s">
        <v>571</v>
      </c>
      <c r="I98" s="46" t="s">
        <v>3377</v>
      </c>
      <c r="J98" s="46" t="s">
        <v>3322</v>
      </c>
      <c r="K98" s="46" t="s">
        <v>35</v>
      </c>
      <c r="L98" s="46">
        <v>9</v>
      </c>
      <c r="N98" s="46" t="s">
        <v>3403</v>
      </c>
      <c r="O98" s="46" t="s">
        <v>35</v>
      </c>
      <c r="P98" s="46">
        <v>9</v>
      </c>
      <c r="R98" s="46" t="s">
        <v>3548</v>
      </c>
      <c r="S98" s="46" t="s">
        <v>35</v>
      </c>
      <c r="T98" s="46">
        <v>5</v>
      </c>
      <c r="V98" s="46" t="s">
        <v>1318</v>
      </c>
      <c r="W98" s="46" t="s">
        <v>1427</v>
      </c>
      <c r="X98" s="46" t="s">
        <v>1767</v>
      </c>
      <c r="Y98" s="46" t="s">
        <v>2132</v>
      </c>
      <c r="Z98" s="46">
        <v>18</v>
      </c>
      <c r="AA98" s="46">
        <v>97.3</v>
      </c>
      <c r="AB98" s="46">
        <v>8</v>
      </c>
      <c r="AC98" s="46" t="s">
        <v>1423</v>
      </c>
      <c r="AD98" s="46" t="s">
        <v>2133</v>
      </c>
      <c r="AE98" s="46" t="s">
        <v>570</v>
      </c>
      <c r="AF98" s="46" t="s">
        <v>570</v>
      </c>
      <c r="AG98" s="46" t="s">
        <v>2134</v>
      </c>
      <c r="AH98" s="46" t="s">
        <v>2451</v>
      </c>
      <c r="AI98" s="46" t="s">
        <v>2452</v>
      </c>
      <c r="AJ98" s="46" t="s">
        <v>3031</v>
      </c>
      <c r="AK98" s="46">
        <v>10</v>
      </c>
      <c r="AL98" s="46">
        <v>98.3</v>
      </c>
      <c r="AM98" s="46">
        <v>5</v>
      </c>
      <c r="AN98" s="46" t="s">
        <v>2406</v>
      </c>
      <c r="AO98" s="46" t="s">
        <v>3032</v>
      </c>
      <c r="AP98" s="46" t="s">
        <v>571</v>
      </c>
      <c r="AQ98" s="46" t="s">
        <v>571</v>
      </c>
      <c r="AR98" s="46" t="s">
        <v>3033</v>
      </c>
      <c r="AT98" s="48" t="s">
        <v>35</v>
      </c>
      <c r="AU98" s="41">
        <v>0.152</v>
      </c>
      <c r="AV98" s="41"/>
      <c r="AW98" s="55">
        <v>3.6110000000000002</v>
      </c>
      <c r="AX98" s="66">
        <v>1.774</v>
      </c>
      <c r="AY98" s="50">
        <v>0.123</v>
      </c>
      <c r="AZ98" s="50">
        <v>0.121</v>
      </c>
      <c r="BA98" s="43"/>
      <c r="BB98" s="55">
        <v>3.569</v>
      </c>
      <c r="BC98" s="49">
        <v>2.2789999999999999</v>
      </c>
      <c r="BD98" s="43"/>
      <c r="BE98" s="41">
        <v>199577</v>
      </c>
      <c r="BF98" s="41">
        <v>124805</v>
      </c>
      <c r="BG98" s="51">
        <v>1</v>
      </c>
      <c r="BH98" s="51">
        <v>1</v>
      </c>
      <c r="BI98" s="52" t="s">
        <v>3285</v>
      </c>
      <c r="BJ98" s="41"/>
      <c r="BK98" s="41">
        <v>9446</v>
      </c>
      <c r="BL98" s="41">
        <v>34959</v>
      </c>
      <c r="BM98" s="51">
        <v>1</v>
      </c>
      <c r="BN98" s="51">
        <v>1</v>
      </c>
      <c r="BO98" s="52" t="s">
        <v>3286</v>
      </c>
      <c r="BP98" s="52" t="s">
        <v>3287</v>
      </c>
      <c r="BQ98" s="43"/>
      <c r="BR98" s="41">
        <v>2.5682999999999998</v>
      </c>
      <c r="BS98" s="41">
        <v>1.3179000000000001</v>
      </c>
      <c r="BT98" s="52" t="s">
        <v>3290</v>
      </c>
      <c r="BU98" s="52" t="s">
        <v>3290</v>
      </c>
      <c r="BV98" s="41"/>
      <c r="BW98" s="55">
        <v>3.5390000000000001</v>
      </c>
      <c r="BX98" s="56">
        <v>2.8580000000000001</v>
      </c>
      <c r="BY98" s="41"/>
    </row>
    <row r="99" spans="1:77">
      <c r="A99" s="148">
        <v>2.0499999999999998</v>
      </c>
      <c r="B99" s="141" t="s">
        <v>356</v>
      </c>
      <c r="C99" s="86" t="s">
        <v>434</v>
      </c>
      <c r="D99" s="133" t="s">
        <v>38</v>
      </c>
      <c r="E99" s="80" t="s">
        <v>38</v>
      </c>
      <c r="F99" s="46" t="s">
        <v>38</v>
      </c>
      <c r="G99" s="46" t="s">
        <v>658</v>
      </c>
      <c r="H99" s="46" t="s">
        <v>659</v>
      </c>
      <c r="I99" s="46" t="s">
        <v>3377</v>
      </c>
      <c r="J99" s="46" t="s">
        <v>3322</v>
      </c>
      <c r="K99" s="46" t="s">
        <v>38</v>
      </c>
      <c r="L99" s="46">
        <v>9</v>
      </c>
      <c r="N99" s="46" t="s">
        <v>3403</v>
      </c>
      <c r="O99" s="46" t="s">
        <v>38</v>
      </c>
      <c r="P99" s="46">
        <v>9</v>
      </c>
      <c r="R99" s="46" t="s">
        <v>3548</v>
      </c>
      <c r="S99" s="46" t="s">
        <v>38</v>
      </c>
      <c r="T99" s="46">
        <v>5</v>
      </c>
      <c r="V99" s="46" t="s">
        <v>1332</v>
      </c>
      <c r="W99" s="46" t="s">
        <v>1427</v>
      </c>
      <c r="X99" s="46" t="s">
        <v>1767</v>
      </c>
      <c r="Y99" s="46" t="s">
        <v>2179</v>
      </c>
      <c r="Z99" s="46">
        <v>18</v>
      </c>
      <c r="AA99" s="46">
        <v>97.3</v>
      </c>
      <c r="AB99" s="46">
        <v>8</v>
      </c>
      <c r="AC99" s="46" t="s">
        <v>1423</v>
      </c>
      <c r="AD99" s="46" t="s">
        <v>2180</v>
      </c>
      <c r="AE99" s="46" t="s">
        <v>658</v>
      </c>
      <c r="AF99" s="46" t="s">
        <v>658</v>
      </c>
      <c r="AG99" s="46" t="s">
        <v>2181</v>
      </c>
      <c r="AH99" s="46" t="s">
        <v>2451</v>
      </c>
      <c r="AI99" s="46" t="s">
        <v>2452</v>
      </c>
      <c r="AJ99" s="46" t="s">
        <v>2824</v>
      </c>
      <c r="AK99" s="46">
        <v>10</v>
      </c>
      <c r="AL99" s="46">
        <v>97.9</v>
      </c>
      <c r="AM99" s="46">
        <v>6</v>
      </c>
      <c r="AN99" s="46" t="s">
        <v>2406</v>
      </c>
      <c r="AO99" s="46" t="s">
        <v>3069</v>
      </c>
      <c r="AP99" s="46" t="s">
        <v>659</v>
      </c>
      <c r="AQ99" s="46" t="s">
        <v>659</v>
      </c>
      <c r="AR99" s="46" t="s">
        <v>3070</v>
      </c>
      <c r="AT99" s="48" t="s">
        <v>38</v>
      </c>
      <c r="AU99" s="41">
        <v>0.3009</v>
      </c>
      <c r="AV99" s="41"/>
      <c r="AW99" s="61">
        <v>3.653</v>
      </c>
      <c r="AX99" s="61">
        <v>3.6150000000000002</v>
      </c>
      <c r="AY99" s="63">
        <v>0.13900000000000001</v>
      </c>
      <c r="AZ99" s="63">
        <v>0.14000000000000001</v>
      </c>
      <c r="BA99" s="42"/>
      <c r="BB99" s="55">
        <v>3.5470000000000002</v>
      </c>
      <c r="BC99" s="55">
        <v>2.62</v>
      </c>
      <c r="BD99" s="43"/>
      <c r="BE99" s="41">
        <v>102011.5</v>
      </c>
      <c r="BF99" s="41">
        <v>85925.5</v>
      </c>
      <c r="BG99" s="51">
        <v>1</v>
      </c>
      <c r="BH99" s="51">
        <v>1</v>
      </c>
      <c r="BI99" s="52" t="s">
        <v>3289</v>
      </c>
      <c r="BJ99" s="41"/>
      <c r="BK99" s="41">
        <v>33846</v>
      </c>
      <c r="BL99" s="41">
        <v>11866</v>
      </c>
      <c r="BM99" s="51">
        <v>1</v>
      </c>
      <c r="BN99" s="51">
        <v>1</v>
      </c>
      <c r="BO99" s="52" t="s">
        <v>3285</v>
      </c>
      <c r="BP99" s="52" t="s">
        <v>3287</v>
      </c>
      <c r="BQ99" s="43"/>
      <c r="BR99" s="41">
        <v>2.3660999999999999</v>
      </c>
      <c r="BS99" s="41">
        <v>2.6179999999999999</v>
      </c>
      <c r="BT99" s="52" t="s">
        <v>3290</v>
      </c>
      <c r="BU99" s="52" t="s">
        <v>3290</v>
      </c>
      <c r="BV99" s="41"/>
      <c r="BW99" s="55">
        <v>3.55</v>
      </c>
      <c r="BX99" s="58">
        <v>2.891</v>
      </c>
      <c r="BY99" s="41"/>
    </row>
    <row r="100" spans="1:77">
      <c r="A100" s="148">
        <v>2.0499999999999998</v>
      </c>
      <c r="B100" s="141" t="s">
        <v>356</v>
      </c>
      <c r="C100" s="86" t="s">
        <v>434</v>
      </c>
      <c r="D100" s="133" t="s">
        <v>39</v>
      </c>
      <c r="E100" s="80" t="s">
        <v>39</v>
      </c>
      <c r="F100" s="46" t="s">
        <v>39</v>
      </c>
      <c r="G100" s="46" t="s">
        <v>700</v>
      </c>
      <c r="H100" s="46" t="s">
        <v>701</v>
      </c>
      <c r="I100" s="46" t="s">
        <v>3377</v>
      </c>
      <c r="J100" s="46" t="s">
        <v>3322</v>
      </c>
      <c r="K100" s="46" t="s">
        <v>39</v>
      </c>
      <c r="L100" s="46">
        <v>9</v>
      </c>
      <c r="N100" s="46" t="s">
        <v>3403</v>
      </c>
      <c r="O100" s="46" t="s">
        <v>39</v>
      </c>
      <c r="P100" s="46">
        <v>9</v>
      </c>
      <c r="R100" s="46" t="s">
        <v>3548</v>
      </c>
      <c r="S100" s="46" t="s">
        <v>39</v>
      </c>
      <c r="T100" s="46">
        <v>5</v>
      </c>
      <c r="V100" s="46" t="s">
        <v>1333</v>
      </c>
      <c r="W100" s="46" t="s">
        <v>1427</v>
      </c>
      <c r="X100" s="46" t="s">
        <v>1767</v>
      </c>
      <c r="Y100" s="46" t="s">
        <v>2179</v>
      </c>
      <c r="Z100" s="46">
        <v>18</v>
      </c>
      <c r="AA100" s="46">
        <v>97</v>
      </c>
      <c r="AB100" s="46">
        <v>9</v>
      </c>
      <c r="AC100" s="46" t="s">
        <v>1423</v>
      </c>
      <c r="AD100" s="46" t="s">
        <v>2180</v>
      </c>
      <c r="AE100" s="46" t="s">
        <v>700</v>
      </c>
      <c r="AF100" s="46" t="s">
        <v>700</v>
      </c>
      <c r="AG100" s="46" t="s">
        <v>2181</v>
      </c>
      <c r="AH100" s="46" t="s">
        <v>2451</v>
      </c>
      <c r="AI100" s="46" t="s">
        <v>2452</v>
      </c>
      <c r="AJ100" s="46" t="s">
        <v>2824</v>
      </c>
      <c r="AK100" s="46">
        <v>10</v>
      </c>
      <c r="AL100" s="46">
        <v>97.2</v>
      </c>
      <c r="AM100" s="46">
        <v>8</v>
      </c>
      <c r="AN100" s="46" t="s">
        <v>2406</v>
      </c>
      <c r="AO100" s="46" t="s">
        <v>3071</v>
      </c>
      <c r="AP100" s="46" t="s">
        <v>701</v>
      </c>
      <c r="AQ100" s="46" t="s">
        <v>701</v>
      </c>
      <c r="AR100" s="46" t="s">
        <v>3072</v>
      </c>
      <c r="AT100" s="48" t="s">
        <v>39</v>
      </c>
      <c r="AU100" s="41">
        <v>0.32629999999999998</v>
      </c>
      <c r="AV100" s="41"/>
      <c r="AW100" s="61">
        <v>3.5590000000000002</v>
      </c>
      <c r="AX100" s="61">
        <v>3.5270000000000001</v>
      </c>
      <c r="AY100" s="63">
        <v>0.13900000000000001</v>
      </c>
      <c r="AZ100" s="63">
        <v>0.14799999999999999</v>
      </c>
      <c r="BA100" s="42"/>
      <c r="BB100" s="55">
        <v>3.5219999999999998</v>
      </c>
      <c r="BC100" s="55">
        <v>2.7069999999999999</v>
      </c>
      <c r="BD100" s="43"/>
      <c r="BE100" s="41">
        <v>85599.5</v>
      </c>
      <c r="BF100" s="41">
        <v>73059</v>
      </c>
      <c r="BG100" s="51">
        <v>1</v>
      </c>
      <c r="BH100" s="51">
        <v>1</v>
      </c>
      <c r="BI100" s="52" t="s">
        <v>3289</v>
      </c>
      <c r="BJ100" s="41"/>
      <c r="BK100" s="41">
        <v>21927</v>
      </c>
      <c r="BL100" s="41">
        <v>3974</v>
      </c>
      <c r="BM100" s="51">
        <v>1</v>
      </c>
      <c r="BN100" s="51">
        <v>0</v>
      </c>
      <c r="BO100" s="52" t="s">
        <v>3285</v>
      </c>
      <c r="BP100" s="52" t="s">
        <v>3287</v>
      </c>
      <c r="BQ100" s="43"/>
      <c r="BR100" s="41">
        <v>2.34</v>
      </c>
      <c r="BS100" s="41">
        <v>-8.4699999999999998E-2</v>
      </c>
      <c r="BT100" s="52" t="s">
        <v>3290</v>
      </c>
      <c r="BU100" s="52" t="s">
        <v>3288</v>
      </c>
      <c r="BV100" s="41"/>
      <c r="BW100" s="55">
        <v>3.4660000000000002</v>
      </c>
      <c r="BX100" s="58">
        <v>2.8959999999999999</v>
      </c>
      <c r="BY100" s="41"/>
    </row>
    <row r="101" spans="1:77">
      <c r="A101" s="148">
        <v>2.0499999999999998</v>
      </c>
      <c r="B101" s="141" t="s">
        <v>356</v>
      </c>
      <c r="C101" s="86" t="s">
        <v>434</v>
      </c>
      <c r="D101" s="133" t="s">
        <v>40</v>
      </c>
      <c r="E101" s="80" t="s">
        <v>40</v>
      </c>
      <c r="F101" s="46" t="s">
        <v>40</v>
      </c>
      <c r="G101" s="46" t="s">
        <v>973</v>
      </c>
      <c r="H101" s="46" t="s">
        <v>974</v>
      </c>
      <c r="I101" s="46" t="s">
        <v>3377</v>
      </c>
      <c r="J101" s="46" t="s">
        <v>3322</v>
      </c>
      <c r="K101" s="46" t="s">
        <v>40</v>
      </c>
      <c r="L101" s="46">
        <v>9</v>
      </c>
      <c r="N101" s="46" t="s">
        <v>3403</v>
      </c>
      <c r="O101" s="46" t="s">
        <v>40</v>
      </c>
      <c r="P101" s="46">
        <v>9</v>
      </c>
      <c r="R101" s="46" t="s">
        <v>3548</v>
      </c>
      <c r="S101" s="46" t="s">
        <v>40</v>
      </c>
      <c r="T101" s="46">
        <v>5</v>
      </c>
      <c r="V101" s="46" t="s">
        <v>1334</v>
      </c>
      <c r="W101" s="46" t="s">
        <v>1427</v>
      </c>
      <c r="X101" s="46" t="s">
        <v>1767</v>
      </c>
      <c r="Y101" s="46" t="s">
        <v>2182</v>
      </c>
      <c r="Z101" s="46">
        <v>18</v>
      </c>
      <c r="AA101" s="46">
        <v>98.3</v>
      </c>
      <c r="AB101" s="46">
        <v>5</v>
      </c>
      <c r="AC101" s="46" t="s">
        <v>1423</v>
      </c>
      <c r="AD101" s="46" t="s">
        <v>2183</v>
      </c>
      <c r="AE101" s="46" t="s">
        <v>973</v>
      </c>
      <c r="AF101" s="46" t="s">
        <v>973</v>
      </c>
      <c r="AG101" s="46" t="s">
        <v>2184</v>
      </c>
      <c r="AH101" s="46" t="s">
        <v>2451</v>
      </c>
      <c r="AI101" s="46" t="s">
        <v>2452</v>
      </c>
      <c r="AJ101" s="46" t="s">
        <v>2926</v>
      </c>
      <c r="AK101" s="46">
        <v>10</v>
      </c>
      <c r="AL101" s="46">
        <v>98.6</v>
      </c>
      <c r="AM101" s="46">
        <v>4</v>
      </c>
      <c r="AN101" s="46" t="s">
        <v>2406</v>
      </c>
      <c r="AO101" s="46" t="s">
        <v>2927</v>
      </c>
      <c r="AP101" s="46" t="s">
        <v>974</v>
      </c>
      <c r="AQ101" s="46" t="s">
        <v>974</v>
      </c>
      <c r="AR101" s="46" t="s">
        <v>3073</v>
      </c>
      <c r="AT101" s="48" t="s">
        <v>40</v>
      </c>
      <c r="AU101" s="41">
        <v>0.21629999999999999</v>
      </c>
      <c r="AV101" s="41"/>
      <c r="AW101" s="55">
        <v>3.63</v>
      </c>
      <c r="AX101" s="54">
        <v>0.52100000000000002</v>
      </c>
      <c r="AY101" s="50">
        <v>0.13500000000000001</v>
      </c>
      <c r="AZ101" s="50">
        <v>0.157</v>
      </c>
      <c r="BA101" s="43"/>
      <c r="BB101" s="55">
        <v>3.536</v>
      </c>
      <c r="BC101" s="49">
        <v>2.359</v>
      </c>
      <c r="BD101" s="43"/>
      <c r="BE101" s="41">
        <v>136101</v>
      </c>
      <c r="BF101" s="41">
        <v>117721</v>
      </c>
      <c r="BG101" s="51">
        <v>1</v>
      </c>
      <c r="BH101" s="51">
        <v>1</v>
      </c>
      <c r="BI101" s="52" t="s">
        <v>3289</v>
      </c>
      <c r="BJ101" s="41"/>
      <c r="BK101" s="41">
        <v>29803</v>
      </c>
      <c r="BL101" s="41">
        <v>4056</v>
      </c>
      <c r="BM101" s="51">
        <v>1</v>
      </c>
      <c r="BN101" s="51">
        <v>0</v>
      </c>
      <c r="BO101" s="52" t="s">
        <v>3285</v>
      </c>
      <c r="BP101" s="52" t="s">
        <v>3287</v>
      </c>
      <c r="BQ101" s="43"/>
      <c r="BR101" s="41">
        <v>2.4792999999999998</v>
      </c>
      <c r="BS101" s="41">
        <v>2.0556999999999999</v>
      </c>
      <c r="BT101" s="52" t="s">
        <v>3290</v>
      </c>
      <c r="BU101" s="52" t="s">
        <v>3290</v>
      </c>
      <c r="BV101" s="41"/>
      <c r="BW101" s="55">
        <v>3.5139999999999998</v>
      </c>
      <c r="BX101" s="58">
        <v>2.9369999999999998</v>
      </c>
      <c r="BY101" s="41"/>
    </row>
    <row r="102" spans="1:77">
      <c r="A102" s="148">
        <v>2.0499999999999998</v>
      </c>
      <c r="B102" s="141" t="s">
        <v>356</v>
      </c>
      <c r="C102" s="86" t="s">
        <v>434</v>
      </c>
      <c r="D102" s="133" t="s">
        <v>33</v>
      </c>
      <c r="E102" s="80" t="s">
        <v>33</v>
      </c>
      <c r="F102" s="46" t="s">
        <v>33</v>
      </c>
      <c r="G102" s="46" t="s">
        <v>821</v>
      </c>
      <c r="H102" s="46" t="s">
        <v>822</v>
      </c>
      <c r="I102" s="46" t="s">
        <v>3377</v>
      </c>
      <c r="J102" s="46" t="s">
        <v>3322</v>
      </c>
      <c r="K102" s="46" t="s">
        <v>33</v>
      </c>
      <c r="L102" s="46">
        <v>9</v>
      </c>
      <c r="N102" s="46" t="s">
        <v>3403</v>
      </c>
      <c r="O102" s="46" t="s">
        <v>33</v>
      </c>
      <c r="P102" s="46">
        <v>9</v>
      </c>
      <c r="R102" s="46" t="s">
        <v>3527</v>
      </c>
      <c r="S102" s="46" t="s">
        <v>33</v>
      </c>
      <c r="T102" s="46">
        <v>4</v>
      </c>
      <c r="V102" s="46" t="s">
        <v>1296</v>
      </c>
      <c r="W102" s="46" t="s">
        <v>1427</v>
      </c>
      <c r="X102" s="46" t="s">
        <v>1767</v>
      </c>
      <c r="Y102" s="46" t="s">
        <v>2056</v>
      </c>
      <c r="Z102" s="46">
        <v>18</v>
      </c>
      <c r="AA102" s="46">
        <v>95.6</v>
      </c>
      <c r="AB102" s="46">
        <v>13</v>
      </c>
      <c r="AC102" s="46" t="s">
        <v>1423</v>
      </c>
      <c r="AD102" s="46" t="s">
        <v>2057</v>
      </c>
      <c r="AE102" s="46" t="s">
        <v>2058</v>
      </c>
      <c r="AF102" s="46" t="s">
        <v>821</v>
      </c>
      <c r="AG102" s="46" t="s">
        <v>2059</v>
      </c>
      <c r="AH102" s="46" t="s">
        <v>2451</v>
      </c>
      <c r="AI102" s="46" t="s">
        <v>2452</v>
      </c>
      <c r="AJ102" s="46" t="s">
        <v>2963</v>
      </c>
      <c r="AK102" s="46">
        <v>10</v>
      </c>
      <c r="AL102" s="46">
        <v>97.9</v>
      </c>
      <c r="AM102" s="46">
        <v>6</v>
      </c>
      <c r="AN102" s="46" t="s">
        <v>2406</v>
      </c>
      <c r="AO102" s="46" t="s">
        <v>2964</v>
      </c>
      <c r="AP102" s="46" t="s">
        <v>2965</v>
      </c>
      <c r="AQ102" s="46" t="s">
        <v>822</v>
      </c>
      <c r="AR102" s="46" t="s">
        <v>2966</v>
      </c>
      <c r="AT102" s="48" t="s">
        <v>33</v>
      </c>
      <c r="AU102" s="41">
        <v>0.1671</v>
      </c>
      <c r="AV102" s="41"/>
      <c r="AW102" s="55">
        <v>3.6179999999999999</v>
      </c>
      <c r="AX102" s="55">
        <v>3.5840000000000001</v>
      </c>
      <c r="AY102" s="57">
        <v>0.67400000000000004</v>
      </c>
      <c r="AZ102" s="50">
        <v>0.129</v>
      </c>
      <c r="BA102" s="43"/>
      <c r="BB102" s="55">
        <v>3.5649999999999999</v>
      </c>
      <c r="BC102" s="55">
        <v>2.4790000000000001</v>
      </c>
      <c r="BD102" s="43"/>
      <c r="BE102" s="41">
        <v>339725</v>
      </c>
      <c r="BF102" s="41">
        <v>124770</v>
      </c>
      <c r="BG102" s="51">
        <v>1</v>
      </c>
      <c r="BH102" s="51">
        <v>1</v>
      </c>
      <c r="BI102" s="52" t="s">
        <v>3285</v>
      </c>
      <c r="BJ102" s="41"/>
      <c r="BK102" s="41">
        <v>39591.5</v>
      </c>
      <c r="BL102" s="41">
        <v>5569</v>
      </c>
      <c r="BM102" s="51">
        <v>1</v>
      </c>
      <c r="BN102" s="51">
        <v>1</v>
      </c>
      <c r="BO102" s="52" t="s">
        <v>3285</v>
      </c>
      <c r="BP102" s="52" t="s">
        <v>3285</v>
      </c>
      <c r="BQ102" s="43"/>
      <c r="BR102" s="41">
        <v>1.9412</v>
      </c>
      <c r="BS102" s="41">
        <v>1.5391999999999999</v>
      </c>
      <c r="BT102" s="52" t="s">
        <v>3290</v>
      </c>
      <c r="BU102" s="52" t="s">
        <v>3290</v>
      </c>
      <c r="BV102" s="41"/>
      <c r="BW102" s="55">
        <v>3.6139999999999999</v>
      </c>
      <c r="BX102" s="49">
        <v>3.32</v>
      </c>
      <c r="BY102" s="41"/>
    </row>
    <row r="103" spans="1:77">
      <c r="A103" s="148">
        <v>2.0499999999999998</v>
      </c>
      <c r="B103" s="141" t="s">
        <v>356</v>
      </c>
      <c r="C103" s="86" t="s">
        <v>434</v>
      </c>
      <c r="D103" s="133" t="s">
        <v>34</v>
      </c>
      <c r="E103" s="80" t="s">
        <v>34</v>
      </c>
      <c r="F103" s="46" t="s">
        <v>34</v>
      </c>
      <c r="G103" s="46" t="s">
        <v>523</v>
      </c>
      <c r="H103" s="46" t="s">
        <v>524</v>
      </c>
      <c r="I103" s="46" t="s">
        <v>3377</v>
      </c>
      <c r="J103" s="46" t="s">
        <v>3322</v>
      </c>
      <c r="K103" s="46" t="s">
        <v>34</v>
      </c>
      <c r="L103" s="46">
        <v>9</v>
      </c>
      <c r="N103" s="46" t="s">
        <v>3403</v>
      </c>
      <c r="O103" s="46" t="s">
        <v>34</v>
      </c>
      <c r="P103" s="46">
        <v>9</v>
      </c>
      <c r="R103" s="46" t="s">
        <v>3527</v>
      </c>
      <c r="S103" s="46" t="s">
        <v>34</v>
      </c>
      <c r="T103" s="46">
        <v>4</v>
      </c>
      <c r="V103" s="46" t="s">
        <v>1307</v>
      </c>
      <c r="W103" s="46" t="s">
        <v>1427</v>
      </c>
      <c r="X103" s="46" t="s">
        <v>1767</v>
      </c>
      <c r="Y103" s="46" t="s">
        <v>2096</v>
      </c>
      <c r="Z103" s="46">
        <v>18</v>
      </c>
      <c r="AA103" s="46">
        <v>93.6</v>
      </c>
      <c r="AB103" s="46">
        <v>19</v>
      </c>
      <c r="AC103" s="46" t="s">
        <v>1423</v>
      </c>
      <c r="AD103" s="46" t="s">
        <v>2097</v>
      </c>
      <c r="AE103" s="46" t="s">
        <v>523</v>
      </c>
      <c r="AF103" s="46" t="s">
        <v>523</v>
      </c>
      <c r="AG103" s="46" t="s">
        <v>2098</v>
      </c>
      <c r="AH103" s="46" t="s">
        <v>2451</v>
      </c>
      <c r="AI103" s="46" t="s">
        <v>2452</v>
      </c>
      <c r="AJ103" s="46" t="s">
        <v>3000</v>
      </c>
      <c r="AK103" s="46">
        <v>10</v>
      </c>
      <c r="AL103" s="46">
        <v>96.2</v>
      </c>
      <c r="AM103" s="46">
        <v>11</v>
      </c>
      <c r="AN103" s="46" t="s">
        <v>2406</v>
      </c>
      <c r="AO103" s="46" t="s">
        <v>3001</v>
      </c>
      <c r="AP103" s="46" t="s">
        <v>524</v>
      </c>
      <c r="AQ103" s="46" t="s">
        <v>524</v>
      </c>
      <c r="AR103" s="46" t="s">
        <v>3002</v>
      </c>
      <c r="AT103" s="48" t="s">
        <v>34</v>
      </c>
      <c r="AU103" s="41">
        <v>0.37290000000000001</v>
      </c>
      <c r="AV103" s="41"/>
      <c r="AW103" s="55">
        <v>3.74</v>
      </c>
      <c r="AX103" s="55">
        <v>3.621</v>
      </c>
      <c r="AY103" s="50">
        <v>0.17199999999999999</v>
      </c>
      <c r="AZ103" s="50">
        <v>0.17499999999999999</v>
      </c>
      <c r="BA103" s="43"/>
      <c r="BB103" s="55">
        <v>3.6280000000000001</v>
      </c>
      <c r="BC103" s="49">
        <v>2.3260000000000001</v>
      </c>
      <c r="BD103" s="43"/>
      <c r="BE103" s="41">
        <v>22511</v>
      </c>
      <c r="BF103" s="41">
        <v>59754</v>
      </c>
      <c r="BG103" s="51">
        <v>1</v>
      </c>
      <c r="BH103" s="51">
        <v>1</v>
      </c>
      <c r="BI103" s="52" t="s">
        <v>3286</v>
      </c>
      <c r="BJ103" s="41"/>
      <c r="BK103" s="41">
        <v>4168</v>
      </c>
      <c r="BL103" s="41">
        <v>19373</v>
      </c>
      <c r="BM103" s="51">
        <v>0</v>
      </c>
      <c r="BN103" s="51">
        <v>1</v>
      </c>
      <c r="BO103" s="52" t="s">
        <v>3286</v>
      </c>
      <c r="BP103" s="52" t="s">
        <v>3286</v>
      </c>
      <c r="BQ103" s="43"/>
      <c r="BR103" s="41">
        <v>1.8471</v>
      </c>
      <c r="BS103" s="41">
        <v>0.96020000000000005</v>
      </c>
      <c r="BT103" s="52" t="s">
        <v>3290</v>
      </c>
      <c r="BU103" s="52" t="s">
        <v>3290</v>
      </c>
      <c r="BV103" s="41"/>
      <c r="BW103" s="55">
        <v>3.6019999999999999</v>
      </c>
      <c r="BX103" s="49">
        <v>3.1880000000000002</v>
      </c>
      <c r="BY103" s="41"/>
    </row>
    <row r="104" spans="1:77">
      <c r="A104" s="148">
        <v>2.0499999999999998</v>
      </c>
      <c r="B104" s="141" t="s">
        <v>356</v>
      </c>
      <c r="C104" s="86" t="s">
        <v>434</v>
      </c>
      <c r="D104" s="133" t="s">
        <v>36</v>
      </c>
      <c r="E104" s="80" t="s">
        <v>36</v>
      </c>
      <c r="F104" s="46" t="s">
        <v>36</v>
      </c>
      <c r="G104" s="46" t="s">
        <v>509</v>
      </c>
      <c r="H104" s="46" t="s">
        <v>510</v>
      </c>
      <c r="I104" s="46" t="s">
        <v>3377</v>
      </c>
      <c r="J104" s="46" t="s">
        <v>3322</v>
      </c>
      <c r="K104" s="46" t="s">
        <v>36</v>
      </c>
      <c r="L104" s="46">
        <v>9</v>
      </c>
      <c r="N104" s="46" t="s">
        <v>3403</v>
      </c>
      <c r="O104" s="46" t="s">
        <v>36</v>
      </c>
      <c r="P104" s="46">
        <v>9</v>
      </c>
      <c r="R104" s="46" t="s">
        <v>3527</v>
      </c>
      <c r="S104" s="46" t="s">
        <v>36</v>
      </c>
      <c r="T104" s="46">
        <v>4</v>
      </c>
      <c r="V104" s="46" t="s">
        <v>1329</v>
      </c>
      <c r="W104" s="46" t="s">
        <v>1427</v>
      </c>
      <c r="X104" s="46" t="s">
        <v>1767</v>
      </c>
      <c r="Y104" s="46" t="s">
        <v>2170</v>
      </c>
      <c r="Z104" s="46">
        <v>18</v>
      </c>
      <c r="AA104" s="46">
        <v>94.3</v>
      </c>
      <c r="AB104" s="46">
        <v>17</v>
      </c>
      <c r="AC104" s="46" t="s">
        <v>1423</v>
      </c>
      <c r="AD104" s="46" t="s">
        <v>2171</v>
      </c>
      <c r="AE104" s="46" t="s">
        <v>509</v>
      </c>
      <c r="AF104" s="46" t="s">
        <v>509</v>
      </c>
      <c r="AG104" s="46" t="s">
        <v>2172</v>
      </c>
      <c r="AH104" s="46" t="s">
        <v>2451</v>
      </c>
      <c r="AI104" s="46" t="s">
        <v>2452</v>
      </c>
      <c r="AJ104" s="46" t="s">
        <v>2963</v>
      </c>
      <c r="AK104" s="46">
        <v>10</v>
      </c>
      <c r="AL104" s="46">
        <v>96.5</v>
      </c>
      <c r="AM104" s="46">
        <v>10</v>
      </c>
      <c r="AN104" s="46" t="s">
        <v>2406</v>
      </c>
      <c r="AO104" s="46" t="s">
        <v>3063</v>
      </c>
      <c r="AP104" s="46" t="s">
        <v>510</v>
      </c>
      <c r="AQ104" s="46" t="s">
        <v>510</v>
      </c>
      <c r="AR104" s="46" t="s">
        <v>3064</v>
      </c>
      <c r="AT104" s="48" t="s">
        <v>36</v>
      </c>
      <c r="AU104" s="41">
        <v>0.1303</v>
      </c>
      <c r="AV104" s="41"/>
      <c r="AW104" s="55">
        <v>3.6259999999999999</v>
      </c>
      <c r="AX104" s="58">
        <v>2.9380000000000002</v>
      </c>
      <c r="AY104" s="50">
        <v>0.128</v>
      </c>
      <c r="AZ104" s="50">
        <v>0.129</v>
      </c>
      <c r="BA104" s="43"/>
      <c r="BB104" s="55">
        <v>3.5569999999999999</v>
      </c>
      <c r="BC104" s="55">
        <v>2.508</v>
      </c>
      <c r="BD104" s="43"/>
      <c r="BE104" s="41">
        <v>166261</v>
      </c>
      <c r="BF104" s="41">
        <v>135049.5</v>
      </c>
      <c r="BG104" s="51">
        <v>1</v>
      </c>
      <c r="BH104" s="51">
        <v>1</v>
      </c>
      <c r="BI104" s="52" t="s">
        <v>3285</v>
      </c>
      <c r="BJ104" s="41"/>
      <c r="BK104" s="41">
        <v>28834</v>
      </c>
      <c r="BL104" s="41">
        <v>5005</v>
      </c>
      <c r="BM104" s="51">
        <v>1</v>
      </c>
      <c r="BN104" s="51">
        <v>1</v>
      </c>
      <c r="BO104" s="52" t="s">
        <v>3285</v>
      </c>
      <c r="BP104" s="52" t="s">
        <v>3285</v>
      </c>
      <c r="BQ104" s="43"/>
      <c r="BR104" s="41">
        <v>2.3923999999999999</v>
      </c>
      <c r="BS104" s="41">
        <v>2.7126999999999999</v>
      </c>
      <c r="BT104" s="52" t="s">
        <v>3290</v>
      </c>
      <c r="BU104" s="52" t="s">
        <v>3290</v>
      </c>
      <c r="BV104" s="41"/>
      <c r="BW104" s="55">
        <v>3.5790000000000002</v>
      </c>
      <c r="BX104" s="49">
        <v>3.32</v>
      </c>
      <c r="BY104" s="41"/>
    </row>
    <row r="105" spans="1:77" ht="17" thickBot="1">
      <c r="A105" s="148">
        <v>2.0499999999999998</v>
      </c>
      <c r="B105" s="141" t="s">
        <v>356</v>
      </c>
      <c r="C105" s="86" t="s">
        <v>434</v>
      </c>
      <c r="D105" s="133" t="s">
        <v>37</v>
      </c>
      <c r="E105" s="80" t="s">
        <v>37</v>
      </c>
      <c r="F105" s="46" t="s">
        <v>37</v>
      </c>
      <c r="G105" s="46" t="s">
        <v>625</v>
      </c>
      <c r="H105" s="46" t="s">
        <v>626</v>
      </c>
      <c r="I105" s="46" t="s">
        <v>3377</v>
      </c>
      <c r="J105" s="46" t="s">
        <v>3322</v>
      </c>
      <c r="K105" s="46" t="s">
        <v>37</v>
      </c>
      <c r="L105" s="46">
        <v>9</v>
      </c>
      <c r="N105" s="46" t="s">
        <v>3403</v>
      </c>
      <c r="O105" s="46" t="s">
        <v>37</v>
      </c>
      <c r="P105" s="46">
        <v>9</v>
      </c>
      <c r="R105" s="46" t="s">
        <v>3527</v>
      </c>
      <c r="S105" s="46" t="s">
        <v>37</v>
      </c>
      <c r="T105" s="46">
        <v>4</v>
      </c>
      <c r="V105" s="46" t="s">
        <v>1331</v>
      </c>
      <c r="W105" s="46" t="s">
        <v>1427</v>
      </c>
      <c r="X105" s="46" t="s">
        <v>1767</v>
      </c>
      <c r="Y105" s="46" t="s">
        <v>2176</v>
      </c>
      <c r="Z105" s="46">
        <v>18</v>
      </c>
      <c r="AA105" s="46">
        <v>97.6</v>
      </c>
      <c r="AB105" s="46">
        <v>7</v>
      </c>
      <c r="AC105" s="46" t="s">
        <v>1423</v>
      </c>
      <c r="AD105" s="46" t="s">
        <v>2177</v>
      </c>
      <c r="AE105" s="46" t="s">
        <v>625</v>
      </c>
      <c r="AF105" s="46" t="s">
        <v>625</v>
      </c>
      <c r="AG105" s="46" t="s">
        <v>2178</v>
      </c>
      <c r="AH105" s="46" t="s">
        <v>2451</v>
      </c>
      <c r="AI105" s="46" t="s">
        <v>2452</v>
      </c>
      <c r="AJ105" s="46" t="s">
        <v>2926</v>
      </c>
      <c r="AK105" s="46">
        <v>10</v>
      </c>
      <c r="AL105" s="46">
        <v>99</v>
      </c>
      <c r="AM105" s="46">
        <v>3</v>
      </c>
      <c r="AN105" s="46" t="s">
        <v>2406</v>
      </c>
      <c r="AO105" s="46" t="s">
        <v>2927</v>
      </c>
      <c r="AP105" s="46" t="s">
        <v>626</v>
      </c>
      <c r="AQ105" s="46" t="s">
        <v>626</v>
      </c>
      <c r="AR105" s="46" t="s">
        <v>3068</v>
      </c>
      <c r="AT105" s="48" t="s">
        <v>37</v>
      </c>
      <c r="AU105" s="41">
        <v>0.18920000000000001</v>
      </c>
      <c r="AV105" s="41"/>
      <c r="AW105" s="61">
        <v>3.742</v>
      </c>
      <c r="AX105" s="63">
        <v>0.32700000000000001</v>
      </c>
      <c r="AY105" s="63">
        <v>0.13</v>
      </c>
      <c r="AZ105" s="63">
        <v>0.13500000000000001</v>
      </c>
      <c r="BA105" s="42"/>
      <c r="BB105" s="55">
        <v>3.5939999999999999</v>
      </c>
      <c r="BC105" s="49">
        <v>2.41</v>
      </c>
      <c r="BD105" s="43"/>
      <c r="BE105" s="41">
        <v>133612.5</v>
      </c>
      <c r="BF105" s="41">
        <v>101543</v>
      </c>
      <c r="BG105" s="51">
        <v>1</v>
      </c>
      <c r="BH105" s="51">
        <v>1</v>
      </c>
      <c r="BI105" s="52" t="s">
        <v>3285</v>
      </c>
      <c r="BJ105" s="41"/>
      <c r="BK105" s="41">
        <v>54956.5</v>
      </c>
      <c r="BL105" s="41">
        <v>8207.5</v>
      </c>
      <c r="BM105" s="51">
        <v>1</v>
      </c>
      <c r="BN105" s="51">
        <v>1</v>
      </c>
      <c r="BO105" s="52" t="s">
        <v>3285</v>
      </c>
      <c r="BP105" s="52" t="s">
        <v>3285</v>
      </c>
      <c r="BQ105" s="43"/>
      <c r="BR105" s="41">
        <v>2.3037000000000001</v>
      </c>
      <c r="BS105" s="41">
        <v>2.1278999999999999</v>
      </c>
      <c r="BT105" s="52" t="s">
        <v>3290</v>
      </c>
      <c r="BU105" s="52" t="s">
        <v>3290</v>
      </c>
      <c r="BV105" s="41"/>
      <c r="BW105" s="55">
        <v>3.5760000000000001</v>
      </c>
      <c r="BX105" s="56">
        <v>2.6869999999999998</v>
      </c>
      <c r="BY105" s="41"/>
    </row>
    <row r="106" spans="1:77" s="81" customFormat="1">
      <c r="A106" s="147">
        <v>2.06</v>
      </c>
      <c r="B106" s="140" t="s">
        <v>384</v>
      </c>
      <c r="C106" s="120" t="s">
        <v>462</v>
      </c>
      <c r="D106" s="132" t="s">
        <v>182</v>
      </c>
      <c r="E106" s="82" t="s">
        <v>182</v>
      </c>
      <c r="F106" s="81" t="s">
        <v>182</v>
      </c>
      <c r="G106" s="81" t="s">
        <v>779</v>
      </c>
      <c r="H106" s="81" t="s">
        <v>780</v>
      </c>
      <c r="I106" s="81" t="s">
        <v>3377</v>
      </c>
      <c r="J106" s="81" t="s">
        <v>3334</v>
      </c>
      <c r="K106" s="81" t="s">
        <v>182</v>
      </c>
      <c r="L106" s="81">
        <v>8</v>
      </c>
      <c r="N106" s="81" t="s">
        <v>3420</v>
      </c>
      <c r="O106" s="81" t="s">
        <v>182</v>
      </c>
      <c r="P106" s="81">
        <v>3</v>
      </c>
      <c r="R106" s="81" t="s">
        <v>3602</v>
      </c>
      <c r="S106" s="81" t="s">
        <v>182</v>
      </c>
      <c r="T106" s="81">
        <v>2</v>
      </c>
      <c r="V106" s="81" t="s">
        <v>1169</v>
      </c>
      <c r="W106" s="81" t="s">
        <v>1642</v>
      </c>
      <c r="X106" s="81" t="s">
        <v>1413</v>
      </c>
      <c r="Y106" s="81" t="s">
        <v>1643</v>
      </c>
      <c r="Z106" s="81">
        <v>12</v>
      </c>
      <c r="AA106" s="81">
        <v>92.8</v>
      </c>
      <c r="AB106" s="81">
        <v>21</v>
      </c>
      <c r="AC106" s="81" t="s">
        <v>1449</v>
      </c>
      <c r="AD106" s="81" t="s">
        <v>1644</v>
      </c>
      <c r="AE106" s="81" t="s">
        <v>1645</v>
      </c>
      <c r="AF106" s="81" t="s">
        <v>779</v>
      </c>
      <c r="AG106" s="81" t="s">
        <v>1646</v>
      </c>
      <c r="AH106" s="81" t="s">
        <v>2603</v>
      </c>
      <c r="AI106" s="81" t="s">
        <v>2404</v>
      </c>
      <c r="AJ106" s="81" t="s">
        <v>2604</v>
      </c>
      <c r="AK106" s="81">
        <v>9</v>
      </c>
      <c r="AL106" s="81">
        <v>95.5</v>
      </c>
      <c r="AM106" s="81">
        <v>13</v>
      </c>
      <c r="AN106" s="81" t="s">
        <v>2406</v>
      </c>
      <c r="AO106" s="81" t="s">
        <v>2605</v>
      </c>
      <c r="AP106" s="81" t="s">
        <v>2606</v>
      </c>
      <c r="AQ106" s="81" t="s">
        <v>780</v>
      </c>
      <c r="AR106" s="81" t="s">
        <v>2607</v>
      </c>
      <c r="AT106" s="83" t="s">
        <v>182</v>
      </c>
      <c r="AU106" s="33">
        <v>0.1236</v>
      </c>
      <c r="AV106" s="33"/>
      <c r="AW106" s="100">
        <v>3.601</v>
      </c>
      <c r="AX106" s="87">
        <v>0.122</v>
      </c>
      <c r="AY106" s="87">
        <v>0.115</v>
      </c>
      <c r="AZ106" s="87">
        <v>0.124</v>
      </c>
      <c r="BA106" s="34"/>
      <c r="BB106" s="100">
        <v>3.5779999999999998</v>
      </c>
      <c r="BC106" s="100">
        <v>2.3959999999999999</v>
      </c>
      <c r="BD106" s="34"/>
      <c r="BE106" s="33">
        <v>194506</v>
      </c>
      <c r="BF106" s="33">
        <v>171888</v>
      </c>
      <c r="BG106" s="88">
        <v>1</v>
      </c>
      <c r="BH106" s="88">
        <v>1</v>
      </c>
      <c r="BI106" s="89" t="s">
        <v>3289</v>
      </c>
      <c r="BJ106" s="33"/>
      <c r="BK106" s="33">
        <v>27305</v>
      </c>
      <c r="BL106" s="33">
        <v>83890</v>
      </c>
      <c r="BM106" s="88">
        <v>1</v>
      </c>
      <c r="BN106" s="88">
        <v>1</v>
      </c>
      <c r="BO106" s="89" t="s">
        <v>3286</v>
      </c>
      <c r="BP106" s="89" t="s">
        <v>3287</v>
      </c>
      <c r="BQ106" s="34"/>
      <c r="BR106" s="33">
        <v>1.6514</v>
      </c>
      <c r="BS106" s="33">
        <v>1.2804</v>
      </c>
      <c r="BT106" s="89" t="s">
        <v>3290</v>
      </c>
      <c r="BU106" s="89" t="s">
        <v>3290</v>
      </c>
      <c r="BV106" s="33"/>
      <c r="BW106" s="100">
        <v>3.5619999999999998</v>
      </c>
      <c r="BX106" s="100">
        <v>3.5529999999999999</v>
      </c>
      <c r="BY106" s="33"/>
    </row>
    <row r="107" spans="1:77">
      <c r="A107" s="148">
        <v>2.06</v>
      </c>
      <c r="B107" s="141" t="s">
        <v>384</v>
      </c>
      <c r="C107" s="86" t="s">
        <v>462</v>
      </c>
      <c r="D107" s="133" t="s">
        <v>183</v>
      </c>
      <c r="E107" s="80" t="s">
        <v>183</v>
      </c>
      <c r="F107" s="46" t="s">
        <v>183</v>
      </c>
      <c r="G107" s="46" t="s">
        <v>795</v>
      </c>
      <c r="H107" s="46" t="s">
        <v>796</v>
      </c>
      <c r="I107" s="46" t="s">
        <v>3377</v>
      </c>
      <c r="J107" s="46" t="s">
        <v>3334</v>
      </c>
      <c r="K107" s="46" t="s">
        <v>183</v>
      </c>
      <c r="L107" s="46">
        <v>8</v>
      </c>
      <c r="N107" s="46" t="s">
        <v>3466</v>
      </c>
      <c r="O107" s="46" t="s">
        <v>183</v>
      </c>
      <c r="P107" s="46">
        <v>3</v>
      </c>
      <c r="R107" s="46" t="s">
        <v>3604</v>
      </c>
      <c r="S107" s="46" t="s">
        <v>183</v>
      </c>
      <c r="T107" s="46">
        <v>2</v>
      </c>
      <c r="V107" s="46" t="s">
        <v>1170</v>
      </c>
      <c r="W107" s="46" t="s">
        <v>1642</v>
      </c>
      <c r="X107" s="46" t="s">
        <v>1413</v>
      </c>
      <c r="Y107" s="46" t="s">
        <v>1647</v>
      </c>
      <c r="Z107" s="46">
        <v>12</v>
      </c>
      <c r="AA107" s="46">
        <v>93.5</v>
      </c>
      <c r="AB107" s="46">
        <v>19</v>
      </c>
      <c r="AC107" s="46" t="s">
        <v>1445</v>
      </c>
      <c r="AD107" s="46" t="s">
        <v>1648</v>
      </c>
      <c r="AE107" s="46" t="s">
        <v>1649</v>
      </c>
      <c r="AF107" s="46" t="s">
        <v>795</v>
      </c>
      <c r="AG107" s="46" t="s">
        <v>1650</v>
      </c>
      <c r="AH107" s="46" t="s">
        <v>2603</v>
      </c>
      <c r="AI107" s="46" t="s">
        <v>2404</v>
      </c>
      <c r="AJ107" s="46" t="s">
        <v>2608</v>
      </c>
      <c r="AK107" s="46">
        <v>9</v>
      </c>
      <c r="AL107" s="46">
        <v>96.2</v>
      </c>
      <c r="AM107" s="46">
        <v>11</v>
      </c>
      <c r="AN107" s="46" t="s">
        <v>2406</v>
      </c>
      <c r="AO107" s="46" t="s">
        <v>2609</v>
      </c>
      <c r="AP107" s="46" t="s">
        <v>2610</v>
      </c>
      <c r="AQ107" s="46" t="s">
        <v>796</v>
      </c>
      <c r="AR107" s="46" t="s">
        <v>2611</v>
      </c>
      <c r="AT107" s="48" t="s">
        <v>183</v>
      </c>
      <c r="AU107" s="41">
        <v>0.17399999999999999</v>
      </c>
      <c r="AV107" s="41"/>
      <c r="AW107" s="55">
        <v>3.6360000000000001</v>
      </c>
      <c r="AX107" s="50">
        <v>0.13500000000000001</v>
      </c>
      <c r="AY107" s="50">
        <v>0.20100000000000001</v>
      </c>
      <c r="AZ107" s="50">
        <v>0.128</v>
      </c>
      <c r="BA107" s="43"/>
      <c r="BB107" s="55">
        <v>3.5750000000000002</v>
      </c>
      <c r="BC107" s="55">
        <v>2.363</v>
      </c>
      <c r="BD107" s="43"/>
      <c r="BE107" s="41">
        <v>281577</v>
      </c>
      <c r="BF107" s="41">
        <v>129201</v>
      </c>
      <c r="BG107" s="51">
        <v>1</v>
      </c>
      <c r="BH107" s="51">
        <v>1</v>
      </c>
      <c r="BI107" s="52" t="s">
        <v>3285</v>
      </c>
      <c r="BJ107" s="41"/>
      <c r="BK107" s="41">
        <v>23152</v>
      </c>
      <c r="BL107" s="41">
        <v>66092</v>
      </c>
      <c r="BM107" s="51">
        <v>1</v>
      </c>
      <c r="BN107" s="51">
        <v>1</v>
      </c>
      <c r="BO107" s="52" t="s">
        <v>3286</v>
      </c>
      <c r="BP107" s="52" t="s">
        <v>3287</v>
      </c>
      <c r="BQ107" s="43"/>
      <c r="BR107" s="41">
        <v>1.9850000000000001</v>
      </c>
      <c r="BS107" s="41">
        <v>1.4334</v>
      </c>
      <c r="BT107" s="52" t="s">
        <v>3290</v>
      </c>
      <c r="BU107" s="52" t="s">
        <v>3290</v>
      </c>
      <c r="BV107" s="41"/>
      <c r="BW107" s="55">
        <v>3.62</v>
      </c>
      <c r="BX107" s="55">
        <v>3.6040000000000001</v>
      </c>
      <c r="BY107" s="41"/>
    </row>
    <row r="108" spans="1:77">
      <c r="A108" s="148">
        <v>2.06</v>
      </c>
      <c r="B108" s="141" t="s">
        <v>384</v>
      </c>
      <c r="C108" s="86" t="s">
        <v>462</v>
      </c>
      <c r="D108" s="133" t="s">
        <v>185</v>
      </c>
      <c r="E108" s="80" t="s">
        <v>185</v>
      </c>
      <c r="F108" s="46" t="s">
        <v>185</v>
      </c>
      <c r="G108" s="46" t="s">
        <v>867</v>
      </c>
      <c r="H108" s="46" t="s">
        <v>868</v>
      </c>
      <c r="I108" s="46" t="s">
        <v>3377</v>
      </c>
      <c r="J108" s="46" t="s">
        <v>3334</v>
      </c>
      <c r="K108" s="46" t="s">
        <v>185</v>
      </c>
      <c r="L108" s="46">
        <v>8</v>
      </c>
      <c r="N108" s="46" t="s">
        <v>3466</v>
      </c>
      <c r="O108" s="46" t="s">
        <v>185</v>
      </c>
      <c r="P108" s="46">
        <v>3</v>
      </c>
      <c r="R108" s="46" t="s">
        <v>3604</v>
      </c>
      <c r="S108" s="46" t="s">
        <v>185</v>
      </c>
      <c r="T108" s="46">
        <v>2</v>
      </c>
      <c r="V108" s="46" t="s">
        <v>1172</v>
      </c>
      <c r="W108" s="46" t="s">
        <v>1642</v>
      </c>
      <c r="X108" s="46" t="s">
        <v>1413</v>
      </c>
      <c r="Y108" s="46" t="s">
        <v>1655</v>
      </c>
      <c r="Z108" s="46">
        <v>12</v>
      </c>
      <c r="AA108" s="46">
        <v>93.5</v>
      </c>
      <c r="AB108" s="46">
        <v>19</v>
      </c>
      <c r="AC108" s="46" t="s">
        <v>1454</v>
      </c>
      <c r="AD108" s="46" t="s">
        <v>1656</v>
      </c>
      <c r="AE108" s="46" t="s">
        <v>1657</v>
      </c>
      <c r="AF108" s="46" t="s">
        <v>867</v>
      </c>
      <c r="AG108" s="46" t="s">
        <v>1658</v>
      </c>
      <c r="AH108" s="46" t="s">
        <v>2603</v>
      </c>
      <c r="AI108" s="46" t="s">
        <v>2404</v>
      </c>
      <c r="AJ108" s="46" t="s">
        <v>2616</v>
      </c>
      <c r="AK108" s="46">
        <v>9</v>
      </c>
      <c r="AL108" s="46">
        <v>95.8</v>
      </c>
      <c r="AM108" s="46">
        <v>12</v>
      </c>
      <c r="AN108" s="46" t="s">
        <v>2406</v>
      </c>
      <c r="AO108" s="46" t="s">
        <v>2617</v>
      </c>
      <c r="AP108" s="46" t="s">
        <v>2618</v>
      </c>
      <c r="AQ108" s="46" t="s">
        <v>868</v>
      </c>
      <c r="AR108" s="46" t="s">
        <v>2619</v>
      </c>
      <c r="AT108" s="48" t="s">
        <v>185</v>
      </c>
      <c r="AU108" s="41">
        <v>4.1730000000000003E-2</v>
      </c>
      <c r="AV108" s="41"/>
      <c r="AW108" s="49">
        <v>3.2730000000000001</v>
      </c>
      <c r="AX108" s="50">
        <v>0.14399999999999999</v>
      </c>
      <c r="AY108" s="50">
        <v>0.20399999999999999</v>
      </c>
      <c r="AZ108" s="50">
        <v>0.122</v>
      </c>
      <c r="BA108" s="43"/>
      <c r="BB108" s="55">
        <v>3.5579999999999998</v>
      </c>
      <c r="BC108" s="49">
        <v>2.4039999999999999</v>
      </c>
      <c r="BD108" s="43"/>
      <c r="BE108" s="41">
        <v>183593</v>
      </c>
      <c r="BF108" s="41">
        <v>370497</v>
      </c>
      <c r="BG108" s="51">
        <v>1</v>
      </c>
      <c r="BH108" s="51">
        <v>1</v>
      </c>
      <c r="BI108" s="52" t="s">
        <v>3286</v>
      </c>
      <c r="BJ108" s="41"/>
      <c r="BK108" s="41">
        <v>212703.5</v>
      </c>
      <c r="BL108" s="41">
        <v>60426</v>
      </c>
      <c r="BM108" s="51">
        <v>1</v>
      </c>
      <c r="BN108" s="51">
        <v>1</v>
      </c>
      <c r="BO108" s="52" t="s">
        <v>3285</v>
      </c>
      <c r="BP108" s="52" t="s">
        <v>3287</v>
      </c>
      <c r="BQ108" s="43"/>
      <c r="BR108" s="41">
        <v>2.9483999999999999</v>
      </c>
      <c r="BS108" s="41">
        <v>1.4490000000000001</v>
      </c>
      <c r="BT108" s="52" t="s">
        <v>3290</v>
      </c>
      <c r="BU108" s="52" t="s">
        <v>3290</v>
      </c>
      <c r="BV108" s="41"/>
      <c r="BW108" s="55">
        <v>3.5350000000000001</v>
      </c>
      <c r="BX108" s="55">
        <v>3.5310000000000001</v>
      </c>
      <c r="BY108" s="41"/>
    </row>
    <row r="109" spans="1:77">
      <c r="A109" s="148">
        <v>2.06</v>
      </c>
      <c r="B109" s="141" t="s">
        <v>384</v>
      </c>
      <c r="C109" s="86" t="s">
        <v>462</v>
      </c>
      <c r="D109" s="133" t="s">
        <v>187</v>
      </c>
      <c r="E109" s="80" t="s">
        <v>187</v>
      </c>
      <c r="F109" s="46" t="s">
        <v>187</v>
      </c>
      <c r="G109" s="46" t="s">
        <v>835</v>
      </c>
      <c r="H109" s="46" t="s">
        <v>836</v>
      </c>
      <c r="I109" s="46" t="s">
        <v>3377</v>
      </c>
      <c r="J109" s="46" t="s">
        <v>3334</v>
      </c>
      <c r="K109" s="46" t="s">
        <v>187</v>
      </c>
      <c r="L109" s="46">
        <v>8</v>
      </c>
      <c r="N109" s="46" t="s">
        <v>3420</v>
      </c>
      <c r="O109" s="46" t="s">
        <v>187</v>
      </c>
      <c r="P109" s="46">
        <v>3</v>
      </c>
      <c r="R109" s="46" t="s">
        <v>3602</v>
      </c>
      <c r="S109" s="46" t="s">
        <v>187</v>
      </c>
      <c r="T109" s="46">
        <v>2</v>
      </c>
      <c r="V109" s="46" t="s">
        <v>1174</v>
      </c>
      <c r="W109" s="46" t="s">
        <v>1642</v>
      </c>
      <c r="X109" s="46" t="s">
        <v>1413</v>
      </c>
      <c r="Y109" s="46" t="s">
        <v>1662</v>
      </c>
      <c r="Z109" s="46">
        <v>12</v>
      </c>
      <c r="AA109" s="46">
        <v>96.6</v>
      </c>
      <c r="AB109" s="46">
        <v>10</v>
      </c>
      <c r="AC109" s="46" t="s">
        <v>1445</v>
      </c>
      <c r="AD109" s="46" t="s">
        <v>1663</v>
      </c>
      <c r="AE109" s="46" t="s">
        <v>1664</v>
      </c>
      <c r="AF109" s="46" t="s">
        <v>835</v>
      </c>
      <c r="AG109" s="46" t="s">
        <v>1665</v>
      </c>
      <c r="AH109" s="46" t="s">
        <v>2603</v>
      </c>
      <c r="AI109" s="46" t="s">
        <v>2404</v>
      </c>
      <c r="AJ109" s="46" t="s">
        <v>2620</v>
      </c>
      <c r="AK109" s="46">
        <v>9</v>
      </c>
      <c r="AL109" s="46">
        <v>96.5</v>
      </c>
      <c r="AM109" s="46">
        <v>10</v>
      </c>
      <c r="AN109" s="46" t="s">
        <v>2406</v>
      </c>
      <c r="AO109" s="46" t="s">
        <v>2623</v>
      </c>
      <c r="AP109" s="46" t="s">
        <v>2624</v>
      </c>
      <c r="AQ109" s="46" t="s">
        <v>836</v>
      </c>
      <c r="AR109" s="46" t="s">
        <v>2625</v>
      </c>
      <c r="AT109" s="48" t="s">
        <v>3292</v>
      </c>
      <c r="AU109" s="41">
        <v>0.1913</v>
      </c>
      <c r="AV109" s="41"/>
      <c r="AW109" s="55">
        <v>3.6190000000000002</v>
      </c>
      <c r="AX109" s="50">
        <v>0.16</v>
      </c>
      <c r="AY109" s="50">
        <v>0.13200000000000001</v>
      </c>
      <c r="AZ109" s="50">
        <v>0.129</v>
      </c>
      <c r="BA109" s="43"/>
      <c r="BB109" s="55">
        <v>3.51</v>
      </c>
      <c r="BC109" s="55">
        <v>2.552</v>
      </c>
      <c r="BD109" s="43"/>
      <c r="BE109" s="41">
        <v>220573</v>
      </c>
      <c r="BF109" s="41">
        <v>117798</v>
      </c>
      <c r="BG109" s="51">
        <v>1</v>
      </c>
      <c r="BH109" s="51">
        <v>1</v>
      </c>
      <c r="BI109" s="52" t="s">
        <v>3285</v>
      </c>
      <c r="BJ109" s="41"/>
      <c r="BK109" s="41">
        <v>60257</v>
      </c>
      <c r="BL109" s="41">
        <v>57215</v>
      </c>
      <c r="BM109" s="51">
        <v>1</v>
      </c>
      <c r="BN109" s="51">
        <v>1</v>
      </c>
      <c r="BO109" s="52" t="s">
        <v>3289</v>
      </c>
      <c r="BP109" s="52" t="s">
        <v>3287</v>
      </c>
      <c r="BQ109" s="43"/>
      <c r="BR109" s="41">
        <v>2.3871000000000002</v>
      </c>
      <c r="BS109" s="41">
        <v>2.0062000000000002</v>
      </c>
      <c r="BT109" s="52" t="s">
        <v>3290</v>
      </c>
      <c r="BU109" s="52" t="s">
        <v>3290</v>
      </c>
      <c r="BV109" s="41"/>
      <c r="BW109" s="55">
        <v>3.5350000000000001</v>
      </c>
      <c r="BX109" s="55">
        <v>3.6</v>
      </c>
      <c r="BY109" s="41"/>
    </row>
    <row r="110" spans="1:77">
      <c r="A110" s="148">
        <v>2.06</v>
      </c>
      <c r="B110" s="141" t="s">
        <v>384</v>
      </c>
      <c r="C110" s="86" t="s">
        <v>462</v>
      </c>
      <c r="D110" s="133" t="s">
        <v>186</v>
      </c>
      <c r="E110" s="80" t="s">
        <v>186</v>
      </c>
      <c r="F110" s="46" t="s">
        <v>186</v>
      </c>
      <c r="G110" s="46" t="s">
        <v>562</v>
      </c>
      <c r="H110" s="46" t="s">
        <v>563</v>
      </c>
      <c r="I110" s="46" t="s">
        <v>3377</v>
      </c>
      <c r="J110" s="46" t="s">
        <v>3334</v>
      </c>
      <c r="K110" s="46" t="s">
        <v>186</v>
      </c>
      <c r="L110" s="46">
        <v>8</v>
      </c>
      <c r="N110" s="46" t="s">
        <v>3420</v>
      </c>
      <c r="O110" s="46" t="s">
        <v>186</v>
      </c>
      <c r="P110" s="46">
        <v>3</v>
      </c>
      <c r="R110" s="46" t="s">
        <v>3546</v>
      </c>
      <c r="S110" s="46" t="s">
        <v>186</v>
      </c>
      <c r="T110" s="46">
        <v>1</v>
      </c>
      <c r="V110" s="46" t="s">
        <v>1173</v>
      </c>
      <c r="W110" s="46" t="s">
        <v>1642</v>
      </c>
      <c r="X110" s="46" t="s">
        <v>1413</v>
      </c>
      <c r="Y110" s="46" t="s">
        <v>1659</v>
      </c>
      <c r="Z110" s="46">
        <v>12</v>
      </c>
      <c r="AA110" s="46">
        <v>96.6</v>
      </c>
      <c r="AB110" s="46">
        <v>10</v>
      </c>
      <c r="AC110" s="46" t="s">
        <v>1445</v>
      </c>
      <c r="AD110" s="46" t="s">
        <v>1660</v>
      </c>
      <c r="AE110" s="46" t="s">
        <v>562</v>
      </c>
      <c r="AF110" s="46" t="s">
        <v>562</v>
      </c>
      <c r="AG110" s="46" t="s">
        <v>1661</v>
      </c>
      <c r="AH110" s="46" t="s">
        <v>2603</v>
      </c>
      <c r="AI110" s="46" t="s">
        <v>2404</v>
      </c>
      <c r="AJ110" s="46" t="s">
        <v>2620</v>
      </c>
      <c r="AK110" s="46">
        <v>9</v>
      </c>
      <c r="AL110" s="46">
        <v>97.2</v>
      </c>
      <c r="AM110" s="46">
        <v>8</v>
      </c>
      <c r="AN110" s="46" t="s">
        <v>2406</v>
      </c>
      <c r="AO110" s="46" t="s">
        <v>2621</v>
      </c>
      <c r="AP110" s="46" t="s">
        <v>563</v>
      </c>
      <c r="AQ110" s="46" t="s">
        <v>563</v>
      </c>
      <c r="AR110" s="46" t="s">
        <v>2622</v>
      </c>
      <c r="AT110" s="48" t="s">
        <v>186</v>
      </c>
      <c r="AU110" s="41">
        <v>0.23930000000000001</v>
      </c>
      <c r="AV110" s="41"/>
      <c r="AW110" s="55">
        <v>3.5659999999999998</v>
      </c>
      <c r="AX110" s="50">
        <v>0.16</v>
      </c>
      <c r="AY110" s="50">
        <v>0.123</v>
      </c>
      <c r="AZ110" s="50">
        <v>0.13300000000000001</v>
      </c>
      <c r="BA110" s="43"/>
      <c r="BB110" s="55">
        <v>3.5419999999999998</v>
      </c>
      <c r="BC110" s="49">
        <v>2.2909999999999999</v>
      </c>
      <c r="BD110" s="43"/>
      <c r="BE110" s="41">
        <v>228865</v>
      </c>
      <c r="BF110" s="41">
        <v>181190</v>
      </c>
      <c r="BG110" s="51">
        <v>1</v>
      </c>
      <c r="BH110" s="51">
        <v>1</v>
      </c>
      <c r="BI110" s="52" t="s">
        <v>3285</v>
      </c>
      <c r="BJ110" s="41"/>
      <c r="BK110" s="41">
        <v>126495</v>
      </c>
      <c r="BL110" s="41">
        <v>126327</v>
      </c>
      <c r="BM110" s="51">
        <v>1</v>
      </c>
      <c r="BN110" s="51">
        <v>1</v>
      </c>
      <c r="BO110" s="52" t="s">
        <v>3289</v>
      </c>
      <c r="BP110" s="52" t="s">
        <v>3287</v>
      </c>
      <c r="BQ110" s="43"/>
      <c r="BR110" s="41">
        <v>2.5874000000000001</v>
      </c>
      <c r="BS110" s="41">
        <v>0.98929999999999996</v>
      </c>
      <c r="BT110" s="52" t="s">
        <v>3290</v>
      </c>
      <c r="BU110" s="52" t="s">
        <v>3290</v>
      </c>
      <c r="BV110" s="41"/>
      <c r="BW110" s="55">
        <v>3.544</v>
      </c>
      <c r="BX110" s="55">
        <v>3.5350000000000001</v>
      </c>
      <c r="BY110" s="41"/>
    </row>
    <row r="111" spans="1:77">
      <c r="A111" s="148">
        <v>2.06</v>
      </c>
      <c r="B111" s="141" t="s">
        <v>384</v>
      </c>
      <c r="C111" s="86" t="s">
        <v>462</v>
      </c>
      <c r="D111" s="133" t="s">
        <v>189</v>
      </c>
      <c r="E111" s="80" t="s">
        <v>189</v>
      </c>
      <c r="F111" s="46" t="s">
        <v>189</v>
      </c>
      <c r="G111" s="46" t="s">
        <v>998</v>
      </c>
      <c r="H111" s="46" t="s">
        <v>999</v>
      </c>
      <c r="I111" s="46" t="s">
        <v>3377</v>
      </c>
      <c r="J111" s="46" t="s">
        <v>3334</v>
      </c>
      <c r="K111" s="46" t="s">
        <v>189</v>
      </c>
      <c r="L111" s="46">
        <v>8</v>
      </c>
      <c r="N111" s="46" t="s">
        <v>3466</v>
      </c>
      <c r="O111" s="46" t="s">
        <v>189</v>
      </c>
      <c r="P111" s="46">
        <v>3</v>
      </c>
      <c r="R111" s="46" t="s">
        <v>3668</v>
      </c>
      <c r="S111" s="46" t="s">
        <v>189</v>
      </c>
      <c r="T111" s="46">
        <v>1</v>
      </c>
      <c r="V111" s="46" t="s">
        <v>1176</v>
      </c>
      <c r="W111" s="46" t="s">
        <v>1642</v>
      </c>
      <c r="X111" s="46" t="s">
        <v>1413</v>
      </c>
      <c r="Y111" s="46" t="s">
        <v>1668</v>
      </c>
      <c r="Z111" s="46">
        <v>12</v>
      </c>
      <c r="AA111" s="46">
        <v>92.5</v>
      </c>
      <c r="AB111" s="46">
        <v>22</v>
      </c>
      <c r="AC111" s="46" t="s">
        <v>1445</v>
      </c>
      <c r="AD111" s="46" t="s">
        <v>1669</v>
      </c>
      <c r="AE111" s="46" t="s">
        <v>998</v>
      </c>
      <c r="AF111" s="46" t="s">
        <v>998</v>
      </c>
      <c r="AG111" s="46" t="s">
        <v>1670</v>
      </c>
      <c r="AH111" s="46" t="s">
        <v>2603</v>
      </c>
      <c r="AI111" s="46" t="s">
        <v>2404</v>
      </c>
      <c r="AJ111" s="46" t="s">
        <v>2628</v>
      </c>
      <c r="AK111" s="46">
        <v>9</v>
      </c>
      <c r="AL111" s="46">
        <v>95.5</v>
      </c>
      <c r="AM111" s="46">
        <v>13</v>
      </c>
      <c r="AN111" s="46" t="s">
        <v>2406</v>
      </c>
      <c r="AO111" s="46" t="s">
        <v>2629</v>
      </c>
      <c r="AP111" s="46" t="s">
        <v>999</v>
      </c>
      <c r="AQ111" s="46" t="s">
        <v>999</v>
      </c>
      <c r="AR111" s="46" t="s">
        <v>2630</v>
      </c>
      <c r="AT111" s="48" t="s">
        <v>189</v>
      </c>
      <c r="AU111" s="41">
        <v>7.2050000000000003E-2</v>
      </c>
      <c r="AV111" s="41"/>
      <c r="AW111" s="55">
        <v>3.5659999999999998</v>
      </c>
      <c r="AX111" s="50">
        <v>0.17299999999999999</v>
      </c>
      <c r="AY111" s="50">
        <v>0.128</v>
      </c>
      <c r="AZ111" s="50">
        <v>0.13900000000000001</v>
      </c>
      <c r="BA111" s="43"/>
      <c r="BB111" s="55">
        <v>3.4670000000000001</v>
      </c>
      <c r="BC111" s="55">
        <v>2.6560000000000001</v>
      </c>
      <c r="BD111" s="43"/>
      <c r="BE111" s="41">
        <v>227722</v>
      </c>
      <c r="BF111" s="41">
        <v>264944.5</v>
      </c>
      <c r="BG111" s="51">
        <v>1</v>
      </c>
      <c r="BH111" s="51">
        <v>1</v>
      </c>
      <c r="BI111" s="52" t="s">
        <v>3289</v>
      </c>
      <c r="BJ111" s="41"/>
      <c r="BK111" s="41">
        <v>61419</v>
      </c>
      <c r="BL111" s="41">
        <v>124367</v>
      </c>
      <c r="BM111" s="51">
        <v>1</v>
      </c>
      <c r="BN111" s="51">
        <v>1</v>
      </c>
      <c r="BO111" s="52" t="s">
        <v>3286</v>
      </c>
      <c r="BP111" s="52" t="s">
        <v>3287</v>
      </c>
      <c r="BQ111" s="43"/>
      <c r="BR111" s="41">
        <v>2.3649</v>
      </c>
      <c r="BS111" s="41">
        <v>2.6513</v>
      </c>
      <c r="BT111" s="52" t="s">
        <v>3290</v>
      </c>
      <c r="BU111" s="52" t="s">
        <v>3290</v>
      </c>
      <c r="BV111" s="41"/>
      <c r="BW111" s="55">
        <v>3.4980000000000002</v>
      </c>
      <c r="BX111" s="55">
        <v>3.528</v>
      </c>
      <c r="BY111" s="41"/>
    </row>
    <row r="112" spans="1:77">
      <c r="A112" s="148">
        <v>2.06</v>
      </c>
      <c r="B112" s="141" t="s">
        <v>384</v>
      </c>
      <c r="C112" s="86" t="s">
        <v>462</v>
      </c>
      <c r="D112" s="133" t="s">
        <v>184</v>
      </c>
      <c r="E112" s="80" t="s">
        <v>184</v>
      </c>
      <c r="F112" s="46" t="s">
        <v>184</v>
      </c>
      <c r="G112" s="46" t="s">
        <v>841</v>
      </c>
      <c r="H112" s="46" t="s">
        <v>842</v>
      </c>
      <c r="I112" s="46" t="s">
        <v>3377</v>
      </c>
      <c r="J112" s="46" t="s">
        <v>3334</v>
      </c>
      <c r="K112" s="46" t="s">
        <v>184</v>
      </c>
      <c r="L112" s="46">
        <v>8</v>
      </c>
      <c r="N112" s="46" t="s">
        <v>3433</v>
      </c>
      <c r="O112" s="46" t="s">
        <v>184</v>
      </c>
      <c r="P112" s="46">
        <v>2</v>
      </c>
      <c r="R112" s="46" t="s">
        <v>3563</v>
      </c>
      <c r="S112" s="46" t="s">
        <v>184</v>
      </c>
      <c r="T112" s="46">
        <v>2</v>
      </c>
      <c r="V112" s="46" t="s">
        <v>1171</v>
      </c>
      <c r="W112" s="46" t="s">
        <v>1642</v>
      </c>
      <c r="X112" s="46" t="s">
        <v>1413</v>
      </c>
      <c r="Y112" s="46" t="s">
        <v>1651</v>
      </c>
      <c r="Z112" s="46">
        <v>12</v>
      </c>
      <c r="AA112" s="46">
        <v>97.6</v>
      </c>
      <c r="AB112" s="46">
        <v>7</v>
      </c>
      <c r="AC112" s="46" t="s">
        <v>1454</v>
      </c>
      <c r="AD112" s="46" t="s">
        <v>1652</v>
      </c>
      <c r="AE112" s="46" t="s">
        <v>1653</v>
      </c>
      <c r="AF112" s="46" t="s">
        <v>841</v>
      </c>
      <c r="AG112" s="46" t="s">
        <v>1654</v>
      </c>
      <c r="AH112" s="46" t="s">
        <v>2603</v>
      </c>
      <c r="AI112" s="46" t="s">
        <v>2404</v>
      </c>
      <c r="AJ112" s="46" t="s">
        <v>2612</v>
      </c>
      <c r="AK112" s="46">
        <v>9</v>
      </c>
      <c r="AL112" s="46">
        <v>97.6</v>
      </c>
      <c r="AM112" s="46">
        <v>7</v>
      </c>
      <c r="AN112" s="46" t="s">
        <v>2406</v>
      </c>
      <c r="AO112" s="46" t="s">
        <v>2613</v>
      </c>
      <c r="AP112" s="46" t="s">
        <v>2614</v>
      </c>
      <c r="AQ112" s="46" t="s">
        <v>842</v>
      </c>
      <c r="AR112" s="46" t="s">
        <v>2615</v>
      </c>
      <c r="AT112" s="48" t="s">
        <v>184</v>
      </c>
      <c r="AU112" s="41">
        <v>0.29570000000000002</v>
      </c>
      <c r="AV112" s="41"/>
      <c r="AW112" s="55">
        <v>3.669</v>
      </c>
      <c r="AX112" s="50">
        <v>0.13300000000000001</v>
      </c>
      <c r="AY112" s="50">
        <v>0.128</v>
      </c>
      <c r="AZ112" s="50">
        <v>0.14199999999999999</v>
      </c>
      <c r="BA112" s="43"/>
      <c r="BB112" s="55">
        <v>3.5579999999999998</v>
      </c>
      <c r="BC112" s="55">
        <v>2.3610000000000002</v>
      </c>
      <c r="BD112" s="43"/>
      <c r="BE112" s="41">
        <v>372123</v>
      </c>
      <c r="BF112" s="41">
        <v>98903.5</v>
      </c>
      <c r="BG112" s="51">
        <v>1</v>
      </c>
      <c r="BH112" s="51">
        <v>1</v>
      </c>
      <c r="BI112" s="52" t="s">
        <v>3285</v>
      </c>
      <c r="BJ112" s="41"/>
      <c r="BK112" s="41">
        <v>33357</v>
      </c>
      <c r="BL112" s="41">
        <v>39817.5</v>
      </c>
      <c r="BM112" s="51">
        <v>1</v>
      </c>
      <c r="BN112" s="51">
        <v>1</v>
      </c>
      <c r="BO112" s="52" t="s">
        <v>3289</v>
      </c>
      <c r="BP112" s="52" t="s">
        <v>3287</v>
      </c>
      <c r="BQ112" s="43"/>
      <c r="BR112" s="41">
        <v>1.1747000000000001</v>
      </c>
      <c r="BS112" s="41">
        <v>1.1551</v>
      </c>
      <c r="BT112" s="52" t="s">
        <v>3290</v>
      </c>
      <c r="BU112" s="52" t="s">
        <v>3290</v>
      </c>
      <c r="BV112" s="41"/>
      <c r="BW112" s="55">
        <v>3.5939999999999999</v>
      </c>
      <c r="BX112" s="55">
        <v>3.629</v>
      </c>
      <c r="BY112" s="41"/>
    </row>
    <row r="113" spans="1:77" s="40" customFormat="1" ht="17" thickBot="1">
      <c r="A113" s="149">
        <v>2.06</v>
      </c>
      <c r="B113" s="142" t="s">
        <v>384</v>
      </c>
      <c r="C113" s="121" t="s">
        <v>462</v>
      </c>
      <c r="D113" s="134" t="s">
        <v>188</v>
      </c>
      <c r="E113" s="84" t="s">
        <v>188</v>
      </c>
      <c r="F113" s="40" t="s">
        <v>188</v>
      </c>
      <c r="G113" s="40" t="s">
        <v>627</v>
      </c>
      <c r="H113" s="40" t="s">
        <v>628</v>
      </c>
      <c r="I113" s="40" t="s">
        <v>3377</v>
      </c>
      <c r="J113" s="40" t="s">
        <v>3334</v>
      </c>
      <c r="K113" s="40" t="s">
        <v>188</v>
      </c>
      <c r="L113" s="40">
        <v>8</v>
      </c>
      <c r="N113" s="40" t="s">
        <v>3433</v>
      </c>
      <c r="O113" s="40" t="s">
        <v>188</v>
      </c>
      <c r="P113" s="40">
        <v>2</v>
      </c>
      <c r="R113" s="40" t="s">
        <v>3563</v>
      </c>
      <c r="S113" s="40" t="s">
        <v>188</v>
      </c>
      <c r="T113" s="40">
        <v>2</v>
      </c>
      <c r="V113" s="40" t="s">
        <v>1175</v>
      </c>
      <c r="W113" s="40" t="s">
        <v>1642</v>
      </c>
      <c r="X113" s="40" t="s">
        <v>1413</v>
      </c>
      <c r="Y113" s="40" t="s">
        <v>1651</v>
      </c>
      <c r="Z113" s="40">
        <v>12</v>
      </c>
      <c r="AA113" s="40">
        <v>92.8</v>
      </c>
      <c r="AB113" s="40">
        <v>21</v>
      </c>
      <c r="AC113" s="40" t="s">
        <v>1617</v>
      </c>
      <c r="AD113" s="40" t="s">
        <v>1666</v>
      </c>
      <c r="AE113" s="40" t="s">
        <v>627</v>
      </c>
      <c r="AF113" s="40" t="s">
        <v>627</v>
      </c>
      <c r="AG113" s="40" t="s">
        <v>1667</v>
      </c>
      <c r="AH113" s="40" t="s">
        <v>2603</v>
      </c>
      <c r="AI113" s="40" t="s">
        <v>2404</v>
      </c>
      <c r="AJ113" s="40" t="s">
        <v>2612</v>
      </c>
      <c r="AK113" s="40">
        <v>9</v>
      </c>
      <c r="AL113" s="40">
        <v>93.8</v>
      </c>
      <c r="AM113" s="40">
        <v>18</v>
      </c>
      <c r="AN113" s="40" t="s">
        <v>2406</v>
      </c>
      <c r="AO113" s="40" t="s">
        <v>2626</v>
      </c>
      <c r="AP113" s="40" t="s">
        <v>628</v>
      </c>
      <c r="AQ113" s="40" t="s">
        <v>628</v>
      </c>
      <c r="AR113" s="40" t="s">
        <v>2627</v>
      </c>
      <c r="AT113" s="85" t="s">
        <v>188</v>
      </c>
      <c r="AU113" s="35">
        <v>9.7110000000000002E-2</v>
      </c>
      <c r="AV113" s="35"/>
      <c r="AW113" s="108">
        <v>3.6139999999999999</v>
      </c>
      <c r="AX113" s="109">
        <v>0.13500000000000001</v>
      </c>
      <c r="AY113" s="109">
        <v>0.109</v>
      </c>
      <c r="AZ113" s="109">
        <v>0.115</v>
      </c>
      <c r="BA113" s="36"/>
      <c r="BB113" s="102">
        <v>3.5169999999999999</v>
      </c>
      <c r="BC113" s="110">
        <v>2.4870000000000001</v>
      </c>
      <c r="BD113" s="37"/>
      <c r="BE113" s="35">
        <v>151085</v>
      </c>
      <c r="BF113" s="35">
        <v>232121.5</v>
      </c>
      <c r="BG113" s="93">
        <v>1</v>
      </c>
      <c r="BH113" s="93">
        <v>1</v>
      </c>
      <c r="BI113" s="94" t="s">
        <v>3286</v>
      </c>
      <c r="BJ113" s="35"/>
      <c r="BK113" s="35">
        <v>106552.5</v>
      </c>
      <c r="BL113" s="35">
        <v>12092</v>
      </c>
      <c r="BM113" s="93">
        <v>1</v>
      </c>
      <c r="BN113" s="93">
        <v>1</v>
      </c>
      <c r="BO113" s="94" t="s">
        <v>3285</v>
      </c>
      <c r="BP113" s="94" t="s">
        <v>3287</v>
      </c>
      <c r="BQ113" s="37"/>
      <c r="BR113" s="35">
        <v>2.2972999999999999</v>
      </c>
      <c r="BS113" s="35">
        <v>2.5259999999999998</v>
      </c>
      <c r="BT113" s="94" t="s">
        <v>3290</v>
      </c>
      <c r="BU113" s="94" t="s">
        <v>3290</v>
      </c>
      <c r="BV113" s="35"/>
      <c r="BW113" s="102">
        <v>3.4980000000000002</v>
      </c>
      <c r="BX113" s="102">
        <v>3.4870000000000001</v>
      </c>
      <c r="BY113" s="35"/>
    </row>
    <row r="114" spans="1:77">
      <c r="A114" s="148">
        <v>2.0699999999999998</v>
      </c>
      <c r="B114" s="141" t="s">
        <v>381</v>
      </c>
      <c r="C114" s="86" t="s">
        <v>459</v>
      </c>
      <c r="D114" s="133" t="s">
        <v>155</v>
      </c>
      <c r="E114" s="80" t="s">
        <v>156</v>
      </c>
      <c r="F114" s="46" t="s">
        <v>156</v>
      </c>
      <c r="G114" s="46" t="s">
        <v>939</v>
      </c>
      <c r="H114" s="46" t="s">
        <v>940</v>
      </c>
      <c r="I114" s="46" t="s">
        <v>3377</v>
      </c>
      <c r="J114" s="46" t="s">
        <v>3321</v>
      </c>
      <c r="K114" s="46" t="s">
        <v>156</v>
      </c>
      <c r="L114" s="46">
        <v>8</v>
      </c>
      <c r="N114" s="46" t="s">
        <v>3476</v>
      </c>
      <c r="O114" s="46" t="s">
        <v>156</v>
      </c>
      <c r="P114" s="46">
        <v>5</v>
      </c>
      <c r="R114" s="46" t="s">
        <v>3619</v>
      </c>
      <c r="S114" s="46" t="s">
        <v>156</v>
      </c>
      <c r="T114" s="46">
        <v>5</v>
      </c>
      <c r="V114" s="46" t="s">
        <v>1152</v>
      </c>
      <c r="W114" s="46" t="s">
        <v>1579</v>
      </c>
      <c r="X114" s="46" t="s">
        <v>1413</v>
      </c>
      <c r="Y114" s="46" t="s">
        <v>1594</v>
      </c>
      <c r="Z114" s="46">
        <v>15</v>
      </c>
      <c r="AA114" s="46">
        <v>98.3</v>
      </c>
      <c r="AB114" s="46">
        <v>5</v>
      </c>
      <c r="AC114" s="46" t="s">
        <v>1430</v>
      </c>
      <c r="AD114" s="46" t="s">
        <v>1595</v>
      </c>
      <c r="AE114" s="46" t="s">
        <v>939</v>
      </c>
      <c r="AF114" s="46" t="s">
        <v>939</v>
      </c>
      <c r="AG114" s="46" t="s">
        <v>1596</v>
      </c>
      <c r="AH114" s="46" t="s">
        <v>2416</v>
      </c>
      <c r="AI114" s="46" t="s">
        <v>2404</v>
      </c>
      <c r="AJ114" s="46" t="s">
        <v>2562</v>
      </c>
      <c r="AK114" s="46">
        <v>9</v>
      </c>
      <c r="AL114" s="46">
        <v>98</v>
      </c>
      <c r="AM114" s="46">
        <v>6</v>
      </c>
      <c r="AN114" s="46" t="s">
        <v>2406</v>
      </c>
      <c r="AO114" s="46" t="s">
        <v>2563</v>
      </c>
      <c r="AP114" s="46" t="s">
        <v>2564</v>
      </c>
      <c r="AQ114" s="46" t="s">
        <v>940</v>
      </c>
      <c r="AR114" s="46" t="s">
        <v>2565</v>
      </c>
      <c r="AT114" s="48" t="s">
        <v>156</v>
      </c>
      <c r="AU114" s="41">
        <v>0.23039999999999999</v>
      </c>
      <c r="AV114" s="41" t="s">
        <v>3291</v>
      </c>
      <c r="AW114" s="66">
        <v>1.6850000000000001</v>
      </c>
      <c r="AX114" s="50">
        <v>0.14499999999999999</v>
      </c>
      <c r="AY114" s="50">
        <v>0.122</v>
      </c>
      <c r="AZ114" s="50">
        <v>0.13100000000000001</v>
      </c>
      <c r="BA114" s="43"/>
      <c r="BB114" s="50">
        <v>0.11899999999999999</v>
      </c>
      <c r="BC114" s="50">
        <v>0.115</v>
      </c>
      <c r="BD114" s="43"/>
      <c r="BE114" s="41">
        <v>144934</v>
      </c>
      <c r="BF114" s="41">
        <v>265475</v>
      </c>
      <c r="BG114" s="51">
        <v>1</v>
      </c>
      <c r="BH114" s="51">
        <v>1</v>
      </c>
      <c r="BI114" s="52" t="s">
        <v>3286</v>
      </c>
      <c r="BJ114" s="41"/>
      <c r="BK114" s="41">
        <v>48636</v>
      </c>
      <c r="BL114" s="41">
        <v>99273</v>
      </c>
      <c r="BM114" s="51">
        <v>1</v>
      </c>
      <c r="BN114" s="51">
        <v>1</v>
      </c>
      <c r="BO114" s="52" t="s">
        <v>3286</v>
      </c>
      <c r="BP114" s="52" t="s">
        <v>3286</v>
      </c>
      <c r="BQ114" s="43"/>
      <c r="BR114" s="41">
        <v>-0.2303</v>
      </c>
      <c r="BS114" s="41">
        <v>-7.6999999999999999E-2</v>
      </c>
      <c r="BT114" s="52" t="s">
        <v>3288</v>
      </c>
      <c r="BU114" s="52" t="s">
        <v>3288</v>
      </c>
      <c r="BV114" s="41"/>
      <c r="BW114" s="53">
        <v>2.0230000000000001</v>
      </c>
      <c r="BX114" s="50">
        <v>0.13200000000000001</v>
      </c>
      <c r="BY114" s="41"/>
    </row>
    <row r="115" spans="1:77">
      <c r="A115" s="148">
        <v>2.0699999999999998</v>
      </c>
      <c r="B115" s="141" t="s">
        <v>381</v>
      </c>
      <c r="C115" s="86" t="s">
        <v>459</v>
      </c>
      <c r="D115" s="133" t="s">
        <v>157</v>
      </c>
      <c r="E115" s="80" t="s">
        <v>157</v>
      </c>
      <c r="F115" s="46" t="s">
        <v>157</v>
      </c>
      <c r="G115" s="46" t="s">
        <v>947</v>
      </c>
      <c r="H115" s="46" t="s">
        <v>948</v>
      </c>
      <c r="I115" s="46" t="s">
        <v>3377</v>
      </c>
      <c r="J115" s="46" t="s">
        <v>3321</v>
      </c>
      <c r="K115" s="46" t="s">
        <v>157</v>
      </c>
      <c r="L115" s="46">
        <v>8</v>
      </c>
      <c r="N115" s="46" t="s">
        <v>3476</v>
      </c>
      <c r="O115" s="46" t="s">
        <v>157</v>
      </c>
      <c r="P115" s="46">
        <v>5</v>
      </c>
      <c r="R115" s="46" t="s">
        <v>3619</v>
      </c>
      <c r="S115" s="46" t="s">
        <v>157</v>
      </c>
      <c r="T115" s="46">
        <v>5</v>
      </c>
      <c r="V115" s="46" t="s">
        <v>1153</v>
      </c>
      <c r="W115" s="46" t="s">
        <v>1579</v>
      </c>
      <c r="X115" s="46" t="s">
        <v>1413</v>
      </c>
      <c r="Y115" s="46" t="s">
        <v>1597</v>
      </c>
      <c r="Z115" s="46">
        <v>15</v>
      </c>
      <c r="AA115" s="46">
        <v>96.9</v>
      </c>
      <c r="AB115" s="46">
        <v>9</v>
      </c>
      <c r="AC115" s="46" t="s">
        <v>1430</v>
      </c>
      <c r="AD115" s="46" t="s">
        <v>1598</v>
      </c>
      <c r="AE115" s="46" t="s">
        <v>947</v>
      </c>
      <c r="AF115" s="46" t="s">
        <v>947</v>
      </c>
      <c r="AG115" s="46" t="s">
        <v>1599</v>
      </c>
      <c r="AH115" s="46" t="s">
        <v>2416</v>
      </c>
      <c r="AI115" s="46" t="s">
        <v>2404</v>
      </c>
      <c r="AJ115" s="46" t="s">
        <v>2562</v>
      </c>
      <c r="AK115" s="46">
        <v>9</v>
      </c>
      <c r="AL115" s="46">
        <v>99</v>
      </c>
      <c r="AM115" s="46">
        <v>3</v>
      </c>
      <c r="AN115" s="46" t="s">
        <v>2406</v>
      </c>
      <c r="AO115" s="46" t="s">
        <v>2563</v>
      </c>
      <c r="AP115" s="46" t="s">
        <v>2566</v>
      </c>
      <c r="AQ115" s="46" t="s">
        <v>948</v>
      </c>
      <c r="AR115" s="46" t="s">
        <v>2567</v>
      </c>
      <c r="AT115" s="48" t="s">
        <v>157</v>
      </c>
      <c r="AU115" s="41">
        <v>0.13950000000000001</v>
      </c>
      <c r="AV115" s="41" t="s">
        <v>3291</v>
      </c>
      <c r="AW115" s="66">
        <v>1.7390000000000001</v>
      </c>
      <c r="AX115" s="50">
        <v>0.123</v>
      </c>
      <c r="AY115" s="50">
        <v>0.111</v>
      </c>
      <c r="AZ115" s="50">
        <v>0.12</v>
      </c>
      <c r="BA115" s="43"/>
      <c r="BB115" s="50">
        <v>0.112</v>
      </c>
      <c r="BC115" s="50">
        <v>9.9000000000000005E-2</v>
      </c>
      <c r="BD115" s="43"/>
      <c r="BE115" s="41">
        <v>181963.5</v>
      </c>
      <c r="BF115" s="41">
        <v>485184</v>
      </c>
      <c r="BG115" s="51">
        <v>1</v>
      </c>
      <c r="BH115" s="51">
        <v>1</v>
      </c>
      <c r="BI115" s="52" t="s">
        <v>3286</v>
      </c>
      <c r="BJ115" s="41"/>
      <c r="BK115" s="41">
        <v>53687</v>
      </c>
      <c r="BL115" s="41">
        <v>146277</v>
      </c>
      <c r="BM115" s="51">
        <v>1</v>
      </c>
      <c r="BN115" s="51">
        <v>1</v>
      </c>
      <c r="BO115" s="52" t="s">
        <v>3286</v>
      </c>
      <c r="BP115" s="52" t="s">
        <v>3286</v>
      </c>
      <c r="BQ115" s="43"/>
      <c r="BR115" s="41">
        <v>-0.10879999999999999</v>
      </c>
      <c r="BS115" s="41">
        <v>-7.0300000000000001E-2</v>
      </c>
      <c r="BT115" s="52" t="s">
        <v>3288</v>
      </c>
      <c r="BU115" s="52" t="s">
        <v>3288</v>
      </c>
      <c r="BV115" s="41"/>
      <c r="BW115" s="60">
        <v>2.3690000000000002</v>
      </c>
      <c r="BX115" s="54">
        <v>0.35899999999999999</v>
      </c>
      <c r="BY115" s="41"/>
    </row>
    <row r="116" spans="1:77">
      <c r="A116" s="148">
        <v>2.0699999999999998</v>
      </c>
      <c r="B116" s="141" t="s">
        <v>381</v>
      </c>
      <c r="C116" s="86" t="s">
        <v>459</v>
      </c>
      <c r="D116" s="133" t="s">
        <v>158</v>
      </c>
      <c r="E116" s="80" t="s">
        <v>158</v>
      </c>
      <c r="F116" s="46" t="s">
        <v>158</v>
      </c>
      <c r="G116" s="46" t="s">
        <v>965</v>
      </c>
      <c r="H116" s="46" t="s">
        <v>966</v>
      </c>
      <c r="I116" s="46" t="s">
        <v>3377</v>
      </c>
      <c r="J116" s="46" t="s">
        <v>3321</v>
      </c>
      <c r="K116" s="46" t="s">
        <v>158</v>
      </c>
      <c r="L116" s="46">
        <v>8</v>
      </c>
      <c r="N116" s="46" t="s">
        <v>3476</v>
      </c>
      <c r="O116" s="46" t="s">
        <v>158</v>
      </c>
      <c r="P116" s="46">
        <v>5</v>
      </c>
      <c r="R116" s="46" t="s">
        <v>3619</v>
      </c>
      <c r="S116" s="46" t="s">
        <v>158</v>
      </c>
      <c r="T116" s="46">
        <v>5</v>
      </c>
      <c r="V116" s="46" t="s">
        <v>1154</v>
      </c>
      <c r="W116" s="46" t="s">
        <v>1579</v>
      </c>
      <c r="X116" s="46" t="s">
        <v>1413</v>
      </c>
      <c r="Y116" s="46" t="s">
        <v>1594</v>
      </c>
      <c r="Z116" s="46">
        <v>15</v>
      </c>
      <c r="AA116" s="46">
        <v>98.6</v>
      </c>
      <c r="AB116" s="46">
        <v>4</v>
      </c>
      <c r="AC116" s="46" t="s">
        <v>1430</v>
      </c>
      <c r="AD116" s="46" t="s">
        <v>1600</v>
      </c>
      <c r="AE116" s="46" t="s">
        <v>965</v>
      </c>
      <c r="AF116" s="46" t="s">
        <v>965</v>
      </c>
      <c r="AG116" s="46" t="s">
        <v>1601</v>
      </c>
      <c r="AH116" s="46" t="s">
        <v>2416</v>
      </c>
      <c r="AI116" s="46" t="s">
        <v>2404</v>
      </c>
      <c r="AJ116" s="46" t="s">
        <v>2562</v>
      </c>
      <c r="AK116" s="46">
        <v>9</v>
      </c>
      <c r="AL116" s="46">
        <v>97.3</v>
      </c>
      <c r="AM116" s="46">
        <v>8</v>
      </c>
      <c r="AN116" s="46" t="s">
        <v>2406</v>
      </c>
      <c r="AO116" s="46" t="s">
        <v>2563</v>
      </c>
      <c r="AP116" s="46" t="s">
        <v>2568</v>
      </c>
      <c r="AQ116" s="46" t="s">
        <v>966</v>
      </c>
      <c r="AR116" s="46" t="s">
        <v>2569</v>
      </c>
      <c r="AT116" s="48" t="s">
        <v>158</v>
      </c>
      <c r="AU116" s="41">
        <v>0.42149999999999999</v>
      </c>
      <c r="AV116" s="41" t="s">
        <v>3291</v>
      </c>
      <c r="AW116" s="54">
        <v>0.55700000000000005</v>
      </c>
      <c r="AX116" s="50">
        <v>0.154</v>
      </c>
      <c r="AY116" s="50">
        <v>0.13600000000000001</v>
      </c>
      <c r="AZ116" s="50">
        <v>0.14799999999999999</v>
      </c>
      <c r="BA116" s="43"/>
      <c r="BB116" s="50">
        <v>0.114</v>
      </c>
      <c r="BC116" s="50">
        <v>9.4E-2</v>
      </c>
      <c r="BD116" s="43"/>
      <c r="BE116" s="41">
        <v>77676</v>
      </c>
      <c r="BF116" s="41">
        <v>167056</v>
      </c>
      <c r="BG116" s="51">
        <v>1</v>
      </c>
      <c r="BH116" s="51">
        <v>1</v>
      </c>
      <c r="BI116" s="52" t="s">
        <v>3286</v>
      </c>
      <c r="BJ116" s="41"/>
      <c r="BK116" s="41">
        <v>18554</v>
      </c>
      <c r="BL116" s="41">
        <v>52714</v>
      </c>
      <c r="BM116" s="51">
        <v>1</v>
      </c>
      <c r="BN116" s="51">
        <v>1</v>
      </c>
      <c r="BO116" s="52" t="s">
        <v>3286</v>
      </c>
      <c r="BP116" s="52" t="s">
        <v>3286</v>
      </c>
      <c r="BQ116" s="43"/>
      <c r="BR116" s="41">
        <v>-0.107</v>
      </c>
      <c r="BS116" s="41">
        <v>0.20430000000000001</v>
      </c>
      <c r="BT116" s="52" t="s">
        <v>3288</v>
      </c>
      <c r="BU116" s="52" t="s">
        <v>3290</v>
      </c>
      <c r="BV116" s="41"/>
      <c r="BW116" s="59">
        <v>1.0089999999999999</v>
      </c>
      <c r="BX116" s="50">
        <v>0.14799999999999999</v>
      </c>
      <c r="BY116" s="41"/>
    </row>
    <row r="117" spans="1:77">
      <c r="A117" s="148">
        <v>2.0699999999999998</v>
      </c>
      <c r="B117" s="141" t="s">
        <v>381</v>
      </c>
      <c r="C117" s="86" t="s">
        <v>459</v>
      </c>
      <c r="D117" s="133" t="s">
        <v>155</v>
      </c>
      <c r="E117" s="80" t="s">
        <v>159</v>
      </c>
      <c r="F117" s="46" t="s">
        <v>159</v>
      </c>
      <c r="G117" s="46" t="s">
        <v>971</v>
      </c>
      <c r="H117" s="46" t="s">
        <v>972</v>
      </c>
      <c r="I117" s="46" t="s">
        <v>3377</v>
      </c>
      <c r="J117" s="46" t="s">
        <v>3321</v>
      </c>
      <c r="K117" s="46" t="s">
        <v>159</v>
      </c>
      <c r="L117" s="46">
        <v>8</v>
      </c>
      <c r="N117" s="46" t="s">
        <v>3476</v>
      </c>
      <c r="O117" s="46" t="s">
        <v>159</v>
      </c>
      <c r="P117" s="46">
        <v>5</v>
      </c>
      <c r="R117" s="46" t="s">
        <v>3619</v>
      </c>
      <c r="S117" s="46" t="s">
        <v>159</v>
      </c>
      <c r="T117" s="46">
        <v>5</v>
      </c>
      <c r="V117" s="46" t="s">
        <v>1155</v>
      </c>
      <c r="W117" s="46" t="s">
        <v>1579</v>
      </c>
      <c r="X117" s="46" t="s">
        <v>1413</v>
      </c>
      <c r="Y117" s="46" t="s">
        <v>1594</v>
      </c>
      <c r="Z117" s="46">
        <v>15</v>
      </c>
      <c r="AA117" s="46">
        <v>98.3</v>
      </c>
      <c r="AB117" s="46">
        <v>5</v>
      </c>
      <c r="AC117" s="46" t="s">
        <v>1430</v>
      </c>
      <c r="AD117" s="46" t="s">
        <v>1595</v>
      </c>
      <c r="AE117" s="46" t="s">
        <v>971</v>
      </c>
      <c r="AF117" s="46" t="s">
        <v>971</v>
      </c>
      <c r="AG117" s="46" t="s">
        <v>1596</v>
      </c>
      <c r="AH117" s="46" t="s">
        <v>2416</v>
      </c>
      <c r="AI117" s="46" t="s">
        <v>2404</v>
      </c>
      <c r="AJ117" s="46" t="s">
        <v>2562</v>
      </c>
      <c r="AK117" s="46">
        <v>9</v>
      </c>
      <c r="AL117" s="46">
        <v>98.3</v>
      </c>
      <c r="AM117" s="46">
        <v>5</v>
      </c>
      <c r="AN117" s="46" t="s">
        <v>2406</v>
      </c>
      <c r="AO117" s="46" t="s">
        <v>2563</v>
      </c>
      <c r="AP117" s="46" t="s">
        <v>2570</v>
      </c>
      <c r="AQ117" s="46" t="s">
        <v>972</v>
      </c>
      <c r="AR117" s="46" t="s">
        <v>2571</v>
      </c>
      <c r="AT117" s="48" t="s">
        <v>159</v>
      </c>
      <c r="AU117" s="41">
        <v>0.32500000000000001</v>
      </c>
      <c r="AV117" s="41" t="s">
        <v>3291</v>
      </c>
      <c r="AW117" s="53">
        <v>2.02</v>
      </c>
      <c r="AX117" s="50">
        <v>0.16700000000000001</v>
      </c>
      <c r="AY117" s="50">
        <v>0.13700000000000001</v>
      </c>
      <c r="AZ117" s="50">
        <v>0.14699999999999999</v>
      </c>
      <c r="BA117" s="43"/>
      <c r="BB117" s="50">
        <v>0.13300000000000001</v>
      </c>
      <c r="BC117" s="50">
        <v>0.113</v>
      </c>
      <c r="BD117" s="43"/>
      <c r="BE117" s="41">
        <v>77605</v>
      </c>
      <c r="BF117" s="41">
        <v>261048</v>
      </c>
      <c r="BG117" s="51">
        <v>1</v>
      </c>
      <c r="BH117" s="51">
        <v>1</v>
      </c>
      <c r="BI117" s="52" t="s">
        <v>3286</v>
      </c>
      <c r="BJ117" s="41"/>
      <c r="BK117" s="41">
        <v>29338</v>
      </c>
      <c r="BL117" s="41">
        <v>78457</v>
      </c>
      <c r="BM117" s="51">
        <v>1</v>
      </c>
      <c r="BN117" s="51">
        <v>1</v>
      </c>
      <c r="BO117" s="52" t="s">
        <v>3286</v>
      </c>
      <c r="BP117" s="52" t="s">
        <v>3286</v>
      </c>
      <c r="BQ117" s="43"/>
      <c r="BR117" s="41">
        <v>-9.7799999999999998E-2</v>
      </c>
      <c r="BS117" s="41">
        <v>-6.4199999999999993E-2</v>
      </c>
      <c r="BT117" s="52" t="s">
        <v>3288</v>
      </c>
      <c r="BU117" s="52" t="s">
        <v>3288</v>
      </c>
      <c r="BV117" s="41"/>
      <c r="BW117" s="65">
        <v>2.13</v>
      </c>
      <c r="BX117" s="50">
        <v>0.13800000000000001</v>
      </c>
      <c r="BY117" s="41"/>
    </row>
    <row r="118" spans="1:77">
      <c r="A118" s="148">
        <v>2.0699999999999998</v>
      </c>
      <c r="B118" s="141" t="s">
        <v>381</v>
      </c>
      <c r="C118" s="86" t="s">
        <v>459</v>
      </c>
      <c r="D118" s="133" t="s">
        <v>155</v>
      </c>
      <c r="E118" s="80" t="s">
        <v>160</v>
      </c>
      <c r="F118" s="46" t="s">
        <v>160</v>
      </c>
      <c r="G118" s="46" t="s">
        <v>971</v>
      </c>
      <c r="H118" s="46" t="s">
        <v>977</v>
      </c>
      <c r="I118" s="46" t="s">
        <v>3377</v>
      </c>
      <c r="J118" s="46" t="s">
        <v>3321</v>
      </c>
      <c r="K118" s="46" t="s">
        <v>160</v>
      </c>
      <c r="L118" s="46">
        <v>8</v>
      </c>
      <c r="N118" s="46" t="s">
        <v>3476</v>
      </c>
      <c r="O118" s="46" t="s">
        <v>160</v>
      </c>
      <c r="P118" s="46">
        <v>5</v>
      </c>
      <c r="R118" s="46" t="s">
        <v>3619</v>
      </c>
      <c r="S118" s="46" t="s">
        <v>160</v>
      </c>
      <c r="T118" s="46">
        <v>5</v>
      </c>
      <c r="V118" s="46" t="s">
        <v>1156</v>
      </c>
      <c r="W118" s="46" t="s">
        <v>1579</v>
      </c>
      <c r="X118" s="46" t="s">
        <v>1413</v>
      </c>
      <c r="Y118" s="46" t="s">
        <v>1594</v>
      </c>
      <c r="Z118" s="46">
        <v>15</v>
      </c>
      <c r="AA118" s="46">
        <v>98.3</v>
      </c>
      <c r="AB118" s="46">
        <v>5</v>
      </c>
      <c r="AC118" s="46" t="s">
        <v>1430</v>
      </c>
      <c r="AD118" s="46" t="s">
        <v>1595</v>
      </c>
      <c r="AE118" s="46" t="s">
        <v>971</v>
      </c>
      <c r="AF118" s="46" t="s">
        <v>971</v>
      </c>
      <c r="AG118" s="46" t="s">
        <v>1596</v>
      </c>
      <c r="AH118" s="46" t="s">
        <v>2416</v>
      </c>
      <c r="AI118" s="46" t="s">
        <v>2404</v>
      </c>
      <c r="AJ118" s="46" t="s">
        <v>2562</v>
      </c>
      <c r="AK118" s="46">
        <v>9</v>
      </c>
      <c r="AL118" s="46">
        <v>99</v>
      </c>
      <c r="AM118" s="46">
        <v>3</v>
      </c>
      <c r="AN118" s="46" t="s">
        <v>2406</v>
      </c>
      <c r="AO118" s="46" t="s">
        <v>2563</v>
      </c>
      <c r="AP118" s="46" t="s">
        <v>2572</v>
      </c>
      <c r="AQ118" s="46" t="s">
        <v>977</v>
      </c>
      <c r="AR118" s="46" t="s">
        <v>2573</v>
      </c>
      <c r="AT118" s="48" t="s">
        <v>160</v>
      </c>
      <c r="AU118" s="41">
        <v>0.3397</v>
      </c>
      <c r="AV118" s="41"/>
      <c r="AW118" s="59">
        <v>1.0780000000000001</v>
      </c>
      <c r="AX118" s="50">
        <v>0.153</v>
      </c>
      <c r="AY118" s="50">
        <v>0.128</v>
      </c>
      <c r="AZ118" s="50">
        <v>0.13900000000000001</v>
      </c>
      <c r="BA118" s="43"/>
      <c r="BB118" s="50">
        <v>0.126</v>
      </c>
      <c r="BC118" s="50">
        <v>9.5000000000000001E-2</v>
      </c>
      <c r="BD118" s="43"/>
      <c r="BE118" s="41">
        <v>141443</v>
      </c>
      <c r="BF118" s="41">
        <v>265345</v>
      </c>
      <c r="BG118" s="51">
        <v>1</v>
      </c>
      <c r="BH118" s="51">
        <v>1</v>
      </c>
      <c r="BI118" s="52" t="s">
        <v>3286</v>
      </c>
      <c r="BJ118" s="41"/>
      <c r="BK118" s="41">
        <v>45013</v>
      </c>
      <c r="BL118" s="41">
        <v>83466</v>
      </c>
      <c r="BM118" s="51">
        <v>1</v>
      </c>
      <c r="BN118" s="51">
        <v>1</v>
      </c>
      <c r="BO118" s="52" t="s">
        <v>3286</v>
      </c>
      <c r="BP118" s="52" t="s">
        <v>3286</v>
      </c>
      <c r="BQ118" s="43"/>
      <c r="BR118" s="41">
        <v>-0.12820000000000001</v>
      </c>
      <c r="BS118" s="41">
        <v>-6.1800000000000001E-2</v>
      </c>
      <c r="BT118" s="52" t="s">
        <v>3288</v>
      </c>
      <c r="BU118" s="52" t="s">
        <v>3288</v>
      </c>
      <c r="BV118" s="41"/>
      <c r="BW118" s="53">
        <v>1.8879999999999999</v>
      </c>
      <c r="BX118" s="50">
        <v>0.188</v>
      </c>
      <c r="BY118" s="41"/>
    </row>
    <row r="119" spans="1:77">
      <c r="A119" s="148">
        <v>2.0699999999999998</v>
      </c>
      <c r="B119" s="141" t="s">
        <v>381</v>
      </c>
      <c r="C119" s="86" t="s">
        <v>459</v>
      </c>
      <c r="D119" s="133" t="s">
        <v>152</v>
      </c>
      <c r="E119" s="80" t="s">
        <v>152</v>
      </c>
      <c r="F119" s="46" t="s">
        <v>152</v>
      </c>
      <c r="G119" s="46" t="s">
        <v>763</v>
      </c>
      <c r="H119" s="46" t="s">
        <v>764</v>
      </c>
      <c r="I119" s="46" t="s">
        <v>3377</v>
      </c>
      <c r="J119" s="46" t="s">
        <v>3321</v>
      </c>
      <c r="K119" s="46" t="s">
        <v>152</v>
      </c>
      <c r="L119" s="46">
        <v>8</v>
      </c>
      <c r="N119" s="46" t="s">
        <v>3401</v>
      </c>
      <c r="O119" s="46" t="s">
        <v>152</v>
      </c>
      <c r="P119" s="46">
        <v>3</v>
      </c>
      <c r="R119" s="46" t="s">
        <v>3525</v>
      </c>
      <c r="S119" s="46" t="s">
        <v>152</v>
      </c>
      <c r="T119" s="46">
        <v>3</v>
      </c>
      <c r="V119" s="46" t="s">
        <v>1148</v>
      </c>
      <c r="W119" s="46" t="s">
        <v>1579</v>
      </c>
      <c r="X119" s="46" t="s">
        <v>1413</v>
      </c>
      <c r="Y119" s="46" t="s">
        <v>1580</v>
      </c>
      <c r="Z119" s="46">
        <v>15</v>
      </c>
      <c r="AA119" s="46">
        <v>95.2</v>
      </c>
      <c r="AB119" s="46">
        <v>14</v>
      </c>
      <c r="AC119" s="46" t="s">
        <v>1474</v>
      </c>
      <c r="AD119" s="46" t="s">
        <v>1581</v>
      </c>
      <c r="AE119" s="46" t="s">
        <v>1582</v>
      </c>
      <c r="AF119" s="46" t="s">
        <v>763</v>
      </c>
      <c r="AG119" s="46" t="s">
        <v>1583</v>
      </c>
      <c r="AH119" s="46" t="s">
        <v>2416</v>
      </c>
      <c r="AI119" s="46" t="s">
        <v>2404</v>
      </c>
      <c r="AJ119" s="46" t="s">
        <v>2547</v>
      </c>
      <c r="AK119" s="46">
        <v>10</v>
      </c>
      <c r="AL119" s="46">
        <v>96</v>
      </c>
      <c r="AM119" s="46">
        <v>12</v>
      </c>
      <c r="AN119" s="46" t="s">
        <v>2406</v>
      </c>
      <c r="AO119" s="46" t="s">
        <v>2548</v>
      </c>
      <c r="AP119" s="46" t="s">
        <v>2549</v>
      </c>
      <c r="AQ119" s="46" t="s">
        <v>764</v>
      </c>
      <c r="AR119" s="46" t="s">
        <v>2550</v>
      </c>
      <c r="AT119" s="48" t="s">
        <v>152</v>
      </c>
      <c r="AU119" s="41">
        <v>0.35599999999999998</v>
      </c>
      <c r="AV119" s="41"/>
      <c r="AW119" s="55">
        <v>3.5259999999999998</v>
      </c>
      <c r="AX119" s="50">
        <v>0.12</v>
      </c>
      <c r="AY119" s="50">
        <v>0.11799999999999999</v>
      </c>
      <c r="AZ119" s="50">
        <v>0.124</v>
      </c>
      <c r="BA119" s="43"/>
      <c r="BB119" s="50">
        <v>9.6000000000000002E-2</v>
      </c>
      <c r="BC119" s="50">
        <v>7.8E-2</v>
      </c>
      <c r="BD119" s="43"/>
      <c r="BE119" s="41">
        <v>161898</v>
      </c>
      <c r="BF119" s="41">
        <v>298423.5</v>
      </c>
      <c r="BG119" s="51">
        <v>1</v>
      </c>
      <c r="BH119" s="51">
        <v>1</v>
      </c>
      <c r="BI119" s="52" t="s">
        <v>3286</v>
      </c>
      <c r="BJ119" s="41"/>
      <c r="BK119" s="41">
        <v>17383</v>
      </c>
      <c r="BL119" s="41">
        <v>42443</v>
      </c>
      <c r="BM119" s="51">
        <v>1</v>
      </c>
      <c r="BN119" s="51">
        <v>1</v>
      </c>
      <c r="BO119" s="52" t="s">
        <v>3286</v>
      </c>
      <c r="BP119" s="52" t="s">
        <v>3286</v>
      </c>
      <c r="BQ119" s="43"/>
      <c r="BR119" s="41">
        <v>-1.78E-2</v>
      </c>
      <c r="BS119" s="41">
        <v>-7.6E-3</v>
      </c>
      <c r="BT119" s="52" t="s">
        <v>3288</v>
      </c>
      <c r="BU119" s="52" t="s">
        <v>3288</v>
      </c>
      <c r="BV119" s="41"/>
      <c r="BW119" s="49">
        <v>3.2069999999999999</v>
      </c>
      <c r="BX119" s="60">
        <v>2.5019999999999998</v>
      </c>
      <c r="BY119" s="41"/>
    </row>
    <row r="120" spans="1:77">
      <c r="A120" s="148">
        <v>2.0699999999999998</v>
      </c>
      <c r="B120" s="141" t="s">
        <v>381</v>
      </c>
      <c r="C120" s="86" t="s">
        <v>459</v>
      </c>
      <c r="D120" s="133" t="s">
        <v>153</v>
      </c>
      <c r="E120" s="80" t="s">
        <v>153</v>
      </c>
      <c r="F120" s="46" t="s">
        <v>153</v>
      </c>
      <c r="G120" s="46" t="s">
        <v>765</v>
      </c>
      <c r="H120" s="46" t="s">
        <v>766</v>
      </c>
      <c r="I120" s="46" t="s">
        <v>3377</v>
      </c>
      <c r="J120" s="46" t="s">
        <v>3321</v>
      </c>
      <c r="K120" s="46" t="s">
        <v>153</v>
      </c>
      <c r="L120" s="46">
        <v>8</v>
      </c>
      <c r="N120" s="46" t="s">
        <v>3401</v>
      </c>
      <c r="O120" s="46" t="s">
        <v>153</v>
      </c>
      <c r="P120" s="46">
        <v>3</v>
      </c>
      <c r="R120" s="46" t="s">
        <v>3525</v>
      </c>
      <c r="S120" s="46" t="s">
        <v>153</v>
      </c>
      <c r="T120" s="46">
        <v>3</v>
      </c>
      <c r="V120" s="46" t="s">
        <v>1149</v>
      </c>
      <c r="W120" s="46" t="s">
        <v>1579</v>
      </c>
      <c r="X120" s="46" t="s">
        <v>1413</v>
      </c>
      <c r="Y120" s="46" t="s">
        <v>1584</v>
      </c>
      <c r="Z120" s="46">
        <v>15</v>
      </c>
      <c r="AA120" s="46">
        <v>99.7</v>
      </c>
      <c r="AB120" s="46">
        <v>1</v>
      </c>
      <c r="AC120" s="46" t="s">
        <v>1474</v>
      </c>
      <c r="AD120" s="46" t="s">
        <v>1585</v>
      </c>
      <c r="AE120" s="46" t="s">
        <v>596</v>
      </c>
      <c r="AF120" s="46" t="s">
        <v>765</v>
      </c>
      <c r="AG120" s="46" t="s">
        <v>1586</v>
      </c>
      <c r="AH120" s="46" t="s">
        <v>2416</v>
      </c>
      <c r="AI120" s="46" t="s">
        <v>2404</v>
      </c>
      <c r="AJ120" s="46" t="s">
        <v>2547</v>
      </c>
      <c r="AK120" s="46">
        <v>10</v>
      </c>
      <c r="AL120" s="46">
        <v>99.7</v>
      </c>
      <c r="AM120" s="46">
        <v>1</v>
      </c>
      <c r="AN120" s="46" t="s">
        <v>2406</v>
      </c>
      <c r="AO120" s="46" t="s">
        <v>2551</v>
      </c>
      <c r="AP120" s="46" t="s">
        <v>2552</v>
      </c>
      <c r="AQ120" s="46" t="s">
        <v>766</v>
      </c>
      <c r="AR120" s="46" t="s">
        <v>2553</v>
      </c>
      <c r="AT120" s="48" t="s">
        <v>153</v>
      </c>
      <c r="AU120" s="41">
        <v>0.4007</v>
      </c>
      <c r="AV120" s="41"/>
      <c r="AW120" s="50">
        <v>0.20300000000000001</v>
      </c>
      <c r="AX120" s="50">
        <v>0.13</v>
      </c>
      <c r="AY120" s="50">
        <v>0.124</v>
      </c>
      <c r="AZ120" s="50">
        <v>0.13800000000000001</v>
      </c>
      <c r="BA120" s="43"/>
      <c r="BB120" s="50">
        <v>9.6000000000000002E-2</v>
      </c>
      <c r="BC120" s="50">
        <v>8.5000000000000006E-2</v>
      </c>
      <c r="BD120" s="43"/>
      <c r="BE120" s="41">
        <v>141395</v>
      </c>
      <c r="BF120" s="41">
        <v>210114</v>
      </c>
      <c r="BG120" s="51">
        <v>1</v>
      </c>
      <c r="BH120" s="51">
        <v>1</v>
      </c>
      <c r="BI120" s="52" t="s">
        <v>3286</v>
      </c>
      <c r="BJ120" s="41"/>
      <c r="BK120" s="41">
        <v>11461</v>
      </c>
      <c r="BL120" s="41">
        <v>31614</v>
      </c>
      <c r="BM120" s="51">
        <v>1</v>
      </c>
      <c r="BN120" s="51">
        <v>1</v>
      </c>
      <c r="BO120" s="52" t="s">
        <v>3286</v>
      </c>
      <c r="BP120" s="52" t="s">
        <v>3286</v>
      </c>
      <c r="BQ120" s="43"/>
      <c r="BR120" s="41">
        <v>-2.06E-2</v>
      </c>
      <c r="BS120" s="41">
        <v>-1.0999999999999999E-2</v>
      </c>
      <c r="BT120" s="52" t="s">
        <v>3288</v>
      </c>
      <c r="BU120" s="52" t="s">
        <v>3288</v>
      </c>
      <c r="BV120" s="41"/>
      <c r="BW120" s="50">
        <v>0.21</v>
      </c>
      <c r="BX120" s="50">
        <v>0.104</v>
      </c>
      <c r="BY120" s="41"/>
    </row>
    <row r="121" spans="1:77" ht="17" thickBot="1">
      <c r="A121" s="148">
        <v>2.0699999999999998</v>
      </c>
      <c r="B121" s="141" t="s">
        <v>381</v>
      </c>
      <c r="C121" s="86" t="s">
        <v>459</v>
      </c>
      <c r="D121" s="133" t="s">
        <v>154</v>
      </c>
      <c r="E121" s="80" t="s">
        <v>154</v>
      </c>
      <c r="F121" s="46" t="s">
        <v>154</v>
      </c>
      <c r="G121" s="46" t="s">
        <v>505</v>
      </c>
      <c r="H121" s="46" t="s">
        <v>506</v>
      </c>
      <c r="I121" s="46" t="s">
        <v>3377</v>
      </c>
      <c r="J121" s="46" t="s">
        <v>3321</v>
      </c>
      <c r="K121" s="46" t="s">
        <v>154</v>
      </c>
      <c r="L121" s="46">
        <v>8</v>
      </c>
      <c r="N121" s="46" t="s">
        <v>3401</v>
      </c>
      <c r="O121" s="46" t="s">
        <v>154</v>
      </c>
      <c r="P121" s="46">
        <v>3</v>
      </c>
      <c r="R121" s="46" t="s">
        <v>3525</v>
      </c>
      <c r="S121" s="46" t="s">
        <v>154</v>
      </c>
      <c r="T121" s="46">
        <v>3</v>
      </c>
      <c r="V121" s="46" t="s">
        <v>1151</v>
      </c>
      <c r="W121" s="46" t="s">
        <v>1579</v>
      </c>
      <c r="X121" s="46" t="s">
        <v>1413</v>
      </c>
      <c r="Y121" s="46" t="s">
        <v>1591</v>
      </c>
      <c r="Z121" s="46">
        <v>15</v>
      </c>
      <c r="AA121" s="46">
        <v>100</v>
      </c>
      <c r="AB121" s="46">
        <v>0</v>
      </c>
      <c r="AC121" s="46" t="s">
        <v>1474</v>
      </c>
      <c r="AD121" s="46" t="s">
        <v>1592</v>
      </c>
      <c r="AE121" s="46" t="s">
        <v>505</v>
      </c>
      <c r="AF121" s="46" t="s">
        <v>505</v>
      </c>
      <c r="AG121" s="46" t="s">
        <v>1593</v>
      </c>
      <c r="AH121" s="46" t="s">
        <v>2416</v>
      </c>
      <c r="AI121" s="46" t="s">
        <v>2404</v>
      </c>
      <c r="AJ121" s="46" t="s">
        <v>2558</v>
      </c>
      <c r="AK121" s="46">
        <v>10</v>
      </c>
      <c r="AL121" s="46">
        <v>100</v>
      </c>
      <c r="AM121" s="46">
        <v>0</v>
      </c>
      <c r="AN121" s="46" t="s">
        <v>2406</v>
      </c>
      <c r="AO121" s="46" t="s">
        <v>2559</v>
      </c>
      <c r="AP121" s="46" t="s">
        <v>2560</v>
      </c>
      <c r="AQ121" s="46" t="s">
        <v>506</v>
      </c>
      <c r="AR121" s="46" t="s">
        <v>2561</v>
      </c>
      <c r="AT121" s="48" t="s">
        <v>154</v>
      </c>
      <c r="AU121" s="41">
        <v>0.5091</v>
      </c>
      <c r="AV121" s="41" t="s">
        <v>3291</v>
      </c>
      <c r="AW121" s="50">
        <v>0.14199999999999999</v>
      </c>
      <c r="AX121" s="50">
        <v>0.127</v>
      </c>
      <c r="AY121" s="50">
        <v>0.159</v>
      </c>
      <c r="AZ121" s="50">
        <v>0.16200000000000001</v>
      </c>
      <c r="BA121" s="43"/>
      <c r="BB121" s="50">
        <v>9.9000000000000005E-2</v>
      </c>
      <c r="BC121" s="50">
        <v>8.1000000000000003E-2</v>
      </c>
      <c r="BD121" s="43"/>
      <c r="BE121" s="41">
        <v>41412</v>
      </c>
      <c r="BF121" s="41">
        <v>115110</v>
      </c>
      <c r="BG121" s="51">
        <v>1</v>
      </c>
      <c r="BH121" s="51">
        <v>1</v>
      </c>
      <c r="BI121" s="52" t="s">
        <v>3286</v>
      </c>
      <c r="BJ121" s="41"/>
      <c r="BK121" s="41">
        <v>31760.5</v>
      </c>
      <c r="BL121" s="41">
        <v>10459</v>
      </c>
      <c r="BM121" s="51">
        <v>1</v>
      </c>
      <c r="BN121" s="51">
        <v>1</v>
      </c>
      <c r="BO121" s="52" t="s">
        <v>3285</v>
      </c>
      <c r="BP121" s="52" t="s">
        <v>3287</v>
      </c>
      <c r="BQ121" s="43"/>
      <c r="BR121" s="41">
        <v>-7.5300000000000006E-2</v>
      </c>
      <c r="BS121" s="41">
        <v>-1.2800000000000001E-2</v>
      </c>
      <c r="BT121" s="52" t="s">
        <v>3288</v>
      </c>
      <c r="BU121" s="52" t="s">
        <v>3288</v>
      </c>
      <c r="BV121" s="41"/>
      <c r="BW121" s="50">
        <v>0.14899999999999999</v>
      </c>
      <c r="BX121" s="50">
        <v>9.8000000000000004E-2</v>
      </c>
      <c r="BY121" s="41"/>
    </row>
    <row r="122" spans="1:77" s="81" customFormat="1">
      <c r="A122" s="147">
        <v>2.08</v>
      </c>
      <c r="B122" s="140" t="s">
        <v>374</v>
      </c>
      <c r="C122" s="120" t="s">
        <v>452</v>
      </c>
      <c r="D122" s="132" t="s">
        <v>124</v>
      </c>
      <c r="E122" s="82" t="s">
        <v>124</v>
      </c>
      <c r="F122" s="81" t="s">
        <v>124</v>
      </c>
      <c r="G122" s="81" t="s">
        <v>602</v>
      </c>
      <c r="H122" s="81" t="s">
        <v>604</v>
      </c>
      <c r="I122" s="81" t="s">
        <v>3377</v>
      </c>
      <c r="J122" s="81" t="s">
        <v>3340</v>
      </c>
      <c r="K122" s="81" t="s">
        <v>124</v>
      </c>
      <c r="L122" s="81">
        <v>7</v>
      </c>
      <c r="N122" s="81" t="s">
        <v>3428</v>
      </c>
      <c r="O122" s="81" t="s">
        <v>124</v>
      </c>
      <c r="P122" s="81">
        <v>3</v>
      </c>
      <c r="R122" s="81" t="s">
        <v>3430</v>
      </c>
      <c r="S122" s="81" t="s">
        <v>124</v>
      </c>
      <c r="T122" s="81">
        <v>3</v>
      </c>
      <c r="V122" s="81" t="s">
        <v>1127</v>
      </c>
      <c r="W122" s="81" t="s">
        <v>1502</v>
      </c>
      <c r="X122" s="81" t="s">
        <v>1413</v>
      </c>
      <c r="Y122" s="81" t="s">
        <v>1503</v>
      </c>
      <c r="Z122" s="81">
        <v>16</v>
      </c>
      <c r="AA122" s="81">
        <v>96.6</v>
      </c>
      <c r="AB122" s="81">
        <v>10</v>
      </c>
      <c r="AC122" s="81" t="s">
        <v>1454</v>
      </c>
      <c r="AD122" s="81" t="s">
        <v>1504</v>
      </c>
      <c r="AE122" s="81" t="s">
        <v>602</v>
      </c>
      <c r="AF122" s="81" t="s">
        <v>602</v>
      </c>
      <c r="AG122" s="81" t="s">
        <v>1505</v>
      </c>
      <c r="AH122" s="81" t="s">
        <v>2475</v>
      </c>
      <c r="AI122" s="81" t="s">
        <v>2411</v>
      </c>
      <c r="AJ122" s="81" t="s">
        <v>2476</v>
      </c>
      <c r="AK122" s="81">
        <v>9</v>
      </c>
      <c r="AL122" s="81">
        <v>96.5</v>
      </c>
      <c r="AM122" s="81">
        <v>10</v>
      </c>
      <c r="AN122" s="81" t="s">
        <v>2406</v>
      </c>
      <c r="AO122" s="81" t="s">
        <v>2477</v>
      </c>
      <c r="AP122" s="81" t="s">
        <v>604</v>
      </c>
      <c r="AQ122" s="81" t="s">
        <v>604</v>
      </c>
      <c r="AR122" s="81" t="s">
        <v>2478</v>
      </c>
      <c r="AT122" s="83" t="s">
        <v>124</v>
      </c>
      <c r="AU122" s="33">
        <v>0.17799999999999999</v>
      </c>
      <c r="AV122" s="33"/>
      <c r="AW122" s="111">
        <v>3.585</v>
      </c>
      <c r="AX122" s="112">
        <v>0.23</v>
      </c>
      <c r="AY122" s="112">
        <v>0.26</v>
      </c>
      <c r="AZ122" s="112">
        <v>0.13300000000000001</v>
      </c>
      <c r="BA122" s="39"/>
      <c r="BB122" s="100">
        <v>3.5419999999999998</v>
      </c>
      <c r="BC122" s="105">
        <v>2.5150000000000001</v>
      </c>
      <c r="BD122" s="34"/>
      <c r="BE122" s="33">
        <v>18022</v>
      </c>
      <c r="BF122" s="33">
        <v>90007</v>
      </c>
      <c r="BG122" s="88">
        <v>1</v>
      </c>
      <c r="BH122" s="88">
        <v>1</v>
      </c>
      <c r="BI122" s="89" t="s">
        <v>3286</v>
      </c>
      <c r="BJ122" s="33"/>
      <c r="BK122" s="33">
        <v>4878.5</v>
      </c>
      <c r="BL122" s="33">
        <v>2320</v>
      </c>
      <c r="BM122" s="88">
        <v>1</v>
      </c>
      <c r="BN122" s="88">
        <v>0</v>
      </c>
      <c r="BO122" s="89" t="s">
        <v>3285</v>
      </c>
      <c r="BP122" s="89" t="s">
        <v>3287</v>
      </c>
      <c r="BQ122" s="34"/>
      <c r="BR122" s="33">
        <v>2.46E-2</v>
      </c>
      <c r="BS122" s="33">
        <v>-0.11799999999999999</v>
      </c>
      <c r="BT122" s="89" t="s">
        <v>3288</v>
      </c>
      <c r="BU122" s="89" t="s">
        <v>3288</v>
      </c>
      <c r="BV122" s="33"/>
      <c r="BW122" s="101">
        <v>2.7450000000000001</v>
      </c>
      <c r="BX122" s="100">
        <v>3.423</v>
      </c>
      <c r="BY122" s="33"/>
    </row>
    <row r="123" spans="1:77">
      <c r="A123" s="148">
        <v>2.08</v>
      </c>
      <c r="B123" s="141" t="s">
        <v>374</v>
      </c>
      <c r="C123" s="86" t="s">
        <v>452</v>
      </c>
      <c r="D123" s="133" t="s">
        <v>126</v>
      </c>
      <c r="E123" s="80" t="s">
        <v>127</v>
      </c>
      <c r="F123" s="46" t="s">
        <v>127</v>
      </c>
      <c r="G123" s="46" t="s">
        <v>668</v>
      </c>
      <c r="H123" s="46" t="s">
        <v>669</v>
      </c>
      <c r="I123" s="46" t="s">
        <v>3377</v>
      </c>
      <c r="J123" s="46" t="s">
        <v>3340</v>
      </c>
      <c r="K123" s="46" t="s">
        <v>127</v>
      </c>
      <c r="L123" s="46">
        <v>7</v>
      </c>
      <c r="N123" s="46" t="s">
        <v>3428</v>
      </c>
      <c r="O123" s="46" t="s">
        <v>127</v>
      </c>
      <c r="P123" s="46">
        <v>3</v>
      </c>
      <c r="R123" s="46" t="s">
        <v>3430</v>
      </c>
      <c r="S123" s="46" t="s">
        <v>127</v>
      </c>
      <c r="T123" s="46">
        <v>3</v>
      </c>
      <c r="V123" s="46" t="s">
        <v>1129</v>
      </c>
      <c r="W123" s="46" t="s">
        <v>1502</v>
      </c>
      <c r="X123" s="46" t="s">
        <v>1413</v>
      </c>
      <c r="Y123" s="46" t="s">
        <v>1514</v>
      </c>
      <c r="Z123" s="46">
        <v>16</v>
      </c>
      <c r="AA123" s="46">
        <v>95.3</v>
      </c>
      <c r="AB123" s="46">
        <v>14</v>
      </c>
      <c r="AC123" s="46" t="s">
        <v>1454</v>
      </c>
      <c r="AD123" s="46" t="s">
        <v>1515</v>
      </c>
      <c r="AE123" s="46" t="s">
        <v>668</v>
      </c>
      <c r="AF123" s="46" t="s">
        <v>668</v>
      </c>
      <c r="AG123" s="46" t="s">
        <v>1516</v>
      </c>
      <c r="AH123" s="46" t="s">
        <v>2475</v>
      </c>
      <c r="AI123" s="46" t="s">
        <v>2411</v>
      </c>
      <c r="AJ123" s="46" t="s">
        <v>2476</v>
      </c>
      <c r="AK123" s="46">
        <v>9</v>
      </c>
      <c r="AL123" s="46">
        <v>95.8</v>
      </c>
      <c r="AM123" s="46">
        <v>12</v>
      </c>
      <c r="AN123" s="46" t="s">
        <v>2406</v>
      </c>
      <c r="AO123" s="46" t="s">
        <v>2477</v>
      </c>
      <c r="AP123" s="46" t="s">
        <v>669</v>
      </c>
      <c r="AQ123" s="46" t="s">
        <v>669</v>
      </c>
      <c r="AR123" s="46" t="s">
        <v>2488</v>
      </c>
      <c r="AT123" s="48" t="s">
        <v>127</v>
      </c>
      <c r="AU123" s="41">
        <v>0.34899999999999998</v>
      </c>
      <c r="AV123" s="41"/>
      <c r="AW123" s="61">
        <v>3.6269999999999998</v>
      </c>
      <c r="AX123" s="69">
        <v>1.8440000000000001</v>
      </c>
      <c r="AY123" s="62">
        <v>0.71199999999999997</v>
      </c>
      <c r="AZ123" s="63">
        <v>0.154</v>
      </c>
      <c r="BA123" s="42"/>
      <c r="BB123" s="55">
        <v>3.5230000000000001</v>
      </c>
      <c r="BC123" s="49">
        <v>2.4620000000000002</v>
      </c>
      <c r="BD123" s="43"/>
      <c r="BE123" s="41">
        <v>10464</v>
      </c>
      <c r="BF123" s="41">
        <v>53472</v>
      </c>
      <c r="BG123" s="51">
        <v>1</v>
      </c>
      <c r="BH123" s="51">
        <v>1</v>
      </c>
      <c r="BI123" s="52" t="s">
        <v>3286</v>
      </c>
      <c r="BJ123" s="41"/>
      <c r="BK123" s="41">
        <v>3338</v>
      </c>
      <c r="BL123" s="41">
        <v>55059</v>
      </c>
      <c r="BM123" s="51">
        <v>0</v>
      </c>
      <c r="BN123" s="51">
        <v>1</v>
      </c>
      <c r="BO123" s="52" t="s">
        <v>3286</v>
      </c>
      <c r="BP123" s="52" t="s">
        <v>3286</v>
      </c>
      <c r="BQ123" s="43"/>
      <c r="BR123" s="41">
        <v>5.6599999999999998E-2</v>
      </c>
      <c r="BS123" s="41">
        <v>-7.6499999999999999E-2</v>
      </c>
      <c r="BT123" s="52" t="s">
        <v>3288</v>
      </c>
      <c r="BU123" s="52" t="s">
        <v>3288</v>
      </c>
      <c r="BV123" s="41"/>
      <c r="BW123" s="49">
        <v>3.3450000000000002</v>
      </c>
      <c r="BX123" s="55">
        <v>3.508</v>
      </c>
      <c r="BY123" s="41"/>
    </row>
    <row r="124" spans="1:77">
      <c r="A124" s="148">
        <v>2.08</v>
      </c>
      <c r="B124" s="141" t="s">
        <v>374</v>
      </c>
      <c r="C124" s="86" t="s">
        <v>452</v>
      </c>
      <c r="D124" s="133" t="s">
        <v>128</v>
      </c>
      <c r="E124" s="80" t="s">
        <v>129</v>
      </c>
      <c r="F124" s="46" t="s">
        <v>129</v>
      </c>
      <c r="G124" s="46" t="s">
        <v>674</v>
      </c>
      <c r="H124" s="46" t="s">
        <v>675</v>
      </c>
      <c r="I124" s="46" t="s">
        <v>3377</v>
      </c>
      <c r="J124" s="46" t="s">
        <v>3340</v>
      </c>
      <c r="K124" s="46" t="s">
        <v>129</v>
      </c>
      <c r="L124" s="46">
        <v>7</v>
      </c>
      <c r="N124" s="46" t="s">
        <v>3428</v>
      </c>
      <c r="O124" s="46" t="s">
        <v>129</v>
      </c>
      <c r="P124" s="46">
        <v>3</v>
      </c>
      <c r="R124" s="46" t="s">
        <v>3430</v>
      </c>
      <c r="S124" s="46" t="s">
        <v>129</v>
      </c>
      <c r="T124" s="46">
        <v>3</v>
      </c>
      <c r="V124" s="46" t="s">
        <v>1130</v>
      </c>
      <c r="W124" s="46" t="s">
        <v>1502</v>
      </c>
      <c r="X124" s="46" t="s">
        <v>1413</v>
      </c>
      <c r="Y124" s="46" t="s">
        <v>1517</v>
      </c>
      <c r="Z124" s="46">
        <v>16</v>
      </c>
      <c r="AA124" s="46">
        <v>95.3</v>
      </c>
      <c r="AB124" s="46">
        <v>14</v>
      </c>
      <c r="AC124" s="46" t="s">
        <v>1454</v>
      </c>
      <c r="AD124" s="46" t="s">
        <v>1518</v>
      </c>
      <c r="AE124" s="46" t="s">
        <v>674</v>
      </c>
      <c r="AF124" s="46" t="s">
        <v>674</v>
      </c>
      <c r="AG124" s="46" t="s">
        <v>1519</v>
      </c>
      <c r="AH124" s="46" t="s">
        <v>2475</v>
      </c>
      <c r="AI124" s="46" t="s">
        <v>2411</v>
      </c>
      <c r="AJ124" s="46" t="s">
        <v>2476</v>
      </c>
      <c r="AK124" s="46">
        <v>9</v>
      </c>
      <c r="AL124" s="46">
        <v>96.5</v>
      </c>
      <c r="AM124" s="46">
        <v>10</v>
      </c>
      <c r="AN124" s="46" t="s">
        <v>2406</v>
      </c>
      <c r="AO124" s="46" t="s">
        <v>2477</v>
      </c>
      <c r="AP124" s="46" t="s">
        <v>675</v>
      </c>
      <c r="AQ124" s="46" t="s">
        <v>675</v>
      </c>
      <c r="AR124" s="46" t="s">
        <v>2489</v>
      </c>
      <c r="AT124" s="48" t="s">
        <v>129</v>
      </c>
      <c r="AU124" s="41">
        <v>0.36940000000000001</v>
      </c>
      <c r="AV124" s="41"/>
      <c r="AW124" s="61">
        <v>3.5430000000000001</v>
      </c>
      <c r="AX124" s="69">
        <v>1.917</v>
      </c>
      <c r="AY124" s="72">
        <v>1.5509999999999999</v>
      </c>
      <c r="AZ124" s="63">
        <v>0.152</v>
      </c>
      <c r="BA124" s="42"/>
      <c r="BB124" s="55">
        <v>3.4849999999999999</v>
      </c>
      <c r="BC124" s="49">
        <v>2.3420000000000001</v>
      </c>
      <c r="BD124" s="43"/>
      <c r="BE124" s="41">
        <v>7416</v>
      </c>
      <c r="BF124" s="41">
        <v>46671</v>
      </c>
      <c r="BG124" s="51">
        <v>0</v>
      </c>
      <c r="BH124" s="51">
        <v>1</v>
      </c>
      <c r="BI124" s="52" t="s">
        <v>3286</v>
      </c>
      <c r="BJ124" s="41"/>
      <c r="BK124" s="41">
        <v>3105</v>
      </c>
      <c r="BL124" s="41">
        <v>40765</v>
      </c>
      <c r="BM124" s="51">
        <v>0</v>
      </c>
      <c r="BN124" s="51">
        <v>1</v>
      </c>
      <c r="BO124" s="52" t="s">
        <v>3286</v>
      </c>
      <c r="BP124" s="52" t="s">
        <v>3286</v>
      </c>
      <c r="BQ124" s="43"/>
      <c r="BR124" s="41">
        <v>-1.3599999999999999E-2</v>
      </c>
      <c r="BS124" s="41">
        <v>1.9699999999999999E-2</v>
      </c>
      <c r="BT124" s="52" t="s">
        <v>3288</v>
      </c>
      <c r="BU124" s="52" t="s">
        <v>3288</v>
      </c>
      <c r="BV124" s="41"/>
      <c r="BW124" s="49">
        <v>3.3149999999999999</v>
      </c>
      <c r="BX124" s="55">
        <v>3.4649999999999999</v>
      </c>
      <c r="BY124" s="41"/>
    </row>
    <row r="125" spans="1:77">
      <c r="A125" s="148">
        <v>2.08</v>
      </c>
      <c r="B125" s="141" t="s">
        <v>374</v>
      </c>
      <c r="C125" s="86" t="s">
        <v>452</v>
      </c>
      <c r="D125" s="133" t="s">
        <v>125</v>
      </c>
      <c r="E125" s="80" t="s">
        <v>125</v>
      </c>
      <c r="F125" s="46" t="s">
        <v>125</v>
      </c>
      <c r="G125" s="46" t="s">
        <v>614</v>
      </c>
      <c r="H125" s="46" t="s">
        <v>615</v>
      </c>
      <c r="I125" s="46" t="s">
        <v>3377</v>
      </c>
      <c r="J125" s="46" t="s">
        <v>3340</v>
      </c>
      <c r="K125" s="46" t="s">
        <v>125</v>
      </c>
      <c r="L125" s="46">
        <v>7</v>
      </c>
      <c r="N125" s="46" t="s">
        <v>3430</v>
      </c>
      <c r="O125" s="46" t="s">
        <v>125</v>
      </c>
      <c r="P125" s="46">
        <v>2</v>
      </c>
      <c r="R125" s="46" t="s">
        <v>3559</v>
      </c>
      <c r="S125" s="46" t="s">
        <v>125</v>
      </c>
      <c r="T125" s="46">
        <v>2</v>
      </c>
      <c r="V125" s="46" t="s">
        <v>3298</v>
      </c>
      <c r="W125" s="46" t="s">
        <v>1502</v>
      </c>
      <c r="X125" s="46" t="s">
        <v>1413</v>
      </c>
      <c r="Y125" s="46" t="s">
        <v>1520</v>
      </c>
      <c r="Z125" s="46">
        <v>16</v>
      </c>
      <c r="AA125" s="46">
        <v>95</v>
      </c>
      <c r="AB125" s="46">
        <v>15</v>
      </c>
      <c r="AC125" s="46" t="s">
        <v>1454</v>
      </c>
      <c r="AD125" s="46" t="s">
        <v>3295</v>
      </c>
      <c r="AE125" s="46" t="s">
        <v>614</v>
      </c>
      <c r="AF125" s="46" t="s">
        <v>614</v>
      </c>
      <c r="AG125" s="46" t="s">
        <v>3296</v>
      </c>
      <c r="AH125" s="46" t="s">
        <v>2475</v>
      </c>
      <c r="AI125" s="46" t="s">
        <v>2411</v>
      </c>
      <c r="AJ125" s="46" t="s">
        <v>2490</v>
      </c>
      <c r="AK125" s="46">
        <v>9</v>
      </c>
      <c r="AL125" s="46">
        <v>94.4</v>
      </c>
      <c r="AM125" s="46">
        <v>16</v>
      </c>
      <c r="AN125" s="46" t="s">
        <v>2406</v>
      </c>
      <c r="AO125" s="46" t="s">
        <v>2491</v>
      </c>
      <c r="AP125" s="46" t="s">
        <v>615</v>
      </c>
      <c r="AQ125" s="46" t="s">
        <v>615</v>
      </c>
      <c r="AR125" s="46" t="s">
        <v>3297</v>
      </c>
      <c r="AT125" s="48" t="s">
        <v>125</v>
      </c>
      <c r="AU125" s="41">
        <v>0.25409999999999999</v>
      </c>
      <c r="AV125" s="41"/>
      <c r="AW125" s="61">
        <v>3.59</v>
      </c>
      <c r="AX125" s="61">
        <v>3.56</v>
      </c>
      <c r="AY125" s="61">
        <v>3.5619999999999998</v>
      </c>
      <c r="AZ125" s="63">
        <v>0.13400000000000001</v>
      </c>
      <c r="BA125" s="42"/>
      <c r="BB125" s="55">
        <v>3.6269999999999998</v>
      </c>
      <c r="BC125" s="58">
        <v>2.2999999999999998</v>
      </c>
      <c r="BD125" s="43"/>
      <c r="BE125" s="41">
        <v>9577</v>
      </c>
      <c r="BF125" s="41">
        <v>72247</v>
      </c>
      <c r="BG125" s="51">
        <v>1</v>
      </c>
      <c r="BH125" s="51">
        <v>1</v>
      </c>
      <c r="BI125" s="52" t="s">
        <v>3286</v>
      </c>
      <c r="BJ125" s="41"/>
      <c r="BK125" s="41">
        <v>3835</v>
      </c>
      <c r="BL125" s="41">
        <v>2817</v>
      </c>
      <c r="BM125" s="51">
        <v>0</v>
      </c>
      <c r="BN125" s="51">
        <v>0</v>
      </c>
      <c r="BO125" s="52" t="s">
        <v>3285</v>
      </c>
      <c r="BP125" s="52" t="s">
        <v>3287</v>
      </c>
      <c r="BQ125" s="43"/>
      <c r="BR125" s="41">
        <v>-9.7600000000000006E-2</v>
      </c>
      <c r="BS125" s="41">
        <v>-5.91E-2</v>
      </c>
      <c r="BT125" s="52" t="s">
        <v>3288</v>
      </c>
      <c r="BU125" s="52" t="s">
        <v>3288</v>
      </c>
      <c r="BV125" s="41"/>
      <c r="BW125" s="55">
        <v>3.4369999999999998</v>
      </c>
      <c r="BX125" s="55">
        <v>3.5430000000000001</v>
      </c>
      <c r="BY125" s="41"/>
    </row>
    <row r="126" spans="1:77">
      <c r="A126" s="148">
        <v>2.08</v>
      </c>
      <c r="B126" s="141" t="s">
        <v>374</v>
      </c>
      <c r="C126" s="86" t="s">
        <v>452</v>
      </c>
      <c r="D126" s="133" t="s">
        <v>130</v>
      </c>
      <c r="E126" s="80" t="s">
        <v>131</v>
      </c>
      <c r="F126" s="46" t="s">
        <v>131</v>
      </c>
      <c r="G126" s="46" t="s">
        <v>684</v>
      </c>
      <c r="H126" s="46" t="s">
        <v>685</v>
      </c>
      <c r="I126" s="46" t="s">
        <v>3377</v>
      </c>
      <c r="J126" s="46" t="s">
        <v>3340</v>
      </c>
      <c r="K126" s="46" t="s">
        <v>131</v>
      </c>
      <c r="L126" s="46">
        <v>7</v>
      </c>
      <c r="N126" s="46" t="s">
        <v>3430</v>
      </c>
      <c r="O126" s="46" t="s">
        <v>131</v>
      </c>
      <c r="P126" s="46">
        <v>2</v>
      </c>
      <c r="R126" s="46" t="s">
        <v>3559</v>
      </c>
      <c r="S126" s="46" t="s">
        <v>131</v>
      </c>
      <c r="T126" s="46">
        <v>2</v>
      </c>
      <c r="V126" s="46" t="s">
        <v>1131</v>
      </c>
      <c r="W126" s="46" t="s">
        <v>1502</v>
      </c>
      <c r="X126" s="46" t="s">
        <v>1413</v>
      </c>
      <c r="Y126" s="46" t="s">
        <v>1520</v>
      </c>
      <c r="Z126" s="46">
        <v>16</v>
      </c>
      <c r="AA126" s="46">
        <v>97</v>
      </c>
      <c r="AB126" s="46">
        <v>9</v>
      </c>
      <c r="AC126" s="46" t="s">
        <v>1454</v>
      </c>
      <c r="AD126" s="46" t="s">
        <v>1521</v>
      </c>
      <c r="AE126" s="46" t="s">
        <v>684</v>
      </c>
      <c r="AF126" s="46" t="s">
        <v>684</v>
      </c>
      <c r="AG126" s="46" t="s">
        <v>1522</v>
      </c>
      <c r="AH126" s="46" t="s">
        <v>2475</v>
      </c>
      <c r="AI126" s="46" t="s">
        <v>2411</v>
      </c>
      <c r="AJ126" s="46" t="s">
        <v>2490</v>
      </c>
      <c r="AK126" s="46">
        <v>9</v>
      </c>
      <c r="AL126" s="46">
        <v>94.7</v>
      </c>
      <c r="AM126" s="46">
        <v>15</v>
      </c>
      <c r="AN126" s="46" t="s">
        <v>2406</v>
      </c>
      <c r="AO126" s="46" t="s">
        <v>2491</v>
      </c>
      <c r="AP126" s="46" t="s">
        <v>685</v>
      </c>
      <c r="AQ126" s="46" t="s">
        <v>685</v>
      </c>
      <c r="AR126" s="46" t="s">
        <v>2492</v>
      </c>
      <c r="AT126" s="48" t="s">
        <v>131</v>
      </c>
      <c r="AU126" s="41">
        <v>0.28449999999999998</v>
      </c>
      <c r="AV126" s="41"/>
      <c r="AW126" s="61">
        <v>3.5710000000000002</v>
      </c>
      <c r="AX126" s="71">
        <v>3.2770000000000001</v>
      </c>
      <c r="AY126" s="61">
        <v>3.4940000000000002</v>
      </c>
      <c r="AZ126" s="63">
        <v>0.14599999999999999</v>
      </c>
      <c r="BA126" s="42"/>
      <c r="BB126" s="55">
        <v>3.5059999999999998</v>
      </c>
      <c r="BC126" s="49">
        <v>2.3820000000000001</v>
      </c>
      <c r="BD126" s="43"/>
      <c r="BE126" s="41">
        <v>8394</v>
      </c>
      <c r="BF126" s="41">
        <v>72345</v>
      </c>
      <c r="BG126" s="51">
        <v>1</v>
      </c>
      <c r="BH126" s="51">
        <v>1</v>
      </c>
      <c r="BI126" s="52" t="s">
        <v>3286</v>
      </c>
      <c r="BJ126" s="41"/>
      <c r="BK126" s="41">
        <v>3636</v>
      </c>
      <c r="BL126" s="41">
        <v>17661</v>
      </c>
      <c r="BM126" s="51">
        <v>0</v>
      </c>
      <c r="BN126" s="51">
        <v>1</v>
      </c>
      <c r="BO126" s="52" t="s">
        <v>3286</v>
      </c>
      <c r="BP126" s="52" t="s">
        <v>3286</v>
      </c>
      <c r="BQ126" s="43"/>
      <c r="BR126" s="41">
        <v>-0.15409999999999999</v>
      </c>
      <c r="BS126" s="41">
        <v>-8.9700000000000002E-2</v>
      </c>
      <c r="BT126" s="52" t="s">
        <v>3288</v>
      </c>
      <c r="BU126" s="52" t="s">
        <v>3288</v>
      </c>
      <c r="BV126" s="41"/>
      <c r="BW126" s="49">
        <v>3.37</v>
      </c>
      <c r="BX126" s="55">
        <v>3.5539999999999998</v>
      </c>
      <c r="BY126" s="41"/>
    </row>
    <row r="127" spans="1:77">
      <c r="A127" s="148">
        <v>2.08</v>
      </c>
      <c r="B127" s="141" t="s">
        <v>374</v>
      </c>
      <c r="C127" s="86" t="s">
        <v>452</v>
      </c>
      <c r="D127" s="133" t="s">
        <v>132</v>
      </c>
      <c r="E127" s="80" t="s">
        <v>133</v>
      </c>
      <c r="F127" s="46" t="s">
        <v>132</v>
      </c>
      <c r="G127" s="46" t="s">
        <v>1032</v>
      </c>
      <c r="H127" s="46" t="s">
        <v>1033</v>
      </c>
      <c r="I127" s="46" t="s">
        <v>3377</v>
      </c>
      <c r="J127" s="46" t="s">
        <v>3340</v>
      </c>
      <c r="K127" s="46" t="s">
        <v>132</v>
      </c>
      <c r="L127" s="46">
        <v>7</v>
      </c>
      <c r="N127" s="46" t="s">
        <v>3486</v>
      </c>
      <c r="O127" s="46" t="s">
        <v>132</v>
      </c>
      <c r="P127" s="46">
        <v>2</v>
      </c>
      <c r="R127" s="46" t="s">
        <v>3635</v>
      </c>
      <c r="S127" s="46" t="s">
        <v>132</v>
      </c>
      <c r="T127" s="46">
        <v>1</v>
      </c>
      <c r="V127" s="46" t="s">
        <v>1132</v>
      </c>
      <c r="W127" s="46" t="s">
        <v>1502</v>
      </c>
      <c r="X127" s="46" t="s">
        <v>1413</v>
      </c>
      <c r="Y127" s="46" t="s">
        <v>1523</v>
      </c>
      <c r="Z127" s="46">
        <v>16</v>
      </c>
      <c r="AA127" s="46">
        <v>93.3</v>
      </c>
      <c r="AB127" s="46">
        <v>20</v>
      </c>
      <c r="AC127" s="46" t="s">
        <v>1454</v>
      </c>
      <c r="AD127" s="46" t="s">
        <v>1524</v>
      </c>
      <c r="AE127" s="46" t="s">
        <v>1032</v>
      </c>
      <c r="AF127" s="46" t="s">
        <v>1032</v>
      </c>
      <c r="AG127" s="46" t="s">
        <v>1525</v>
      </c>
      <c r="AH127" s="46" t="s">
        <v>2475</v>
      </c>
      <c r="AI127" s="46" t="s">
        <v>2411</v>
      </c>
      <c r="AJ127" s="46" t="s">
        <v>2493</v>
      </c>
      <c r="AK127" s="46">
        <v>9</v>
      </c>
      <c r="AL127" s="46">
        <v>91.5</v>
      </c>
      <c r="AM127" s="46">
        <v>24</v>
      </c>
      <c r="AN127" s="46" t="s">
        <v>2406</v>
      </c>
      <c r="AO127" s="46" t="s">
        <v>2494</v>
      </c>
      <c r="AP127" s="46" t="s">
        <v>1033</v>
      </c>
      <c r="AQ127" s="46" t="s">
        <v>1033</v>
      </c>
      <c r="AR127" s="46" t="s">
        <v>2495</v>
      </c>
      <c r="AT127" s="48" t="s">
        <v>133</v>
      </c>
      <c r="AU127" s="41">
        <v>0.29199999999999998</v>
      </c>
      <c r="AV127" s="41"/>
      <c r="AW127" s="55">
        <v>3.5790000000000002</v>
      </c>
      <c r="AX127" s="54">
        <v>0.436</v>
      </c>
      <c r="AY127" s="66">
        <v>1.667</v>
      </c>
      <c r="AZ127" s="50">
        <v>0.13600000000000001</v>
      </c>
      <c r="BA127" s="43"/>
      <c r="BB127" s="55">
        <v>3.5070000000000001</v>
      </c>
      <c r="BC127" s="58">
        <v>2.2690000000000001</v>
      </c>
      <c r="BD127" s="43"/>
      <c r="BE127" s="41">
        <v>9123</v>
      </c>
      <c r="BF127" s="41">
        <v>153235.5</v>
      </c>
      <c r="BG127" s="51">
        <v>1</v>
      </c>
      <c r="BH127" s="51">
        <v>1</v>
      </c>
      <c r="BI127" s="52" t="s">
        <v>3286</v>
      </c>
      <c r="BJ127" s="41"/>
      <c r="BK127" s="41">
        <v>2767</v>
      </c>
      <c r="BL127" s="41">
        <v>138779</v>
      </c>
      <c r="BM127" s="51">
        <v>0</v>
      </c>
      <c r="BN127" s="51">
        <v>1</v>
      </c>
      <c r="BO127" s="52" t="s">
        <v>3286</v>
      </c>
      <c r="BP127" s="52" t="s">
        <v>3286</v>
      </c>
      <c r="BQ127" s="43"/>
      <c r="BR127" s="41">
        <v>-7.8399999999999997E-2</v>
      </c>
      <c r="BS127" s="41">
        <v>-4.2900000000000001E-2</v>
      </c>
      <c r="BT127" s="52" t="s">
        <v>3288</v>
      </c>
      <c r="BU127" s="52" t="s">
        <v>3288</v>
      </c>
      <c r="BV127" s="41"/>
      <c r="BW127" s="55">
        <v>3.3839999999999999</v>
      </c>
      <c r="BX127" s="55">
        <v>3.5230000000000001</v>
      </c>
      <c r="BY127" s="41"/>
    </row>
    <row r="128" spans="1:77" s="40" customFormat="1" ht="17" thickBot="1">
      <c r="A128" s="149">
        <v>2.08</v>
      </c>
      <c r="B128" s="142" t="s">
        <v>374</v>
      </c>
      <c r="C128" s="121" t="s">
        <v>452</v>
      </c>
      <c r="D128" s="134" t="s">
        <v>134</v>
      </c>
      <c r="E128" s="84" t="s">
        <v>135</v>
      </c>
      <c r="F128" s="40" t="s">
        <v>134</v>
      </c>
      <c r="G128" s="40" t="s">
        <v>1079</v>
      </c>
      <c r="H128" s="40" t="s">
        <v>1080</v>
      </c>
      <c r="I128" s="40" t="s">
        <v>3377</v>
      </c>
      <c r="J128" s="40" t="s">
        <v>3340</v>
      </c>
      <c r="K128" s="40" t="s">
        <v>134</v>
      </c>
      <c r="L128" s="40">
        <v>7</v>
      </c>
      <c r="N128" s="40" t="s">
        <v>3486</v>
      </c>
      <c r="O128" s="40" t="s">
        <v>134</v>
      </c>
      <c r="P128" s="40">
        <v>2</v>
      </c>
      <c r="R128" s="40" t="s">
        <v>3654</v>
      </c>
      <c r="S128" s="40" t="s">
        <v>134</v>
      </c>
      <c r="T128" s="40">
        <v>1</v>
      </c>
      <c r="V128" s="40" t="s">
        <v>1133</v>
      </c>
      <c r="W128" s="40" t="s">
        <v>1502</v>
      </c>
      <c r="X128" s="40" t="s">
        <v>1413</v>
      </c>
      <c r="Y128" s="40" t="s">
        <v>1526</v>
      </c>
      <c r="Z128" s="40">
        <v>16</v>
      </c>
      <c r="AA128" s="40">
        <v>96</v>
      </c>
      <c r="AB128" s="40">
        <v>12</v>
      </c>
      <c r="AC128" s="40" t="s">
        <v>1454</v>
      </c>
      <c r="AD128" s="40" t="s">
        <v>1527</v>
      </c>
      <c r="AE128" s="40" t="s">
        <v>1079</v>
      </c>
      <c r="AF128" s="40" t="s">
        <v>1079</v>
      </c>
      <c r="AG128" s="40" t="s">
        <v>1528</v>
      </c>
      <c r="AH128" s="40" t="s">
        <v>2475</v>
      </c>
      <c r="AI128" s="40" t="s">
        <v>2411</v>
      </c>
      <c r="AJ128" s="40" t="s">
        <v>2496</v>
      </c>
      <c r="AK128" s="40">
        <v>9</v>
      </c>
      <c r="AL128" s="40">
        <v>96.5</v>
      </c>
      <c r="AM128" s="40">
        <v>10</v>
      </c>
      <c r="AN128" s="40" t="s">
        <v>2406</v>
      </c>
      <c r="AO128" s="40" t="s">
        <v>2497</v>
      </c>
      <c r="AP128" s="40" t="s">
        <v>1080</v>
      </c>
      <c r="AQ128" s="40" t="s">
        <v>1080</v>
      </c>
      <c r="AR128" s="40" t="s">
        <v>2498</v>
      </c>
      <c r="AT128" s="85" t="s">
        <v>135</v>
      </c>
      <c r="AU128" s="35">
        <v>0.37030000000000002</v>
      </c>
      <c r="AV128" s="35"/>
      <c r="AW128" s="102">
        <v>3.5750000000000002</v>
      </c>
      <c r="AX128" s="90">
        <v>0.20699999999999999</v>
      </c>
      <c r="AY128" s="92">
        <v>0.57799999999999996</v>
      </c>
      <c r="AZ128" s="90">
        <v>0.17199999999999999</v>
      </c>
      <c r="BA128" s="37"/>
      <c r="BB128" s="102">
        <v>3.56</v>
      </c>
      <c r="BC128" s="102">
        <v>2.52</v>
      </c>
      <c r="BD128" s="37"/>
      <c r="BE128" s="35">
        <v>11936.5</v>
      </c>
      <c r="BF128" s="35">
        <v>69500</v>
      </c>
      <c r="BG128" s="93">
        <v>1</v>
      </c>
      <c r="BH128" s="93">
        <v>1</v>
      </c>
      <c r="BI128" s="94" t="s">
        <v>3286</v>
      </c>
      <c r="BJ128" s="35"/>
      <c r="BK128" s="35">
        <v>2812</v>
      </c>
      <c r="BL128" s="35">
        <v>45467</v>
      </c>
      <c r="BM128" s="93">
        <v>0</v>
      </c>
      <c r="BN128" s="93">
        <v>1</v>
      </c>
      <c r="BO128" s="94" t="s">
        <v>3286</v>
      </c>
      <c r="BP128" s="94" t="s">
        <v>3286</v>
      </c>
      <c r="BQ128" s="37"/>
      <c r="BR128" s="35">
        <v>-1.8599999999999998E-2</v>
      </c>
      <c r="BS128" s="35">
        <v>-4.6199999999999998E-2</v>
      </c>
      <c r="BT128" s="94" t="s">
        <v>3288</v>
      </c>
      <c r="BU128" s="94" t="s">
        <v>3288</v>
      </c>
      <c r="BV128" s="35"/>
      <c r="BW128" s="110">
        <v>3.2810000000000001</v>
      </c>
      <c r="BX128" s="102">
        <v>3.5219999999999998</v>
      </c>
      <c r="BY128" s="35"/>
    </row>
    <row r="129" spans="1:77">
      <c r="A129" s="148">
        <v>2.09</v>
      </c>
      <c r="B129" s="141" t="s">
        <v>358</v>
      </c>
      <c r="C129" s="86" t="s">
        <v>436</v>
      </c>
      <c r="D129" s="133" t="s">
        <v>51</v>
      </c>
      <c r="E129" s="80" t="s">
        <v>51</v>
      </c>
      <c r="F129" s="46" t="s">
        <v>51</v>
      </c>
      <c r="G129" s="46" t="s">
        <v>761</v>
      </c>
      <c r="H129" s="46" t="s">
        <v>762</v>
      </c>
      <c r="I129" s="46" t="s">
        <v>3377</v>
      </c>
      <c r="J129" s="46" t="s">
        <v>3333</v>
      </c>
      <c r="K129" s="46" t="s">
        <v>51</v>
      </c>
      <c r="L129" s="46">
        <v>6</v>
      </c>
      <c r="N129" s="46" t="s">
        <v>3419</v>
      </c>
      <c r="O129" s="46" t="s">
        <v>51</v>
      </c>
      <c r="P129" s="46">
        <v>6</v>
      </c>
      <c r="R129" s="46" t="s">
        <v>3545</v>
      </c>
      <c r="S129" s="46" t="s">
        <v>51</v>
      </c>
      <c r="T129" s="46">
        <v>6</v>
      </c>
      <c r="V129" s="46" t="s">
        <v>1346</v>
      </c>
      <c r="W129" s="46" t="s">
        <v>1729</v>
      </c>
      <c r="X129" s="46" t="s">
        <v>1421</v>
      </c>
      <c r="Y129" s="46" t="s">
        <v>2221</v>
      </c>
      <c r="Z129" s="46">
        <v>15</v>
      </c>
      <c r="AA129" s="46">
        <v>92.2</v>
      </c>
      <c r="AB129" s="46">
        <v>23</v>
      </c>
      <c r="AC129" s="46" t="s">
        <v>1445</v>
      </c>
      <c r="AD129" s="46" t="s">
        <v>2222</v>
      </c>
      <c r="AE129" s="46" t="s">
        <v>2223</v>
      </c>
      <c r="AF129" s="46" t="s">
        <v>761</v>
      </c>
      <c r="AG129" s="46" t="s">
        <v>2224</v>
      </c>
      <c r="AH129" s="46" t="s">
        <v>2451</v>
      </c>
      <c r="AI129" s="46" t="s">
        <v>2404</v>
      </c>
      <c r="AJ129" s="46" t="s">
        <v>3108</v>
      </c>
      <c r="AK129" s="46">
        <v>9</v>
      </c>
      <c r="AL129" s="46">
        <v>96.5</v>
      </c>
      <c r="AM129" s="46">
        <v>10</v>
      </c>
      <c r="AN129" s="46" t="s">
        <v>2406</v>
      </c>
      <c r="AO129" s="46" t="s">
        <v>3109</v>
      </c>
      <c r="AP129" s="46" t="s">
        <v>3110</v>
      </c>
      <c r="AQ129" s="46" t="s">
        <v>762</v>
      </c>
      <c r="AR129" s="46" t="s">
        <v>3111</v>
      </c>
      <c r="AT129" s="48" t="s">
        <v>51</v>
      </c>
      <c r="AU129" s="41">
        <v>0.40989999999999999</v>
      </c>
      <c r="AV129" s="41"/>
      <c r="AW129" s="55">
        <v>3.573</v>
      </c>
      <c r="AX129" s="55">
        <v>3.5979999999999999</v>
      </c>
      <c r="AY129" s="55">
        <v>3.6629999999999998</v>
      </c>
      <c r="AZ129" s="50">
        <v>0.20599999999999999</v>
      </c>
      <c r="BA129" s="43"/>
      <c r="BB129" s="50">
        <v>0.16200000000000001</v>
      </c>
      <c r="BC129" s="50">
        <v>8.5000000000000006E-2</v>
      </c>
      <c r="BD129" s="43"/>
      <c r="BE129" s="41">
        <v>61278</v>
      </c>
      <c r="BF129" s="41">
        <v>4508</v>
      </c>
      <c r="BG129" s="51">
        <v>1</v>
      </c>
      <c r="BH129" s="51">
        <v>0</v>
      </c>
      <c r="BI129" s="52" t="s">
        <v>3285</v>
      </c>
      <c r="BJ129" s="41"/>
      <c r="BK129" s="41">
        <v>3297</v>
      </c>
      <c r="BL129" s="41">
        <v>2537</v>
      </c>
      <c r="BM129" s="51">
        <v>0</v>
      </c>
      <c r="BN129" s="51">
        <v>0</v>
      </c>
      <c r="BO129" s="52" t="s">
        <v>3285</v>
      </c>
      <c r="BP129" s="52" t="s">
        <v>3285</v>
      </c>
      <c r="BQ129" s="43"/>
      <c r="BR129" s="41">
        <v>-1.23E-2</v>
      </c>
      <c r="BS129" s="41">
        <v>-2.8E-3</v>
      </c>
      <c r="BT129" s="52" t="s">
        <v>3288</v>
      </c>
      <c r="BU129" s="52" t="s">
        <v>3288</v>
      </c>
      <c r="BV129" s="41"/>
      <c r="BW129" s="56">
        <v>2.8359999999999999</v>
      </c>
      <c r="BX129" s="59">
        <v>0.88400000000000001</v>
      </c>
      <c r="BY129" s="41"/>
    </row>
    <row r="130" spans="1:77">
      <c r="A130" s="148">
        <v>2.09</v>
      </c>
      <c r="B130" s="141" t="s">
        <v>358</v>
      </c>
      <c r="C130" s="86" t="s">
        <v>436</v>
      </c>
      <c r="D130" s="133" t="s">
        <v>52</v>
      </c>
      <c r="E130" s="80" t="s">
        <v>52</v>
      </c>
      <c r="F130" s="46" t="s">
        <v>52</v>
      </c>
      <c r="G130" s="46" t="s">
        <v>558</v>
      </c>
      <c r="H130" s="46" t="s">
        <v>559</v>
      </c>
      <c r="I130" s="46" t="s">
        <v>3377</v>
      </c>
      <c r="J130" s="46" t="s">
        <v>3333</v>
      </c>
      <c r="K130" s="46" t="s">
        <v>52</v>
      </c>
      <c r="L130" s="46">
        <v>6</v>
      </c>
      <c r="N130" s="46" t="s">
        <v>3419</v>
      </c>
      <c r="O130" s="46" t="s">
        <v>52</v>
      </c>
      <c r="P130" s="46">
        <v>6</v>
      </c>
      <c r="R130" s="46" t="s">
        <v>3545</v>
      </c>
      <c r="S130" s="46" t="s">
        <v>52</v>
      </c>
      <c r="T130" s="46">
        <v>6</v>
      </c>
      <c r="V130" s="46" t="s">
        <v>1347</v>
      </c>
      <c r="W130" s="46" t="s">
        <v>1729</v>
      </c>
      <c r="X130" s="46" t="s">
        <v>1421</v>
      </c>
      <c r="Y130" s="46" t="s">
        <v>2225</v>
      </c>
      <c r="Z130" s="46">
        <v>15</v>
      </c>
      <c r="AA130" s="46">
        <v>93.6</v>
      </c>
      <c r="AB130" s="46">
        <v>19</v>
      </c>
      <c r="AC130" s="46" t="s">
        <v>1445</v>
      </c>
      <c r="AD130" s="46" t="s">
        <v>2226</v>
      </c>
      <c r="AE130" s="46" t="s">
        <v>558</v>
      </c>
      <c r="AF130" s="46" t="s">
        <v>558</v>
      </c>
      <c r="AG130" s="46" t="s">
        <v>2227</v>
      </c>
      <c r="AH130" s="46" t="s">
        <v>2451</v>
      </c>
      <c r="AI130" s="46" t="s">
        <v>2404</v>
      </c>
      <c r="AJ130" s="46" t="s">
        <v>3112</v>
      </c>
      <c r="AK130" s="46">
        <v>9</v>
      </c>
      <c r="AL130" s="46">
        <v>96.9</v>
      </c>
      <c r="AM130" s="46">
        <v>9</v>
      </c>
      <c r="AN130" s="46" t="s">
        <v>2406</v>
      </c>
      <c r="AO130" s="46" t="s">
        <v>3113</v>
      </c>
      <c r="AP130" s="46" t="s">
        <v>559</v>
      </c>
      <c r="AQ130" s="46" t="s">
        <v>559</v>
      </c>
      <c r="AR130" s="46" t="s">
        <v>3114</v>
      </c>
      <c r="AT130" s="48" t="s">
        <v>52</v>
      </c>
      <c r="AU130" s="41">
        <v>0.41789999999999999</v>
      </c>
      <c r="AV130" s="41"/>
      <c r="AW130" s="55">
        <v>3.5219999999999998</v>
      </c>
      <c r="AX130" s="49">
        <v>3.4790000000000001</v>
      </c>
      <c r="AY130" s="55">
        <v>3.6019999999999999</v>
      </c>
      <c r="AZ130" s="50">
        <v>0.27400000000000002</v>
      </c>
      <c r="BA130" s="43"/>
      <c r="BB130" s="50">
        <v>0.109</v>
      </c>
      <c r="BC130" s="50">
        <v>9.7000000000000003E-2</v>
      </c>
      <c r="BD130" s="43"/>
      <c r="BE130" s="41">
        <v>6606</v>
      </c>
      <c r="BF130" s="41">
        <v>1739</v>
      </c>
      <c r="BG130" s="51">
        <v>0</v>
      </c>
      <c r="BH130" s="51">
        <v>0</v>
      </c>
      <c r="BI130" s="52" t="s">
        <v>3285</v>
      </c>
      <c r="BJ130" s="41"/>
      <c r="BK130" s="41">
        <v>2394</v>
      </c>
      <c r="BL130" s="41">
        <v>4107</v>
      </c>
      <c r="BM130" s="51">
        <v>0</v>
      </c>
      <c r="BN130" s="51">
        <v>0</v>
      </c>
      <c r="BO130" s="52" t="s">
        <v>3286</v>
      </c>
      <c r="BP130" s="52" t="s">
        <v>3287</v>
      </c>
      <c r="BQ130" s="43"/>
      <c r="BR130" s="41">
        <v>-6.2300000000000001E-2</v>
      </c>
      <c r="BS130" s="41">
        <v>-1.2500000000000001E-2</v>
      </c>
      <c r="BT130" s="52" t="s">
        <v>3288</v>
      </c>
      <c r="BU130" s="52" t="s">
        <v>3288</v>
      </c>
      <c r="BV130" s="41"/>
      <c r="BW130" s="56">
        <v>2.82</v>
      </c>
      <c r="BX130" s="59">
        <v>0.98699999999999999</v>
      </c>
      <c r="BY130" s="41"/>
    </row>
    <row r="131" spans="1:77">
      <c r="A131" s="148">
        <v>2.09</v>
      </c>
      <c r="B131" s="141" t="s">
        <v>358</v>
      </c>
      <c r="C131" s="86" t="s">
        <v>436</v>
      </c>
      <c r="D131" s="133" t="s">
        <v>53</v>
      </c>
      <c r="E131" s="80" t="s">
        <v>53</v>
      </c>
      <c r="F131" s="46" t="s">
        <v>53</v>
      </c>
      <c r="G131" s="46" t="s">
        <v>664</v>
      </c>
      <c r="H131" s="46" t="s">
        <v>665</v>
      </c>
      <c r="I131" s="46" t="s">
        <v>3377</v>
      </c>
      <c r="J131" s="46" t="s">
        <v>3333</v>
      </c>
      <c r="K131" s="46" t="s">
        <v>53</v>
      </c>
      <c r="L131" s="46">
        <v>6</v>
      </c>
      <c r="N131" s="46" t="s">
        <v>3419</v>
      </c>
      <c r="O131" s="46" t="s">
        <v>53</v>
      </c>
      <c r="P131" s="46">
        <v>6</v>
      </c>
      <c r="R131" s="46" t="s">
        <v>3545</v>
      </c>
      <c r="S131" s="46" t="s">
        <v>53</v>
      </c>
      <c r="T131" s="46">
        <v>6</v>
      </c>
      <c r="V131" s="46" t="s">
        <v>1349</v>
      </c>
      <c r="W131" s="46" t="s">
        <v>1729</v>
      </c>
      <c r="X131" s="46" t="s">
        <v>1421</v>
      </c>
      <c r="Y131" s="46" t="s">
        <v>2229</v>
      </c>
      <c r="Z131" s="46">
        <v>15</v>
      </c>
      <c r="AA131" s="46">
        <v>92.9</v>
      </c>
      <c r="AB131" s="46">
        <v>21</v>
      </c>
      <c r="AC131" s="46" t="s">
        <v>1445</v>
      </c>
      <c r="AD131" s="46" t="s">
        <v>2230</v>
      </c>
      <c r="AE131" s="46" t="s">
        <v>664</v>
      </c>
      <c r="AF131" s="46" t="s">
        <v>664</v>
      </c>
      <c r="AG131" s="46" t="s">
        <v>2231</v>
      </c>
      <c r="AH131" s="46" t="s">
        <v>2451</v>
      </c>
      <c r="AI131" s="46" t="s">
        <v>2404</v>
      </c>
      <c r="AJ131" s="46" t="s">
        <v>3116</v>
      </c>
      <c r="AK131" s="46">
        <v>9</v>
      </c>
      <c r="AL131" s="46">
        <v>97.2</v>
      </c>
      <c r="AM131" s="46">
        <v>8</v>
      </c>
      <c r="AN131" s="46" t="s">
        <v>2406</v>
      </c>
      <c r="AO131" s="46" t="s">
        <v>3117</v>
      </c>
      <c r="AP131" s="46" t="s">
        <v>665</v>
      </c>
      <c r="AQ131" s="46" t="s">
        <v>665</v>
      </c>
      <c r="AR131" s="46" t="s">
        <v>3118</v>
      </c>
      <c r="AT131" s="48" t="s">
        <v>53</v>
      </c>
      <c r="AU131" s="41">
        <v>0.23250000000000001</v>
      </c>
      <c r="AV131" s="41"/>
      <c r="AW131" s="61">
        <v>3.5379999999999998</v>
      </c>
      <c r="AX131" s="61">
        <v>3.55</v>
      </c>
      <c r="AY131" s="61">
        <v>3.5880000000000001</v>
      </c>
      <c r="AZ131" s="63">
        <v>0.216</v>
      </c>
      <c r="BA131" s="42"/>
      <c r="BB131" s="50">
        <v>0.12</v>
      </c>
      <c r="BC131" s="50">
        <v>0.09</v>
      </c>
      <c r="BD131" s="43"/>
      <c r="BE131" s="41">
        <v>23070</v>
      </c>
      <c r="BF131" s="41">
        <v>1661</v>
      </c>
      <c r="BG131" s="51">
        <v>1</v>
      </c>
      <c r="BH131" s="51">
        <v>0</v>
      </c>
      <c r="BI131" s="52" t="s">
        <v>3285</v>
      </c>
      <c r="BJ131" s="41"/>
      <c r="BK131" s="41">
        <v>5528</v>
      </c>
      <c r="BL131" s="41">
        <v>5459</v>
      </c>
      <c r="BM131" s="51">
        <v>1</v>
      </c>
      <c r="BN131" s="51">
        <v>1</v>
      </c>
      <c r="BO131" s="52" t="s">
        <v>3289</v>
      </c>
      <c r="BP131" s="52" t="s">
        <v>3287</v>
      </c>
      <c r="BQ131" s="43"/>
      <c r="BR131" s="41">
        <v>-0.13020000000000001</v>
      </c>
      <c r="BS131" s="41">
        <v>-7.0999999999999994E-2</v>
      </c>
      <c r="BT131" s="52" t="s">
        <v>3288</v>
      </c>
      <c r="BU131" s="52" t="s">
        <v>3288</v>
      </c>
      <c r="BV131" s="41"/>
      <c r="BW131" s="56">
        <v>2.855</v>
      </c>
      <c r="BX131" s="57">
        <v>0.84499999999999997</v>
      </c>
      <c r="BY131" s="41"/>
    </row>
    <row r="132" spans="1:77">
      <c r="A132" s="148">
        <v>2.09</v>
      </c>
      <c r="B132" s="141" t="s">
        <v>358</v>
      </c>
      <c r="C132" s="86" t="s">
        <v>436</v>
      </c>
      <c r="D132" s="133" t="s">
        <v>54</v>
      </c>
      <c r="E132" s="80" t="s">
        <v>54</v>
      </c>
      <c r="F132" s="46" t="s">
        <v>54</v>
      </c>
      <c r="G132" s="46" t="s">
        <v>686</v>
      </c>
      <c r="H132" s="46" t="s">
        <v>687</v>
      </c>
      <c r="I132" s="46" t="s">
        <v>3377</v>
      </c>
      <c r="J132" s="46" t="s">
        <v>3333</v>
      </c>
      <c r="K132" s="46" t="s">
        <v>54</v>
      </c>
      <c r="L132" s="46">
        <v>6</v>
      </c>
      <c r="N132" s="46" t="s">
        <v>3419</v>
      </c>
      <c r="O132" s="46" t="s">
        <v>54</v>
      </c>
      <c r="P132" s="46">
        <v>6</v>
      </c>
      <c r="R132" s="46" t="s">
        <v>3545</v>
      </c>
      <c r="S132" s="46" t="s">
        <v>54</v>
      </c>
      <c r="T132" s="46">
        <v>6</v>
      </c>
      <c r="V132" s="46" t="s">
        <v>1350</v>
      </c>
      <c r="W132" s="46" t="s">
        <v>1729</v>
      </c>
      <c r="X132" s="46" t="s">
        <v>1421</v>
      </c>
      <c r="Y132" s="46" t="s">
        <v>2232</v>
      </c>
      <c r="Z132" s="46">
        <v>15</v>
      </c>
      <c r="AA132" s="46">
        <v>94.6</v>
      </c>
      <c r="AB132" s="46">
        <v>16</v>
      </c>
      <c r="AC132" s="46" t="s">
        <v>1445</v>
      </c>
      <c r="AD132" s="46" t="s">
        <v>2233</v>
      </c>
      <c r="AE132" s="46" t="s">
        <v>686</v>
      </c>
      <c r="AF132" s="46" t="s">
        <v>686</v>
      </c>
      <c r="AG132" s="46" t="s">
        <v>2234</v>
      </c>
      <c r="AH132" s="46" t="s">
        <v>2451</v>
      </c>
      <c r="AI132" s="46" t="s">
        <v>2404</v>
      </c>
      <c r="AJ132" s="46" t="s">
        <v>3119</v>
      </c>
      <c r="AK132" s="46">
        <v>9</v>
      </c>
      <c r="AL132" s="46">
        <v>98.2</v>
      </c>
      <c r="AM132" s="46">
        <v>5</v>
      </c>
      <c r="AN132" s="46" t="s">
        <v>2406</v>
      </c>
      <c r="AO132" s="46" t="s">
        <v>3120</v>
      </c>
      <c r="AP132" s="46" t="s">
        <v>687</v>
      </c>
      <c r="AQ132" s="46" t="s">
        <v>687</v>
      </c>
      <c r="AR132" s="46" t="s">
        <v>3121</v>
      </c>
      <c r="AT132" s="48" t="s">
        <v>54</v>
      </c>
      <c r="AU132" s="41">
        <v>0.32619999999999999</v>
      </c>
      <c r="AV132" s="41"/>
      <c r="AW132" s="61">
        <v>3.605</v>
      </c>
      <c r="AX132" s="61">
        <v>3.5449999999999999</v>
      </c>
      <c r="AY132" s="61">
        <v>3.6320000000000001</v>
      </c>
      <c r="AZ132" s="63">
        <v>0.246</v>
      </c>
      <c r="BA132" s="42"/>
      <c r="BB132" s="50">
        <v>0.11600000000000001</v>
      </c>
      <c r="BC132" s="50">
        <v>9.2999999999999999E-2</v>
      </c>
      <c r="BD132" s="43"/>
      <c r="BE132" s="41">
        <v>15060</v>
      </c>
      <c r="BF132" s="41">
        <v>6098</v>
      </c>
      <c r="BG132" s="51">
        <v>1</v>
      </c>
      <c r="BH132" s="51">
        <v>0</v>
      </c>
      <c r="BI132" s="52" t="s">
        <v>3285</v>
      </c>
      <c r="BJ132" s="41"/>
      <c r="BK132" s="41">
        <v>3394</v>
      </c>
      <c r="BL132" s="41">
        <v>4825</v>
      </c>
      <c r="BM132" s="51">
        <v>0</v>
      </c>
      <c r="BN132" s="51">
        <v>1</v>
      </c>
      <c r="BO132" s="52" t="s">
        <v>3286</v>
      </c>
      <c r="BP132" s="52" t="s">
        <v>3287</v>
      </c>
      <c r="BQ132" s="43"/>
      <c r="BR132" s="41">
        <v>-0.1022</v>
      </c>
      <c r="BS132" s="41">
        <v>-0.13009999999999999</v>
      </c>
      <c r="BT132" s="52" t="s">
        <v>3288</v>
      </c>
      <c r="BU132" s="52" t="s">
        <v>3288</v>
      </c>
      <c r="BV132" s="41"/>
      <c r="BW132" s="56">
        <v>2.722</v>
      </c>
      <c r="BX132" s="57">
        <v>0.77</v>
      </c>
      <c r="BY132" s="41"/>
    </row>
    <row r="133" spans="1:77">
      <c r="A133" s="148">
        <v>2.09</v>
      </c>
      <c r="B133" s="141" t="s">
        <v>358</v>
      </c>
      <c r="C133" s="86" t="s">
        <v>436</v>
      </c>
      <c r="D133" s="133" t="s">
        <v>55</v>
      </c>
      <c r="E133" s="80" t="s">
        <v>55</v>
      </c>
      <c r="F133" s="46" t="s">
        <v>55</v>
      </c>
      <c r="G133" s="46" t="s">
        <v>670</v>
      </c>
      <c r="H133" s="46" t="s">
        <v>671</v>
      </c>
      <c r="I133" s="46" t="s">
        <v>3377</v>
      </c>
      <c r="J133" s="46" t="s">
        <v>3333</v>
      </c>
      <c r="K133" s="46" t="s">
        <v>55</v>
      </c>
      <c r="L133" s="46">
        <v>6</v>
      </c>
      <c r="N133" s="46" t="s">
        <v>3419</v>
      </c>
      <c r="O133" s="46" t="s">
        <v>55</v>
      </c>
      <c r="P133" s="46">
        <v>6</v>
      </c>
      <c r="R133" s="46" t="s">
        <v>3545</v>
      </c>
      <c r="S133" s="46" t="s">
        <v>55</v>
      </c>
      <c r="T133" s="46">
        <v>6</v>
      </c>
      <c r="V133" s="46" t="s">
        <v>1351</v>
      </c>
      <c r="W133" s="46" t="s">
        <v>1729</v>
      </c>
      <c r="X133" s="46" t="s">
        <v>1421</v>
      </c>
      <c r="Y133" s="46" t="s">
        <v>2225</v>
      </c>
      <c r="Z133" s="46">
        <v>15</v>
      </c>
      <c r="AA133" s="46">
        <v>94.9</v>
      </c>
      <c r="AB133" s="46">
        <v>15</v>
      </c>
      <c r="AC133" s="46" t="s">
        <v>1445</v>
      </c>
      <c r="AD133" s="46" t="s">
        <v>2226</v>
      </c>
      <c r="AE133" s="46" t="s">
        <v>670</v>
      </c>
      <c r="AF133" s="46" t="s">
        <v>670</v>
      </c>
      <c r="AG133" s="46" t="s">
        <v>2235</v>
      </c>
      <c r="AH133" s="46" t="s">
        <v>2451</v>
      </c>
      <c r="AI133" s="46" t="s">
        <v>2404</v>
      </c>
      <c r="AJ133" s="46" t="s">
        <v>3119</v>
      </c>
      <c r="AK133" s="46">
        <v>9</v>
      </c>
      <c r="AL133" s="46">
        <v>98.6</v>
      </c>
      <c r="AM133" s="46">
        <v>4</v>
      </c>
      <c r="AN133" s="46" t="s">
        <v>2406</v>
      </c>
      <c r="AO133" s="46" t="s">
        <v>3122</v>
      </c>
      <c r="AP133" s="46" t="s">
        <v>671</v>
      </c>
      <c r="AQ133" s="46" t="s">
        <v>671</v>
      </c>
      <c r="AR133" s="46" t="s">
        <v>3123</v>
      </c>
      <c r="AT133" s="48" t="s">
        <v>55</v>
      </c>
      <c r="AU133" s="41">
        <v>0.41599999999999998</v>
      </c>
      <c r="AV133" s="41"/>
      <c r="AW133" s="61">
        <v>3.536</v>
      </c>
      <c r="AX133" s="61">
        <v>3.54</v>
      </c>
      <c r="AY133" s="61">
        <v>3.5910000000000002</v>
      </c>
      <c r="AZ133" s="63">
        <v>0.24399999999999999</v>
      </c>
      <c r="BA133" s="42"/>
      <c r="BB133" s="50">
        <v>0.112</v>
      </c>
      <c r="BC133" s="50">
        <v>8.8999999999999996E-2</v>
      </c>
      <c r="BD133" s="43"/>
      <c r="BE133" s="41">
        <v>16207</v>
      </c>
      <c r="BF133" s="41">
        <v>3864</v>
      </c>
      <c r="BG133" s="51">
        <v>1</v>
      </c>
      <c r="BH133" s="51">
        <v>0</v>
      </c>
      <c r="BI133" s="52" t="s">
        <v>3285</v>
      </c>
      <c r="BJ133" s="41"/>
      <c r="BK133" s="41">
        <v>4828.5</v>
      </c>
      <c r="BL133" s="41">
        <v>49961.5</v>
      </c>
      <c r="BM133" s="51">
        <v>1</v>
      </c>
      <c r="BN133" s="51">
        <v>1</v>
      </c>
      <c r="BO133" s="52" t="s">
        <v>3286</v>
      </c>
      <c r="BP133" s="52" t="s">
        <v>3287</v>
      </c>
      <c r="BQ133" s="43"/>
      <c r="BR133" s="41">
        <v>-8.6900000000000005E-2</v>
      </c>
      <c r="BS133" s="41">
        <v>-8.1600000000000006E-2</v>
      </c>
      <c r="BT133" s="52" t="s">
        <v>3288</v>
      </c>
      <c r="BU133" s="52" t="s">
        <v>3288</v>
      </c>
      <c r="BV133" s="41"/>
      <c r="BW133" s="60">
        <v>2.5649999999999999</v>
      </c>
      <c r="BX133" s="57">
        <v>0.74399999999999999</v>
      </c>
      <c r="BY133" s="41"/>
    </row>
    <row r="134" spans="1:77" ht="17" thickBot="1">
      <c r="A134" s="148">
        <v>2.09</v>
      </c>
      <c r="B134" s="141" t="s">
        <v>358</v>
      </c>
      <c r="C134" s="86" t="s">
        <v>436</v>
      </c>
      <c r="D134" s="133" t="s">
        <v>56</v>
      </c>
      <c r="E134" s="80" t="s">
        <v>56</v>
      </c>
      <c r="F134" s="46" t="s">
        <v>56</v>
      </c>
      <c r="G134" s="46" t="s">
        <v>994</v>
      </c>
      <c r="H134" s="46" t="s">
        <v>995</v>
      </c>
      <c r="I134" s="46" t="s">
        <v>3377</v>
      </c>
      <c r="J134" s="46" t="s">
        <v>3333</v>
      </c>
      <c r="K134" s="46" t="s">
        <v>56</v>
      </c>
      <c r="L134" s="46">
        <v>6</v>
      </c>
      <c r="N134" s="46" t="s">
        <v>3419</v>
      </c>
      <c r="O134" s="46" t="s">
        <v>56</v>
      </c>
      <c r="P134" s="46">
        <v>6</v>
      </c>
      <c r="R134" s="46" t="s">
        <v>3545</v>
      </c>
      <c r="S134" s="46" t="s">
        <v>56</v>
      </c>
      <c r="T134" s="46">
        <v>6</v>
      </c>
      <c r="V134" s="46" t="s">
        <v>1352</v>
      </c>
      <c r="W134" s="46" t="s">
        <v>1729</v>
      </c>
      <c r="X134" s="46" t="s">
        <v>1421</v>
      </c>
      <c r="Y134" s="46" t="s">
        <v>2236</v>
      </c>
      <c r="Z134" s="46">
        <v>15</v>
      </c>
      <c r="AA134" s="46">
        <v>96.3</v>
      </c>
      <c r="AB134" s="46">
        <v>11</v>
      </c>
      <c r="AC134" s="46" t="s">
        <v>1445</v>
      </c>
      <c r="AD134" s="46" t="s">
        <v>2237</v>
      </c>
      <c r="AE134" s="46" t="s">
        <v>994</v>
      </c>
      <c r="AF134" s="46" t="s">
        <v>994</v>
      </c>
      <c r="AG134" s="46" t="s">
        <v>2238</v>
      </c>
      <c r="AH134" s="46" t="s">
        <v>2451</v>
      </c>
      <c r="AI134" s="46" t="s">
        <v>2404</v>
      </c>
      <c r="AJ134" s="46" t="s">
        <v>3124</v>
      </c>
      <c r="AK134" s="46">
        <v>9</v>
      </c>
      <c r="AL134" s="46">
        <v>97.2</v>
      </c>
      <c r="AM134" s="46">
        <v>8</v>
      </c>
      <c r="AN134" s="46" t="s">
        <v>2406</v>
      </c>
      <c r="AO134" s="46" t="s">
        <v>3125</v>
      </c>
      <c r="AP134" s="46" t="s">
        <v>995</v>
      </c>
      <c r="AQ134" s="46" t="s">
        <v>995</v>
      </c>
      <c r="AR134" s="46" t="s">
        <v>3126</v>
      </c>
      <c r="AT134" s="48" t="s">
        <v>56</v>
      </c>
      <c r="AU134" s="41">
        <v>0.56479999999999997</v>
      </c>
      <c r="AV134" s="41"/>
      <c r="AW134" s="55">
        <v>3.613</v>
      </c>
      <c r="AX134" s="55">
        <v>3.5339999999999998</v>
      </c>
      <c r="AY134" s="55">
        <v>3.5960000000000001</v>
      </c>
      <c r="AZ134" s="50">
        <v>0.26400000000000001</v>
      </c>
      <c r="BA134" s="43"/>
      <c r="BB134" s="50">
        <v>0.124</v>
      </c>
      <c r="BC134" s="50">
        <v>0.105</v>
      </c>
      <c r="BD134" s="43"/>
      <c r="BE134" s="41">
        <v>12838.5</v>
      </c>
      <c r="BF134" s="41">
        <v>1868</v>
      </c>
      <c r="BG134" s="51">
        <v>1</v>
      </c>
      <c r="BH134" s="51">
        <v>0</v>
      </c>
      <c r="BI134" s="52" t="s">
        <v>3285</v>
      </c>
      <c r="BJ134" s="41"/>
      <c r="BK134" s="41">
        <v>2702</v>
      </c>
      <c r="BL134" s="41">
        <v>2086</v>
      </c>
      <c r="BM134" s="51">
        <v>0</v>
      </c>
      <c r="BN134" s="51">
        <v>0</v>
      </c>
      <c r="BO134" s="52" t="s">
        <v>3285</v>
      </c>
      <c r="BP134" s="52" t="s">
        <v>3285</v>
      </c>
      <c r="BQ134" s="43"/>
      <c r="BR134" s="41">
        <v>-6.5199999999999994E-2</v>
      </c>
      <c r="BS134" s="41">
        <v>-5.9900000000000002E-2</v>
      </c>
      <c r="BT134" s="52" t="s">
        <v>3288</v>
      </c>
      <c r="BU134" s="52" t="s">
        <v>3288</v>
      </c>
      <c r="BV134" s="41"/>
      <c r="BW134" s="65">
        <v>2.2069999999999999</v>
      </c>
      <c r="BX134" s="57">
        <v>0.63200000000000001</v>
      </c>
      <c r="BY134" s="41"/>
    </row>
    <row r="135" spans="1:77" s="81" customFormat="1">
      <c r="A135" s="147">
        <v>2.1</v>
      </c>
      <c r="B135" s="140" t="s">
        <v>353</v>
      </c>
      <c r="C135" s="120" t="s">
        <v>431</v>
      </c>
      <c r="D135" s="132" t="s">
        <v>4</v>
      </c>
      <c r="E135" s="82" t="s">
        <v>4</v>
      </c>
      <c r="F135" s="81" t="s">
        <v>4</v>
      </c>
      <c r="G135" s="81" t="s">
        <v>809</v>
      </c>
      <c r="H135" s="81" t="s">
        <v>810</v>
      </c>
      <c r="I135" s="81" t="s">
        <v>3377</v>
      </c>
      <c r="J135" s="81" t="s">
        <v>3314</v>
      </c>
      <c r="K135" s="81" t="s">
        <v>4</v>
      </c>
      <c r="L135" s="81">
        <v>6</v>
      </c>
      <c r="N135" s="81" t="s">
        <v>3422</v>
      </c>
      <c r="O135" s="81" t="s">
        <v>4</v>
      </c>
      <c r="P135" s="81">
        <v>3</v>
      </c>
      <c r="R135" s="81" t="s">
        <v>3549</v>
      </c>
      <c r="S135" s="81" t="s">
        <v>4</v>
      </c>
      <c r="T135" s="81">
        <v>3</v>
      </c>
      <c r="V135" s="81" t="s">
        <v>1295</v>
      </c>
      <c r="W135" s="81" t="s">
        <v>1412</v>
      </c>
      <c r="X135" s="81" t="s">
        <v>1413</v>
      </c>
      <c r="Y135" s="81" t="s">
        <v>2052</v>
      </c>
      <c r="Z135" s="81">
        <v>10</v>
      </c>
      <c r="AA135" s="81">
        <v>88.5</v>
      </c>
      <c r="AB135" s="81">
        <v>34</v>
      </c>
      <c r="AC135" s="81" t="s">
        <v>1697</v>
      </c>
      <c r="AD135" s="81" t="s">
        <v>2053</v>
      </c>
      <c r="AE135" s="81" t="s">
        <v>2054</v>
      </c>
      <c r="AF135" s="81" t="s">
        <v>809</v>
      </c>
      <c r="AG135" s="81" t="s">
        <v>2055</v>
      </c>
      <c r="AH135" s="81" t="s">
        <v>2403</v>
      </c>
      <c r="AI135" s="81" t="s">
        <v>2404</v>
      </c>
      <c r="AJ135" s="81" t="s">
        <v>2960</v>
      </c>
      <c r="AK135" s="81">
        <v>9</v>
      </c>
      <c r="AL135" s="81">
        <v>97.6</v>
      </c>
      <c r="AM135" s="81">
        <v>7</v>
      </c>
      <c r="AN135" s="81" t="s">
        <v>2406</v>
      </c>
      <c r="AO135" s="81" t="s">
        <v>2961</v>
      </c>
      <c r="AP135" s="81" t="s">
        <v>601</v>
      </c>
      <c r="AQ135" s="81" t="s">
        <v>810</v>
      </c>
      <c r="AR135" s="81" t="s">
        <v>2962</v>
      </c>
      <c r="AT135" s="83" t="s">
        <v>4</v>
      </c>
      <c r="AU135" s="33">
        <v>0.43569999999999998</v>
      </c>
      <c r="AV135" s="33"/>
      <c r="AW135" s="100">
        <v>3.5049999999999999</v>
      </c>
      <c r="AX135" s="100">
        <v>3.516</v>
      </c>
      <c r="AY135" s="104">
        <v>0.48</v>
      </c>
      <c r="AZ135" s="87">
        <v>0.14599999999999999</v>
      </c>
      <c r="BA135" s="34"/>
      <c r="BB135" s="87">
        <v>0.105</v>
      </c>
      <c r="BC135" s="87">
        <v>8.8999999999999996E-2</v>
      </c>
      <c r="BD135" s="34"/>
      <c r="BE135" s="33">
        <v>25014</v>
      </c>
      <c r="BF135" s="33">
        <v>2344</v>
      </c>
      <c r="BG135" s="88">
        <v>1</v>
      </c>
      <c r="BH135" s="88">
        <v>0</v>
      </c>
      <c r="BI135" s="89" t="s">
        <v>3285</v>
      </c>
      <c r="BJ135" s="33"/>
      <c r="BK135" s="33">
        <v>3107.5</v>
      </c>
      <c r="BL135" s="33">
        <v>9742</v>
      </c>
      <c r="BM135" s="88">
        <v>0</v>
      </c>
      <c r="BN135" s="88">
        <v>1</v>
      </c>
      <c r="BO135" s="89" t="s">
        <v>3286</v>
      </c>
      <c r="BP135" s="89" t="s">
        <v>3287</v>
      </c>
      <c r="BQ135" s="34"/>
      <c r="BR135" s="33">
        <v>-8.9999999999999993E-3</v>
      </c>
      <c r="BS135" s="33">
        <v>-4.4999999999999997E-3</v>
      </c>
      <c r="BT135" s="89" t="s">
        <v>3288</v>
      </c>
      <c r="BU135" s="89" t="s">
        <v>3288</v>
      </c>
      <c r="BV135" s="33"/>
      <c r="BW135" s="114">
        <v>2.9119999999999999</v>
      </c>
      <c r="BX135" s="97">
        <v>1.04</v>
      </c>
      <c r="BY135" s="33"/>
    </row>
    <row r="136" spans="1:77">
      <c r="A136" s="148">
        <v>2.1</v>
      </c>
      <c r="B136" s="141" t="s">
        <v>353</v>
      </c>
      <c r="C136" s="86" t="s">
        <v>431</v>
      </c>
      <c r="D136" s="133" t="s">
        <v>6</v>
      </c>
      <c r="E136" s="80" t="s">
        <v>6</v>
      </c>
      <c r="F136" s="46" t="s">
        <v>6</v>
      </c>
      <c r="G136" s="46" t="s">
        <v>574</v>
      </c>
      <c r="H136" s="46" t="s">
        <v>575</v>
      </c>
      <c r="I136" s="46" t="s">
        <v>3377</v>
      </c>
      <c r="J136" s="46" t="s">
        <v>3314</v>
      </c>
      <c r="K136" s="46" t="s">
        <v>6</v>
      </c>
      <c r="L136" s="46">
        <v>6</v>
      </c>
      <c r="N136" s="46" t="s">
        <v>3422</v>
      </c>
      <c r="O136" s="46" t="s">
        <v>6</v>
      </c>
      <c r="P136" s="46">
        <v>3</v>
      </c>
      <c r="R136" s="46" t="s">
        <v>3549</v>
      </c>
      <c r="S136" s="46" t="s">
        <v>6</v>
      </c>
      <c r="T136" s="46">
        <v>3</v>
      </c>
      <c r="V136" s="46" t="s">
        <v>1348</v>
      </c>
      <c r="W136" s="46" t="s">
        <v>1412</v>
      </c>
      <c r="X136" s="46" t="s">
        <v>1413</v>
      </c>
      <c r="Y136" s="46" t="s">
        <v>2052</v>
      </c>
      <c r="Z136" s="46">
        <v>10</v>
      </c>
      <c r="AA136" s="46">
        <v>88.9</v>
      </c>
      <c r="AB136" s="46">
        <v>33</v>
      </c>
      <c r="AC136" s="46" t="s">
        <v>1697</v>
      </c>
      <c r="AD136" s="46" t="s">
        <v>2053</v>
      </c>
      <c r="AE136" s="46" t="s">
        <v>574</v>
      </c>
      <c r="AF136" s="46" t="s">
        <v>574</v>
      </c>
      <c r="AG136" s="46" t="s">
        <v>2228</v>
      </c>
      <c r="AH136" s="46" t="s">
        <v>2403</v>
      </c>
      <c r="AI136" s="46" t="s">
        <v>2404</v>
      </c>
      <c r="AJ136" s="46" t="s">
        <v>2960</v>
      </c>
      <c r="AK136" s="46">
        <v>9</v>
      </c>
      <c r="AL136" s="46">
        <v>97.6</v>
      </c>
      <c r="AM136" s="46">
        <v>7</v>
      </c>
      <c r="AN136" s="46" t="s">
        <v>2406</v>
      </c>
      <c r="AO136" s="46" t="s">
        <v>2961</v>
      </c>
      <c r="AP136" s="46" t="s">
        <v>575</v>
      </c>
      <c r="AQ136" s="46" t="s">
        <v>575</v>
      </c>
      <c r="AR136" s="46" t="s">
        <v>3115</v>
      </c>
      <c r="AT136" s="48" t="s">
        <v>6</v>
      </c>
      <c r="AU136" s="41">
        <v>0.41460000000000002</v>
      </c>
      <c r="AV136" s="41"/>
      <c r="AW136" s="55">
        <v>3.569</v>
      </c>
      <c r="AX136" s="55">
        <v>3.52</v>
      </c>
      <c r="AY136" s="57">
        <v>0.66900000000000004</v>
      </c>
      <c r="AZ136" s="50">
        <v>0.16900000000000001</v>
      </c>
      <c r="BA136" s="43"/>
      <c r="BB136" s="50">
        <v>0.112</v>
      </c>
      <c r="BC136" s="50">
        <v>8.1000000000000003E-2</v>
      </c>
      <c r="BD136" s="43"/>
      <c r="BE136" s="41">
        <v>38987</v>
      </c>
      <c r="BF136" s="41">
        <v>1881</v>
      </c>
      <c r="BG136" s="51">
        <v>1</v>
      </c>
      <c r="BH136" s="51">
        <v>0</v>
      </c>
      <c r="BI136" s="52" t="s">
        <v>3285</v>
      </c>
      <c r="BJ136" s="41"/>
      <c r="BK136" s="41">
        <v>3417</v>
      </c>
      <c r="BL136" s="41">
        <v>2798</v>
      </c>
      <c r="BM136" s="51">
        <v>0</v>
      </c>
      <c r="BN136" s="51">
        <v>0</v>
      </c>
      <c r="BO136" s="52" t="s">
        <v>3285</v>
      </c>
      <c r="BP136" s="52" t="s">
        <v>3285</v>
      </c>
      <c r="BQ136" s="43"/>
      <c r="BR136" s="41">
        <v>-5.1700000000000003E-2</v>
      </c>
      <c r="BS136" s="41">
        <v>-1.15E-2</v>
      </c>
      <c r="BT136" s="52" t="s">
        <v>3288</v>
      </c>
      <c r="BU136" s="52" t="s">
        <v>3288</v>
      </c>
      <c r="BV136" s="41"/>
      <c r="BW136" s="49">
        <v>3.133</v>
      </c>
      <c r="BX136" s="59">
        <v>1.038</v>
      </c>
      <c r="BY136" s="41"/>
    </row>
    <row r="137" spans="1:77">
      <c r="A137" s="148">
        <v>2.1</v>
      </c>
      <c r="B137" s="141" t="s">
        <v>353</v>
      </c>
      <c r="C137" s="86" t="s">
        <v>431</v>
      </c>
      <c r="D137" s="133" t="s">
        <v>7</v>
      </c>
      <c r="E137" s="80" t="s">
        <v>7</v>
      </c>
      <c r="F137" s="46" t="s">
        <v>7</v>
      </c>
      <c r="G137" s="46" t="s">
        <v>698</v>
      </c>
      <c r="H137" s="46" t="s">
        <v>699</v>
      </c>
      <c r="I137" s="46" t="s">
        <v>3377</v>
      </c>
      <c r="J137" s="46" t="s">
        <v>3314</v>
      </c>
      <c r="K137" s="46" t="s">
        <v>7</v>
      </c>
      <c r="L137" s="46">
        <v>6</v>
      </c>
      <c r="N137" s="46" t="s">
        <v>3422</v>
      </c>
      <c r="O137" s="46" t="s">
        <v>7</v>
      </c>
      <c r="P137" s="46">
        <v>3</v>
      </c>
      <c r="R137" s="46" t="s">
        <v>3549</v>
      </c>
      <c r="S137" s="46" t="s">
        <v>7</v>
      </c>
      <c r="T137" s="46">
        <v>3</v>
      </c>
      <c r="V137" s="46" t="s">
        <v>1359</v>
      </c>
      <c r="W137" s="46" t="s">
        <v>1412</v>
      </c>
      <c r="X137" s="46" t="s">
        <v>1413</v>
      </c>
      <c r="Y137" s="46" t="s">
        <v>2052</v>
      </c>
      <c r="Z137" s="46">
        <v>10</v>
      </c>
      <c r="AA137" s="46">
        <v>89.5</v>
      </c>
      <c r="AB137" s="46">
        <v>31</v>
      </c>
      <c r="AC137" s="46" t="s">
        <v>1697</v>
      </c>
      <c r="AD137" s="46" t="s">
        <v>2053</v>
      </c>
      <c r="AE137" s="46" t="s">
        <v>698</v>
      </c>
      <c r="AF137" s="46" t="s">
        <v>698</v>
      </c>
      <c r="AG137" s="46" t="s">
        <v>2258</v>
      </c>
      <c r="AH137" s="46" t="s">
        <v>2403</v>
      </c>
      <c r="AI137" s="46" t="s">
        <v>2404</v>
      </c>
      <c r="AJ137" s="46" t="s">
        <v>2405</v>
      </c>
      <c r="AK137" s="46">
        <v>9</v>
      </c>
      <c r="AL137" s="46">
        <v>97.6</v>
      </c>
      <c r="AM137" s="46">
        <v>7</v>
      </c>
      <c r="AN137" s="46" t="s">
        <v>2406</v>
      </c>
      <c r="AO137" s="46" t="s">
        <v>3142</v>
      </c>
      <c r="AP137" s="46" t="s">
        <v>699</v>
      </c>
      <c r="AQ137" s="46" t="s">
        <v>699</v>
      </c>
      <c r="AR137" s="46" t="s">
        <v>3143</v>
      </c>
      <c r="AT137" s="48" t="s">
        <v>7</v>
      </c>
      <c r="AU137" s="41">
        <v>0.36220000000000002</v>
      </c>
      <c r="AV137" s="41"/>
      <c r="AW137" s="61">
        <v>3.5379999999999998</v>
      </c>
      <c r="AX137" s="61">
        <v>3.5310000000000001</v>
      </c>
      <c r="AY137" s="62">
        <v>0.77200000000000002</v>
      </c>
      <c r="AZ137" s="63">
        <v>0.14699999999999999</v>
      </c>
      <c r="BA137" s="42"/>
      <c r="BB137" s="50">
        <v>0.128</v>
      </c>
      <c r="BC137" s="50">
        <v>0.12</v>
      </c>
      <c r="BD137" s="43"/>
      <c r="BE137" s="41">
        <v>10758</v>
      </c>
      <c r="BF137" s="41">
        <v>1902.5</v>
      </c>
      <c r="BG137" s="51">
        <v>1</v>
      </c>
      <c r="BH137" s="51">
        <v>0</v>
      </c>
      <c r="BI137" s="52" t="s">
        <v>3285</v>
      </c>
      <c r="BJ137" s="41"/>
      <c r="BK137" s="41">
        <v>4818</v>
      </c>
      <c r="BL137" s="41">
        <v>4103</v>
      </c>
      <c r="BM137" s="51">
        <v>1</v>
      </c>
      <c r="BN137" s="51">
        <v>0</v>
      </c>
      <c r="BO137" s="52" t="s">
        <v>3289</v>
      </c>
      <c r="BP137" s="52" t="s">
        <v>3287</v>
      </c>
      <c r="BQ137" s="43"/>
      <c r="BR137" s="41">
        <v>-0.13719999999999999</v>
      </c>
      <c r="BS137" s="41">
        <v>-6.6900000000000001E-2</v>
      </c>
      <c r="BT137" s="52" t="s">
        <v>3288</v>
      </c>
      <c r="BU137" s="52" t="s">
        <v>3288</v>
      </c>
      <c r="BV137" s="41"/>
      <c r="BW137" s="56">
        <v>2.778</v>
      </c>
      <c r="BX137" s="57">
        <v>0.84399999999999997</v>
      </c>
      <c r="BY137" s="41"/>
    </row>
    <row r="138" spans="1:77">
      <c r="A138" s="148">
        <v>2.1</v>
      </c>
      <c r="B138" s="141" t="s">
        <v>353</v>
      </c>
      <c r="C138" s="86" t="s">
        <v>431</v>
      </c>
      <c r="D138" s="133" t="s">
        <v>2</v>
      </c>
      <c r="E138" s="80" t="s">
        <v>2</v>
      </c>
      <c r="F138" s="46" t="s">
        <v>2</v>
      </c>
      <c r="G138" s="46" t="s">
        <v>913</v>
      </c>
      <c r="H138" s="46" t="s">
        <v>914</v>
      </c>
      <c r="I138" s="46" t="s">
        <v>3377</v>
      </c>
      <c r="J138" s="46" t="s">
        <v>3314</v>
      </c>
      <c r="K138" s="46" t="s">
        <v>2</v>
      </c>
      <c r="L138" s="46">
        <v>6</v>
      </c>
      <c r="N138" s="46" t="s">
        <v>3394</v>
      </c>
      <c r="O138" s="46" t="s">
        <v>2</v>
      </c>
      <c r="P138" s="46">
        <v>3</v>
      </c>
      <c r="R138" s="46" t="s">
        <v>3518</v>
      </c>
      <c r="S138" s="46" t="s">
        <v>2</v>
      </c>
      <c r="T138" s="46">
        <v>2</v>
      </c>
      <c r="V138" s="46" t="s">
        <v>1106</v>
      </c>
      <c r="W138" s="46" t="s">
        <v>1412</v>
      </c>
      <c r="X138" s="46" t="s">
        <v>1413</v>
      </c>
      <c r="Y138" s="46" t="s">
        <v>1415</v>
      </c>
      <c r="Z138" s="46">
        <v>10</v>
      </c>
      <c r="AA138" s="46">
        <v>97.1</v>
      </c>
      <c r="AB138" s="46">
        <v>8</v>
      </c>
      <c r="AC138" s="46" t="s">
        <v>1416</v>
      </c>
      <c r="AD138" s="46" t="s">
        <v>1417</v>
      </c>
      <c r="AE138" s="46" t="s">
        <v>1418</v>
      </c>
      <c r="AF138" s="46" t="s">
        <v>913</v>
      </c>
      <c r="AG138" s="46" t="s">
        <v>1419</v>
      </c>
      <c r="AH138" s="46" t="s">
        <v>2403</v>
      </c>
      <c r="AI138" s="46" t="s">
        <v>2404</v>
      </c>
      <c r="AJ138" s="46" t="s">
        <v>2405</v>
      </c>
      <c r="AK138" s="46">
        <v>9</v>
      </c>
      <c r="AL138" s="46">
        <v>99.6</v>
      </c>
      <c r="AM138" s="46">
        <v>1</v>
      </c>
      <c r="AN138" s="46" t="s">
        <v>2406</v>
      </c>
      <c r="AO138" s="46" t="s">
        <v>2407</v>
      </c>
      <c r="AP138" s="46" t="s">
        <v>2408</v>
      </c>
      <c r="AQ138" s="46" t="s">
        <v>914</v>
      </c>
      <c r="AR138" s="46" t="s">
        <v>2409</v>
      </c>
      <c r="AT138" s="48" t="s">
        <v>2</v>
      </c>
      <c r="AU138" s="41">
        <v>0.39290000000000003</v>
      </c>
      <c r="AV138" s="41"/>
      <c r="AW138" s="49">
        <v>3.3559999999999999</v>
      </c>
      <c r="AX138" s="49">
        <v>3.3180000000000001</v>
      </c>
      <c r="AY138" s="50">
        <v>0.13600000000000001</v>
      </c>
      <c r="AZ138" s="50">
        <v>0.16900000000000001</v>
      </c>
      <c r="BA138" s="43"/>
      <c r="BB138" s="50">
        <v>0.12</v>
      </c>
      <c r="BC138" s="50">
        <v>0.107</v>
      </c>
      <c r="BD138" s="43"/>
      <c r="BE138" s="41">
        <v>44394</v>
      </c>
      <c r="BF138" s="41">
        <v>2302</v>
      </c>
      <c r="BG138" s="51">
        <v>1</v>
      </c>
      <c r="BH138" s="51">
        <v>0</v>
      </c>
      <c r="BI138" s="52" t="s">
        <v>3285</v>
      </c>
      <c r="BJ138" s="41"/>
      <c r="BK138" s="41">
        <v>3308</v>
      </c>
      <c r="BL138" s="41">
        <v>7041</v>
      </c>
      <c r="BM138" s="51">
        <v>0</v>
      </c>
      <c r="BN138" s="51">
        <v>1</v>
      </c>
      <c r="BO138" s="52" t="s">
        <v>3286</v>
      </c>
      <c r="BP138" s="52" t="s">
        <v>3287</v>
      </c>
      <c r="BQ138" s="43"/>
      <c r="BR138" s="41">
        <v>-2.1399999999999999E-2</v>
      </c>
      <c r="BS138" s="41">
        <v>-1.6E-2</v>
      </c>
      <c r="BT138" s="52" t="s">
        <v>3288</v>
      </c>
      <c r="BU138" s="52" t="s">
        <v>3288</v>
      </c>
      <c r="BV138" s="41"/>
      <c r="BW138" s="53">
        <v>2.1259999999999999</v>
      </c>
      <c r="BX138" s="54">
        <v>0.40699999999999997</v>
      </c>
      <c r="BY138" s="41"/>
    </row>
    <row r="139" spans="1:77">
      <c r="A139" s="148">
        <v>2.1</v>
      </c>
      <c r="B139" s="141" t="s">
        <v>353</v>
      </c>
      <c r="C139" s="86" t="s">
        <v>431</v>
      </c>
      <c r="D139" s="133" t="s">
        <v>3</v>
      </c>
      <c r="E139" s="80" t="s">
        <v>3</v>
      </c>
      <c r="F139" s="46" t="s">
        <v>3</v>
      </c>
      <c r="G139" s="46" t="s">
        <v>743</v>
      </c>
      <c r="H139" s="46" t="s">
        <v>744</v>
      </c>
      <c r="I139" s="46" t="s">
        <v>3377</v>
      </c>
      <c r="J139" s="46" t="s">
        <v>3314</v>
      </c>
      <c r="K139" s="46" t="s">
        <v>3</v>
      </c>
      <c r="L139" s="46">
        <v>6</v>
      </c>
      <c r="N139" s="46" t="s">
        <v>3394</v>
      </c>
      <c r="O139" s="46" t="s">
        <v>3</v>
      </c>
      <c r="P139" s="46">
        <v>3</v>
      </c>
      <c r="R139" s="46" t="s">
        <v>3518</v>
      </c>
      <c r="S139" s="46" t="s">
        <v>3</v>
      </c>
      <c r="T139" s="46">
        <v>2</v>
      </c>
      <c r="V139" s="46" t="s">
        <v>1197</v>
      </c>
      <c r="W139" s="46" t="s">
        <v>1412</v>
      </c>
      <c r="X139" s="46" t="s">
        <v>1413</v>
      </c>
      <c r="Y139" s="46" t="s">
        <v>1736</v>
      </c>
      <c r="Z139" s="46">
        <v>10</v>
      </c>
      <c r="AA139" s="46">
        <v>93.9</v>
      </c>
      <c r="AB139" s="46">
        <v>18</v>
      </c>
      <c r="AC139" s="46" t="s">
        <v>1445</v>
      </c>
      <c r="AD139" s="46" t="s">
        <v>1737</v>
      </c>
      <c r="AE139" s="46" t="s">
        <v>1738</v>
      </c>
      <c r="AF139" s="46" t="s">
        <v>743</v>
      </c>
      <c r="AG139" s="46" t="s">
        <v>1739</v>
      </c>
      <c r="AH139" s="46" t="s">
        <v>2403</v>
      </c>
      <c r="AI139" s="46" t="s">
        <v>2404</v>
      </c>
      <c r="AJ139" s="46" t="s">
        <v>2635</v>
      </c>
      <c r="AK139" s="46">
        <v>9</v>
      </c>
      <c r="AL139" s="46">
        <v>99</v>
      </c>
      <c r="AM139" s="46">
        <v>3</v>
      </c>
      <c r="AN139" s="46" t="s">
        <v>2406</v>
      </c>
      <c r="AO139" s="46" t="s">
        <v>2684</v>
      </c>
      <c r="AP139" s="46" t="s">
        <v>2685</v>
      </c>
      <c r="AQ139" s="46" t="s">
        <v>744</v>
      </c>
      <c r="AR139" s="46" t="s">
        <v>2686</v>
      </c>
      <c r="AT139" s="48" t="s">
        <v>3</v>
      </c>
      <c r="AU139" s="41">
        <v>0.30349999999999999</v>
      </c>
      <c r="AV139" s="41"/>
      <c r="AW139" s="55">
        <v>3.5760000000000001</v>
      </c>
      <c r="AX139" s="55">
        <v>3.5590000000000002</v>
      </c>
      <c r="AY139" s="50">
        <v>0.13700000000000001</v>
      </c>
      <c r="AZ139" s="50">
        <v>0.128</v>
      </c>
      <c r="BA139" s="43"/>
      <c r="BB139" s="50">
        <v>9.1999999999999998E-2</v>
      </c>
      <c r="BC139" s="50">
        <v>8.2000000000000003E-2</v>
      </c>
      <c r="BD139" s="43"/>
      <c r="BE139" s="41">
        <v>76562</v>
      </c>
      <c r="BF139" s="41">
        <v>3131.5</v>
      </c>
      <c r="BG139" s="51">
        <v>1</v>
      </c>
      <c r="BH139" s="51">
        <v>0</v>
      </c>
      <c r="BI139" s="52" t="s">
        <v>3285</v>
      </c>
      <c r="BJ139" s="41"/>
      <c r="BK139" s="41">
        <v>3196</v>
      </c>
      <c r="BL139" s="41">
        <v>2655</v>
      </c>
      <c r="BM139" s="51">
        <v>0</v>
      </c>
      <c r="BN139" s="51">
        <v>0</v>
      </c>
      <c r="BO139" s="52" t="s">
        <v>3285</v>
      </c>
      <c r="BP139" s="52" t="s">
        <v>3285</v>
      </c>
      <c r="BQ139" s="43"/>
      <c r="BR139" s="41">
        <v>-1.6400000000000001E-2</v>
      </c>
      <c r="BS139" s="41">
        <v>-7.4999999999999997E-3</v>
      </c>
      <c r="BT139" s="52" t="s">
        <v>3288</v>
      </c>
      <c r="BU139" s="52" t="s">
        <v>3288</v>
      </c>
      <c r="BV139" s="41"/>
      <c r="BW139" s="56">
        <v>2.7909999999999999</v>
      </c>
      <c r="BX139" s="57">
        <v>0.82499999999999996</v>
      </c>
      <c r="BY139" s="41"/>
    </row>
    <row r="140" spans="1:77" s="40" customFormat="1" ht="17" thickBot="1">
      <c r="A140" s="149">
        <v>2.1</v>
      </c>
      <c r="B140" s="142" t="s">
        <v>353</v>
      </c>
      <c r="C140" s="121" t="s">
        <v>431</v>
      </c>
      <c r="D140" s="134" t="s">
        <v>5</v>
      </c>
      <c r="E140" s="84" t="s">
        <v>5</v>
      </c>
      <c r="F140" s="40" t="s">
        <v>5</v>
      </c>
      <c r="G140" s="40" t="s">
        <v>849</v>
      </c>
      <c r="H140" s="40" t="s">
        <v>850</v>
      </c>
      <c r="I140" s="40" t="s">
        <v>3377</v>
      </c>
      <c r="J140" s="40" t="s">
        <v>3314</v>
      </c>
      <c r="K140" s="40" t="s">
        <v>5</v>
      </c>
      <c r="L140" s="40">
        <v>6</v>
      </c>
      <c r="N140" s="40" t="s">
        <v>3394</v>
      </c>
      <c r="O140" s="40" t="s">
        <v>5</v>
      </c>
      <c r="P140" s="40">
        <v>3</v>
      </c>
      <c r="R140" s="40" t="s">
        <v>3612</v>
      </c>
      <c r="S140" s="40" t="s">
        <v>5</v>
      </c>
      <c r="T140" s="40">
        <v>1</v>
      </c>
      <c r="V140" s="40" t="s">
        <v>1337</v>
      </c>
      <c r="W140" s="40" t="s">
        <v>1412</v>
      </c>
      <c r="X140" s="40" t="s">
        <v>1413</v>
      </c>
      <c r="Y140" s="40" t="s">
        <v>2193</v>
      </c>
      <c r="Z140" s="40">
        <v>10</v>
      </c>
      <c r="AA140" s="40">
        <v>93.6</v>
      </c>
      <c r="AB140" s="40">
        <v>19</v>
      </c>
      <c r="AC140" s="40" t="s">
        <v>1679</v>
      </c>
      <c r="AD140" s="40" t="s">
        <v>2194</v>
      </c>
      <c r="AE140" s="40" t="s">
        <v>2195</v>
      </c>
      <c r="AF140" s="40" t="s">
        <v>849</v>
      </c>
      <c r="AG140" s="40" t="s">
        <v>2196</v>
      </c>
      <c r="AH140" s="40" t="s">
        <v>2403</v>
      </c>
      <c r="AI140" s="40" t="s">
        <v>2404</v>
      </c>
      <c r="AJ140" s="40" t="s">
        <v>2635</v>
      </c>
      <c r="AK140" s="40">
        <v>9</v>
      </c>
      <c r="AL140" s="40">
        <v>97.6</v>
      </c>
      <c r="AM140" s="40">
        <v>7</v>
      </c>
      <c r="AN140" s="40" t="s">
        <v>2406</v>
      </c>
      <c r="AO140" s="40" t="s">
        <v>3083</v>
      </c>
      <c r="AP140" s="40" t="s">
        <v>3084</v>
      </c>
      <c r="AQ140" s="40" t="s">
        <v>850</v>
      </c>
      <c r="AR140" s="40" t="s">
        <v>3085</v>
      </c>
      <c r="AT140" s="85" t="s">
        <v>5</v>
      </c>
      <c r="AU140" s="35">
        <v>0.37269999999999998</v>
      </c>
      <c r="AV140" s="35"/>
      <c r="AW140" s="110">
        <v>3.4</v>
      </c>
      <c r="AX140" s="110">
        <v>3.379</v>
      </c>
      <c r="AY140" s="90">
        <v>0.14599999999999999</v>
      </c>
      <c r="AZ140" s="90">
        <v>0.14199999999999999</v>
      </c>
      <c r="BA140" s="37"/>
      <c r="BB140" s="90">
        <v>9.1999999999999998E-2</v>
      </c>
      <c r="BC140" s="90">
        <v>8.5999999999999993E-2</v>
      </c>
      <c r="BD140" s="37"/>
      <c r="BE140" s="35">
        <v>35250.5</v>
      </c>
      <c r="BF140" s="35">
        <v>1726.5</v>
      </c>
      <c r="BG140" s="93">
        <v>1</v>
      </c>
      <c r="BH140" s="93">
        <v>0</v>
      </c>
      <c r="BI140" s="94" t="s">
        <v>3285</v>
      </c>
      <c r="BJ140" s="35"/>
      <c r="BK140" s="35">
        <v>5955.5</v>
      </c>
      <c r="BL140" s="35">
        <v>2489</v>
      </c>
      <c r="BM140" s="93">
        <v>1</v>
      </c>
      <c r="BN140" s="93">
        <v>0</v>
      </c>
      <c r="BO140" s="94" t="s">
        <v>3285</v>
      </c>
      <c r="BP140" s="94" t="s">
        <v>3285</v>
      </c>
      <c r="BQ140" s="37"/>
      <c r="BR140" s="35">
        <v>-1.6199999999999999E-2</v>
      </c>
      <c r="BS140" s="35">
        <v>-9.7999999999999997E-3</v>
      </c>
      <c r="BT140" s="94" t="s">
        <v>3288</v>
      </c>
      <c r="BU140" s="94" t="s">
        <v>3288</v>
      </c>
      <c r="BV140" s="35"/>
      <c r="BW140" s="107">
        <v>2.4220000000000002</v>
      </c>
      <c r="BX140" s="99">
        <v>0.60699999999999998</v>
      </c>
      <c r="BY140" s="35"/>
    </row>
    <row r="141" spans="1:77" s="81" customFormat="1">
      <c r="A141" s="147">
        <v>2.11</v>
      </c>
      <c r="B141" s="140" t="s">
        <v>383</v>
      </c>
      <c r="C141" s="120" t="s">
        <v>461</v>
      </c>
      <c r="D141" s="132" t="s">
        <v>165</v>
      </c>
      <c r="E141" s="82" t="s">
        <v>166</v>
      </c>
      <c r="F141" s="81" t="s">
        <v>166</v>
      </c>
      <c r="G141" s="81" t="s">
        <v>592</v>
      </c>
      <c r="H141" s="81" t="s">
        <v>593</v>
      </c>
      <c r="I141" s="81" t="s">
        <v>3377</v>
      </c>
      <c r="J141" s="81" t="s">
        <v>3337</v>
      </c>
      <c r="K141" s="81" t="s">
        <v>166</v>
      </c>
      <c r="L141" s="81">
        <v>6</v>
      </c>
      <c r="N141" s="81" t="s">
        <v>3425</v>
      </c>
      <c r="O141" s="81" t="s">
        <v>166</v>
      </c>
      <c r="P141" s="81">
        <v>3</v>
      </c>
      <c r="R141" s="81" t="s">
        <v>3554</v>
      </c>
      <c r="S141" s="81" t="s">
        <v>166</v>
      </c>
      <c r="T141" s="81">
        <v>2</v>
      </c>
      <c r="V141" s="81" t="s">
        <v>1160</v>
      </c>
      <c r="W141" s="81" t="s">
        <v>1602</v>
      </c>
      <c r="X141" s="81" t="s">
        <v>1428</v>
      </c>
      <c r="Y141" s="81" t="s">
        <v>1613</v>
      </c>
      <c r="Z141" s="81">
        <v>19</v>
      </c>
      <c r="AA141" s="81">
        <v>96.9</v>
      </c>
      <c r="AB141" s="81">
        <v>9</v>
      </c>
      <c r="AC141" s="81" t="s">
        <v>1563</v>
      </c>
      <c r="AD141" s="81" t="s">
        <v>1614</v>
      </c>
      <c r="AE141" s="81" t="s">
        <v>592</v>
      </c>
      <c r="AF141" s="81" t="s">
        <v>592</v>
      </c>
      <c r="AG141" s="81" t="s">
        <v>1615</v>
      </c>
      <c r="AH141" s="81" t="s">
        <v>2451</v>
      </c>
      <c r="AI141" s="81" t="s">
        <v>2404</v>
      </c>
      <c r="AJ141" s="81" t="s">
        <v>2584</v>
      </c>
      <c r="AK141" s="81">
        <v>10</v>
      </c>
      <c r="AL141" s="81">
        <v>94.4</v>
      </c>
      <c r="AM141" s="81">
        <v>16</v>
      </c>
      <c r="AN141" s="81" t="s">
        <v>2406</v>
      </c>
      <c r="AO141" s="81" t="s">
        <v>2585</v>
      </c>
      <c r="AP141" s="81" t="s">
        <v>593</v>
      </c>
      <c r="AQ141" s="81" t="s">
        <v>593</v>
      </c>
      <c r="AR141" s="81" t="s">
        <v>2586</v>
      </c>
      <c r="AT141" s="83" t="s">
        <v>166</v>
      </c>
      <c r="AU141" s="33">
        <v>9.7009999999999999E-2</v>
      </c>
      <c r="AV141" s="33"/>
      <c r="AW141" s="100">
        <v>3.6190000000000002</v>
      </c>
      <c r="AX141" s="100">
        <v>3.5609999999999999</v>
      </c>
      <c r="AY141" s="100">
        <v>3.65</v>
      </c>
      <c r="AZ141" s="87">
        <v>0.14899999999999999</v>
      </c>
      <c r="BA141" s="34"/>
      <c r="BB141" s="100">
        <v>3.5510000000000002</v>
      </c>
      <c r="BC141" s="114">
        <v>2.202</v>
      </c>
      <c r="BD141" s="34"/>
      <c r="BE141" s="33">
        <v>15397</v>
      </c>
      <c r="BF141" s="33">
        <v>116431</v>
      </c>
      <c r="BG141" s="88">
        <v>1</v>
      </c>
      <c r="BH141" s="88">
        <v>1</v>
      </c>
      <c r="BI141" s="89" t="s">
        <v>3286</v>
      </c>
      <c r="BJ141" s="33"/>
      <c r="BK141" s="33">
        <v>181693</v>
      </c>
      <c r="BL141" s="33">
        <v>3659</v>
      </c>
      <c r="BM141" s="88">
        <v>1</v>
      </c>
      <c r="BN141" s="88">
        <v>0</v>
      </c>
      <c r="BO141" s="89" t="s">
        <v>3285</v>
      </c>
      <c r="BP141" s="89" t="s">
        <v>3287</v>
      </c>
      <c r="BQ141" s="34"/>
      <c r="BR141" s="33">
        <v>4.9799999999999997E-2</v>
      </c>
      <c r="BS141" s="33">
        <v>3.3E-3</v>
      </c>
      <c r="BT141" s="89" t="s">
        <v>3288</v>
      </c>
      <c r="BU141" s="89" t="s">
        <v>3288</v>
      </c>
      <c r="BV141" s="33"/>
      <c r="BW141" s="105">
        <v>3.3210000000000002</v>
      </c>
      <c r="BX141" s="100">
        <v>3.601</v>
      </c>
      <c r="BY141" s="33"/>
    </row>
    <row r="142" spans="1:77">
      <c r="A142" s="148">
        <v>2.11</v>
      </c>
      <c r="B142" s="141" t="s">
        <v>383</v>
      </c>
      <c r="C142" s="86" t="s">
        <v>461</v>
      </c>
      <c r="D142" s="133" t="s">
        <v>175</v>
      </c>
      <c r="E142" s="80" t="s">
        <v>176</v>
      </c>
      <c r="F142" s="46" t="s">
        <v>176</v>
      </c>
      <c r="G142" s="46" t="s">
        <v>708</v>
      </c>
      <c r="H142" s="46" t="s">
        <v>709</v>
      </c>
      <c r="I142" s="46" t="s">
        <v>3377</v>
      </c>
      <c r="J142" s="46" t="s">
        <v>3337</v>
      </c>
      <c r="K142" s="46" t="s">
        <v>176</v>
      </c>
      <c r="L142" s="46">
        <v>6</v>
      </c>
      <c r="N142" s="46" t="s">
        <v>3425</v>
      </c>
      <c r="O142" s="46" t="s">
        <v>176</v>
      </c>
      <c r="P142" s="46">
        <v>3</v>
      </c>
      <c r="R142" s="46" t="s">
        <v>3554</v>
      </c>
      <c r="S142" s="46" t="s">
        <v>176</v>
      </c>
      <c r="T142" s="46">
        <v>2</v>
      </c>
      <c r="V142" s="46" t="s">
        <v>1165</v>
      </c>
      <c r="W142" s="46" t="s">
        <v>1602</v>
      </c>
      <c r="X142" s="46" t="s">
        <v>1428</v>
      </c>
      <c r="Y142" s="46" t="s">
        <v>1630</v>
      </c>
      <c r="Z142" s="46">
        <v>19</v>
      </c>
      <c r="AA142" s="46">
        <v>96.6</v>
      </c>
      <c r="AB142" s="46">
        <v>10</v>
      </c>
      <c r="AC142" s="46" t="s">
        <v>1563</v>
      </c>
      <c r="AD142" s="46" t="s">
        <v>1631</v>
      </c>
      <c r="AE142" s="46" t="s">
        <v>708</v>
      </c>
      <c r="AF142" s="46" t="s">
        <v>708</v>
      </c>
      <c r="AG142" s="46" t="s">
        <v>1632</v>
      </c>
      <c r="AH142" s="46" t="s">
        <v>2451</v>
      </c>
      <c r="AI142" s="46" t="s">
        <v>2404</v>
      </c>
      <c r="AJ142" s="46" t="s">
        <v>2584</v>
      </c>
      <c r="AK142" s="46">
        <v>10</v>
      </c>
      <c r="AL142" s="46">
        <v>95.1</v>
      </c>
      <c r="AM142" s="46">
        <v>14</v>
      </c>
      <c r="AN142" s="46" t="s">
        <v>2406</v>
      </c>
      <c r="AO142" s="46" t="s">
        <v>2585</v>
      </c>
      <c r="AP142" s="46" t="s">
        <v>709</v>
      </c>
      <c r="AQ142" s="46" t="s">
        <v>709</v>
      </c>
      <c r="AR142" s="46" t="s">
        <v>2594</v>
      </c>
      <c r="AT142" s="48" t="s">
        <v>176</v>
      </c>
      <c r="AU142" s="41">
        <v>0.15740000000000001</v>
      </c>
      <c r="AV142" s="41"/>
      <c r="AW142" s="61">
        <v>3.548</v>
      </c>
      <c r="AX142" s="61">
        <v>3.5049999999999999</v>
      </c>
      <c r="AY142" s="61">
        <v>3.5339999999999998</v>
      </c>
      <c r="AZ142" s="63">
        <v>0.156</v>
      </c>
      <c r="BA142" s="42"/>
      <c r="BB142" s="55">
        <v>3.4569999999999999</v>
      </c>
      <c r="BC142" s="49">
        <v>2.476</v>
      </c>
      <c r="BD142" s="43"/>
      <c r="BE142" s="41">
        <v>16154</v>
      </c>
      <c r="BF142" s="41">
        <v>69834</v>
      </c>
      <c r="BG142" s="51">
        <v>1</v>
      </c>
      <c r="BH142" s="51">
        <v>1</v>
      </c>
      <c r="BI142" s="52" t="s">
        <v>3286</v>
      </c>
      <c r="BJ142" s="41"/>
      <c r="BK142" s="41">
        <v>3895</v>
      </c>
      <c r="BL142" s="41">
        <v>6142.5</v>
      </c>
      <c r="BM142" s="51">
        <v>0</v>
      </c>
      <c r="BN142" s="51">
        <v>1</v>
      </c>
      <c r="BO142" s="52" t="s">
        <v>3286</v>
      </c>
      <c r="BP142" s="52" t="s">
        <v>3286</v>
      </c>
      <c r="BQ142" s="43"/>
      <c r="BR142" s="41">
        <v>-1.5699999999999999E-2</v>
      </c>
      <c r="BS142" s="41">
        <v>6.8500000000000005E-2</v>
      </c>
      <c r="BT142" s="52" t="s">
        <v>3288</v>
      </c>
      <c r="BU142" s="52" t="s">
        <v>3288</v>
      </c>
      <c r="BV142" s="41"/>
      <c r="BW142" s="49">
        <v>3.2959999999999998</v>
      </c>
      <c r="BX142" s="55">
        <v>3.4729999999999999</v>
      </c>
      <c r="BY142" s="41"/>
    </row>
    <row r="143" spans="1:77">
      <c r="A143" s="148">
        <v>2.11</v>
      </c>
      <c r="B143" s="141" t="s">
        <v>383</v>
      </c>
      <c r="C143" s="86" t="s">
        <v>461</v>
      </c>
      <c r="D143" s="133" t="s">
        <v>169</v>
      </c>
      <c r="E143" s="80" t="s">
        <v>170</v>
      </c>
      <c r="F143" s="46" t="s">
        <v>170</v>
      </c>
      <c r="G143" s="46" t="s">
        <v>612</v>
      </c>
      <c r="H143" s="46" t="s">
        <v>613</v>
      </c>
      <c r="I143" s="46" t="s">
        <v>3377</v>
      </c>
      <c r="J143" s="46" t="s">
        <v>3337</v>
      </c>
      <c r="K143" s="46" t="s">
        <v>170</v>
      </c>
      <c r="L143" s="46">
        <v>6</v>
      </c>
      <c r="N143" s="46" t="s">
        <v>3425</v>
      </c>
      <c r="O143" s="46" t="s">
        <v>170</v>
      </c>
      <c r="P143" s="46">
        <v>3</v>
      </c>
      <c r="R143" s="46" t="s">
        <v>3558</v>
      </c>
      <c r="S143" s="46" t="s">
        <v>170</v>
      </c>
      <c r="T143" s="46">
        <v>1</v>
      </c>
      <c r="V143" s="46" t="s">
        <v>1162</v>
      </c>
      <c r="W143" s="46" t="s">
        <v>1602</v>
      </c>
      <c r="X143" s="46" t="s">
        <v>1428</v>
      </c>
      <c r="Y143" s="46" t="s">
        <v>1620</v>
      </c>
      <c r="Z143" s="46">
        <v>19</v>
      </c>
      <c r="AA143" s="46">
        <v>95.9</v>
      </c>
      <c r="AB143" s="46">
        <v>12</v>
      </c>
      <c r="AC143" s="46" t="s">
        <v>1470</v>
      </c>
      <c r="AD143" s="46" t="s">
        <v>1621</v>
      </c>
      <c r="AE143" s="46" t="s">
        <v>612</v>
      </c>
      <c r="AF143" s="46" t="s">
        <v>612</v>
      </c>
      <c r="AG143" s="46" t="s">
        <v>1622</v>
      </c>
      <c r="AH143" s="46" t="s">
        <v>2451</v>
      </c>
      <c r="AI143" s="46" t="s">
        <v>2404</v>
      </c>
      <c r="AJ143" s="46" t="s">
        <v>2574</v>
      </c>
      <c r="AK143" s="46">
        <v>10</v>
      </c>
      <c r="AL143" s="46">
        <v>95.5</v>
      </c>
      <c r="AM143" s="46">
        <v>13</v>
      </c>
      <c r="AN143" s="46" t="s">
        <v>2406</v>
      </c>
      <c r="AO143" s="46" t="s">
        <v>2587</v>
      </c>
      <c r="AP143" s="46" t="s">
        <v>613</v>
      </c>
      <c r="AQ143" s="46" t="s">
        <v>613</v>
      </c>
      <c r="AR143" s="46" t="s">
        <v>2589</v>
      </c>
      <c r="AT143" s="48" t="s">
        <v>170</v>
      </c>
      <c r="AU143" s="41">
        <v>0.32079999999999997</v>
      </c>
      <c r="AV143" s="41"/>
      <c r="AW143" s="61">
        <v>3.6040000000000001</v>
      </c>
      <c r="AX143" s="61">
        <v>3.609</v>
      </c>
      <c r="AY143" s="61">
        <v>3.6059999999999999</v>
      </c>
      <c r="AZ143" s="63">
        <v>0.17</v>
      </c>
      <c r="BA143" s="42"/>
      <c r="BB143" s="55">
        <v>3.532</v>
      </c>
      <c r="BC143" s="55">
        <v>2.5459999999999998</v>
      </c>
      <c r="BD143" s="43"/>
      <c r="BE143" s="41">
        <v>10657</v>
      </c>
      <c r="BF143" s="41">
        <v>42671</v>
      </c>
      <c r="BG143" s="51">
        <v>1</v>
      </c>
      <c r="BH143" s="51">
        <v>1</v>
      </c>
      <c r="BI143" s="52" t="s">
        <v>3286</v>
      </c>
      <c r="BJ143" s="41"/>
      <c r="BK143" s="41">
        <v>4793</v>
      </c>
      <c r="BL143" s="41">
        <v>2318</v>
      </c>
      <c r="BM143" s="51">
        <v>1</v>
      </c>
      <c r="BN143" s="51">
        <v>0</v>
      </c>
      <c r="BO143" s="52" t="s">
        <v>3285</v>
      </c>
      <c r="BP143" s="52" t="s">
        <v>3287</v>
      </c>
      <c r="BQ143" s="43"/>
      <c r="BR143" s="41">
        <v>-9.6299999999999997E-2</v>
      </c>
      <c r="BS143" s="41">
        <v>-4.2900000000000001E-2</v>
      </c>
      <c r="BT143" s="52" t="s">
        <v>3288</v>
      </c>
      <c r="BU143" s="52" t="s">
        <v>3288</v>
      </c>
      <c r="BV143" s="41"/>
      <c r="BW143" s="55">
        <v>3.4409999999999998</v>
      </c>
      <c r="BX143" s="55">
        <v>3.5190000000000001</v>
      </c>
      <c r="BY143" s="41"/>
    </row>
    <row r="144" spans="1:77">
      <c r="A144" s="148">
        <v>2.11</v>
      </c>
      <c r="B144" s="141" t="s">
        <v>383</v>
      </c>
      <c r="C144" s="86" t="s">
        <v>461</v>
      </c>
      <c r="D144" s="133" t="s">
        <v>173</v>
      </c>
      <c r="E144" s="80" t="s">
        <v>174</v>
      </c>
      <c r="F144" s="46" t="s">
        <v>174</v>
      </c>
      <c r="G144" s="46" t="s">
        <v>672</v>
      </c>
      <c r="H144" s="46" t="s">
        <v>673</v>
      </c>
      <c r="I144" s="46" t="s">
        <v>3377</v>
      </c>
      <c r="J144" s="46" t="s">
        <v>3337</v>
      </c>
      <c r="K144" s="46" t="s">
        <v>174</v>
      </c>
      <c r="L144" s="46">
        <v>6</v>
      </c>
      <c r="N144" s="46" t="s">
        <v>3445</v>
      </c>
      <c r="O144" s="46" t="s">
        <v>174</v>
      </c>
      <c r="P144" s="46">
        <v>2</v>
      </c>
      <c r="R144" s="46" t="s">
        <v>3577</v>
      </c>
      <c r="S144" s="46" t="s">
        <v>174</v>
      </c>
      <c r="T144" s="46">
        <v>1</v>
      </c>
      <c r="V144" s="46" t="s">
        <v>1164</v>
      </c>
      <c r="W144" s="46" t="s">
        <v>1602</v>
      </c>
      <c r="X144" s="46" t="s">
        <v>1428</v>
      </c>
      <c r="Y144" s="46" t="s">
        <v>1626</v>
      </c>
      <c r="Z144" s="46">
        <v>19</v>
      </c>
      <c r="AA144" s="46">
        <v>96.6</v>
      </c>
      <c r="AB144" s="46">
        <v>10</v>
      </c>
      <c r="AC144" s="46" t="s">
        <v>1627</v>
      </c>
      <c r="AD144" s="46" t="s">
        <v>1628</v>
      </c>
      <c r="AE144" s="46" t="s">
        <v>672</v>
      </c>
      <c r="AF144" s="46" t="s">
        <v>672</v>
      </c>
      <c r="AG144" s="46" t="s">
        <v>1629</v>
      </c>
      <c r="AH144" s="46" t="s">
        <v>2451</v>
      </c>
      <c r="AI144" s="46" t="s">
        <v>2404</v>
      </c>
      <c r="AJ144" s="46" t="s">
        <v>2591</v>
      </c>
      <c r="AK144" s="46">
        <v>10</v>
      </c>
      <c r="AL144" s="46">
        <v>97.9</v>
      </c>
      <c r="AM144" s="46">
        <v>6</v>
      </c>
      <c r="AN144" s="46" t="s">
        <v>2406</v>
      </c>
      <c r="AO144" s="46" t="s">
        <v>2592</v>
      </c>
      <c r="AP144" s="46" t="s">
        <v>673</v>
      </c>
      <c r="AQ144" s="46" t="s">
        <v>673</v>
      </c>
      <c r="AR144" s="46" t="s">
        <v>2593</v>
      </c>
      <c r="AT144" s="48" t="s">
        <v>174</v>
      </c>
      <c r="AU144" s="41">
        <v>0.1512</v>
      </c>
      <c r="AV144" s="41"/>
      <c r="AW144" s="61">
        <v>3.6629999999999998</v>
      </c>
      <c r="AX144" s="61">
        <v>3.5750000000000002</v>
      </c>
      <c r="AY144" s="61">
        <v>3.6160000000000001</v>
      </c>
      <c r="AZ144" s="63">
        <v>0.13400000000000001</v>
      </c>
      <c r="BA144" s="42"/>
      <c r="BB144" s="55">
        <v>3.5680000000000001</v>
      </c>
      <c r="BC144" s="55">
        <v>2.601</v>
      </c>
      <c r="BD144" s="43"/>
      <c r="BE144" s="41">
        <v>15251</v>
      </c>
      <c r="BF144" s="41">
        <v>109856.5</v>
      </c>
      <c r="BG144" s="51">
        <v>1</v>
      </c>
      <c r="BH144" s="51">
        <v>1</v>
      </c>
      <c r="BI144" s="52" t="s">
        <v>3286</v>
      </c>
      <c r="BJ144" s="41"/>
      <c r="BK144" s="41">
        <v>3706</v>
      </c>
      <c r="BL144" s="41">
        <v>85892</v>
      </c>
      <c r="BM144" s="51">
        <v>0</v>
      </c>
      <c r="BN144" s="51">
        <v>1</v>
      </c>
      <c r="BO144" s="52" t="s">
        <v>3286</v>
      </c>
      <c r="BP144" s="52" t="s">
        <v>3286</v>
      </c>
      <c r="BQ144" s="43"/>
      <c r="BR144" s="41">
        <v>-1.2999999999999999E-3</v>
      </c>
      <c r="BS144" s="41">
        <v>-7.6700000000000004E-2</v>
      </c>
      <c r="BT144" s="52" t="s">
        <v>3288</v>
      </c>
      <c r="BU144" s="52" t="s">
        <v>3288</v>
      </c>
      <c r="BV144" s="41"/>
      <c r="BW144" s="49">
        <v>3.351</v>
      </c>
      <c r="BX144" s="55">
        <v>3.5779999999999998</v>
      </c>
      <c r="BY144" s="41"/>
    </row>
    <row r="145" spans="1:77">
      <c r="A145" s="148">
        <v>2.11</v>
      </c>
      <c r="B145" s="141" t="s">
        <v>383</v>
      </c>
      <c r="C145" s="86" t="s">
        <v>461</v>
      </c>
      <c r="D145" s="133" t="s">
        <v>180</v>
      </c>
      <c r="E145" s="80" t="s">
        <v>181</v>
      </c>
      <c r="F145" s="46" t="s">
        <v>180</v>
      </c>
      <c r="G145" s="46" t="s">
        <v>1093</v>
      </c>
      <c r="H145" s="46" t="s">
        <v>1094</v>
      </c>
      <c r="I145" s="46" t="s">
        <v>3377</v>
      </c>
      <c r="J145" s="46" t="s">
        <v>3337</v>
      </c>
      <c r="K145" s="46" t="s">
        <v>180</v>
      </c>
      <c r="L145" s="46">
        <v>6</v>
      </c>
      <c r="N145" s="46" t="s">
        <v>3445</v>
      </c>
      <c r="O145" s="46" t="s">
        <v>180</v>
      </c>
      <c r="P145" s="46">
        <v>2</v>
      </c>
      <c r="R145" s="46" t="s">
        <v>3659</v>
      </c>
      <c r="S145" s="46" t="s">
        <v>180</v>
      </c>
      <c r="T145" s="46">
        <v>1</v>
      </c>
      <c r="V145" s="46" t="s">
        <v>1168</v>
      </c>
      <c r="W145" s="46" t="s">
        <v>1602</v>
      </c>
      <c r="X145" s="46" t="s">
        <v>1428</v>
      </c>
      <c r="Y145" s="46" t="s">
        <v>1639</v>
      </c>
      <c r="Z145" s="46">
        <v>19</v>
      </c>
      <c r="AA145" s="46">
        <v>97.6</v>
      </c>
      <c r="AB145" s="46">
        <v>7</v>
      </c>
      <c r="AC145" s="46" t="s">
        <v>1627</v>
      </c>
      <c r="AD145" s="46" t="s">
        <v>1640</v>
      </c>
      <c r="AE145" s="46" t="s">
        <v>1093</v>
      </c>
      <c r="AF145" s="46" t="s">
        <v>1093</v>
      </c>
      <c r="AG145" s="46" t="s">
        <v>1641</v>
      </c>
      <c r="AH145" s="46" t="s">
        <v>2451</v>
      </c>
      <c r="AI145" s="46" t="s">
        <v>2404</v>
      </c>
      <c r="AJ145" s="46" t="s">
        <v>2600</v>
      </c>
      <c r="AK145" s="46">
        <v>10</v>
      </c>
      <c r="AL145" s="46">
        <v>98.3</v>
      </c>
      <c r="AM145" s="46">
        <v>5</v>
      </c>
      <c r="AN145" s="46" t="s">
        <v>2406</v>
      </c>
      <c r="AO145" s="46" t="s">
        <v>2601</v>
      </c>
      <c r="AP145" s="46" t="s">
        <v>1094</v>
      </c>
      <c r="AQ145" s="46" t="s">
        <v>1094</v>
      </c>
      <c r="AR145" s="46" t="s">
        <v>2602</v>
      </c>
      <c r="AT145" s="48" t="s">
        <v>181</v>
      </c>
      <c r="AU145" s="41">
        <v>0.14319999999999999</v>
      </c>
      <c r="AV145" s="41"/>
      <c r="AW145" s="60">
        <v>2.653</v>
      </c>
      <c r="AX145" s="50">
        <v>0.14799999999999999</v>
      </c>
      <c r="AY145" s="55">
        <v>3.6520000000000001</v>
      </c>
      <c r="AZ145" s="50">
        <v>0.13</v>
      </c>
      <c r="BA145" s="43"/>
      <c r="BB145" s="55">
        <v>3.5489999999999999</v>
      </c>
      <c r="BC145" s="56">
        <v>1.9910000000000001</v>
      </c>
      <c r="BD145" s="43"/>
      <c r="BE145" s="41">
        <v>20314</v>
      </c>
      <c r="BF145" s="41">
        <v>136045</v>
      </c>
      <c r="BG145" s="51">
        <v>1</v>
      </c>
      <c r="BH145" s="51">
        <v>1</v>
      </c>
      <c r="BI145" s="52" t="s">
        <v>3286</v>
      </c>
      <c r="BJ145" s="41"/>
      <c r="BK145" s="41">
        <v>3711</v>
      </c>
      <c r="BL145" s="41">
        <v>71095</v>
      </c>
      <c r="BM145" s="51">
        <v>0</v>
      </c>
      <c r="BN145" s="51">
        <v>1</v>
      </c>
      <c r="BO145" s="52" t="s">
        <v>3286</v>
      </c>
      <c r="BP145" s="52" t="s">
        <v>3286</v>
      </c>
      <c r="BQ145" s="43"/>
      <c r="BR145" s="41">
        <v>-5.9200000000000003E-2</v>
      </c>
      <c r="BS145" s="41">
        <v>-8.8999999999999999E-3</v>
      </c>
      <c r="BT145" s="52" t="s">
        <v>3288</v>
      </c>
      <c r="BU145" s="52" t="s">
        <v>3288</v>
      </c>
      <c r="BV145" s="41"/>
      <c r="BW145" s="53">
        <v>2.0470000000000002</v>
      </c>
      <c r="BX145" s="55">
        <v>3.5950000000000002</v>
      </c>
      <c r="BY145" s="41"/>
    </row>
    <row r="146" spans="1:77" s="40" customFormat="1" ht="17" thickBot="1">
      <c r="A146" s="149">
        <v>2.11</v>
      </c>
      <c r="B146" s="142" t="s">
        <v>383</v>
      </c>
      <c r="C146" s="121" t="s">
        <v>461</v>
      </c>
      <c r="D146" s="134" t="s">
        <v>178</v>
      </c>
      <c r="E146" s="84" t="s">
        <v>179</v>
      </c>
      <c r="F146" s="40" t="s">
        <v>179</v>
      </c>
      <c r="G146" s="40" t="s">
        <v>721</v>
      </c>
      <c r="H146" s="40" t="s">
        <v>722</v>
      </c>
      <c r="I146" s="40" t="s">
        <v>3377</v>
      </c>
      <c r="J146" s="40" t="s">
        <v>3337</v>
      </c>
      <c r="K146" s="40" t="s">
        <v>179</v>
      </c>
      <c r="L146" s="40">
        <v>6</v>
      </c>
      <c r="N146" s="40" t="s">
        <v>3455</v>
      </c>
      <c r="O146" s="40" t="s">
        <v>179</v>
      </c>
      <c r="P146" s="40">
        <v>1</v>
      </c>
      <c r="R146" s="40" t="s">
        <v>3587</v>
      </c>
      <c r="S146" s="40" t="s">
        <v>179</v>
      </c>
      <c r="T146" s="40">
        <v>1</v>
      </c>
      <c r="V146" s="40" t="s">
        <v>1166</v>
      </c>
      <c r="W146" s="40" t="s">
        <v>1602</v>
      </c>
      <c r="X146" s="40" t="s">
        <v>1428</v>
      </c>
      <c r="Y146" s="40" t="s">
        <v>1633</v>
      </c>
      <c r="Z146" s="40">
        <v>19</v>
      </c>
      <c r="AA146" s="40">
        <v>96.3</v>
      </c>
      <c r="AB146" s="40">
        <v>11</v>
      </c>
      <c r="AC146" s="40" t="s">
        <v>1430</v>
      </c>
      <c r="AD146" s="40" t="s">
        <v>1634</v>
      </c>
      <c r="AE146" s="40" t="s">
        <v>721</v>
      </c>
      <c r="AF146" s="40" t="s">
        <v>721</v>
      </c>
      <c r="AG146" s="40" t="s">
        <v>1635</v>
      </c>
      <c r="AH146" s="40" t="s">
        <v>2451</v>
      </c>
      <c r="AI146" s="40" t="s">
        <v>2404</v>
      </c>
      <c r="AJ146" s="40" t="s">
        <v>2595</v>
      </c>
      <c r="AK146" s="40">
        <v>10</v>
      </c>
      <c r="AL146" s="40">
        <v>95.8</v>
      </c>
      <c r="AM146" s="40">
        <v>12</v>
      </c>
      <c r="AN146" s="40" t="s">
        <v>2406</v>
      </c>
      <c r="AO146" s="40" t="s">
        <v>2596</v>
      </c>
      <c r="AP146" s="40" t="s">
        <v>722</v>
      </c>
      <c r="AQ146" s="40" t="s">
        <v>722</v>
      </c>
      <c r="AR146" s="40" t="s">
        <v>2597</v>
      </c>
      <c r="AT146" s="85" t="s">
        <v>179</v>
      </c>
      <c r="AU146" s="35">
        <v>0.31380000000000002</v>
      </c>
      <c r="AV146" s="35"/>
      <c r="AW146" s="102">
        <v>3.68</v>
      </c>
      <c r="AX146" s="102">
        <v>3.6429999999999998</v>
      </c>
      <c r="AY146" s="102">
        <v>3.6360000000000001</v>
      </c>
      <c r="AZ146" s="90">
        <v>0.246</v>
      </c>
      <c r="BA146" s="37"/>
      <c r="BB146" s="102">
        <v>3.593</v>
      </c>
      <c r="BC146" s="102">
        <v>2.4769999999999999</v>
      </c>
      <c r="BD146" s="37"/>
      <c r="BE146" s="35">
        <v>15323</v>
      </c>
      <c r="BF146" s="35">
        <v>64401</v>
      </c>
      <c r="BG146" s="93">
        <v>1</v>
      </c>
      <c r="BH146" s="93">
        <v>1</v>
      </c>
      <c r="BI146" s="94" t="s">
        <v>3286</v>
      </c>
      <c r="BJ146" s="35"/>
      <c r="BK146" s="35">
        <v>3645</v>
      </c>
      <c r="BL146" s="35">
        <v>66412</v>
      </c>
      <c r="BM146" s="93">
        <v>0</v>
      </c>
      <c r="BN146" s="93">
        <v>1</v>
      </c>
      <c r="BO146" s="94" t="s">
        <v>3286</v>
      </c>
      <c r="BP146" s="94" t="s">
        <v>3286</v>
      </c>
      <c r="BQ146" s="37"/>
      <c r="BR146" s="35">
        <v>1.4353</v>
      </c>
      <c r="BS146" s="35">
        <v>0.30499999999999999</v>
      </c>
      <c r="BT146" s="94" t="s">
        <v>3290</v>
      </c>
      <c r="BU146" s="94" t="s">
        <v>3290</v>
      </c>
      <c r="BV146" s="35"/>
      <c r="BW146" s="102">
        <v>3.5190000000000001</v>
      </c>
      <c r="BX146" s="102">
        <v>3.5230000000000001</v>
      </c>
      <c r="BY146" s="35"/>
    </row>
    <row r="147" spans="1:77" s="81" customFormat="1">
      <c r="A147" s="147">
        <v>2.12</v>
      </c>
      <c r="B147" s="140" t="s">
        <v>359</v>
      </c>
      <c r="C147" s="120" t="s">
        <v>437</v>
      </c>
      <c r="D147" s="132" t="s">
        <v>57</v>
      </c>
      <c r="E147" s="82" t="s">
        <v>57</v>
      </c>
      <c r="F147" s="81" t="s">
        <v>57</v>
      </c>
      <c r="G147" s="81" t="s">
        <v>519</v>
      </c>
      <c r="H147" s="81" t="s">
        <v>520</v>
      </c>
      <c r="I147" s="81" t="s">
        <v>3377</v>
      </c>
      <c r="J147" s="81" t="s">
        <v>3327</v>
      </c>
      <c r="K147" s="81" t="s">
        <v>57</v>
      </c>
      <c r="L147" s="81">
        <v>5</v>
      </c>
      <c r="N147" s="81" t="s">
        <v>3408</v>
      </c>
      <c r="O147" s="81" t="s">
        <v>57</v>
      </c>
      <c r="P147" s="81">
        <v>5</v>
      </c>
      <c r="R147" s="81" t="s">
        <v>3532</v>
      </c>
      <c r="S147" s="81" t="s">
        <v>57</v>
      </c>
      <c r="T147" s="81">
        <v>3</v>
      </c>
      <c r="V147" s="81" t="s">
        <v>1353</v>
      </c>
      <c r="W147" s="81" t="s">
        <v>1729</v>
      </c>
      <c r="X147" s="81" t="s">
        <v>1413</v>
      </c>
      <c r="Y147" s="81" t="s">
        <v>2239</v>
      </c>
      <c r="Z147" s="81">
        <v>14</v>
      </c>
      <c r="AA147" s="81">
        <v>99.3</v>
      </c>
      <c r="AB147" s="81">
        <v>2</v>
      </c>
      <c r="AC147" s="81" t="s">
        <v>1679</v>
      </c>
      <c r="AD147" s="81" t="s">
        <v>2240</v>
      </c>
      <c r="AE147" s="81" t="s">
        <v>519</v>
      </c>
      <c r="AF147" s="81" t="s">
        <v>519</v>
      </c>
      <c r="AG147" s="81" t="s">
        <v>2241</v>
      </c>
      <c r="AH147" s="81" t="s">
        <v>2603</v>
      </c>
      <c r="AI147" s="81" t="s">
        <v>2411</v>
      </c>
      <c r="AJ147" s="81" t="s">
        <v>3034</v>
      </c>
      <c r="AK147" s="81">
        <v>9</v>
      </c>
      <c r="AL147" s="81">
        <v>100</v>
      </c>
      <c r="AM147" s="81">
        <v>0</v>
      </c>
      <c r="AN147" s="81" t="s">
        <v>2406</v>
      </c>
      <c r="AO147" s="81" t="s">
        <v>3127</v>
      </c>
      <c r="AP147" s="81" t="s">
        <v>520</v>
      </c>
      <c r="AQ147" s="81" t="s">
        <v>520</v>
      </c>
      <c r="AR147" s="81" t="s">
        <v>3128</v>
      </c>
      <c r="AT147" s="83" t="s">
        <v>57</v>
      </c>
      <c r="AU147" s="33">
        <v>0.4471</v>
      </c>
      <c r="AV147" s="33"/>
      <c r="AW147" s="113">
        <v>2.0169999999999999</v>
      </c>
      <c r="AX147" s="101">
        <v>2.758</v>
      </c>
      <c r="AY147" s="100">
        <v>3.613</v>
      </c>
      <c r="AZ147" s="87">
        <v>0.183</v>
      </c>
      <c r="BA147" s="34"/>
      <c r="BB147" s="87">
        <v>0.106</v>
      </c>
      <c r="BC147" s="87">
        <v>8.2000000000000003E-2</v>
      </c>
      <c r="BD147" s="34"/>
      <c r="BE147" s="33">
        <v>9311.5</v>
      </c>
      <c r="BF147" s="33">
        <v>2154</v>
      </c>
      <c r="BG147" s="88">
        <v>1</v>
      </c>
      <c r="BH147" s="88">
        <v>0</v>
      </c>
      <c r="BI147" s="89" t="s">
        <v>3285</v>
      </c>
      <c r="BJ147" s="33"/>
      <c r="BK147" s="33">
        <v>2066</v>
      </c>
      <c r="BL147" s="33">
        <v>2337</v>
      </c>
      <c r="BM147" s="88">
        <v>0</v>
      </c>
      <c r="BN147" s="88">
        <v>0</v>
      </c>
      <c r="BO147" s="89" t="s">
        <v>3289</v>
      </c>
      <c r="BP147" s="89" t="s">
        <v>3287</v>
      </c>
      <c r="BQ147" s="34"/>
      <c r="BR147" s="33">
        <v>-5.16E-2</v>
      </c>
      <c r="BS147" s="33">
        <v>-6.1000000000000004E-3</v>
      </c>
      <c r="BT147" s="89" t="s">
        <v>3288</v>
      </c>
      <c r="BU147" s="89" t="s">
        <v>3288</v>
      </c>
      <c r="BV147" s="33"/>
      <c r="BW147" s="106">
        <v>1.478</v>
      </c>
      <c r="BX147" s="104">
        <v>0.49399999999999999</v>
      </c>
      <c r="BY147" s="33"/>
    </row>
    <row r="148" spans="1:77">
      <c r="A148" s="148">
        <v>2.12</v>
      </c>
      <c r="B148" s="141" t="s">
        <v>359</v>
      </c>
      <c r="C148" s="86" t="s">
        <v>437</v>
      </c>
      <c r="D148" s="133" t="s">
        <v>59</v>
      </c>
      <c r="E148" s="80" t="s">
        <v>59</v>
      </c>
      <c r="F148" s="46" t="s">
        <v>59</v>
      </c>
      <c r="G148" s="46" t="s">
        <v>552</v>
      </c>
      <c r="H148" s="46" t="s">
        <v>553</v>
      </c>
      <c r="I148" s="46" t="s">
        <v>3377</v>
      </c>
      <c r="J148" s="46" t="s">
        <v>3327</v>
      </c>
      <c r="K148" s="46" t="s">
        <v>59</v>
      </c>
      <c r="L148" s="46">
        <v>5</v>
      </c>
      <c r="N148" s="46" t="s">
        <v>3408</v>
      </c>
      <c r="O148" s="46" t="s">
        <v>59</v>
      </c>
      <c r="P148" s="46">
        <v>5</v>
      </c>
      <c r="R148" s="46" t="s">
        <v>3532</v>
      </c>
      <c r="S148" s="46" t="s">
        <v>59</v>
      </c>
      <c r="T148" s="46">
        <v>3</v>
      </c>
      <c r="V148" s="46" t="s">
        <v>1355</v>
      </c>
      <c r="W148" s="46" t="s">
        <v>1729</v>
      </c>
      <c r="X148" s="46" t="s">
        <v>1413</v>
      </c>
      <c r="Y148" s="46" t="s">
        <v>2245</v>
      </c>
      <c r="Z148" s="46">
        <v>14</v>
      </c>
      <c r="AA148" s="46">
        <v>93.6</v>
      </c>
      <c r="AB148" s="46">
        <v>19</v>
      </c>
      <c r="AC148" s="46" t="s">
        <v>2246</v>
      </c>
      <c r="AD148" s="46" t="s">
        <v>2247</v>
      </c>
      <c r="AE148" s="46" t="s">
        <v>552</v>
      </c>
      <c r="AF148" s="46" t="s">
        <v>552</v>
      </c>
      <c r="AG148" s="46" t="s">
        <v>2248</v>
      </c>
      <c r="AH148" s="46" t="s">
        <v>2603</v>
      </c>
      <c r="AI148" s="46" t="s">
        <v>2411</v>
      </c>
      <c r="AJ148" s="46" t="s">
        <v>3132</v>
      </c>
      <c r="AK148" s="46">
        <v>9</v>
      </c>
      <c r="AL148" s="46">
        <v>95.1</v>
      </c>
      <c r="AM148" s="46">
        <v>14</v>
      </c>
      <c r="AN148" s="46" t="s">
        <v>2406</v>
      </c>
      <c r="AO148" s="46" t="s">
        <v>3133</v>
      </c>
      <c r="AP148" s="46" t="s">
        <v>553</v>
      </c>
      <c r="AQ148" s="46" t="s">
        <v>553</v>
      </c>
      <c r="AR148" s="46" t="s">
        <v>3134</v>
      </c>
      <c r="AT148" s="48" t="s">
        <v>59</v>
      </c>
      <c r="AU148" s="41">
        <v>0.374</v>
      </c>
      <c r="AV148" s="41"/>
      <c r="AW148" s="55">
        <v>3.5510000000000002</v>
      </c>
      <c r="AX148" s="55">
        <v>3.536</v>
      </c>
      <c r="AY148" s="55">
        <v>3.6589999999999998</v>
      </c>
      <c r="AZ148" s="50">
        <v>0.26100000000000001</v>
      </c>
      <c r="BA148" s="43"/>
      <c r="BB148" s="50">
        <v>0.111</v>
      </c>
      <c r="BC148" s="50">
        <v>8.4000000000000005E-2</v>
      </c>
      <c r="BD148" s="43"/>
      <c r="BE148" s="41">
        <v>79205</v>
      </c>
      <c r="BF148" s="41">
        <v>1867</v>
      </c>
      <c r="BG148" s="51">
        <v>1</v>
      </c>
      <c r="BH148" s="51">
        <v>0</v>
      </c>
      <c r="BI148" s="52" t="s">
        <v>3285</v>
      </c>
      <c r="BJ148" s="41"/>
      <c r="BK148" s="41">
        <v>6961</v>
      </c>
      <c r="BL148" s="41">
        <v>3278</v>
      </c>
      <c r="BM148" s="51">
        <v>1</v>
      </c>
      <c r="BN148" s="51">
        <v>0</v>
      </c>
      <c r="BO148" s="52" t="s">
        <v>3285</v>
      </c>
      <c r="BP148" s="52" t="s">
        <v>3285</v>
      </c>
      <c r="BQ148" s="43"/>
      <c r="BR148" s="41">
        <v>-4.36E-2</v>
      </c>
      <c r="BS148" s="41">
        <v>-1.01E-2</v>
      </c>
      <c r="BT148" s="52" t="s">
        <v>3288</v>
      </c>
      <c r="BU148" s="52" t="s">
        <v>3288</v>
      </c>
      <c r="BV148" s="41"/>
      <c r="BW148" s="49">
        <v>3.2120000000000002</v>
      </c>
      <c r="BX148" s="67">
        <v>1.236</v>
      </c>
      <c r="BY148" s="41"/>
    </row>
    <row r="149" spans="1:77">
      <c r="A149" s="148">
        <v>2.12</v>
      </c>
      <c r="B149" s="141" t="s">
        <v>359</v>
      </c>
      <c r="C149" s="86" t="s">
        <v>437</v>
      </c>
      <c r="D149" s="133" t="s">
        <v>60</v>
      </c>
      <c r="E149" s="80" t="s">
        <v>60</v>
      </c>
      <c r="F149" s="46" t="s">
        <v>60</v>
      </c>
      <c r="G149" s="46" t="s">
        <v>751</v>
      </c>
      <c r="H149" s="46" t="s">
        <v>752</v>
      </c>
      <c r="I149" s="46" t="s">
        <v>3377</v>
      </c>
      <c r="J149" s="46" t="s">
        <v>3327</v>
      </c>
      <c r="K149" s="46" t="s">
        <v>60</v>
      </c>
      <c r="L149" s="46">
        <v>5</v>
      </c>
      <c r="N149" s="46" t="s">
        <v>3408</v>
      </c>
      <c r="O149" s="46" t="s">
        <v>60</v>
      </c>
      <c r="P149" s="46">
        <v>5</v>
      </c>
      <c r="R149" s="46" t="s">
        <v>3532</v>
      </c>
      <c r="S149" s="46" t="s">
        <v>60</v>
      </c>
      <c r="T149" s="46">
        <v>3</v>
      </c>
      <c r="V149" s="46" t="s">
        <v>1356</v>
      </c>
      <c r="W149" s="46" t="s">
        <v>1729</v>
      </c>
      <c r="X149" s="46" t="s">
        <v>1413</v>
      </c>
      <c r="Y149" s="46" t="s">
        <v>2245</v>
      </c>
      <c r="Z149" s="46">
        <v>14</v>
      </c>
      <c r="AA149" s="46">
        <v>93.9</v>
      </c>
      <c r="AB149" s="46">
        <v>18</v>
      </c>
      <c r="AC149" s="46" t="s">
        <v>2246</v>
      </c>
      <c r="AD149" s="46" t="s">
        <v>2247</v>
      </c>
      <c r="AE149" s="46" t="s">
        <v>2249</v>
      </c>
      <c r="AF149" s="46" t="s">
        <v>751</v>
      </c>
      <c r="AG149" s="46" t="s">
        <v>2250</v>
      </c>
      <c r="AH149" s="46" t="s">
        <v>2603</v>
      </c>
      <c r="AI149" s="46" t="s">
        <v>2411</v>
      </c>
      <c r="AJ149" s="46" t="s">
        <v>3132</v>
      </c>
      <c r="AK149" s="46">
        <v>9</v>
      </c>
      <c r="AL149" s="46">
        <v>94.8</v>
      </c>
      <c r="AM149" s="46">
        <v>15</v>
      </c>
      <c r="AN149" s="46" t="s">
        <v>2406</v>
      </c>
      <c r="AO149" s="46" t="s">
        <v>3133</v>
      </c>
      <c r="AP149" s="46" t="s">
        <v>3135</v>
      </c>
      <c r="AQ149" s="46" t="s">
        <v>752</v>
      </c>
      <c r="AR149" s="46" t="s">
        <v>3136</v>
      </c>
      <c r="AT149" s="48" t="s">
        <v>60</v>
      </c>
      <c r="AU149" s="41">
        <v>0.2233</v>
      </c>
      <c r="AV149" s="41"/>
      <c r="AW149" s="55">
        <v>3.6150000000000002</v>
      </c>
      <c r="AX149" s="55">
        <v>3.6139999999999999</v>
      </c>
      <c r="AY149" s="55">
        <v>3.6440000000000001</v>
      </c>
      <c r="AZ149" s="50">
        <v>0.25700000000000001</v>
      </c>
      <c r="BA149" s="43"/>
      <c r="BB149" s="50">
        <v>0.109</v>
      </c>
      <c r="BC149" s="50">
        <v>9.2999999999999999E-2</v>
      </c>
      <c r="BD149" s="43"/>
      <c r="BE149" s="41">
        <v>26683</v>
      </c>
      <c r="BF149" s="41">
        <v>1965</v>
      </c>
      <c r="BG149" s="51">
        <v>1</v>
      </c>
      <c r="BH149" s="51">
        <v>0</v>
      </c>
      <c r="BI149" s="52" t="s">
        <v>3285</v>
      </c>
      <c r="BJ149" s="41"/>
      <c r="BK149" s="41">
        <v>4488</v>
      </c>
      <c r="BL149" s="41">
        <v>2520.5</v>
      </c>
      <c r="BM149" s="51">
        <v>0</v>
      </c>
      <c r="BN149" s="51">
        <v>0</v>
      </c>
      <c r="BO149" s="52" t="s">
        <v>3285</v>
      </c>
      <c r="BP149" s="52" t="s">
        <v>3285</v>
      </c>
      <c r="BQ149" s="43"/>
      <c r="BR149" s="41">
        <v>-7.4200000000000002E-2</v>
      </c>
      <c r="BS149" s="41">
        <v>-8.6499999999999994E-2</v>
      </c>
      <c r="BT149" s="52" t="s">
        <v>3288</v>
      </c>
      <c r="BU149" s="52" t="s">
        <v>3288</v>
      </c>
      <c r="BV149" s="41"/>
      <c r="BW149" s="49">
        <v>3.2629999999999999</v>
      </c>
      <c r="BX149" s="67">
        <v>1.1890000000000001</v>
      </c>
      <c r="BY149" s="41"/>
    </row>
    <row r="150" spans="1:77">
      <c r="A150" s="148">
        <v>2.12</v>
      </c>
      <c r="B150" s="141" t="s">
        <v>359</v>
      </c>
      <c r="C150" s="86" t="s">
        <v>437</v>
      </c>
      <c r="D150" s="133" t="s">
        <v>58</v>
      </c>
      <c r="E150" s="80" t="s">
        <v>58</v>
      </c>
      <c r="F150" s="46" t="s">
        <v>58</v>
      </c>
      <c r="G150" s="46" t="s">
        <v>531</v>
      </c>
      <c r="H150" s="46" t="s">
        <v>532</v>
      </c>
      <c r="I150" s="46" t="s">
        <v>3377</v>
      </c>
      <c r="J150" s="46" t="s">
        <v>3327</v>
      </c>
      <c r="K150" s="46" t="s">
        <v>58</v>
      </c>
      <c r="L150" s="46">
        <v>5</v>
      </c>
      <c r="N150" s="46" t="s">
        <v>3408</v>
      </c>
      <c r="O150" s="46" t="s">
        <v>58</v>
      </c>
      <c r="P150" s="46">
        <v>5</v>
      </c>
      <c r="R150" s="46" t="s">
        <v>3536</v>
      </c>
      <c r="S150" s="46" t="s">
        <v>58</v>
      </c>
      <c r="T150" s="46">
        <v>1</v>
      </c>
      <c r="V150" s="46" t="s">
        <v>1354</v>
      </c>
      <c r="W150" s="46" t="s">
        <v>1729</v>
      </c>
      <c r="X150" s="46" t="s">
        <v>1413</v>
      </c>
      <c r="Y150" s="46" t="s">
        <v>2242</v>
      </c>
      <c r="Z150" s="46">
        <v>14</v>
      </c>
      <c r="AA150" s="46">
        <v>93.6</v>
      </c>
      <c r="AB150" s="46">
        <v>19</v>
      </c>
      <c r="AC150" s="46" t="s">
        <v>1744</v>
      </c>
      <c r="AD150" s="46" t="s">
        <v>2243</v>
      </c>
      <c r="AE150" s="46" t="s">
        <v>531</v>
      </c>
      <c r="AF150" s="46" t="s">
        <v>531</v>
      </c>
      <c r="AG150" s="46" t="s">
        <v>2244</v>
      </c>
      <c r="AH150" s="46" t="s">
        <v>2603</v>
      </c>
      <c r="AI150" s="46" t="s">
        <v>2411</v>
      </c>
      <c r="AJ150" s="46" t="s">
        <v>3129</v>
      </c>
      <c r="AK150" s="46">
        <v>9</v>
      </c>
      <c r="AL150" s="46">
        <v>96.2</v>
      </c>
      <c r="AM150" s="46">
        <v>11</v>
      </c>
      <c r="AN150" s="46" t="s">
        <v>2406</v>
      </c>
      <c r="AO150" s="46" t="s">
        <v>3130</v>
      </c>
      <c r="AP150" s="46" t="s">
        <v>532</v>
      </c>
      <c r="AQ150" s="46" t="s">
        <v>532</v>
      </c>
      <c r="AR150" s="46" t="s">
        <v>3131</v>
      </c>
      <c r="AT150" s="48" t="s">
        <v>58</v>
      </c>
      <c r="AU150" s="41">
        <v>0.3962</v>
      </c>
      <c r="AV150" s="41"/>
      <c r="AW150" s="58">
        <v>3.16</v>
      </c>
      <c r="AX150" s="55">
        <v>3.6059999999999999</v>
      </c>
      <c r="AY150" s="55">
        <v>3.6989999999999998</v>
      </c>
      <c r="AZ150" s="50">
        <v>0.27300000000000002</v>
      </c>
      <c r="BA150" s="43"/>
      <c r="BB150" s="50">
        <v>0.108</v>
      </c>
      <c r="BC150" s="50">
        <v>8.6999999999999994E-2</v>
      </c>
      <c r="BD150" s="43"/>
      <c r="BE150" s="41">
        <v>19159</v>
      </c>
      <c r="BF150" s="41">
        <v>1691</v>
      </c>
      <c r="BG150" s="51">
        <v>1</v>
      </c>
      <c r="BH150" s="51">
        <v>0</v>
      </c>
      <c r="BI150" s="52" t="s">
        <v>3285</v>
      </c>
      <c r="BJ150" s="41"/>
      <c r="BK150" s="41">
        <v>2348</v>
      </c>
      <c r="BL150" s="41">
        <v>3029</v>
      </c>
      <c r="BM150" s="51">
        <v>0</v>
      </c>
      <c r="BN150" s="51">
        <v>0</v>
      </c>
      <c r="BO150" s="52" t="s">
        <v>3286</v>
      </c>
      <c r="BP150" s="52" t="s">
        <v>3287</v>
      </c>
      <c r="BQ150" s="43"/>
      <c r="BR150" s="41">
        <v>-5.1799999999999999E-2</v>
      </c>
      <c r="BS150" s="41">
        <v>-6.4999999999999997E-3</v>
      </c>
      <c r="BT150" s="52" t="s">
        <v>3288</v>
      </c>
      <c r="BU150" s="52" t="s">
        <v>3288</v>
      </c>
      <c r="BV150" s="41"/>
      <c r="BW150" s="49">
        <v>3.2429999999999999</v>
      </c>
      <c r="BX150" s="67">
        <v>1.208</v>
      </c>
      <c r="BY150" s="41"/>
    </row>
    <row r="151" spans="1:77" s="40" customFormat="1" ht="17" thickBot="1">
      <c r="A151" s="149">
        <v>2.12</v>
      </c>
      <c r="B151" s="142" t="s">
        <v>359</v>
      </c>
      <c r="C151" s="121" t="s">
        <v>437</v>
      </c>
      <c r="D151" s="134" t="s">
        <v>61</v>
      </c>
      <c r="E151" s="84" t="s">
        <v>62</v>
      </c>
      <c r="F151" s="40" t="s">
        <v>61</v>
      </c>
      <c r="G151" s="40" t="s">
        <v>1087</v>
      </c>
      <c r="H151" s="40" t="s">
        <v>1088</v>
      </c>
      <c r="I151" s="40" t="s">
        <v>3377</v>
      </c>
      <c r="J151" s="40" t="s">
        <v>3327</v>
      </c>
      <c r="K151" s="40" t="s">
        <v>61</v>
      </c>
      <c r="L151" s="40">
        <v>5</v>
      </c>
      <c r="N151" s="40" t="s">
        <v>3408</v>
      </c>
      <c r="O151" s="40" t="s">
        <v>61</v>
      </c>
      <c r="P151" s="40">
        <v>5</v>
      </c>
      <c r="R151" s="40" t="s">
        <v>3658</v>
      </c>
      <c r="S151" s="40" t="s">
        <v>61</v>
      </c>
      <c r="T151" s="40">
        <v>1</v>
      </c>
      <c r="V151" s="40" t="s">
        <v>1357</v>
      </c>
      <c r="W151" s="40" t="s">
        <v>1729</v>
      </c>
      <c r="X151" s="40" t="s">
        <v>1413</v>
      </c>
      <c r="Y151" s="40" t="s">
        <v>2251</v>
      </c>
      <c r="Z151" s="40">
        <v>14</v>
      </c>
      <c r="AA151" s="40">
        <v>97.3</v>
      </c>
      <c r="AB151" s="40">
        <v>8</v>
      </c>
      <c r="AC151" s="40" t="s">
        <v>1474</v>
      </c>
      <c r="AD151" s="40" t="s">
        <v>2252</v>
      </c>
      <c r="AE151" s="40" t="s">
        <v>1087</v>
      </c>
      <c r="AF151" s="40" t="s">
        <v>1087</v>
      </c>
      <c r="AG151" s="40" t="s">
        <v>2253</v>
      </c>
      <c r="AH151" s="40" t="s">
        <v>2603</v>
      </c>
      <c r="AI151" s="40" t="s">
        <v>2411</v>
      </c>
      <c r="AJ151" s="40" t="s">
        <v>3034</v>
      </c>
      <c r="AK151" s="40">
        <v>9</v>
      </c>
      <c r="AL151" s="40">
        <v>100</v>
      </c>
      <c r="AM151" s="40">
        <v>0</v>
      </c>
      <c r="AN151" s="40" t="s">
        <v>2406</v>
      </c>
      <c r="AO151" s="40" t="s">
        <v>3137</v>
      </c>
      <c r="AP151" s="40" t="s">
        <v>1088</v>
      </c>
      <c r="AQ151" s="40" t="s">
        <v>1088</v>
      </c>
      <c r="AR151" s="40" t="s">
        <v>3128</v>
      </c>
      <c r="AT151" s="85" t="s">
        <v>62</v>
      </c>
      <c r="AU151" s="35">
        <v>0.37540000000000001</v>
      </c>
      <c r="AV151" s="35"/>
      <c r="AW151" s="102">
        <v>3.548</v>
      </c>
      <c r="AX151" s="102">
        <v>3.5209999999999999</v>
      </c>
      <c r="AY151" s="102">
        <v>3.621</v>
      </c>
      <c r="AZ151" s="90">
        <v>0.20399999999999999</v>
      </c>
      <c r="BA151" s="37"/>
      <c r="BB151" s="90">
        <v>0.13800000000000001</v>
      </c>
      <c r="BC151" s="90">
        <v>0.11</v>
      </c>
      <c r="BD151" s="37"/>
      <c r="BE151" s="35">
        <v>10347</v>
      </c>
      <c r="BF151" s="35">
        <v>2012</v>
      </c>
      <c r="BG151" s="93">
        <v>1</v>
      </c>
      <c r="BH151" s="93">
        <v>0</v>
      </c>
      <c r="BI151" s="94" t="s">
        <v>3285</v>
      </c>
      <c r="BJ151" s="35"/>
      <c r="BK151" s="35">
        <v>3457</v>
      </c>
      <c r="BL151" s="35">
        <v>2042.5</v>
      </c>
      <c r="BM151" s="93">
        <v>0</v>
      </c>
      <c r="BN151" s="93">
        <v>0</v>
      </c>
      <c r="BO151" s="94" t="s">
        <v>3285</v>
      </c>
      <c r="BP151" s="94" t="s">
        <v>3285</v>
      </c>
      <c r="BQ151" s="37"/>
      <c r="BR151" s="35">
        <v>-9.5200000000000007E-2</v>
      </c>
      <c r="BS151" s="35">
        <v>-4.4499999999999998E-2</v>
      </c>
      <c r="BT151" s="94" t="s">
        <v>3288</v>
      </c>
      <c r="BU151" s="94" t="s">
        <v>3288</v>
      </c>
      <c r="BV151" s="35"/>
      <c r="BW151" s="107">
        <v>2.3929999999999998</v>
      </c>
      <c r="BX151" s="99">
        <v>0.79700000000000004</v>
      </c>
      <c r="BY151" s="35"/>
    </row>
    <row r="152" spans="1:77" s="81" customFormat="1">
      <c r="A152" s="147">
        <v>2.13</v>
      </c>
      <c r="B152" s="140" t="s">
        <v>385</v>
      </c>
      <c r="C152" s="120" t="s">
        <v>463</v>
      </c>
      <c r="D152" s="132" t="s">
        <v>191</v>
      </c>
      <c r="E152" s="82" t="s">
        <v>191</v>
      </c>
      <c r="F152" s="81" t="s">
        <v>191</v>
      </c>
      <c r="G152" s="81" t="s">
        <v>648</v>
      </c>
      <c r="H152" s="81" t="s">
        <v>649</v>
      </c>
      <c r="I152" s="81" t="s">
        <v>3377</v>
      </c>
      <c r="J152" s="81" t="s">
        <v>3348</v>
      </c>
      <c r="K152" s="81" t="s">
        <v>191</v>
      </c>
      <c r="L152" s="81">
        <v>5</v>
      </c>
      <c r="N152" s="81" t="s">
        <v>3439</v>
      </c>
      <c r="O152" s="81" t="s">
        <v>191</v>
      </c>
      <c r="P152" s="81">
        <v>5</v>
      </c>
      <c r="R152" s="81" t="s">
        <v>3571</v>
      </c>
      <c r="S152" s="81" t="s">
        <v>191</v>
      </c>
      <c r="T152" s="81">
        <v>3</v>
      </c>
      <c r="V152" s="81" t="s">
        <v>1180</v>
      </c>
      <c r="W152" s="81" t="s">
        <v>1412</v>
      </c>
      <c r="X152" s="81" t="s">
        <v>1413</v>
      </c>
      <c r="Y152" s="81" t="s">
        <v>1684</v>
      </c>
      <c r="Z152" s="81">
        <v>13</v>
      </c>
      <c r="AA152" s="81">
        <v>96.6</v>
      </c>
      <c r="AB152" s="81">
        <v>10</v>
      </c>
      <c r="AC152" s="81" t="s">
        <v>1430</v>
      </c>
      <c r="AD152" s="81" t="s">
        <v>1685</v>
      </c>
      <c r="AE152" s="81" t="s">
        <v>648</v>
      </c>
      <c r="AF152" s="81" t="s">
        <v>648</v>
      </c>
      <c r="AG152" s="81" t="s">
        <v>1686</v>
      </c>
      <c r="AH152" s="81" t="s">
        <v>2403</v>
      </c>
      <c r="AI152" s="81" t="s">
        <v>2404</v>
      </c>
      <c r="AJ152" s="81" t="s">
        <v>2639</v>
      </c>
      <c r="AK152" s="81">
        <v>9</v>
      </c>
      <c r="AL152" s="81">
        <v>98.2</v>
      </c>
      <c r="AM152" s="81">
        <v>5</v>
      </c>
      <c r="AN152" s="81" t="s">
        <v>2406</v>
      </c>
      <c r="AO152" s="81" t="s">
        <v>2640</v>
      </c>
      <c r="AP152" s="81" t="s">
        <v>649</v>
      </c>
      <c r="AQ152" s="81" t="s">
        <v>649</v>
      </c>
      <c r="AR152" s="81" t="s">
        <v>2641</v>
      </c>
      <c r="AT152" s="83" t="s">
        <v>191</v>
      </c>
      <c r="AU152" s="33">
        <v>0.46039999999999998</v>
      </c>
      <c r="AV152" s="33"/>
      <c r="AW152" s="111">
        <v>3.5640000000000001</v>
      </c>
      <c r="AX152" s="111">
        <v>3.5449999999999999</v>
      </c>
      <c r="AY152" s="112">
        <v>0.13600000000000001</v>
      </c>
      <c r="AZ152" s="112">
        <v>0.159</v>
      </c>
      <c r="BA152" s="39"/>
      <c r="BB152" s="87">
        <v>0.11700000000000001</v>
      </c>
      <c r="BC152" s="87">
        <v>9.8000000000000004E-2</v>
      </c>
      <c r="BD152" s="34"/>
      <c r="BE152" s="33">
        <v>7020.5</v>
      </c>
      <c r="BF152" s="33">
        <v>1832.5</v>
      </c>
      <c r="BG152" s="88">
        <v>0</v>
      </c>
      <c r="BH152" s="88">
        <v>0</v>
      </c>
      <c r="BI152" s="89" t="s">
        <v>3285</v>
      </c>
      <c r="BJ152" s="33"/>
      <c r="BK152" s="33">
        <v>2623</v>
      </c>
      <c r="BL152" s="33">
        <v>25787</v>
      </c>
      <c r="BM152" s="88">
        <v>0</v>
      </c>
      <c r="BN152" s="88">
        <v>1</v>
      </c>
      <c r="BO152" s="89" t="s">
        <v>3286</v>
      </c>
      <c r="BP152" s="89" t="s">
        <v>3287</v>
      </c>
      <c r="BQ152" s="34"/>
      <c r="BR152" s="33">
        <v>-0.14779999999999999</v>
      </c>
      <c r="BS152" s="33">
        <v>-7.3800000000000004E-2</v>
      </c>
      <c r="BT152" s="89" t="s">
        <v>3288</v>
      </c>
      <c r="BU152" s="89" t="s">
        <v>3288</v>
      </c>
      <c r="BV152" s="33"/>
      <c r="BW152" s="115">
        <v>2.4849999999999999</v>
      </c>
      <c r="BX152" s="116">
        <v>0.72899999999999998</v>
      </c>
      <c r="BY152" s="33"/>
    </row>
    <row r="153" spans="1:77">
      <c r="A153" s="148">
        <v>2.13</v>
      </c>
      <c r="B153" s="141" t="s">
        <v>385</v>
      </c>
      <c r="C153" s="86" t="s">
        <v>463</v>
      </c>
      <c r="D153" s="133" t="s">
        <v>192</v>
      </c>
      <c r="E153" s="80" t="s">
        <v>192</v>
      </c>
      <c r="F153" s="46" t="s">
        <v>192</v>
      </c>
      <c r="G153" s="46" t="s">
        <v>694</v>
      </c>
      <c r="H153" s="46" t="s">
        <v>695</v>
      </c>
      <c r="I153" s="46" t="s">
        <v>3377</v>
      </c>
      <c r="J153" s="46" t="s">
        <v>3348</v>
      </c>
      <c r="K153" s="46" t="s">
        <v>192</v>
      </c>
      <c r="L153" s="46">
        <v>5</v>
      </c>
      <c r="N153" s="46" t="s">
        <v>3439</v>
      </c>
      <c r="O153" s="46" t="s">
        <v>192</v>
      </c>
      <c r="P153" s="46">
        <v>5</v>
      </c>
      <c r="R153" s="46" t="s">
        <v>3571</v>
      </c>
      <c r="S153" s="46" t="s">
        <v>192</v>
      </c>
      <c r="T153" s="46">
        <v>3</v>
      </c>
      <c r="V153" s="46" t="s">
        <v>1181</v>
      </c>
      <c r="W153" s="46" t="s">
        <v>1412</v>
      </c>
      <c r="X153" s="46" t="s">
        <v>1413</v>
      </c>
      <c r="Y153" s="46" t="s">
        <v>1687</v>
      </c>
      <c r="Z153" s="46">
        <v>13</v>
      </c>
      <c r="AA153" s="46">
        <v>94.3</v>
      </c>
      <c r="AB153" s="46">
        <v>17</v>
      </c>
      <c r="AC153" s="46" t="s">
        <v>1510</v>
      </c>
      <c r="AD153" s="46" t="s">
        <v>1688</v>
      </c>
      <c r="AE153" s="46" t="s">
        <v>694</v>
      </c>
      <c r="AF153" s="46" t="s">
        <v>694</v>
      </c>
      <c r="AG153" s="46" t="s">
        <v>1689</v>
      </c>
      <c r="AH153" s="46" t="s">
        <v>2403</v>
      </c>
      <c r="AI153" s="46" t="s">
        <v>2404</v>
      </c>
      <c r="AJ153" s="46" t="s">
        <v>2642</v>
      </c>
      <c r="AK153" s="46">
        <v>9</v>
      </c>
      <c r="AL153" s="46">
        <v>96.5</v>
      </c>
      <c r="AM153" s="46">
        <v>10</v>
      </c>
      <c r="AN153" s="46" t="s">
        <v>2406</v>
      </c>
      <c r="AO153" s="46" t="s">
        <v>2643</v>
      </c>
      <c r="AP153" s="46" t="s">
        <v>695</v>
      </c>
      <c r="AQ153" s="46" t="s">
        <v>695</v>
      </c>
      <c r="AR153" s="46" t="s">
        <v>2644</v>
      </c>
      <c r="AT153" s="48" t="s">
        <v>192</v>
      </c>
      <c r="AU153" s="41">
        <v>0.19040000000000001</v>
      </c>
      <c r="AV153" s="41"/>
      <c r="AW153" s="61">
        <v>3.5569999999999999</v>
      </c>
      <c r="AX153" s="64">
        <v>0.56200000000000006</v>
      </c>
      <c r="AY153" s="63">
        <v>0.21199999999999999</v>
      </c>
      <c r="AZ153" s="63">
        <v>0.14599999999999999</v>
      </c>
      <c r="BA153" s="42"/>
      <c r="BB153" s="55">
        <v>3.5259999999999998</v>
      </c>
      <c r="BC153" s="55">
        <v>2.6659999999999999</v>
      </c>
      <c r="BD153" s="43"/>
      <c r="BE153" s="41">
        <v>153181</v>
      </c>
      <c r="BF153" s="41">
        <v>134441</v>
      </c>
      <c r="BG153" s="51">
        <v>1</v>
      </c>
      <c r="BH153" s="51">
        <v>1</v>
      </c>
      <c r="BI153" s="52" t="s">
        <v>3289</v>
      </c>
      <c r="BJ153" s="41"/>
      <c r="BK153" s="41">
        <v>47011</v>
      </c>
      <c r="BL153" s="41">
        <v>3865</v>
      </c>
      <c r="BM153" s="51">
        <v>1</v>
      </c>
      <c r="BN153" s="51">
        <v>0</v>
      </c>
      <c r="BO153" s="52" t="s">
        <v>3285</v>
      </c>
      <c r="BP153" s="52" t="s">
        <v>3287</v>
      </c>
      <c r="BQ153" s="43"/>
      <c r="BR153" s="41">
        <v>2.0945999999999998</v>
      </c>
      <c r="BS153" s="41">
        <v>1.6101000000000001</v>
      </c>
      <c r="BT153" s="52" t="s">
        <v>3290</v>
      </c>
      <c r="BU153" s="52" t="s">
        <v>3290</v>
      </c>
      <c r="BV153" s="41"/>
      <c r="BW153" s="55">
        <v>3.4830000000000001</v>
      </c>
      <c r="BX153" s="55">
        <v>3.508</v>
      </c>
      <c r="BY153" s="41"/>
    </row>
    <row r="154" spans="1:77">
      <c r="A154" s="148">
        <v>2.13</v>
      </c>
      <c r="B154" s="141" t="s">
        <v>385</v>
      </c>
      <c r="C154" s="86" t="s">
        <v>463</v>
      </c>
      <c r="D154" s="133" t="s">
        <v>193</v>
      </c>
      <c r="E154" s="80" t="s">
        <v>193</v>
      </c>
      <c r="F154" s="46" t="s">
        <v>193</v>
      </c>
      <c r="G154" s="46" t="s">
        <v>714</v>
      </c>
      <c r="H154" s="46" t="s">
        <v>715</v>
      </c>
      <c r="I154" s="46" t="s">
        <v>3377</v>
      </c>
      <c r="J154" s="46" t="s">
        <v>3348</v>
      </c>
      <c r="K154" s="46" t="s">
        <v>193</v>
      </c>
      <c r="L154" s="46">
        <v>5</v>
      </c>
      <c r="N154" s="46" t="s">
        <v>3439</v>
      </c>
      <c r="O154" s="46" t="s">
        <v>193</v>
      </c>
      <c r="P154" s="46">
        <v>5</v>
      </c>
      <c r="R154" s="46" t="s">
        <v>3571</v>
      </c>
      <c r="S154" s="46" t="s">
        <v>193</v>
      </c>
      <c r="T154" s="46">
        <v>3</v>
      </c>
      <c r="V154" s="46" t="s">
        <v>1182</v>
      </c>
      <c r="W154" s="46" t="s">
        <v>1412</v>
      </c>
      <c r="X154" s="46" t="s">
        <v>1413</v>
      </c>
      <c r="Y154" s="46" t="s">
        <v>1690</v>
      </c>
      <c r="Z154" s="46">
        <v>13</v>
      </c>
      <c r="AA154" s="46">
        <v>95.6</v>
      </c>
      <c r="AB154" s="46">
        <v>13</v>
      </c>
      <c r="AC154" s="46" t="s">
        <v>1434</v>
      </c>
      <c r="AD154" s="46" t="s">
        <v>1691</v>
      </c>
      <c r="AE154" s="46" t="s">
        <v>714</v>
      </c>
      <c r="AF154" s="46" t="s">
        <v>714</v>
      </c>
      <c r="AG154" s="46" t="s">
        <v>1692</v>
      </c>
      <c r="AH154" s="46" t="s">
        <v>2403</v>
      </c>
      <c r="AI154" s="46" t="s">
        <v>2404</v>
      </c>
      <c r="AJ154" s="46" t="s">
        <v>2639</v>
      </c>
      <c r="AK154" s="46">
        <v>9</v>
      </c>
      <c r="AL154" s="46">
        <v>98.9</v>
      </c>
      <c r="AM154" s="46">
        <v>3</v>
      </c>
      <c r="AN154" s="46" t="s">
        <v>2406</v>
      </c>
      <c r="AO154" s="46" t="s">
        <v>2640</v>
      </c>
      <c r="AP154" s="46" t="s">
        <v>715</v>
      </c>
      <c r="AQ154" s="46" t="s">
        <v>715</v>
      </c>
      <c r="AR154" s="46" t="s">
        <v>2645</v>
      </c>
      <c r="AT154" s="48" t="s">
        <v>193</v>
      </c>
      <c r="AU154" s="41">
        <v>0.40610000000000002</v>
      </c>
      <c r="AV154" s="41"/>
      <c r="AW154" s="55">
        <v>3.5779999999999998</v>
      </c>
      <c r="AX154" s="55">
        <v>3.52</v>
      </c>
      <c r="AY154" s="50">
        <v>0.14699999999999999</v>
      </c>
      <c r="AZ154" s="50">
        <v>0.13900000000000001</v>
      </c>
      <c r="BA154" s="43"/>
      <c r="BB154" s="50">
        <v>0.125</v>
      </c>
      <c r="BC154" s="50">
        <v>0.106</v>
      </c>
      <c r="BD154" s="43"/>
      <c r="BE154" s="41">
        <v>9714</v>
      </c>
      <c r="BF154" s="41">
        <v>1583</v>
      </c>
      <c r="BG154" s="51">
        <v>1</v>
      </c>
      <c r="BH154" s="51">
        <v>0</v>
      </c>
      <c r="BI154" s="52" t="s">
        <v>3285</v>
      </c>
      <c r="BJ154" s="41"/>
      <c r="BK154" s="41">
        <v>3248</v>
      </c>
      <c r="BL154" s="41">
        <v>2112</v>
      </c>
      <c r="BM154" s="51">
        <v>0</v>
      </c>
      <c r="BN154" s="51">
        <v>0</v>
      </c>
      <c r="BO154" s="52" t="s">
        <v>3285</v>
      </c>
      <c r="BP154" s="52" t="s">
        <v>3285</v>
      </c>
      <c r="BQ154" s="43"/>
      <c r="BR154" s="41">
        <v>-0.1215</v>
      </c>
      <c r="BS154" s="41">
        <v>-8.8200000000000001E-2</v>
      </c>
      <c r="BT154" s="52" t="s">
        <v>3288</v>
      </c>
      <c r="BU154" s="52" t="s">
        <v>3288</v>
      </c>
      <c r="BV154" s="41"/>
      <c r="BW154" s="60">
        <v>2.5030000000000001</v>
      </c>
      <c r="BX154" s="57">
        <v>0.66100000000000003</v>
      </c>
      <c r="BY154" s="41"/>
    </row>
    <row r="155" spans="1:77">
      <c r="A155" s="148">
        <v>2.13</v>
      </c>
      <c r="B155" s="141" t="s">
        <v>385</v>
      </c>
      <c r="C155" s="86" t="s">
        <v>463</v>
      </c>
      <c r="D155" s="133" t="s">
        <v>190</v>
      </c>
      <c r="E155" s="80" t="s">
        <v>190</v>
      </c>
      <c r="F155" s="46" t="s">
        <v>190</v>
      </c>
      <c r="G155" s="46" t="s">
        <v>753</v>
      </c>
      <c r="H155" s="46" t="s">
        <v>754</v>
      </c>
      <c r="I155" s="46" t="s">
        <v>3377</v>
      </c>
      <c r="J155" s="46" t="s">
        <v>3348</v>
      </c>
      <c r="K155" s="46" t="s">
        <v>190</v>
      </c>
      <c r="L155" s="46">
        <v>5</v>
      </c>
      <c r="N155" s="46" t="s">
        <v>3439</v>
      </c>
      <c r="O155" s="46" t="s">
        <v>190</v>
      </c>
      <c r="P155" s="46">
        <v>5</v>
      </c>
      <c r="R155" s="46" t="s">
        <v>3596</v>
      </c>
      <c r="S155" s="46" t="s">
        <v>190</v>
      </c>
      <c r="T155" s="46">
        <v>1</v>
      </c>
      <c r="V155" s="46" t="s">
        <v>1179</v>
      </c>
      <c r="W155" s="46" t="s">
        <v>1412</v>
      </c>
      <c r="X155" s="46" t="s">
        <v>1413</v>
      </c>
      <c r="Y155" s="46" t="s">
        <v>1680</v>
      </c>
      <c r="Z155" s="46">
        <v>13</v>
      </c>
      <c r="AA155" s="46">
        <v>92.2</v>
      </c>
      <c r="AB155" s="46">
        <v>23</v>
      </c>
      <c r="AC155" s="46" t="s">
        <v>1563</v>
      </c>
      <c r="AD155" s="46" t="s">
        <v>1681</v>
      </c>
      <c r="AE155" s="46" t="s">
        <v>1682</v>
      </c>
      <c r="AF155" s="46" t="s">
        <v>753</v>
      </c>
      <c r="AG155" s="46" t="s">
        <v>1683</v>
      </c>
      <c r="AH155" s="46" t="s">
        <v>2403</v>
      </c>
      <c r="AI155" s="46" t="s">
        <v>2404</v>
      </c>
      <c r="AJ155" s="46" t="s">
        <v>2635</v>
      </c>
      <c r="AK155" s="46">
        <v>9</v>
      </c>
      <c r="AL155" s="46">
        <v>95.1</v>
      </c>
      <c r="AM155" s="46">
        <v>14</v>
      </c>
      <c r="AN155" s="46" t="s">
        <v>2406</v>
      </c>
      <c r="AO155" s="46" t="s">
        <v>2636</v>
      </c>
      <c r="AP155" s="46" t="s">
        <v>2637</v>
      </c>
      <c r="AQ155" s="46" t="s">
        <v>754</v>
      </c>
      <c r="AR155" s="46" t="s">
        <v>2638</v>
      </c>
      <c r="AT155" s="48" t="s">
        <v>190</v>
      </c>
      <c r="AU155" s="41">
        <v>0.40029999999999999</v>
      </c>
      <c r="AV155" s="41"/>
      <c r="AW155" s="55">
        <v>3.6320000000000001</v>
      </c>
      <c r="AX155" s="55">
        <v>3.59</v>
      </c>
      <c r="AY155" s="50">
        <v>0.154</v>
      </c>
      <c r="AZ155" s="50">
        <v>0.157</v>
      </c>
      <c r="BA155" s="43"/>
      <c r="BB155" s="50">
        <v>0.14499999999999999</v>
      </c>
      <c r="BC155" s="50">
        <v>0.09</v>
      </c>
      <c r="BD155" s="43"/>
      <c r="BE155" s="41">
        <v>62968</v>
      </c>
      <c r="BF155" s="41">
        <v>1811</v>
      </c>
      <c r="BG155" s="51">
        <v>1</v>
      </c>
      <c r="BH155" s="51">
        <v>0</v>
      </c>
      <c r="BI155" s="52" t="s">
        <v>3285</v>
      </c>
      <c r="BJ155" s="41"/>
      <c r="BK155" s="41">
        <v>3717</v>
      </c>
      <c r="BL155" s="41">
        <v>2540</v>
      </c>
      <c r="BM155" s="51">
        <v>0</v>
      </c>
      <c r="BN155" s="51">
        <v>0</v>
      </c>
      <c r="BO155" s="52" t="s">
        <v>3285</v>
      </c>
      <c r="BP155" s="52" t="s">
        <v>3285</v>
      </c>
      <c r="BQ155" s="43"/>
      <c r="BR155" s="41">
        <v>-2.63E-2</v>
      </c>
      <c r="BS155" s="41">
        <v>-1.3599999999999999E-2</v>
      </c>
      <c r="BT155" s="52" t="s">
        <v>3288</v>
      </c>
      <c r="BU155" s="52" t="s">
        <v>3288</v>
      </c>
      <c r="BV155" s="41"/>
      <c r="BW155" s="58">
        <v>3.0950000000000002</v>
      </c>
      <c r="BX155" s="59">
        <v>0.99199999999999999</v>
      </c>
      <c r="BY155" s="41"/>
    </row>
    <row r="156" spans="1:77" s="40" customFormat="1" ht="17" thickBot="1">
      <c r="A156" s="149">
        <v>2.13</v>
      </c>
      <c r="B156" s="142" t="s">
        <v>385</v>
      </c>
      <c r="C156" s="121" t="s">
        <v>463</v>
      </c>
      <c r="D156" s="134" t="s">
        <v>194</v>
      </c>
      <c r="E156" s="84" t="s">
        <v>195</v>
      </c>
      <c r="F156" s="40" t="s">
        <v>194</v>
      </c>
      <c r="G156" s="40" t="s">
        <v>1063</v>
      </c>
      <c r="H156" s="40" t="s">
        <v>1064</v>
      </c>
      <c r="I156" s="40" t="s">
        <v>3377</v>
      </c>
      <c r="J156" s="40" t="s">
        <v>3348</v>
      </c>
      <c r="K156" s="40" t="s">
        <v>194</v>
      </c>
      <c r="L156" s="40">
        <v>5</v>
      </c>
      <c r="N156" s="40" t="s">
        <v>3439</v>
      </c>
      <c r="O156" s="40" t="s">
        <v>194</v>
      </c>
      <c r="P156" s="40">
        <v>5</v>
      </c>
      <c r="R156" s="40" t="s">
        <v>3647</v>
      </c>
      <c r="S156" s="40" t="s">
        <v>194</v>
      </c>
      <c r="T156" s="40">
        <v>1</v>
      </c>
      <c r="V156" s="40" t="s">
        <v>1183</v>
      </c>
      <c r="W156" s="40" t="s">
        <v>1412</v>
      </c>
      <c r="X156" s="40" t="s">
        <v>1413</v>
      </c>
      <c r="Y156" s="40" t="s">
        <v>1693</v>
      </c>
      <c r="Z156" s="40">
        <v>13</v>
      </c>
      <c r="AA156" s="40">
        <v>93.9</v>
      </c>
      <c r="AB156" s="40">
        <v>18</v>
      </c>
      <c r="AC156" s="40" t="s">
        <v>1604</v>
      </c>
      <c r="AD156" s="40" t="s">
        <v>1694</v>
      </c>
      <c r="AE156" s="40" t="s">
        <v>1063</v>
      </c>
      <c r="AF156" s="40" t="s">
        <v>1063</v>
      </c>
      <c r="AG156" s="40" t="s">
        <v>1695</v>
      </c>
      <c r="AH156" s="40" t="s">
        <v>2403</v>
      </c>
      <c r="AI156" s="40" t="s">
        <v>2404</v>
      </c>
      <c r="AJ156" s="40" t="s">
        <v>2405</v>
      </c>
      <c r="AK156" s="40">
        <v>9</v>
      </c>
      <c r="AL156" s="40">
        <v>98.6</v>
      </c>
      <c r="AM156" s="40">
        <v>4</v>
      </c>
      <c r="AN156" s="40" t="s">
        <v>2406</v>
      </c>
      <c r="AO156" s="40" t="s">
        <v>2646</v>
      </c>
      <c r="AP156" s="40" t="s">
        <v>1064</v>
      </c>
      <c r="AQ156" s="40" t="s">
        <v>1064</v>
      </c>
      <c r="AR156" s="40" t="s">
        <v>2647</v>
      </c>
      <c r="AT156" s="85" t="s">
        <v>195</v>
      </c>
      <c r="AU156" s="35">
        <v>0.63829999999999998</v>
      </c>
      <c r="AV156" s="35"/>
      <c r="AW156" s="102">
        <v>3.5419999999999998</v>
      </c>
      <c r="AX156" s="102">
        <v>3.5569999999999999</v>
      </c>
      <c r="AY156" s="90">
        <v>0.30599999999999999</v>
      </c>
      <c r="AZ156" s="90">
        <v>0.16200000000000001</v>
      </c>
      <c r="BA156" s="37"/>
      <c r="BB156" s="90">
        <v>0.13600000000000001</v>
      </c>
      <c r="BC156" s="90">
        <v>0.10199999999999999</v>
      </c>
      <c r="BD156" s="37"/>
      <c r="BE156" s="35">
        <v>5308.5</v>
      </c>
      <c r="BF156" s="35">
        <v>2356</v>
      </c>
      <c r="BG156" s="93">
        <v>0</v>
      </c>
      <c r="BH156" s="93">
        <v>0</v>
      </c>
      <c r="BI156" s="94" t="s">
        <v>3285</v>
      </c>
      <c r="BJ156" s="35"/>
      <c r="BK156" s="35">
        <v>3099</v>
      </c>
      <c r="BL156" s="35">
        <v>2109</v>
      </c>
      <c r="BM156" s="93">
        <v>0</v>
      </c>
      <c r="BN156" s="93">
        <v>0</v>
      </c>
      <c r="BO156" s="94" t="s">
        <v>3285</v>
      </c>
      <c r="BP156" s="94" t="s">
        <v>3285</v>
      </c>
      <c r="BQ156" s="37"/>
      <c r="BR156" s="35">
        <v>-6.4100000000000004E-2</v>
      </c>
      <c r="BS156" s="35">
        <v>-7.0000000000000007E-2</v>
      </c>
      <c r="BT156" s="94" t="s">
        <v>3288</v>
      </c>
      <c r="BU156" s="94" t="s">
        <v>3288</v>
      </c>
      <c r="BV156" s="35"/>
      <c r="BW156" s="107">
        <v>2.4460000000000002</v>
      </c>
      <c r="BX156" s="99">
        <v>0.81499999999999995</v>
      </c>
      <c r="BY156" s="35"/>
    </row>
    <row r="157" spans="1:77">
      <c r="A157" s="148">
        <v>2.14</v>
      </c>
      <c r="B157" s="141" t="s">
        <v>360</v>
      </c>
      <c r="C157" s="86" t="s">
        <v>438</v>
      </c>
      <c r="D157" s="133" t="s">
        <v>63</v>
      </c>
      <c r="E157" s="80" t="s">
        <v>63</v>
      </c>
      <c r="F157" s="46" t="s">
        <v>63</v>
      </c>
      <c r="G157" s="46" t="s">
        <v>727</v>
      </c>
      <c r="H157" s="46" t="s">
        <v>728</v>
      </c>
      <c r="I157" s="46" t="s">
        <v>3377</v>
      </c>
      <c r="J157" s="46" t="s">
        <v>3326</v>
      </c>
      <c r="K157" s="46" t="s">
        <v>63</v>
      </c>
      <c r="L157" s="46">
        <v>5</v>
      </c>
      <c r="N157" s="46" t="s">
        <v>3407</v>
      </c>
      <c r="O157" s="46" t="s">
        <v>63</v>
      </c>
      <c r="P157" s="46">
        <v>3</v>
      </c>
      <c r="R157" s="46" t="s">
        <v>3589</v>
      </c>
      <c r="S157" s="46" t="s">
        <v>63</v>
      </c>
      <c r="T157" s="46">
        <v>2</v>
      </c>
      <c r="V157" s="46" t="s">
        <v>1358</v>
      </c>
      <c r="W157" s="46" t="s">
        <v>1642</v>
      </c>
      <c r="X157" s="46" t="s">
        <v>1767</v>
      </c>
      <c r="Y157" s="46" t="s">
        <v>2254</v>
      </c>
      <c r="Z157" s="46">
        <v>12</v>
      </c>
      <c r="AA157" s="46">
        <v>93.8</v>
      </c>
      <c r="AB157" s="46">
        <v>18</v>
      </c>
      <c r="AC157" s="46" t="s">
        <v>1454</v>
      </c>
      <c r="AD157" s="46" t="s">
        <v>2255</v>
      </c>
      <c r="AE157" s="46" t="s">
        <v>2256</v>
      </c>
      <c r="AF157" s="46" t="s">
        <v>727</v>
      </c>
      <c r="AG157" s="46" t="s">
        <v>2257</v>
      </c>
      <c r="AH157" s="46" t="s">
        <v>2603</v>
      </c>
      <c r="AI157" s="46" t="s">
        <v>2404</v>
      </c>
      <c r="AJ157" s="46" t="s">
        <v>3138</v>
      </c>
      <c r="AK157" s="46">
        <v>9</v>
      </c>
      <c r="AL157" s="46">
        <v>95.2</v>
      </c>
      <c r="AM157" s="46">
        <v>11</v>
      </c>
      <c r="AN157" s="46" t="s">
        <v>2406</v>
      </c>
      <c r="AO157" s="46" t="s">
        <v>3139</v>
      </c>
      <c r="AP157" s="46" t="s">
        <v>3140</v>
      </c>
      <c r="AQ157" s="46" t="s">
        <v>728</v>
      </c>
      <c r="AR157" s="46" t="s">
        <v>3141</v>
      </c>
      <c r="AT157" s="48" t="s">
        <v>63</v>
      </c>
      <c r="AU157" s="41">
        <v>0.19639999999999999</v>
      </c>
      <c r="AV157" s="41"/>
      <c r="AW157" s="55">
        <v>3.6219999999999999</v>
      </c>
      <c r="AX157" s="50">
        <v>0.14299999999999999</v>
      </c>
      <c r="AY157" s="50">
        <v>0.124</v>
      </c>
      <c r="AZ157" s="50">
        <v>0.156</v>
      </c>
      <c r="BA157" s="43"/>
      <c r="BB157" s="55">
        <v>3.6179999999999999</v>
      </c>
      <c r="BC157" s="49">
        <v>2.3439999999999999</v>
      </c>
      <c r="BD157" s="43"/>
      <c r="BE157" s="41">
        <v>312337.5</v>
      </c>
      <c r="BF157" s="41">
        <v>185402</v>
      </c>
      <c r="BG157" s="51">
        <v>1</v>
      </c>
      <c r="BH157" s="51">
        <v>1</v>
      </c>
      <c r="BI157" s="52" t="s">
        <v>3285</v>
      </c>
      <c r="BJ157" s="41"/>
      <c r="BK157" s="41">
        <v>33593</v>
      </c>
      <c r="BL157" s="41">
        <v>34052</v>
      </c>
      <c r="BM157" s="51">
        <v>1</v>
      </c>
      <c r="BN157" s="51">
        <v>1</v>
      </c>
      <c r="BO157" s="52" t="s">
        <v>3289</v>
      </c>
      <c r="BP157" s="52" t="s">
        <v>3287</v>
      </c>
      <c r="BQ157" s="43"/>
      <c r="BR157" s="41">
        <v>1.5434000000000001</v>
      </c>
      <c r="BS157" s="41">
        <v>1.1642999999999999</v>
      </c>
      <c r="BT157" s="52" t="s">
        <v>3290</v>
      </c>
      <c r="BU157" s="52" t="s">
        <v>3290</v>
      </c>
      <c r="BV157" s="41"/>
      <c r="BW157" s="55">
        <v>3.5939999999999999</v>
      </c>
      <c r="BX157" s="55">
        <v>3.6469999999999998</v>
      </c>
      <c r="BY157" s="41"/>
    </row>
    <row r="158" spans="1:77">
      <c r="A158" s="148">
        <v>2.14</v>
      </c>
      <c r="B158" s="141" t="s">
        <v>360</v>
      </c>
      <c r="C158" s="86" t="s">
        <v>438</v>
      </c>
      <c r="D158" s="133" t="s">
        <v>67</v>
      </c>
      <c r="E158" s="80" t="s">
        <v>67</v>
      </c>
      <c r="F158" s="46" t="s">
        <v>67</v>
      </c>
      <c r="G158" s="46" t="s">
        <v>969</v>
      </c>
      <c r="H158" s="46" t="s">
        <v>970</v>
      </c>
      <c r="I158" s="46" t="s">
        <v>3377</v>
      </c>
      <c r="J158" s="46" t="s">
        <v>3326</v>
      </c>
      <c r="K158" s="46" t="s">
        <v>67</v>
      </c>
      <c r="L158" s="46">
        <v>5</v>
      </c>
      <c r="N158" s="46" t="s">
        <v>3407</v>
      </c>
      <c r="O158" s="46" t="s">
        <v>67</v>
      </c>
      <c r="P158" s="46">
        <v>3</v>
      </c>
      <c r="R158" s="46" t="s">
        <v>3589</v>
      </c>
      <c r="S158" s="46" t="s">
        <v>67</v>
      </c>
      <c r="T158" s="46">
        <v>2</v>
      </c>
      <c r="V158" s="46" t="s">
        <v>1363</v>
      </c>
      <c r="W158" s="46" t="s">
        <v>1642</v>
      </c>
      <c r="X158" s="46" t="s">
        <v>1767</v>
      </c>
      <c r="Y158" s="46" t="s">
        <v>2268</v>
      </c>
      <c r="Z158" s="46">
        <v>12</v>
      </c>
      <c r="AA158" s="46">
        <v>98.6</v>
      </c>
      <c r="AB158" s="46">
        <v>4</v>
      </c>
      <c r="AC158" s="46" t="s">
        <v>1445</v>
      </c>
      <c r="AD158" s="46" t="s">
        <v>2269</v>
      </c>
      <c r="AE158" s="46" t="s">
        <v>969</v>
      </c>
      <c r="AF158" s="46" t="s">
        <v>969</v>
      </c>
      <c r="AG158" s="46" t="s">
        <v>2270</v>
      </c>
      <c r="AH158" s="46" t="s">
        <v>2603</v>
      </c>
      <c r="AI158" s="46" t="s">
        <v>2404</v>
      </c>
      <c r="AJ158" s="46" t="s">
        <v>2620</v>
      </c>
      <c r="AK158" s="46">
        <v>9</v>
      </c>
      <c r="AL158" s="46">
        <v>96.5</v>
      </c>
      <c r="AM158" s="46">
        <v>10</v>
      </c>
      <c r="AN158" s="46" t="s">
        <v>2406</v>
      </c>
      <c r="AO158" s="46" t="s">
        <v>3152</v>
      </c>
      <c r="AP158" s="46" t="s">
        <v>970</v>
      </c>
      <c r="AQ158" s="46" t="s">
        <v>970</v>
      </c>
      <c r="AR158" s="46" t="s">
        <v>3153</v>
      </c>
      <c r="AT158" s="48" t="s">
        <v>67</v>
      </c>
      <c r="AU158" s="41">
        <v>0.4501</v>
      </c>
      <c r="AV158" s="41"/>
      <c r="AW158" s="55">
        <v>3.5670000000000002</v>
      </c>
      <c r="AX158" s="50">
        <v>0.19900000000000001</v>
      </c>
      <c r="AY158" s="50">
        <v>0.153</v>
      </c>
      <c r="AZ158" s="50">
        <v>0.17699999999999999</v>
      </c>
      <c r="BA158" s="43"/>
      <c r="BB158" s="55">
        <v>3.4529999999999998</v>
      </c>
      <c r="BC158" s="49">
        <v>2.395</v>
      </c>
      <c r="BD158" s="43"/>
      <c r="BE158" s="41">
        <v>104729</v>
      </c>
      <c r="BF158" s="41">
        <v>148509</v>
      </c>
      <c r="BG158" s="51">
        <v>1</v>
      </c>
      <c r="BH158" s="51">
        <v>1</v>
      </c>
      <c r="BI158" s="52" t="s">
        <v>3286</v>
      </c>
      <c r="BJ158" s="41"/>
      <c r="BK158" s="41">
        <v>17862</v>
      </c>
      <c r="BL158" s="41">
        <v>39694</v>
      </c>
      <c r="BM158" s="51">
        <v>1</v>
      </c>
      <c r="BN158" s="51">
        <v>1</v>
      </c>
      <c r="BO158" s="52" t="s">
        <v>3286</v>
      </c>
      <c r="BP158" s="52" t="s">
        <v>3286</v>
      </c>
      <c r="BQ158" s="43"/>
      <c r="BR158" s="41">
        <v>1.6941999999999999</v>
      </c>
      <c r="BS158" s="41">
        <v>1.8769</v>
      </c>
      <c r="BT158" s="52" t="s">
        <v>3290</v>
      </c>
      <c r="BU158" s="52" t="s">
        <v>3290</v>
      </c>
      <c r="BV158" s="41"/>
      <c r="BW158" s="55">
        <v>3.3929999999999998</v>
      </c>
      <c r="BX158" s="55">
        <v>3.41</v>
      </c>
      <c r="BY158" s="41"/>
    </row>
    <row r="159" spans="1:77">
      <c r="A159" s="148">
        <v>2.14</v>
      </c>
      <c r="B159" s="141" t="s">
        <v>360</v>
      </c>
      <c r="C159" s="86" t="s">
        <v>438</v>
      </c>
      <c r="D159" s="133" t="s">
        <v>64</v>
      </c>
      <c r="E159" s="80" t="s">
        <v>64</v>
      </c>
      <c r="F159" s="46" t="s">
        <v>64</v>
      </c>
      <c r="G159" s="46" t="s">
        <v>517</v>
      </c>
      <c r="H159" s="46" t="s">
        <v>518</v>
      </c>
      <c r="I159" s="46" t="s">
        <v>3377</v>
      </c>
      <c r="J159" s="46" t="s">
        <v>3326</v>
      </c>
      <c r="K159" s="46" t="s">
        <v>64</v>
      </c>
      <c r="L159" s="46">
        <v>5</v>
      </c>
      <c r="N159" s="46" t="s">
        <v>3407</v>
      </c>
      <c r="O159" s="46" t="s">
        <v>64</v>
      </c>
      <c r="P159" s="46">
        <v>3</v>
      </c>
      <c r="R159" s="46" t="s">
        <v>3531</v>
      </c>
      <c r="S159" s="46" t="s">
        <v>64</v>
      </c>
      <c r="T159" s="46">
        <v>1</v>
      </c>
      <c r="V159" s="46" t="s">
        <v>1360</v>
      </c>
      <c r="W159" s="46" t="s">
        <v>1642</v>
      </c>
      <c r="X159" s="46" t="s">
        <v>1767</v>
      </c>
      <c r="Y159" s="46" t="s">
        <v>2259</v>
      </c>
      <c r="Z159" s="46">
        <v>12</v>
      </c>
      <c r="AA159" s="46">
        <v>96.6</v>
      </c>
      <c r="AB159" s="46">
        <v>10</v>
      </c>
      <c r="AC159" s="46" t="s">
        <v>1445</v>
      </c>
      <c r="AD159" s="46" t="s">
        <v>2260</v>
      </c>
      <c r="AE159" s="46" t="s">
        <v>517</v>
      </c>
      <c r="AF159" s="46" t="s">
        <v>517</v>
      </c>
      <c r="AG159" s="46" t="s">
        <v>2261</v>
      </c>
      <c r="AH159" s="46" t="s">
        <v>2603</v>
      </c>
      <c r="AI159" s="46" t="s">
        <v>2404</v>
      </c>
      <c r="AJ159" s="46" t="s">
        <v>3144</v>
      </c>
      <c r="AK159" s="46">
        <v>9</v>
      </c>
      <c r="AL159" s="46">
        <v>96.5</v>
      </c>
      <c r="AM159" s="46">
        <v>10</v>
      </c>
      <c r="AN159" s="46" t="s">
        <v>2406</v>
      </c>
      <c r="AO159" s="46" t="s">
        <v>3145</v>
      </c>
      <c r="AP159" s="46" t="s">
        <v>518</v>
      </c>
      <c r="AQ159" s="46" t="s">
        <v>518</v>
      </c>
      <c r="AR159" s="46" t="s">
        <v>3146</v>
      </c>
      <c r="AT159" s="48" t="s">
        <v>64</v>
      </c>
      <c r="AU159" s="41">
        <v>6.5629999999999994E-2</v>
      </c>
      <c r="AV159" s="41"/>
      <c r="AW159" s="55">
        <v>3.6629999999999998</v>
      </c>
      <c r="AX159" s="50">
        <v>0.13800000000000001</v>
      </c>
      <c r="AY159" s="50">
        <v>0.129</v>
      </c>
      <c r="AZ159" s="50">
        <v>0.11899999999999999</v>
      </c>
      <c r="BA159" s="43"/>
      <c r="BB159" s="55">
        <v>3.6070000000000002</v>
      </c>
      <c r="BC159" s="49">
        <v>2.3210000000000002</v>
      </c>
      <c r="BD159" s="43"/>
      <c r="BE159" s="41">
        <v>201863.5</v>
      </c>
      <c r="BF159" s="41">
        <v>265654</v>
      </c>
      <c r="BG159" s="51">
        <v>1</v>
      </c>
      <c r="BH159" s="51">
        <v>1</v>
      </c>
      <c r="BI159" s="52" t="s">
        <v>3286</v>
      </c>
      <c r="BJ159" s="41"/>
      <c r="BK159" s="41">
        <v>167763</v>
      </c>
      <c r="BL159" s="41">
        <v>50264</v>
      </c>
      <c r="BM159" s="51">
        <v>1</v>
      </c>
      <c r="BN159" s="51">
        <v>1</v>
      </c>
      <c r="BO159" s="52" t="s">
        <v>3285</v>
      </c>
      <c r="BP159" s="52" t="s">
        <v>3287</v>
      </c>
      <c r="BQ159" s="43"/>
      <c r="BR159" s="41">
        <v>3.2925</v>
      </c>
      <c r="BS159" s="41">
        <v>1.3421000000000001</v>
      </c>
      <c r="BT159" s="52" t="s">
        <v>3290</v>
      </c>
      <c r="BU159" s="52" t="s">
        <v>3290</v>
      </c>
      <c r="BV159" s="41"/>
      <c r="BW159" s="55">
        <v>3.6150000000000002</v>
      </c>
      <c r="BX159" s="55">
        <v>3.5830000000000002</v>
      </c>
      <c r="BY159" s="41"/>
    </row>
    <row r="160" spans="1:77">
      <c r="A160" s="148">
        <v>2.14</v>
      </c>
      <c r="B160" s="141" t="s">
        <v>360</v>
      </c>
      <c r="C160" s="86" t="s">
        <v>438</v>
      </c>
      <c r="D160" s="133" t="s">
        <v>65</v>
      </c>
      <c r="E160" s="80" t="s">
        <v>65</v>
      </c>
      <c r="F160" s="46" t="s">
        <v>65</v>
      </c>
      <c r="G160" s="46" t="s">
        <v>545</v>
      </c>
      <c r="H160" s="46" t="s">
        <v>546</v>
      </c>
      <c r="I160" s="46" t="s">
        <v>3377</v>
      </c>
      <c r="J160" s="46" t="s">
        <v>3326</v>
      </c>
      <c r="K160" s="46" t="s">
        <v>65</v>
      </c>
      <c r="L160" s="46">
        <v>5</v>
      </c>
      <c r="N160" s="46" t="s">
        <v>3416</v>
      </c>
      <c r="O160" s="46" t="s">
        <v>65</v>
      </c>
      <c r="P160" s="46">
        <v>2</v>
      </c>
      <c r="R160" s="46" t="s">
        <v>3542</v>
      </c>
      <c r="S160" s="46" t="s">
        <v>65</v>
      </c>
      <c r="T160" s="46">
        <v>2</v>
      </c>
      <c r="V160" s="46" t="s">
        <v>1361</v>
      </c>
      <c r="W160" s="46" t="s">
        <v>1642</v>
      </c>
      <c r="X160" s="46" t="s">
        <v>1767</v>
      </c>
      <c r="Y160" s="46" t="s">
        <v>2262</v>
      </c>
      <c r="Z160" s="46">
        <v>12</v>
      </c>
      <c r="AA160" s="46">
        <v>91.1</v>
      </c>
      <c r="AB160" s="46">
        <v>26</v>
      </c>
      <c r="AC160" s="46" t="s">
        <v>1551</v>
      </c>
      <c r="AD160" s="46" t="s">
        <v>2263</v>
      </c>
      <c r="AE160" s="46" t="s">
        <v>545</v>
      </c>
      <c r="AF160" s="46" t="s">
        <v>545</v>
      </c>
      <c r="AG160" s="46" t="s">
        <v>2264</v>
      </c>
      <c r="AH160" s="46" t="s">
        <v>2603</v>
      </c>
      <c r="AI160" s="46" t="s">
        <v>2404</v>
      </c>
      <c r="AJ160" s="46" t="s">
        <v>3147</v>
      </c>
      <c r="AK160" s="46">
        <v>9</v>
      </c>
      <c r="AL160" s="46">
        <v>94.1</v>
      </c>
      <c r="AM160" s="46">
        <v>17</v>
      </c>
      <c r="AN160" s="46" t="s">
        <v>2406</v>
      </c>
      <c r="AO160" s="46" t="s">
        <v>3148</v>
      </c>
      <c r="AP160" s="46" t="s">
        <v>546</v>
      </c>
      <c r="AQ160" s="46" t="s">
        <v>546</v>
      </c>
      <c r="AR160" s="46" t="s">
        <v>3149</v>
      </c>
      <c r="AT160" s="48" t="s">
        <v>65</v>
      </c>
      <c r="AU160" s="41">
        <v>8.1500000000000003E-2</v>
      </c>
      <c r="AV160" s="41"/>
      <c r="AW160" s="55">
        <v>3.597</v>
      </c>
      <c r="AX160" s="59">
        <v>1.119</v>
      </c>
      <c r="AY160" s="50">
        <v>0.13700000000000001</v>
      </c>
      <c r="AZ160" s="50">
        <v>0.125</v>
      </c>
      <c r="BA160" s="43"/>
      <c r="BB160" s="55">
        <v>3.5449999999999999</v>
      </c>
      <c r="BC160" s="49">
        <v>2.3290000000000002</v>
      </c>
      <c r="BD160" s="43"/>
      <c r="BE160" s="41">
        <v>161568</v>
      </c>
      <c r="BF160" s="41">
        <v>217766</v>
      </c>
      <c r="BG160" s="51">
        <v>1</v>
      </c>
      <c r="BH160" s="51">
        <v>1</v>
      </c>
      <c r="BI160" s="52" t="s">
        <v>3286</v>
      </c>
      <c r="BJ160" s="41"/>
      <c r="BK160" s="41">
        <v>138743</v>
      </c>
      <c r="BL160" s="41">
        <v>40616</v>
      </c>
      <c r="BM160" s="51">
        <v>1</v>
      </c>
      <c r="BN160" s="51">
        <v>1</v>
      </c>
      <c r="BO160" s="52" t="s">
        <v>3285</v>
      </c>
      <c r="BP160" s="52" t="s">
        <v>3287</v>
      </c>
      <c r="BQ160" s="43"/>
      <c r="BR160" s="41">
        <v>2.7128000000000001</v>
      </c>
      <c r="BS160" s="41">
        <v>1.2141</v>
      </c>
      <c r="BT160" s="52" t="s">
        <v>3290</v>
      </c>
      <c r="BU160" s="52" t="s">
        <v>3290</v>
      </c>
      <c r="BV160" s="41"/>
      <c r="BW160" s="55">
        <v>3.56</v>
      </c>
      <c r="BX160" s="55">
        <v>3.5649999999999999</v>
      </c>
      <c r="BY160" s="41"/>
    </row>
    <row r="161" spans="1:77" ht="17" thickBot="1">
      <c r="A161" s="148">
        <v>2.14</v>
      </c>
      <c r="B161" s="141" t="s">
        <v>360</v>
      </c>
      <c r="C161" s="86" t="s">
        <v>438</v>
      </c>
      <c r="D161" s="133" t="s">
        <v>66</v>
      </c>
      <c r="E161" s="80" t="s">
        <v>66</v>
      </c>
      <c r="F161" s="46" t="s">
        <v>66</v>
      </c>
      <c r="G161" s="46" t="s">
        <v>706</v>
      </c>
      <c r="H161" s="46" t="s">
        <v>707</v>
      </c>
      <c r="I161" s="46" t="s">
        <v>3377</v>
      </c>
      <c r="J161" s="46" t="s">
        <v>3326</v>
      </c>
      <c r="K161" s="46" t="s">
        <v>66</v>
      </c>
      <c r="L161" s="46">
        <v>5</v>
      </c>
      <c r="N161" s="46" t="s">
        <v>3416</v>
      </c>
      <c r="O161" s="46" t="s">
        <v>66</v>
      </c>
      <c r="P161" s="46">
        <v>2</v>
      </c>
      <c r="R161" s="46" t="s">
        <v>3542</v>
      </c>
      <c r="S161" s="46" t="s">
        <v>66</v>
      </c>
      <c r="T161" s="46">
        <v>2</v>
      </c>
      <c r="V161" s="46" t="s">
        <v>1362</v>
      </c>
      <c r="W161" s="46" t="s">
        <v>1642</v>
      </c>
      <c r="X161" s="46" t="s">
        <v>1767</v>
      </c>
      <c r="Y161" s="46" t="s">
        <v>2265</v>
      </c>
      <c r="Z161" s="46">
        <v>12</v>
      </c>
      <c r="AA161" s="46">
        <v>94.5</v>
      </c>
      <c r="AB161" s="46">
        <v>16</v>
      </c>
      <c r="AC161" s="46" t="s">
        <v>1454</v>
      </c>
      <c r="AD161" s="46" t="s">
        <v>2266</v>
      </c>
      <c r="AE161" s="46" t="s">
        <v>706</v>
      </c>
      <c r="AF161" s="46" t="s">
        <v>706</v>
      </c>
      <c r="AG161" s="46" t="s">
        <v>2267</v>
      </c>
      <c r="AH161" s="46" t="s">
        <v>2603</v>
      </c>
      <c r="AI161" s="46" t="s">
        <v>2404</v>
      </c>
      <c r="AJ161" s="46" t="s">
        <v>2737</v>
      </c>
      <c r="AK161" s="46">
        <v>9</v>
      </c>
      <c r="AL161" s="46">
        <v>97.2</v>
      </c>
      <c r="AM161" s="46">
        <v>8</v>
      </c>
      <c r="AN161" s="46" t="s">
        <v>2406</v>
      </c>
      <c r="AO161" s="46" t="s">
        <v>3150</v>
      </c>
      <c r="AP161" s="46" t="s">
        <v>707</v>
      </c>
      <c r="AQ161" s="46" t="s">
        <v>707</v>
      </c>
      <c r="AR161" s="46" t="s">
        <v>3151</v>
      </c>
      <c r="AT161" s="48" t="s">
        <v>66</v>
      </c>
      <c r="AU161" s="41">
        <v>9.1670000000000001E-2</v>
      </c>
      <c r="AV161" s="41"/>
      <c r="AW161" s="61">
        <v>3.6080000000000001</v>
      </c>
      <c r="AX161" s="63">
        <v>0.157</v>
      </c>
      <c r="AY161" s="63">
        <v>0.11600000000000001</v>
      </c>
      <c r="AZ161" s="63">
        <v>0.15</v>
      </c>
      <c r="BA161" s="42"/>
      <c r="BB161" s="55">
        <v>3.5579999999999998</v>
      </c>
      <c r="BC161" s="55">
        <v>2.6989999999999998</v>
      </c>
      <c r="BD161" s="43"/>
      <c r="BE161" s="41">
        <v>29301.5</v>
      </c>
      <c r="BF161" s="41">
        <v>154409</v>
      </c>
      <c r="BG161" s="51">
        <v>1</v>
      </c>
      <c r="BH161" s="51">
        <v>1</v>
      </c>
      <c r="BI161" s="52" t="s">
        <v>3286</v>
      </c>
      <c r="BJ161" s="41"/>
      <c r="BK161" s="41">
        <v>6661</v>
      </c>
      <c r="BL161" s="41">
        <v>4323</v>
      </c>
      <c r="BM161" s="51">
        <v>1</v>
      </c>
      <c r="BN161" s="51">
        <v>0</v>
      </c>
      <c r="BO161" s="52" t="s">
        <v>3285</v>
      </c>
      <c r="BP161" s="52" t="s">
        <v>3287</v>
      </c>
      <c r="BQ161" s="43"/>
      <c r="BR161" s="41">
        <v>-0.13239999999999999</v>
      </c>
      <c r="BS161" s="41">
        <v>-2.3400000000000001E-2</v>
      </c>
      <c r="BT161" s="52" t="s">
        <v>3288</v>
      </c>
      <c r="BU161" s="52" t="s">
        <v>3288</v>
      </c>
      <c r="BV161" s="41"/>
      <c r="BW161" s="55">
        <v>3.548</v>
      </c>
      <c r="BX161" s="55">
        <v>3.536</v>
      </c>
      <c r="BY161" s="41"/>
    </row>
    <row r="162" spans="1:77" s="81" customFormat="1">
      <c r="A162" s="147">
        <v>2.15</v>
      </c>
      <c r="B162" s="140" t="s">
        <v>386</v>
      </c>
      <c r="C162" s="120" t="s">
        <v>464</v>
      </c>
      <c r="D162" s="132" t="s">
        <v>197</v>
      </c>
      <c r="E162" s="82" t="s">
        <v>197</v>
      </c>
      <c r="F162" s="81" t="s">
        <v>197</v>
      </c>
      <c r="G162" s="81" t="s">
        <v>797</v>
      </c>
      <c r="H162" s="81" t="s">
        <v>798</v>
      </c>
      <c r="I162" s="81" t="s">
        <v>3377</v>
      </c>
      <c r="J162" s="81" t="s">
        <v>3307</v>
      </c>
      <c r="K162" s="81" t="s">
        <v>197</v>
      </c>
      <c r="L162" s="81">
        <v>5</v>
      </c>
      <c r="N162" s="81" t="s">
        <v>3417</v>
      </c>
      <c r="O162" s="81" t="s">
        <v>197</v>
      </c>
      <c r="P162" s="81">
        <v>4</v>
      </c>
      <c r="R162" s="81" t="s">
        <v>3543</v>
      </c>
      <c r="S162" s="81" t="s">
        <v>197</v>
      </c>
      <c r="T162" s="81">
        <v>4</v>
      </c>
      <c r="V162" s="81" t="s">
        <v>1185</v>
      </c>
      <c r="W162" s="81" t="s">
        <v>1642</v>
      </c>
      <c r="X162" s="81" t="s">
        <v>1413</v>
      </c>
      <c r="Y162" s="81" t="s">
        <v>1701</v>
      </c>
      <c r="Z162" s="81">
        <v>10</v>
      </c>
      <c r="AA162" s="81">
        <v>98.3</v>
      </c>
      <c r="AB162" s="81">
        <v>5</v>
      </c>
      <c r="AC162" s="81" t="s">
        <v>1462</v>
      </c>
      <c r="AD162" s="81" t="s">
        <v>1702</v>
      </c>
      <c r="AE162" s="81" t="s">
        <v>1703</v>
      </c>
      <c r="AF162" s="81" t="s">
        <v>797</v>
      </c>
      <c r="AG162" s="81" t="s">
        <v>1704</v>
      </c>
      <c r="AH162" s="81" t="s">
        <v>2603</v>
      </c>
      <c r="AI162" s="81" t="s">
        <v>2452</v>
      </c>
      <c r="AJ162" s="81" t="s">
        <v>2652</v>
      </c>
      <c r="AK162" s="81">
        <v>9</v>
      </c>
      <c r="AL162" s="81">
        <v>95.1</v>
      </c>
      <c r="AM162" s="81">
        <v>14</v>
      </c>
      <c r="AN162" s="81" t="s">
        <v>2406</v>
      </c>
      <c r="AO162" s="81" t="s">
        <v>2653</v>
      </c>
      <c r="AP162" s="81" t="s">
        <v>2654</v>
      </c>
      <c r="AQ162" s="81" t="s">
        <v>798</v>
      </c>
      <c r="AR162" s="81" t="s">
        <v>2655</v>
      </c>
      <c r="AT162" s="83" t="s">
        <v>197</v>
      </c>
      <c r="AU162" s="33">
        <v>0.1603</v>
      </c>
      <c r="AV162" s="33"/>
      <c r="AW162" s="100">
        <v>3.6070000000000002</v>
      </c>
      <c r="AX162" s="100">
        <v>3.4660000000000002</v>
      </c>
      <c r="AY162" s="100">
        <v>3.5739999999999998</v>
      </c>
      <c r="AZ162" s="87">
        <v>0.16</v>
      </c>
      <c r="BA162" s="34"/>
      <c r="BB162" s="87">
        <v>0.106</v>
      </c>
      <c r="BC162" s="87">
        <v>8.1000000000000003E-2</v>
      </c>
      <c r="BD162" s="34"/>
      <c r="BE162" s="33">
        <v>93110</v>
      </c>
      <c r="BF162" s="33">
        <v>1906</v>
      </c>
      <c r="BG162" s="88">
        <v>1</v>
      </c>
      <c r="BH162" s="88">
        <v>0</v>
      </c>
      <c r="BI162" s="89" t="s">
        <v>3285</v>
      </c>
      <c r="BJ162" s="33"/>
      <c r="BK162" s="33">
        <v>7772</v>
      </c>
      <c r="BL162" s="33">
        <v>3110</v>
      </c>
      <c r="BM162" s="88">
        <v>1</v>
      </c>
      <c r="BN162" s="88">
        <v>0</v>
      </c>
      <c r="BO162" s="89" t="s">
        <v>3285</v>
      </c>
      <c r="BP162" s="89" t="s">
        <v>3285</v>
      </c>
      <c r="BQ162" s="34"/>
      <c r="BR162" s="33">
        <v>0.70069999999999999</v>
      </c>
      <c r="BS162" s="33">
        <v>-6.7999999999999996E-3</v>
      </c>
      <c r="BT162" s="89" t="s">
        <v>3290</v>
      </c>
      <c r="BU162" s="89" t="s">
        <v>3288</v>
      </c>
      <c r="BV162" s="33"/>
      <c r="BW162" s="105">
        <v>3.2240000000000002</v>
      </c>
      <c r="BX162" s="106">
        <v>1.583</v>
      </c>
      <c r="BY162" s="33"/>
    </row>
    <row r="163" spans="1:77">
      <c r="A163" s="148">
        <v>2.15</v>
      </c>
      <c r="B163" s="141" t="s">
        <v>386</v>
      </c>
      <c r="C163" s="86" t="s">
        <v>464</v>
      </c>
      <c r="D163" s="133" t="s">
        <v>198</v>
      </c>
      <c r="E163" s="80" t="s">
        <v>198</v>
      </c>
      <c r="F163" s="46" t="s">
        <v>198</v>
      </c>
      <c r="G163" s="46" t="s">
        <v>548</v>
      </c>
      <c r="H163" s="46" t="s">
        <v>549</v>
      </c>
      <c r="I163" s="46" t="s">
        <v>3377</v>
      </c>
      <c r="J163" s="46" t="s">
        <v>3307</v>
      </c>
      <c r="K163" s="46" t="s">
        <v>198</v>
      </c>
      <c r="L163" s="46">
        <v>5</v>
      </c>
      <c r="N163" s="46" t="s">
        <v>3417</v>
      </c>
      <c r="O163" s="46" t="s">
        <v>198</v>
      </c>
      <c r="P163" s="46">
        <v>4</v>
      </c>
      <c r="R163" s="46" t="s">
        <v>3543</v>
      </c>
      <c r="S163" s="46" t="s">
        <v>198</v>
      </c>
      <c r="T163" s="46">
        <v>4</v>
      </c>
      <c r="V163" s="46" t="s">
        <v>1187</v>
      </c>
      <c r="W163" s="46" t="s">
        <v>1642</v>
      </c>
      <c r="X163" s="46" t="s">
        <v>1413</v>
      </c>
      <c r="Y163" s="46" t="s">
        <v>1708</v>
      </c>
      <c r="Z163" s="46">
        <v>10</v>
      </c>
      <c r="AA163" s="46">
        <v>94.5</v>
      </c>
      <c r="AB163" s="46">
        <v>16</v>
      </c>
      <c r="AC163" s="46" t="s">
        <v>1414</v>
      </c>
      <c r="AD163" s="46" t="s">
        <v>1709</v>
      </c>
      <c r="AE163" s="46" t="s">
        <v>548</v>
      </c>
      <c r="AF163" s="46" t="s">
        <v>548</v>
      </c>
      <c r="AG163" s="46" t="s">
        <v>1710</v>
      </c>
      <c r="AH163" s="46" t="s">
        <v>2603</v>
      </c>
      <c r="AI163" s="46" t="s">
        <v>2452</v>
      </c>
      <c r="AJ163" s="46" t="s">
        <v>2658</v>
      </c>
      <c r="AK163" s="46">
        <v>9</v>
      </c>
      <c r="AL163" s="46">
        <v>95.5</v>
      </c>
      <c r="AM163" s="46">
        <v>13</v>
      </c>
      <c r="AN163" s="46" t="s">
        <v>2406</v>
      </c>
      <c r="AO163" s="46" t="s">
        <v>2659</v>
      </c>
      <c r="AP163" s="46" t="s">
        <v>549</v>
      </c>
      <c r="AQ163" s="46" t="s">
        <v>549</v>
      </c>
      <c r="AR163" s="46" t="s">
        <v>2660</v>
      </c>
      <c r="AT163" s="48" t="s">
        <v>198</v>
      </c>
      <c r="AU163" s="41">
        <v>0.2195</v>
      </c>
      <c r="AV163" s="41"/>
      <c r="AW163" s="49">
        <v>3.32</v>
      </c>
      <c r="AX163" s="55">
        <v>3.5680000000000001</v>
      </c>
      <c r="AY163" s="55">
        <v>3.5569999999999999</v>
      </c>
      <c r="AZ163" s="50">
        <v>0.188</v>
      </c>
      <c r="BA163" s="43"/>
      <c r="BB163" s="50">
        <v>0.10100000000000001</v>
      </c>
      <c r="BC163" s="50">
        <v>8.2000000000000003E-2</v>
      </c>
      <c r="BD163" s="43"/>
      <c r="BE163" s="41">
        <v>36235</v>
      </c>
      <c r="BF163" s="41">
        <v>1908</v>
      </c>
      <c r="BG163" s="51">
        <v>1</v>
      </c>
      <c r="BH163" s="51">
        <v>0</v>
      </c>
      <c r="BI163" s="52" t="s">
        <v>3285</v>
      </c>
      <c r="BJ163" s="41"/>
      <c r="BK163" s="41">
        <v>9458</v>
      </c>
      <c r="BL163" s="41">
        <v>3073</v>
      </c>
      <c r="BM163" s="51">
        <v>1</v>
      </c>
      <c r="BN163" s="51">
        <v>0</v>
      </c>
      <c r="BO163" s="52" t="s">
        <v>3285</v>
      </c>
      <c r="BP163" s="52" t="s">
        <v>3285</v>
      </c>
      <c r="BQ163" s="43"/>
      <c r="BR163" s="41">
        <v>-6.1100000000000002E-2</v>
      </c>
      <c r="BS163" s="41">
        <v>-5.8999999999999999E-3</v>
      </c>
      <c r="BT163" s="52" t="s">
        <v>3288</v>
      </c>
      <c r="BU163" s="52" t="s">
        <v>3288</v>
      </c>
      <c r="BV163" s="41"/>
      <c r="BW163" s="58">
        <v>3.05</v>
      </c>
      <c r="BX163" s="66">
        <v>1.827</v>
      </c>
      <c r="BY163" s="41"/>
    </row>
    <row r="164" spans="1:77">
      <c r="A164" s="148">
        <v>2.15</v>
      </c>
      <c r="B164" s="141" t="s">
        <v>386</v>
      </c>
      <c r="C164" s="86" t="s">
        <v>464</v>
      </c>
      <c r="D164" s="133" t="s">
        <v>199</v>
      </c>
      <c r="E164" s="80" t="s">
        <v>199</v>
      </c>
      <c r="F164" s="46" t="s">
        <v>199</v>
      </c>
      <c r="G164" s="46" t="s">
        <v>572</v>
      </c>
      <c r="H164" s="46" t="s">
        <v>573</v>
      </c>
      <c r="I164" s="46" t="s">
        <v>3377</v>
      </c>
      <c r="J164" s="46" t="s">
        <v>3307</v>
      </c>
      <c r="K164" s="46" t="s">
        <v>199</v>
      </c>
      <c r="L164" s="46">
        <v>5</v>
      </c>
      <c r="N164" s="46" t="s">
        <v>3417</v>
      </c>
      <c r="O164" s="46" t="s">
        <v>199</v>
      </c>
      <c r="P164" s="46">
        <v>4</v>
      </c>
      <c r="R164" s="46" t="s">
        <v>3543</v>
      </c>
      <c r="S164" s="46" t="s">
        <v>199</v>
      </c>
      <c r="T164" s="46">
        <v>4</v>
      </c>
      <c r="V164" s="46" t="s">
        <v>1188</v>
      </c>
      <c r="W164" s="46" t="s">
        <v>3299</v>
      </c>
      <c r="X164" s="46" t="s">
        <v>1413</v>
      </c>
      <c r="Y164" s="46" t="s">
        <v>1711</v>
      </c>
      <c r="Z164" s="46">
        <v>10</v>
      </c>
      <c r="AA164" s="46">
        <v>97.3</v>
      </c>
      <c r="AB164" s="46">
        <v>8</v>
      </c>
      <c r="AC164" s="46" t="s">
        <v>1449</v>
      </c>
      <c r="AD164" s="46" t="s">
        <v>1712</v>
      </c>
      <c r="AE164" s="46" t="s">
        <v>572</v>
      </c>
      <c r="AF164" s="46" t="s">
        <v>572</v>
      </c>
      <c r="AG164" s="46" t="s">
        <v>1713</v>
      </c>
      <c r="AH164" s="46" t="s">
        <v>2603</v>
      </c>
      <c r="AI164" s="46" t="s">
        <v>2452</v>
      </c>
      <c r="AJ164" s="46" t="s">
        <v>2658</v>
      </c>
      <c r="AK164" s="46">
        <v>9</v>
      </c>
      <c r="AL164" s="46">
        <v>97.2</v>
      </c>
      <c r="AM164" s="46">
        <v>8</v>
      </c>
      <c r="AN164" s="46" t="s">
        <v>2406</v>
      </c>
      <c r="AO164" s="46" t="s">
        <v>2659</v>
      </c>
      <c r="AP164" s="46" t="s">
        <v>573</v>
      </c>
      <c r="AQ164" s="46" t="s">
        <v>573</v>
      </c>
      <c r="AR164" s="46" t="s">
        <v>2661</v>
      </c>
      <c r="AT164" s="48" t="s">
        <v>199</v>
      </c>
      <c r="AU164" s="41">
        <v>0.18049999999999999</v>
      </c>
      <c r="AV164" s="41"/>
      <c r="AW164" s="55">
        <v>3.4830000000000001</v>
      </c>
      <c r="AX164" s="55">
        <v>3.536</v>
      </c>
      <c r="AY164" s="55">
        <v>3.6070000000000002</v>
      </c>
      <c r="AZ164" s="50">
        <v>0.16500000000000001</v>
      </c>
      <c r="BA164" s="43"/>
      <c r="BB164" s="50">
        <v>0.111</v>
      </c>
      <c r="BC164" s="50">
        <v>0.09</v>
      </c>
      <c r="BD164" s="43"/>
      <c r="BE164" s="41">
        <v>18080.5</v>
      </c>
      <c r="BF164" s="41">
        <v>1912</v>
      </c>
      <c r="BG164" s="51">
        <v>1</v>
      </c>
      <c r="BH164" s="51">
        <v>0</v>
      </c>
      <c r="BI164" s="52" t="s">
        <v>3285</v>
      </c>
      <c r="BJ164" s="41"/>
      <c r="BK164" s="41">
        <v>2636.5</v>
      </c>
      <c r="BL164" s="41">
        <v>9812</v>
      </c>
      <c r="BM164" s="51">
        <v>0</v>
      </c>
      <c r="BN164" s="51">
        <v>1</v>
      </c>
      <c r="BO164" s="52" t="s">
        <v>3286</v>
      </c>
      <c r="BP164" s="52" t="s">
        <v>3287</v>
      </c>
      <c r="BQ164" s="43"/>
      <c r="BR164" s="41">
        <v>-4.9399999999999999E-2</v>
      </c>
      <c r="BS164" s="41">
        <v>-9.4999999999999998E-3</v>
      </c>
      <c r="BT164" s="52" t="s">
        <v>3288</v>
      </c>
      <c r="BU164" s="52" t="s">
        <v>3288</v>
      </c>
      <c r="BV164" s="41"/>
      <c r="BW164" s="56">
        <v>2.758</v>
      </c>
      <c r="BX164" s="59">
        <v>0.89600000000000002</v>
      </c>
      <c r="BY164" s="41"/>
    </row>
    <row r="165" spans="1:77">
      <c r="A165" s="148">
        <v>2.15</v>
      </c>
      <c r="B165" s="141" t="s">
        <v>386</v>
      </c>
      <c r="C165" s="86" t="s">
        <v>464</v>
      </c>
      <c r="D165" s="133" t="s">
        <v>200</v>
      </c>
      <c r="E165" s="80" t="s">
        <v>200</v>
      </c>
      <c r="F165" s="46" t="s">
        <v>200</v>
      </c>
      <c r="G165" s="46" t="s">
        <v>704</v>
      </c>
      <c r="H165" s="46" t="s">
        <v>705</v>
      </c>
      <c r="I165" s="46" t="s">
        <v>3377</v>
      </c>
      <c r="J165" s="46" t="s">
        <v>3307</v>
      </c>
      <c r="K165" s="46" t="s">
        <v>200</v>
      </c>
      <c r="L165" s="46">
        <v>5</v>
      </c>
      <c r="N165" s="46" t="s">
        <v>3417</v>
      </c>
      <c r="O165" s="46" t="s">
        <v>200</v>
      </c>
      <c r="P165" s="46">
        <v>4</v>
      </c>
      <c r="R165" s="46" t="s">
        <v>3543</v>
      </c>
      <c r="S165" s="46" t="s">
        <v>200</v>
      </c>
      <c r="T165" s="46">
        <v>4</v>
      </c>
      <c r="V165" s="46" t="s">
        <v>1189</v>
      </c>
      <c r="W165" s="46" t="s">
        <v>1642</v>
      </c>
      <c r="X165" s="46" t="s">
        <v>1413</v>
      </c>
      <c r="Y165" s="46" t="s">
        <v>1711</v>
      </c>
      <c r="Z165" s="46">
        <v>10</v>
      </c>
      <c r="AA165" s="46">
        <v>97.6</v>
      </c>
      <c r="AB165" s="46">
        <v>7</v>
      </c>
      <c r="AC165" s="46" t="s">
        <v>1449</v>
      </c>
      <c r="AD165" s="46" t="s">
        <v>1712</v>
      </c>
      <c r="AE165" s="46" t="s">
        <v>704</v>
      </c>
      <c r="AF165" s="46" t="s">
        <v>704</v>
      </c>
      <c r="AG165" s="46" t="s">
        <v>1714</v>
      </c>
      <c r="AH165" s="46" t="s">
        <v>2603</v>
      </c>
      <c r="AI165" s="46" t="s">
        <v>2452</v>
      </c>
      <c r="AJ165" s="46" t="s">
        <v>2658</v>
      </c>
      <c r="AK165" s="46">
        <v>9</v>
      </c>
      <c r="AL165" s="46">
        <v>97.6</v>
      </c>
      <c r="AM165" s="46">
        <v>7</v>
      </c>
      <c r="AN165" s="46" t="s">
        <v>2406</v>
      </c>
      <c r="AO165" s="46" t="s">
        <v>2659</v>
      </c>
      <c r="AP165" s="46" t="s">
        <v>705</v>
      </c>
      <c r="AQ165" s="46" t="s">
        <v>705</v>
      </c>
      <c r="AR165" s="46" t="s">
        <v>2662</v>
      </c>
      <c r="AT165" s="48" t="s">
        <v>200</v>
      </c>
      <c r="AU165" s="41">
        <v>0.15640000000000001</v>
      </c>
      <c r="AV165" s="41"/>
      <c r="AW165" s="61">
        <v>3.5760000000000001</v>
      </c>
      <c r="AX165" s="61">
        <v>3.5430000000000001</v>
      </c>
      <c r="AY165" s="61">
        <v>3.6110000000000002</v>
      </c>
      <c r="AZ165" s="63">
        <v>0.184</v>
      </c>
      <c r="BA165" s="42"/>
      <c r="BB165" s="50">
        <v>0.11600000000000001</v>
      </c>
      <c r="BC165" s="50">
        <v>9.8000000000000004E-2</v>
      </c>
      <c r="BD165" s="43"/>
      <c r="BE165" s="41">
        <v>70401</v>
      </c>
      <c r="BF165" s="41">
        <v>3869</v>
      </c>
      <c r="BG165" s="51">
        <v>1</v>
      </c>
      <c r="BH165" s="51">
        <v>0</v>
      </c>
      <c r="BI165" s="52" t="s">
        <v>3285</v>
      </c>
      <c r="BJ165" s="41"/>
      <c r="BK165" s="41">
        <v>8588</v>
      </c>
      <c r="BL165" s="41">
        <v>5614</v>
      </c>
      <c r="BM165" s="51">
        <v>1</v>
      </c>
      <c r="BN165" s="51">
        <v>1</v>
      </c>
      <c r="BO165" s="52" t="s">
        <v>3285</v>
      </c>
      <c r="BP165" s="52" t="s">
        <v>3285</v>
      </c>
      <c r="BQ165" s="43"/>
      <c r="BR165" s="41">
        <v>-0.18440000000000001</v>
      </c>
      <c r="BS165" s="41">
        <v>-0.14180000000000001</v>
      </c>
      <c r="BT165" s="52" t="s">
        <v>3288</v>
      </c>
      <c r="BU165" s="52" t="s">
        <v>3288</v>
      </c>
      <c r="BV165" s="41"/>
      <c r="BW165" s="56">
        <v>2.6749999999999998</v>
      </c>
      <c r="BX165" s="57">
        <v>0.72599999999999998</v>
      </c>
      <c r="BY165" s="41"/>
    </row>
    <row r="166" spans="1:77" s="40" customFormat="1" ht="17" thickBot="1">
      <c r="A166" s="149">
        <v>2.15</v>
      </c>
      <c r="B166" s="142" t="s">
        <v>386</v>
      </c>
      <c r="C166" s="121" t="s">
        <v>464</v>
      </c>
      <c r="D166" s="134" t="s">
        <v>196</v>
      </c>
      <c r="E166" s="84" t="s">
        <v>196</v>
      </c>
      <c r="F166" s="40" t="s">
        <v>196</v>
      </c>
      <c r="G166" s="40" t="s">
        <v>899</v>
      </c>
      <c r="H166" s="40" t="s">
        <v>900</v>
      </c>
      <c r="I166" s="40" t="s">
        <v>3377</v>
      </c>
      <c r="J166" s="40" t="s">
        <v>3307</v>
      </c>
      <c r="K166" s="40" t="s">
        <v>196</v>
      </c>
      <c r="L166" s="40">
        <v>5</v>
      </c>
      <c r="N166" s="40" t="s">
        <v>3387</v>
      </c>
      <c r="O166" s="40" t="s">
        <v>196</v>
      </c>
      <c r="P166" s="40">
        <v>1</v>
      </c>
      <c r="R166" s="40" t="s">
        <v>3511</v>
      </c>
      <c r="S166" s="40" t="s">
        <v>196</v>
      </c>
      <c r="T166" s="40">
        <v>1</v>
      </c>
      <c r="V166" s="40" t="s">
        <v>1184</v>
      </c>
      <c r="W166" s="40" t="s">
        <v>1642</v>
      </c>
      <c r="X166" s="40" t="s">
        <v>1413</v>
      </c>
      <c r="Y166" s="40" t="s">
        <v>1696</v>
      </c>
      <c r="Z166" s="40">
        <v>10</v>
      </c>
      <c r="AA166" s="40">
        <v>96.7</v>
      </c>
      <c r="AB166" s="40">
        <v>9</v>
      </c>
      <c r="AC166" s="40" t="s">
        <v>1697</v>
      </c>
      <c r="AD166" s="40" t="s">
        <v>1698</v>
      </c>
      <c r="AE166" s="40" t="s">
        <v>1699</v>
      </c>
      <c r="AF166" s="40" t="s">
        <v>899</v>
      </c>
      <c r="AG166" s="40" t="s">
        <v>1700</v>
      </c>
      <c r="AH166" s="40" t="s">
        <v>2603</v>
      </c>
      <c r="AI166" s="40" t="s">
        <v>2452</v>
      </c>
      <c r="AJ166" s="40" t="s">
        <v>2648</v>
      </c>
      <c r="AK166" s="40">
        <v>9</v>
      </c>
      <c r="AL166" s="40">
        <v>98.5</v>
      </c>
      <c r="AM166" s="40">
        <v>4</v>
      </c>
      <c r="AN166" s="40" t="s">
        <v>2406</v>
      </c>
      <c r="AO166" s="40" t="s">
        <v>2649</v>
      </c>
      <c r="AP166" s="40" t="s">
        <v>2650</v>
      </c>
      <c r="AQ166" s="40" t="s">
        <v>900</v>
      </c>
      <c r="AR166" s="40" t="s">
        <v>2651</v>
      </c>
      <c r="AT166" s="85" t="s">
        <v>196</v>
      </c>
      <c r="AU166" s="35">
        <v>0.24260000000000001</v>
      </c>
      <c r="AV166" s="35"/>
      <c r="AW166" s="110">
        <v>3.2349999999999999</v>
      </c>
      <c r="AX166" s="110">
        <v>3.2290000000000001</v>
      </c>
      <c r="AY166" s="102">
        <v>3.5310000000000001</v>
      </c>
      <c r="AZ166" s="90">
        <v>0.16500000000000001</v>
      </c>
      <c r="BA166" s="37"/>
      <c r="BB166" s="90">
        <v>0.109</v>
      </c>
      <c r="BC166" s="90">
        <v>8.6999999999999994E-2</v>
      </c>
      <c r="BD166" s="37"/>
      <c r="BE166" s="35">
        <v>52621</v>
      </c>
      <c r="BF166" s="35">
        <v>2170</v>
      </c>
      <c r="BG166" s="93">
        <v>1</v>
      </c>
      <c r="BH166" s="93">
        <v>0</v>
      </c>
      <c r="BI166" s="94" t="s">
        <v>3285</v>
      </c>
      <c r="BJ166" s="35"/>
      <c r="BK166" s="35">
        <v>3041</v>
      </c>
      <c r="BL166" s="35">
        <v>2663</v>
      </c>
      <c r="BM166" s="93">
        <v>0</v>
      </c>
      <c r="BN166" s="93">
        <v>0</v>
      </c>
      <c r="BO166" s="94" t="s">
        <v>3289</v>
      </c>
      <c r="BP166" s="94" t="s">
        <v>3287</v>
      </c>
      <c r="BQ166" s="37"/>
      <c r="BR166" s="35">
        <v>-2.53E-2</v>
      </c>
      <c r="BS166" s="35">
        <v>-2.07E-2</v>
      </c>
      <c r="BT166" s="94" t="s">
        <v>3288</v>
      </c>
      <c r="BU166" s="94" t="s">
        <v>3288</v>
      </c>
      <c r="BV166" s="35"/>
      <c r="BW166" s="110">
        <v>3.3759999999999999</v>
      </c>
      <c r="BX166" s="92">
        <v>0.51600000000000001</v>
      </c>
      <c r="BY166" s="35"/>
    </row>
    <row r="167" spans="1:77">
      <c r="A167" s="148">
        <v>2.16</v>
      </c>
      <c r="B167" s="141" t="s">
        <v>387</v>
      </c>
      <c r="C167" s="86" t="s">
        <v>465</v>
      </c>
      <c r="D167" s="133" t="s">
        <v>201</v>
      </c>
      <c r="E167" s="80" t="s">
        <v>201</v>
      </c>
      <c r="F167" s="46" t="s">
        <v>201</v>
      </c>
      <c r="G167" s="46" t="s">
        <v>739</v>
      </c>
      <c r="H167" s="46" t="s">
        <v>740</v>
      </c>
      <c r="I167" s="46" t="s">
        <v>3377</v>
      </c>
      <c r="J167" s="46" t="s">
        <v>3349</v>
      </c>
      <c r="K167" s="46" t="s">
        <v>201</v>
      </c>
      <c r="L167" s="46">
        <v>5</v>
      </c>
      <c r="N167" s="46" t="s">
        <v>3440</v>
      </c>
      <c r="O167" s="46" t="s">
        <v>201</v>
      </c>
      <c r="P167" s="46">
        <v>2</v>
      </c>
      <c r="R167" s="46" t="s">
        <v>3572</v>
      </c>
      <c r="S167" s="46" t="s">
        <v>201</v>
      </c>
      <c r="T167" s="46">
        <v>2</v>
      </c>
      <c r="V167" s="46" t="s">
        <v>1190</v>
      </c>
      <c r="W167" s="46" t="s">
        <v>1529</v>
      </c>
      <c r="X167" s="46" t="s">
        <v>1428</v>
      </c>
      <c r="Y167" s="46" t="s">
        <v>1715</v>
      </c>
      <c r="Z167" s="46">
        <v>18</v>
      </c>
      <c r="AA167" s="46">
        <v>92.2</v>
      </c>
      <c r="AB167" s="46">
        <v>23</v>
      </c>
      <c r="AC167" s="46" t="s">
        <v>1449</v>
      </c>
      <c r="AD167" s="46" t="s">
        <v>1716</v>
      </c>
      <c r="AE167" s="46" t="s">
        <v>1717</v>
      </c>
      <c r="AF167" s="46" t="s">
        <v>739</v>
      </c>
      <c r="AG167" s="46" t="s">
        <v>1718</v>
      </c>
      <c r="AH167" s="46" t="s">
        <v>2475</v>
      </c>
      <c r="AI167" s="46" t="s">
        <v>2452</v>
      </c>
      <c r="AJ167" s="46" t="s">
        <v>2663</v>
      </c>
      <c r="AK167" s="46">
        <v>9</v>
      </c>
      <c r="AL167" s="46">
        <v>97.5</v>
      </c>
      <c r="AM167" s="46">
        <v>7</v>
      </c>
      <c r="AN167" s="46" t="s">
        <v>2406</v>
      </c>
      <c r="AO167" s="46" t="s">
        <v>2664</v>
      </c>
      <c r="AP167" s="46" t="s">
        <v>2665</v>
      </c>
      <c r="AQ167" s="46" t="s">
        <v>740</v>
      </c>
      <c r="AR167" s="46" t="s">
        <v>2666</v>
      </c>
      <c r="AT167" s="48" t="s">
        <v>201</v>
      </c>
      <c r="AU167" s="41">
        <v>0.19109999999999999</v>
      </c>
      <c r="AV167" s="41"/>
      <c r="AW167" s="55">
        <v>3.536</v>
      </c>
      <c r="AX167" s="55">
        <v>3.4390000000000001</v>
      </c>
      <c r="AY167" s="50">
        <v>0.127</v>
      </c>
      <c r="AZ167" s="50">
        <v>0.124</v>
      </c>
      <c r="BA167" s="43"/>
      <c r="BB167" s="55">
        <v>3.5339999999999998</v>
      </c>
      <c r="BC167" s="55">
        <v>2.4500000000000002</v>
      </c>
      <c r="BD167" s="43"/>
      <c r="BE167" s="41">
        <v>277025</v>
      </c>
      <c r="BF167" s="41">
        <v>107788</v>
      </c>
      <c r="BG167" s="51">
        <v>1</v>
      </c>
      <c r="BH167" s="51">
        <v>1</v>
      </c>
      <c r="BI167" s="52" t="s">
        <v>3285</v>
      </c>
      <c r="BJ167" s="41"/>
      <c r="BK167" s="41">
        <v>30099</v>
      </c>
      <c r="BL167" s="41">
        <v>4467.5</v>
      </c>
      <c r="BM167" s="51">
        <v>1</v>
      </c>
      <c r="BN167" s="51">
        <v>0</v>
      </c>
      <c r="BO167" s="52" t="s">
        <v>3285</v>
      </c>
      <c r="BP167" s="52" t="s">
        <v>3285</v>
      </c>
      <c r="BQ167" s="43"/>
      <c r="BR167" s="41">
        <v>1.7811999999999999</v>
      </c>
      <c r="BS167" s="41">
        <v>1.1698999999999999</v>
      </c>
      <c r="BT167" s="52" t="s">
        <v>3290</v>
      </c>
      <c r="BU167" s="52" t="s">
        <v>3290</v>
      </c>
      <c r="BV167" s="41"/>
      <c r="BW167" s="55">
        <v>3.4609999999999999</v>
      </c>
      <c r="BX167" s="60">
        <v>2.5129999999999999</v>
      </c>
      <c r="BY167" s="41"/>
    </row>
    <row r="168" spans="1:77">
      <c r="A168" s="148">
        <v>2.16</v>
      </c>
      <c r="B168" s="141" t="s">
        <v>387</v>
      </c>
      <c r="C168" s="86" t="s">
        <v>465</v>
      </c>
      <c r="D168" s="133" t="s">
        <v>202</v>
      </c>
      <c r="E168" s="80" t="s">
        <v>202</v>
      </c>
      <c r="F168" s="46" t="s">
        <v>202</v>
      </c>
      <c r="G168" s="46" t="s">
        <v>863</v>
      </c>
      <c r="H168" s="46" t="s">
        <v>864</v>
      </c>
      <c r="I168" s="46" t="s">
        <v>3377</v>
      </c>
      <c r="J168" s="46" t="s">
        <v>3349</v>
      </c>
      <c r="K168" s="46" t="s">
        <v>202</v>
      </c>
      <c r="L168" s="46">
        <v>5</v>
      </c>
      <c r="N168" s="46" t="s">
        <v>3450</v>
      </c>
      <c r="O168" s="46" t="s">
        <v>202</v>
      </c>
      <c r="P168" s="46">
        <v>2</v>
      </c>
      <c r="R168" s="46" t="s">
        <v>3582</v>
      </c>
      <c r="S168" s="46" t="s">
        <v>202</v>
      </c>
      <c r="T168" s="46">
        <v>2</v>
      </c>
      <c r="V168" s="46" t="s">
        <v>1191</v>
      </c>
      <c r="W168" s="46" t="s">
        <v>1529</v>
      </c>
      <c r="X168" s="46" t="s">
        <v>1428</v>
      </c>
      <c r="Y168" s="46" t="s">
        <v>1719</v>
      </c>
      <c r="Z168" s="46">
        <v>18</v>
      </c>
      <c r="AA168" s="46">
        <v>93.9</v>
      </c>
      <c r="AB168" s="46">
        <v>18</v>
      </c>
      <c r="AC168" s="46" t="s">
        <v>1617</v>
      </c>
      <c r="AD168" s="46" t="s">
        <v>1720</v>
      </c>
      <c r="AE168" s="46" t="s">
        <v>1721</v>
      </c>
      <c r="AF168" s="46" t="s">
        <v>863</v>
      </c>
      <c r="AG168" s="46" t="s">
        <v>1722</v>
      </c>
      <c r="AH168" s="46" t="s">
        <v>2475</v>
      </c>
      <c r="AI168" s="46" t="s">
        <v>2452</v>
      </c>
      <c r="AJ168" s="46" t="s">
        <v>2667</v>
      </c>
      <c r="AK168" s="46">
        <v>9</v>
      </c>
      <c r="AL168" s="46">
        <v>92.6</v>
      </c>
      <c r="AM168" s="46">
        <v>21</v>
      </c>
      <c r="AN168" s="46" t="s">
        <v>2406</v>
      </c>
      <c r="AO168" s="46" t="s">
        <v>2668</v>
      </c>
      <c r="AP168" s="46" t="s">
        <v>2669</v>
      </c>
      <c r="AQ168" s="46" t="s">
        <v>864</v>
      </c>
      <c r="AR168" s="46" t="s">
        <v>2670</v>
      </c>
      <c r="AT168" s="48" t="s">
        <v>202</v>
      </c>
      <c r="AU168" s="41">
        <v>0.20130000000000001</v>
      </c>
      <c r="AV168" s="41"/>
      <c r="AW168" s="49">
        <v>3.4340000000000002</v>
      </c>
      <c r="AX168" s="58">
        <v>3.004</v>
      </c>
      <c r="AY168" s="50">
        <v>0.14099999999999999</v>
      </c>
      <c r="AZ168" s="50">
        <v>0.14699999999999999</v>
      </c>
      <c r="BA168" s="43"/>
      <c r="BB168" s="55">
        <v>3.5630000000000002</v>
      </c>
      <c r="BC168" s="55">
        <v>2.4159999999999999</v>
      </c>
      <c r="BD168" s="43"/>
      <c r="BE168" s="41">
        <v>93709</v>
      </c>
      <c r="BF168" s="41">
        <v>111493</v>
      </c>
      <c r="BG168" s="51">
        <v>1</v>
      </c>
      <c r="BH168" s="51">
        <v>1</v>
      </c>
      <c r="BI168" s="52" t="s">
        <v>3289</v>
      </c>
      <c r="BJ168" s="41"/>
      <c r="BK168" s="41">
        <v>4350</v>
      </c>
      <c r="BL168" s="41">
        <v>31923.5</v>
      </c>
      <c r="BM168" s="51">
        <v>0</v>
      </c>
      <c r="BN168" s="51">
        <v>1</v>
      </c>
      <c r="BO168" s="52" t="s">
        <v>3286</v>
      </c>
      <c r="BP168" s="52" t="s">
        <v>3287</v>
      </c>
      <c r="BQ168" s="43"/>
      <c r="BR168" s="41">
        <v>2.4744999999999999</v>
      </c>
      <c r="BS168" s="41">
        <v>-1.77E-2</v>
      </c>
      <c r="BT168" s="52" t="s">
        <v>3290</v>
      </c>
      <c r="BU168" s="52" t="s">
        <v>3288</v>
      </c>
      <c r="BV168" s="41"/>
      <c r="BW168" s="55">
        <v>3.5</v>
      </c>
      <c r="BX168" s="49">
        <v>3.157</v>
      </c>
      <c r="BY168" s="41"/>
    </row>
    <row r="169" spans="1:77">
      <c r="A169" s="148">
        <v>2.16</v>
      </c>
      <c r="B169" s="141" t="s">
        <v>387</v>
      </c>
      <c r="C169" s="86" t="s">
        <v>465</v>
      </c>
      <c r="D169" s="133" t="s">
        <v>203</v>
      </c>
      <c r="E169" s="80" t="s">
        <v>203</v>
      </c>
      <c r="F169" s="46" t="s">
        <v>203</v>
      </c>
      <c r="G169" s="46" t="s">
        <v>650</v>
      </c>
      <c r="H169" s="46" t="s">
        <v>651</v>
      </c>
      <c r="I169" s="46" t="s">
        <v>3377</v>
      </c>
      <c r="J169" s="46" t="s">
        <v>3349</v>
      </c>
      <c r="K169" s="46" t="s">
        <v>203</v>
      </c>
      <c r="L169" s="46">
        <v>5</v>
      </c>
      <c r="N169" s="46" t="s">
        <v>3440</v>
      </c>
      <c r="O169" s="46" t="s">
        <v>203</v>
      </c>
      <c r="P169" s="46">
        <v>2</v>
      </c>
      <c r="R169" s="46" t="s">
        <v>3572</v>
      </c>
      <c r="S169" s="46" t="s">
        <v>203</v>
      </c>
      <c r="T169" s="46">
        <v>2</v>
      </c>
      <c r="V169" s="46" t="s">
        <v>1192</v>
      </c>
      <c r="W169" s="46" t="s">
        <v>1529</v>
      </c>
      <c r="X169" s="46" t="s">
        <v>1428</v>
      </c>
      <c r="Y169" s="46" t="s">
        <v>1723</v>
      </c>
      <c r="Z169" s="46">
        <v>18</v>
      </c>
      <c r="AA169" s="46">
        <v>94.6</v>
      </c>
      <c r="AB169" s="46">
        <v>16</v>
      </c>
      <c r="AC169" s="46" t="s">
        <v>1627</v>
      </c>
      <c r="AD169" s="46" t="s">
        <v>1724</v>
      </c>
      <c r="AE169" s="46" t="s">
        <v>650</v>
      </c>
      <c r="AF169" s="46" t="s">
        <v>650</v>
      </c>
      <c r="AG169" s="46" t="s">
        <v>1725</v>
      </c>
      <c r="AH169" s="46" t="s">
        <v>2475</v>
      </c>
      <c r="AI169" s="46" t="s">
        <v>2452</v>
      </c>
      <c r="AJ169" s="46" t="s">
        <v>2671</v>
      </c>
      <c r="AK169" s="46">
        <v>9</v>
      </c>
      <c r="AL169" s="46">
        <v>96.8</v>
      </c>
      <c r="AM169" s="46">
        <v>9</v>
      </c>
      <c r="AN169" s="46" t="s">
        <v>2406</v>
      </c>
      <c r="AO169" s="46" t="s">
        <v>2672</v>
      </c>
      <c r="AP169" s="46" t="s">
        <v>651</v>
      </c>
      <c r="AQ169" s="46" t="s">
        <v>651</v>
      </c>
      <c r="AR169" s="46" t="s">
        <v>2673</v>
      </c>
      <c r="AT169" s="48" t="s">
        <v>203</v>
      </c>
      <c r="AU169" s="41">
        <v>0.1973</v>
      </c>
      <c r="AV169" s="41"/>
      <c r="AW169" s="61">
        <v>3.6459999999999999</v>
      </c>
      <c r="AX169" s="61">
        <v>3.593</v>
      </c>
      <c r="AY169" s="63">
        <v>0.114</v>
      </c>
      <c r="AZ169" s="63">
        <v>0.13200000000000001</v>
      </c>
      <c r="BA169" s="42"/>
      <c r="BB169" s="55">
        <v>3.552</v>
      </c>
      <c r="BC169" s="55">
        <v>2.56</v>
      </c>
      <c r="BD169" s="43"/>
      <c r="BE169" s="41">
        <v>130597.5</v>
      </c>
      <c r="BF169" s="41">
        <v>96029</v>
      </c>
      <c r="BG169" s="51">
        <v>1</v>
      </c>
      <c r="BH169" s="51">
        <v>1</v>
      </c>
      <c r="BI169" s="52" t="s">
        <v>3285</v>
      </c>
      <c r="BJ169" s="41"/>
      <c r="BK169" s="41">
        <v>100292.5</v>
      </c>
      <c r="BL169" s="41">
        <v>13694</v>
      </c>
      <c r="BM169" s="51">
        <v>1</v>
      </c>
      <c r="BN169" s="51">
        <v>1</v>
      </c>
      <c r="BO169" s="52" t="s">
        <v>3285</v>
      </c>
      <c r="BP169" s="52" t="s">
        <v>3285</v>
      </c>
      <c r="BQ169" s="43"/>
      <c r="BR169" s="41">
        <v>2.0722</v>
      </c>
      <c r="BS169" s="41">
        <v>0.55189999999999995</v>
      </c>
      <c r="BT169" s="52" t="s">
        <v>3290</v>
      </c>
      <c r="BU169" s="52" t="s">
        <v>3290</v>
      </c>
      <c r="BV169" s="41"/>
      <c r="BW169" s="55">
        <v>3.5350000000000001</v>
      </c>
      <c r="BX169" s="60">
        <v>2.5390000000000001</v>
      </c>
      <c r="BY169" s="41"/>
    </row>
    <row r="170" spans="1:77">
      <c r="A170" s="148">
        <v>2.16</v>
      </c>
      <c r="B170" s="141" t="s">
        <v>387</v>
      </c>
      <c r="C170" s="86" t="s">
        <v>465</v>
      </c>
      <c r="D170" s="133" t="s">
        <v>204</v>
      </c>
      <c r="E170" s="80" t="s">
        <v>204</v>
      </c>
      <c r="F170" s="46" t="s">
        <v>204</v>
      </c>
      <c r="G170" s="46" t="s">
        <v>692</v>
      </c>
      <c r="H170" s="46" t="s">
        <v>693</v>
      </c>
      <c r="I170" s="46" t="s">
        <v>3377</v>
      </c>
      <c r="J170" s="46" t="s">
        <v>3349</v>
      </c>
      <c r="K170" s="46" t="s">
        <v>204</v>
      </c>
      <c r="L170" s="46">
        <v>5</v>
      </c>
      <c r="N170" s="46" t="s">
        <v>3450</v>
      </c>
      <c r="O170" s="46" t="s">
        <v>204</v>
      </c>
      <c r="P170" s="46">
        <v>2</v>
      </c>
      <c r="R170" s="46" t="s">
        <v>3582</v>
      </c>
      <c r="S170" s="46" t="s">
        <v>204</v>
      </c>
      <c r="T170" s="46">
        <v>2</v>
      </c>
      <c r="V170" s="46" t="s">
        <v>1193</v>
      </c>
      <c r="W170" s="46" t="s">
        <v>1529</v>
      </c>
      <c r="X170" s="46" t="s">
        <v>1428</v>
      </c>
      <c r="Y170" s="46" t="s">
        <v>1719</v>
      </c>
      <c r="Z170" s="46">
        <v>18</v>
      </c>
      <c r="AA170" s="46">
        <v>94.2</v>
      </c>
      <c r="AB170" s="46">
        <v>17</v>
      </c>
      <c r="AC170" s="46" t="s">
        <v>1617</v>
      </c>
      <c r="AD170" s="46" t="s">
        <v>1720</v>
      </c>
      <c r="AE170" s="46" t="s">
        <v>692</v>
      </c>
      <c r="AF170" s="46" t="s">
        <v>692</v>
      </c>
      <c r="AG170" s="46" t="s">
        <v>1722</v>
      </c>
      <c r="AH170" s="46" t="s">
        <v>2475</v>
      </c>
      <c r="AI170" s="46" t="s">
        <v>2452</v>
      </c>
      <c r="AJ170" s="46" t="s">
        <v>2667</v>
      </c>
      <c r="AK170" s="46">
        <v>9</v>
      </c>
      <c r="AL170" s="46">
        <v>93.3</v>
      </c>
      <c r="AM170" s="46">
        <v>19</v>
      </c>
      <c r="AN170" s="46" t="s">
        <v>2406</v>
      </c>
      <c r="AO170" s="46" t="s">
        <v>2668</v>
      </c>
      <c r="AP170" s="46" t="s">
        <v>693</v>
      </c>
      <c r="AQ170" s="46" t="s">
        <v>693</v>
      </c>
      <c r="AR170" s="46" t="s">
        <v>2674</v>
      </c>
      <c r="AT170" s="48" t="s">
        <v>204</v>
      </c>
      <c r="AU170" s="41">
        <v>0.1603</v>
      </c>
      <c r="AV170" s="41"/>
      <c r="AW170" s="61">
        <v>3.6070000000000002</v>
      </c>
      <c r="AX170" s="71">
        <v>3.3029999999999999</v>
      </c>
      <c r="AY170" s="63">
        <v>0.11799999999999999</v>
      </c>
      <c r="AZ170" s="63">
        <v>0.14299999999999999</v>
      </c>
      <c r="BA170" s="42"/>
      <c r="BB170" s="55">
        <v>3.5070000000000001</v>
      </c>
      <c r="BC170" s="55">
        <v>2.5750000000000002</v>
      </c>
      <c r="BD170" s="43"/>
      <c r="BE170" s="41">
        <v>87289.5</v>
      </c>
      <c r="BF170" s="41">
        <v>101070</v>
      </c>
      <c r="BG170" s="51">
        <v>1</v>
      </c>
      <c r="BH170" s="51">
        <v>1</v>
      </c>
      <c r="BI170" s="52" t="s">
        <v>3289</v>
      </c>
      <c r="BJ170" s="41"/>
      <c r="BK170" s="41">
        <v>32861</v>
      </c>
      <c r="BL170" s="41">
        <v>1480</v>
      </c>
      <c r="BM170" s="51">
        <v>1</v>
      </c>
      <c r="BN170" s="51">
        <v>0</v>
      </c>
      <c r="BO170" s="52" t="s">
        <v>3285</v>
      </c>
      <c r="BP170" s="52" t="s">
        <v>3287</v>
      </c>
      <c r="BQ170" s="43"/>
      <c r="BR170" s="41">
        <v>2.2521</v>
      </c>
      <c r="BS170" s="41">
        <v>2.1185999999999998</v>
      </c>
      <c r="BT170" s="52" t="s">
        <v>3290</v>
      </c>
      <c r="BU170" s="52" t="s">
        <v>3290</v>
      </c>
      <c r="BV170" s="41"/>
      <c r="BW170" s="55">
        <v>3.5259999999999998</v>
      </c>
      <c r="BX170" s="58">
        <v>2.883</v>
      </c>
      <c r="BY170" s="41"/>
    </row>
    <row r="171" spans="1:77" ht="17" thickBot="1">
      <c r="A171" s="148">
        <v>2.16</v>
      </c>
      <c r="B171" s="141" t="s">
        <v>387</v>
      </c>
      <c r="C171" s="86" t="s">
        <v>465</v>
      </c>
      <c r="D171" s="133" t="s">
        <v>205</v>
      </c>
      <c r="E171" s="80" t="s">
        <v>205</v>
      </c>
      <c r="F171" s="46" t="s">
        <v>205</v>
      </c>
      <c r="G171" s="46" t="s">
        <v>955</v>
      </c>
      <c r="H171" s="46" t="s">
        <v>956</v>
      </c>
      <c r="I171" s="46" t="s">
        <v>3377</v>
      </c>
      <c r="J171" s="46" t="s">
        <v>3349</v>
      </c>
      <c r="K171" s="46" t="s">
        <v>205</v>
      </c>
      <c r="L171" s="46">
        <v>5</v>
      </c>
      <c r="N171" s="46" t="s">
        <v>3481</v>
      </c>
      <c r="O171" s="46" t="s">
        <v>205</v>
      </c>
      <c r="P171" s="46">
        <v>1</v>
      </c>
      <c r="R171" s="46" t="s">
        <v>3624</v>
      </c>
      <c r="S171" s="46" t="s">
        <v>205</v>
      </c>
      <c r="T171" s="46">
        <v>1</v>
      </c>
      <c r="V171" s="46" t="s">
        <v>1194</v>
      </c>
      <c r="W171" s="46" t="s">
        <v>1529</v>
      </c>
      <c r="X171" s="46" t="s">
        <v>1428</v>
      </c>
      <c r="Y171" s="46" t="s">
        <v>1726</v>
      </c>
      <c r="Z171" s="46">
        <v>18</v>
      </c>
      <c r="AA171" s="46">
        <v>95.9</v>
      </c>
      <c r="AB171" s="46">
        <v>12</v>
      </c>
      <c r="AC171" s="46" t="s">
        <v>1449</v>
      </c>
      <c r="AD171" s="46" t="s">
        <v>1727</v>
      </c>
      <c r="AE171" s="46" t="s">
        <v>955</v>
      </c>
      <c r="AF171" s="46" t="s">
        <v>955</v>
      </c>
      <c r="AG171" s="46" t="s">
        <v>1728</v>
      </c>
      <c r="AH171" s="46" t="s">
        <v>2475</v>
      </c>
      <c r="AI171" s="46" t="s">
        <v>2452</v>
      </c>
      <c r="AJ171" s="46" t="s">
        <v>2675</v>
      </c>
      <c r="AK171" s="46">
        <v>9</v>
      </c>
      <c r="AL171" s="46">
        <v>93.7</v>
      </c>
      <c r="AM171" s="46">
        <v>18</v>
      </c>
      <c r="AN171" s="46" t="s">
        <v>2406</v>
      </c>
      <c r="AO171" s="46" t="s">
        <v>2676</v>
      </c>
      <c r="AP171" s="46" t="s">
        <v>956</v>
      </c>
      <c r="AQ171" s="46" t="s">
        <v>956</v>
      </c>
      <c r="AR171" s="46" t="s">
        <v>2677</v>
      </c>
      <c r="AT171" s="48" t="s">
        <v>205</v>
      </c>
      <c r="AU171" s="41">
        <v>0.13880000000000001</v>
      </c>
      <c r="AV171" s="41"/>
      <c r="AW171" s="55">
        <v>3.5720000000000001</v>
      </c>
      <c r="AX171" s="50">
        <v>0.18099999999999999</v>
      </c>
      <c r="AY171" s="50">
        <v>0.11700000000000001</v>
      </c>
      <c r="AZ171" s="50">
        <v>0.11600000000000001</v>
      </c>
      <c r="BA171" s="43"/>
      <c r="BB171" s="55">
        <v>3.51</v>
      </c>
      <c r="BC171" s="49">
        <v>2.3479999999999999</v>
      </c>
      <c r="BD171" s="43"/>
      <c r="BE171" s="41">
        <v>247508</v>
      </c>
      <c r="BF171" s="41">
        <v>211461</v>
      </c>
      <c r="BG171" s="51">
        <v>1</v>
      </c>
      <c r="BH171" s="51">
        <v>1</v>
      </c>
      <c r="BI171" s="52" t="s">
        <v>3289</v>
      </c>
      <c r="BJ171" s="41"/>
      <c r="BK171" s="41">
        <v>52201</v>
      </c>
      <c r="BL171" s="41">
        <v>4520</v>
      </c>
      <c r="BM171" s="51">
        <v>1</v>
      </c>
      <c r="BN171" s="51">
        <v>0</v>
      </c>
      <c r="BO171" s="52" t="s">
        <v>3285</v>
      </c>
      <c r="BP171" s="52" t="s">
        <v>3287</v>
      </c>
      <c r="BQ171" s="43"/>
      <c r="BR171" s="41">
        <v>2.2873999999999999</v>
      </c>
      <c r="BS171" s="41">
        <v>1.7754000000000001</v>
      </c>
      <c r="BT171" s="52" t="s">
        <v>3290</v>
      </c>
      <c r="BU171" s="52" t="s">
        <v>3290</v>
      </c>
      <c r="BV171" s="41"/>
      <c r="BW171" s="55">
        <v>3.4950000000000001</v>
      </c>
      <c r="BX171" s="56">
        <v>2.706</v>
      </c>
      <c r="BY171" s="41"/>
    </row>
    <row r="172" spans="1:77" s="81" customFormat="1">
      <c r="A172" s="147">
        <v>2.17</v>
      </c>
      <c r="B172" s="140" t="s">
        <v>361</v>
      </c>
      <c r="C172" s="120" t="s">
        <v>439</v>
      </c>
      <c r="D172" s="132" t="s">
        <v>68</v>
      </c>
      <c r="E172" s="82" t="s">
        <v>68</v>
      </c>
      <c r="F172" s="81" t="s">
        <v>68</v>
      </c>
      <c r="G172" s="81" t="s">
        <v>919</v>
      </c>
      <c r="H172" s="81" t="s">
        <v>920</v>
      </c>
      <c r="I172" s="81" t="s">
        <v>3377</v>
      </c>
      <c r="J172" s="81" t="s">
        <v>3316</v>
      </c>
      <c r="K172" s="81" t="s">
        <v>68</v>
      </c>
      <c r="L172" s="81">
        <v>5</v>
      </c>
      <c r="N172" s="81" t="s">
        <v>3396</v>
      </c>
      <c r="O172" s="81" t="s">
        <v>68</v>
      </c>
      <c r="P172" s="81">
        <v>4</v>
      </c>
      <c r="R172" s="81" t="s">
        <v>3316</v>
      </c>
      <c r="S172" s="81" t="s">
        <v>68</v>
      </c>
      <c r="T172" s="81">
        <v>2</v>
      </c>
      <c r="V172" s="81" t="s">
        <v>1364</v>
      </c>
      <c r="W172" s="81" t="s">
        <v>2271</v>
      </c>
      <c r="X172" s="81" t="s">
        <v>1428</v>
      </c>
      <c r="Y172" s="81" t="s">
        <v>2272</v>
      </c>
      <c r="Z172" s="81">
        <v>13</v>
      </c>
      <c r="AA172" s="81">
        <v>99.3</v>
      </c>
      <c r="AB172" s="81">
        <v>2</v>
      </c>
      <c r="AC172" s="81" t="s">
        <v>2117</v>
      </c>
      <c r="AD172" s="81" t="s">
        <v>2273</v>
      </c>
      <c r="AE172" s="81" t="s">
        <v>2274</v>
      </c>
      <c r="AF172" s="81" t="s">
        <v>919</v>
      </c>
      <c r="AG172" s="81" t="s">
        <v>2275</v>
      </c>
      <c r="AH172" s="81" t="s">
        <v>2841</v>
      </c>
      <c r="AI172" s="81" t="s">
        <v>2404</v>
      </c>
      <c r="AJ172" s="81" t="s">
        <v>3154</v>
      </c>
      <c r="AK172" s="81">
        <v>9</v>
      </c>
      <c r="AL172" s="81">
        <v>98.9</v>
      </c>
      <c r="AM172" s="81">
        <v>3</v>
      </c>
      <c r="AN172" s="81" t="s">
        <v>2406</v>
      </c>
      <c r="AO172" s="81" t="s">
        <v>3155</v>
      </c>
      <c r="AP172" s="81" t="s">
        <v>3156</v>
      </c>
      <c r="AQ172" s="81" t="s">
        <v>920</v>
      </c>
      <c r="AR172" s="81" t="s">
        <v>3157</v>
      </c>
      <c r="AT172" s="83" t="s">
        <v>68</v>
      </c>
      <c r="AU172" s="33">
        <v>0.218</v>
      </c>
      <c r="AV172" s="33"/>
      <c r="AW172" s="100">
        <v>3.5350000000000001</v>
      </c>
      <c r="AX172" s="100">
        <v>3.5070000000000001</v>
      </c>
      <c r="AY172" s="100">
        <v>3.621</v>
      </c>
      <c r="AZ172" s="104">
        <v>0.56499999999999995</v>
      </c>
      <c r="BA172" s="34"/>
      <c r="BB172" s="87">
        <v>0.09</v>
      </c>
      <c r="BC172" s="87">
        <v>8.2000000000000003E-2</v>
      </c>
      <c r="BD172" s="34"/>
      <c r="BE172" s="33">
        <v>44408</v>
      </c>
      <c r="BF172" s="33">
        <v>2166.5</v>
      </c>
      <c r="BG172" s="88">
        <v>1</v>
      </c>
      <c r="BH172" s="88">
        <v>0</v>
      </c>
      <c r="BI172" s="89" t="s">
        <v>3285</v>
      </c>
      <c r="BJ172" s="33"/>
      <c r="BK172" s="33">
        <v>2785</v>
      </c>
      <c r="BL172" s="33">
        <v>2830</v>
      </c>
      <c r="BM172" s="88">
        <v>0</v>
      </c>
      <c r="BN172" s="88">
        <v>0</v>
      </c>
      <c r="BO172" s="89" t="s">
        <v>3289</v>
      </c>
      <c r="BP172" s="89" t="s">
        <v>3287</v>
      </c>
      <c r="BQ172" s="34"/>
      <c r="BR172" s="33">
        <v>-2.53E-2</v>
      </c>
      <c r="BS172" s="33">
        <v>-1.2500000000000001E-2</v>
      </c>
      <c r="BT172" s="89" t="s">
        <v>3288</v>
      </c>
      <c r="BU172" s="89" t="s">
        <v>3288</v>
      </c>
      <c r="BV172" s="33"/>
      <c r="BW172" s="101">
        <v>2.6949999999999998</v>
      </c>
      <c r="BX172" s="116">
        <v>0.85399999999999998</v>
      </c>
      <c r="BY172" s="33"/>
    </row>
    <row r="173" spans="1:77">
      <c r="A173" s="148">
        <v>2.17</v>
      </c>
      <c r="B173" s="141" t="s">
        <v>361</v>
      </c>
      <c r="C173" s="86" t="s">
        <v>439</v>
      </c>
      <c r="D173" s="133" t="s">
        <v>70</v>
      </c>
      <c r="E173" s="80" t="s">
        <v>70</v>
      </c>
      <c r="F173" s="46" t="s">
        <v>70</v>
      </c>
      <c r="G173" s="46" t="s">
        <v>853</v>
      </c>
      <c r="H173" s="46" t="s">
        <v>854</v>
      </c>
      <c r="I173" s="46" t="s">
        <v>3377</v>
      </c>
      <c r="J173" s="46" t="s">
        <v>3316</v>
      </c>
      <c r="K173" s="46" t="s">
        <v>70</v>
      </c>
      <c r="L173" s="46">
        <v>5</v>
      </c>
      <c r="N173" s="46" t="s">
        <v>3396</v>
      </c>
      <c r="O173" s="46" t="s">
        <v>70</v>
      </c>
      <c r="P173" s="46">
        <v>4</v>
      </c>
      <c r="R173" s="46" t="s">
        <v>3316</v>
      </c>
      <c r="S173" s="46" t="s">
        <v>70</v>
      </c>
      <c r="T173" s="46">
        <v>2</v>
      </c>
      <c r="V173" s="46" t="s">
        <v>1366</v>
      </c>
      <c r="W173" s="46" t="s">
        <v>2271</v>
      </c>
      <c r="X173" s="46" t="s">
        <v>1428</v>
      </c>
      <c r="Y173" s="46" t="s">
        <v>2280</v>
      </c>
      <c r="Z173" s="46">
        <v>13</v>
      </c>
      <c r="AA173" s="46">
        <v>95.2</v>
      </c>
      <c r="AB173" s="46">
        <v>14</v>
      </c>
      <c r="AC173" s="46" t="s">
        <v>1454</v>
      </c>
      <c r="AD173" s="46" t="s">
        <v>2281</v>
      </c>
      <c r="AE173" s="46" t="s">
        <v>2282</v>
      </c>
      <c r="AF173" s="46" t="s">
        <v>853</v>
      </c>
      <c r="AG173" s="46" t="s">
        <v>2283</v>
      </c>
      <c r="AH173" s="46" t="s">
        <v>2841</v>
      </c>
      <c r="AI173" s="46" t="s">
        <v>2404</v>
      </c>
      <c r="AJ173" s="46" t="s">
        <v>3158</v>
      </c>
      <c r="AK173" s="46">
        <v>9</v>
      </c>
      <c r="AL173" s="46">
        <v>97.2</v>
      </c>
      <c r="AM173" s="46">
        <v>8</v>
      </c>
      <c r="AN173" s="46" t="s">
        <v>2406</v>
      </c>
      <c r="AO173" s="46" t="s">
        <v>3162</v>
      </c>
      <c r="AP173" s="46" t="s">
        <v>3163</v>
      </c>
      <c r="AQ173" s="46" t="s">
        <v>854</v>
      </c>
      <c r="AR173" s="46" t="s">
        <v>3164</v>
      </c>
      <c r="AT173" s="48" t="s">
        <v>70</v>
      </c>
      <c r="AU173" s="41">
        <v>9.9040000000000003E-2</v>
      </c>
      <c r="AV173" s="41"/>
      <c r="AW173" s="55">
        <v>3.4940000000000002</v>
      </c>
      <c r="AX173" s="55">
        <v>3.4569999999999999</v>
      </c>
      <c r="AY173" s="55">
        <v>3.5310000000000001</v>
      </c>
      <c r="AZ173" s="57">
        <v>0.76400000000000001</v>
      </c>
      <c r="BA173" s="43"/>
      <c r="BB173" s="50">
        <v>0.113</v>
      </c>
      <c r="BC173" s="50">
        <v>9.0999999999999998E-2</v>
      </c>
      <c r="BD173" s="43"/>
      <c r="BE173" s="41">
        <v>21377</v>
      </c>
      <c r="BF173" s="41">
        <v>1988</v>
      </c>
      <c r="BG173" s="51">
        <v>1</v>
      </c>
      <c r="BH173" s="51">
        <v>0</v>
      </c>
      <c r="BI173" s="52" t="s">
        <v>3285</v>
      </c>
      <c r="BJ173" s="41"/>
      <c r="BK173" s="41">
        <v>3860</v>
      </c>
      <c r="BL173" s="41">
        <v>3341</v>
      </c>
      <c r="BM173" s="51">
        <v>0</v>
      </c>
      <c r="BN173" s="51">
        <v>0</v>
      </c>
      <c r="BO173" s="52" t="s">
        <v>3289</v>
      </c>
      <c r="BP173" s="52" t="s">
        <v>3287</v>
      </c>
      <c r="BQ173" s="43"/>
      <c r="BR173" s="41">
        <v>-1.29E-2</v>
      </c>
      <c r="BS173" s="41">
        <v>-1.1599999999999999E-2</v>
      </c>
      <c r="BT173" s="52" t="s">
        <v>3288</v>
      </c>
      <c r="BU173" s="52" t="s">
        <v>3288</v>
      </c>
      <c r="BV173" s="41"/>
      <c r="BW173" s="58">
        <v>2.9620000000000002</v>
      </c>
      <c r="BX173" s="59">
        <v>0.94199999999999995</v>
      </c>
      <c r="BY173" s="41"/>
    </row>
    <row r="174" spans="1:77">
      <c r="A174" s="148">
        <v>2.17</v>
      </c>
      <c r="B174" s="141" t="s">
        <v>361</v>
      </c>
      <c r="C174" s="86" t="s">
        <v>439</v>
      </c>
      <c r="D174" s="133" t="s">
        <v>71</v>
      </c>
      <c r="E174" s="80" t="s">
        <v>71</v>
      </c>
      <c r="F174" s="46" t="s">
        <v>71</v>
      </c>
      <c r="G174" s="46" t="s">
        <v>543</v>
      </c>
      <c r="H174" s="46" t="s">
        <v>544</v>
      </c>
      <c r="I174" s="46" t="s">
        <v>3377</v>
      </c>
      <c r="J174" s="46" t="s">
        <v>3316</v>
      </c>
      <c r="K174" s="46" t="s">
        <v>71</v>
      </c>
      <c r="L174" s="46">
        <v>5</v>
      </c>
      <c r="N174" s="46" t="s">
        <v>3396</v>
      </c>
      <c r="O174" s="46" t="s">
        <v>71</v>
      </c>
      <c r="P174" s="46">
        <v>4</v>
      </c>
      <c r="R174" s="46" t="s">
        <v>3541</v>
      </c>
      <c r="S174" s="46" t="s">
        <v>71</v>
      </c>
      <c r="T174" s="46">
        <v>1</v>
      </c>
      <c r="V174" s="46" t="s">
        <v>1367</v>
      </c>
      <c r="W174" s="46" t="s">
        <v>2271</v>
      </c>
      <c r="X174" s="46" t="s">
        <v>1428</v>
      </c>
      <c r="Y174" s="46" t="s">
        <v>2284</v>
      </c>
      <c r="Z174" s="46">
        <v>13</v>
      </c>
      <c r="AA174" s="46">
        <v>96.2</v>
      </c>
      <c r="AB174" s="46">
        <v>11</v>
      </c>
      <c r="AC174" s="46" t="s">
        <v>1679</v>
      </c>
      <c r="AD174" s="46" t="s">
        <v>2285</v>
      </c>
      <c r="AE174" s="46" t="s">
        <v>543</v>
      </c>
      <c r="AF174" s="46" t="s">
        <v>543</v>
      </c>
      <c r="AG174" s="46" t="s">
        <v>2286</v>
      </c>
      <c r="AH174" s="46" t="s">
        <v>2841</v>
      </c>
      <c r="AI174" s="46" t="s">
        <v>2404</v>
      </c>
      <c r="AJ174" s="46" t="s">
        <v>3154</v>
      </c>
      <c r="AK174" s="46">
        <v>9</v>
      </c>
      <c r="AL174" s="46">
        <v>97.2</v>
      </c>
      <c r="AM174" s="46">
        <v>8</v>
      </c>
      <c r="AN174" s="46" t="s">
        <v>2406</v>
      </c>
      <c r="AO174" s="46" t="s">
        <v>3165</v>
      </c>
      <c r="AP174" s="46" t="s">
        <v>3166</v>
      </c>
      <c r="AQ174" s="46" t="s">
        <v>544</v>
      </c>
      <c r="AR174" s="46" t="s">
        <v>3167</v>
      </c>
      <c r="AT174" s="48" t="s">
        <v>71</v>
      </c>
      <c r="AU174" s="41">
        <v>7.4429999999999996E-2</v>
      </c>
      <c r="AV174" s="41"/>
      <c r="AW174" s="55">
        <v>3.5680000000000001</v>
      </c>
      <c r="AX174" s="55">
        <v>3.5609999999999999</v>
      </c>
      <c r="AY174" s="55">
        <v>3.5859999999999999</v>
      </c>
      <c r="AZ174" s="68">
        <v>1.407</v>
      </c>
      <c r="BA174" s="43"/>
      <c r="BB174" s="50">
        <v>0.10299999999999999</v>
      </c>
      <c r="BC174" s="50">
        <v>8.4000000000000005E-2</v>
      </c>
      <c r="BD174" s="43"/>
      <c r="BE174" s="41">
        <v>28695</v>
      </c>
      <c r="BF174" s="41">
        <v>1822</v>
      </c>
      <c r="BG174" s="51">
        <v>1</v>
      </c>
      <c r="BH174" s="51">
        <v>0</v>
      </c>
      <c r="BI174" s="52" t="s">
        <v>3285</v>
      </c>
      <c r="BJ174" s="41"/>
      <c r="BK174" s="41">
        <v>3612</v>
      </c>
      <c r="BL174" s="41">
        <v>2609</v>
      </c>
      <c r="BM174" s="51">
        <v>0</v>
      </c>
      <c r="BN174" s="51">
        <v>0</v>
      </c>
      <c r="BO174" s="52" t="s">
        <v>3285</v>
      </c>
      <c r="BP174" s="52" t="s">
        <v>3285</v>
      </c>
      <c r="BQ174" s="43"/>
      <c r="BR174" s="41">
        <v>-8.2699999999999996E-2</v>
      </c>
      <c r="BS174" s="41">
        <v>-1.46E-2</v>
      </c>
      <c r="BT174" s="52" t="s">
        <v>3288</v>
      </c>
      <c r="BU174" s="52" t="s">
        <v>3288</v>
      </c>
      <c r="BV174" s="41"/>
      <c r="BW174" s="58">
        <v>2.9340000000000002</v>
      </c>
      <c r="BX174" s="59">
        <v>1.0720000000000001</v>
      </c>
      <c r="BY174" s="41"/>
    </row>
    <row r="175" spans="1:77">
      <c r="A175" s="148">
        <v>2.17</v>
      </c>
      <c r="B175" s="141" t="s">
        <v>361</v>
      </c>
      <c r="C175" s="86" t="s">
        <v>439</v>
      </c>
      <c r="D175" s="133" t="s">
        <v>72</v>
      </c>
      <c r="E175" s="80" t="s">
        <v>72</v>
      </c>
      <c r="F175" s="46" t="s">
        <v>72</v>
      </c>
      <c r="G175" s="46" t="s">
        <v>725</v>
      </c>
      <c r="H175" s="46" t="s">
        <v>726</v>
      </c>
      <c r="I175" s="46" t="s">
        <v>3377</v>
      </c>
      <c r="J175" s="46" t="s">
        <v>3316</v>
      </c>
      <c r="K175" s="46" t="s">
        <v>72</v>
      </c>
      <c r="L175" s="46">
        <v>5</v>
      </c>
      <c r="N175" s="46" t="s">
        <v>3396</v>
      </c>
      <c r="O175" s="46" t="s">
        <v>72</v>
      </c>
      <c r="P175" s="46">
        <v>4</v>
      </c>
      <c r="R175" s="46" t="s">
        <v>3588</v>
      </c>
      <c r="S175" s="46" t="s">
        <v>72</v>
      </c>
      <c r="T175" s="46">
        <v>1</v>
      </c>
      <c r="V175" s="46" t="s">
        <v>1369</v>
      </c>
      <c r="W175" s="46" t="s">
        <v>2271</v>
      </c>
      <c r="X175" s="46" t="s">
        <v>1428</v>
      </c>
      <c r="Y175" s="46" t="s">
        <v>2290</v>
      </c>
      <c r="Z175" s="46">
        <v>13</v>
      </c>
      <c r="AA175" s="46">
        <v>99</v>
      </c>
      <c r="AB175" s="46">
        <v>3</v>
      </c>
      <c r="AC175" s="46" t="s">
        <v>1563</v>
      </c>
      <c r="AD175" s="46" t="s">
        <v>2291</v>
      </c>
      <c r="AE175" s="46" t="s">
        <v>725</v>
      </c>
      <c r="AF175" s="46" t="s">
        <v>725</v>
      </c>
      <c r="AG175" s="46" t="s">
        <v>2292</v>
      </c>
      <c r="AH175" s="46" t="s">
        <v>2841</v>
      </c>
      <c r="AI175" s="46" t="s">
        <v>2404</v>
      </c>
      <c r="AJ175" s="46" t="s">
        <v>3154</v>
      </c>
      <c r="AK175" s="46">
        <v>9</v>
      </c>
      <c r="AL175" s="46">
        <v>97.6</v>
      </c>
      <c r="AM175" s="46">
        <v>7</v>
      </c>
      <c r="AN175" s="46" t="s">
        <v>2406</v>
      </c>
      <c r="AO175" s="46" t="s">
        <v>3165</v>
      </c>
      <c r="AP175" s="46" t="s">
        <v>726</v>
      </c>
      <c r="AQ175" s="46" t="s">
        <v>726</v>
      </c>
      <c r="AR175" s="46" t="s">
        <v>3171</v>
      </c>
      <c r="AT175" s="48" t="s">
        <v>72</v>
      </c>
      <c r="AU175" s="41">
        <v>0.254</v>
      </c>
      <c r="AV175" s="41"/>
      <c r="AW175" s="55">
        <v>3.5059999999999998</v>
      </c>
      <c r="AX175" s="49">
        <v>3.3079999999999998</v>
      </c>
      <c r="AY175" s="55">
        <v>3.5409999999999999</v>
      </c>
      <c r="AZ175" s="50">
        <v>0.23300000000000001</v>
      </c>
      <c r="BA175" s="43"/>
      <c r="BB175" s="50">
        <v>0.12</v>
      </c>
      <c r="BC175" s="50">
        <v>0.108</v>
      </c>
      <c r="BD175" s="43"/>
      <c r="BE175" s="41">
        <v>16519</v>
      </c>
      <c r="BF175" s="41">
        <v>1920</v>
      </c>
      <c r="BG175" s="51">
        <v>1</v>
      </c>
      <c r="BH175" s="51">
        <v>0</v>
      </c>
      <c r="BI175" s="52" t="s">
        <v>3285</v>
      </c>
      <c r="BJ175" s="41"/>
      <c r="BK175" s="41">
        <v>3516</v>
      </c>
      <c r="BL175" s="41">
        <v>2168</v>
      </c>
      <c r="BM175" s="51">
        <v>0</v>
      </c>
      <c r="BN175" s="51">
        <v>0</v>
      </c>
      <c r="BO175" s="52" t="s">
        <v>3285</v>
      </c>
      <c r="BP175" s="52" t="s">
        <v>3285</v>
      </c>
      <c r="BQ175" s="43"/>
      <c r="BR175" s="41">
        <v>-0.10829999999999999</v>
      </c>
      <c r="BS175" s="41">
        <v>-7.5999999999999998E-2</v>
      </c>
      <c r="BT175" s="52" t="s">
        <v>3288</v>
      </c>
      <c r="BU175" s="52" t="s">
        <v>3288</v>
      </c>
      <c r="BV175" s="41"/>
      <c r="BW175" s="66">
        <v>1.6990000000000001</v>
      </c>
      <c r="BX175" s="54">
        <v>0.52800000000000002</v>
      </c>
      <c r="BY175" s="41"/>
    </row>
    <row r="176" spans="1:77" s="40" customFormat="1" ht="17" thickBot="1">
      <c r="A176" s="149">
        <v>2.17</v>
      </c>
      <c r="B176" s="142" t="s">
        <v>361</v>
      </c>
      <c r="C176" s="121" t="s">
        <v>439</v>
      </c>
      <c r="D176" s="134" t="s">
        <v>69</v>
      </c>
      <c r="E176" s="84" t="s">
        <v>69</v>
      </c>
      <c r="F176" s="40" t="s">
        <v>69</v>
      </c>
      <c r="G176" s="40" t="s">
        <v>831</v>
      </c>
      <c r="H176" s="40" t="s">
        <v>832</v>
      </c>
      <c r="I176" s="40" t="s">
        <v>3377</v>
      </c>
      <c r="J176" s="40" t="s">
        <v>3316</v>
      </c>
      <c r="K176" s="40" t="s">
        <v>69</v>
      </c>
      <c r="L176" s="40">
        <v>5</v>
      </c>
      <c r="N176" s="40" t="s">
        <v>3471</v>
      </c>
      <c r="O176" s="40" t="s">
        <v>69</v>
      </c>
      <c r="P176" s="40">
        <v>1</v>
      </c>
      <c r="R176" s="40" t="s">
        <v>3610</v>
      </c>
      <c r="S176" s="40" t="s">
        <v>69</v>
      </c>
      <c r="T176" s="40">
        <v>1</v>
      </c>
      <c r="V176" s="40" t="s">
        <v>1365</v>
      </c>
      <c r="W176" s="40" t="s">
        <v>2271</v>
      </c>
      <c r="X176" s="40" t="s">
        <v>1428</v>
      </c>
      <c r="Y176" s="40" t="s">
        <v>2276</v>
      </c>
      <c r="Z176" s="40">
        <v>13</v>
      </c>
      <c r="AA176" s="40">
        <v>94.1</v>
      </c>
      <c r="AB176" s="40">
        <v>17</v>
      </c>
      <c r="AC176" s="40" t="s">
        <v>1907</v>
      </c>
      <c r="AD176" s="40" t="s">
        <v>2277</v>
      </c>
      <c r="AE176" s="40" t="s">
        <v>2278</v>
      </c>
      <c r="AF176" s="40" t="s">
        <v>831</v>
      </c>
      <c r="AG176" s="40" t="s">
        <v>2279</v>
      </c>
      <c r="AH176" s="40" t="s">
        <v>2841</v>
      </c>
      <c r="AI176" s="40" t="s">
        <v>2404</v>
      </c>
      <c r="AJ176" s="40" t="s">
        <v>3158</v>
      </c>
      <c r="AK176" s="40">
        <v>9</v>
      </c>
      <c r="AL176" s="40">
        <v>97.5</v>
      </c>
      <c r="AM176" s="40">
        <v>7</v>
      </c>
      <c r="AN176" s="40" t="s">
        <v>2406</v>
      </c>
      <c r="AO176" s="40" t="s">
        <v>3159</v>
      </c>
      <c r="AP176" s="40" t="s">
        <v>3160</v>
      </c>
      <c r="AQ176" s="40" t="s">
        <v>832</v>
      </c>
      <c r="AR176" s="40" t="s">
        <v>3161</v>
      </c>
      <c r="AT176" s="85" t="s">
        <v>69</v>
      </c>
      <c r="AU176" s="35">
        <v>9.5949999999999994E-2</v>
      </c>
      <c r="AV176" s="35"/>
      <c r="AW176" s="102">
        <v>3.528</v>
      </c>
      <c r="AX176" s="102">
        <v>3.4670000000000001</v>
      </c>
      <c r="AY176" s="117">
        <v>2.9510000000000001</v>
      </c>
      <c r="AZ176" s="92">
        <v>0.436</v>
      </c>
      <c r="BA176" s="37"/>
      <c r="BB176" s="92">
        <v>0.60099999999999998</v>
      </c>
      <c r="BC176" s="90">
        <v>0.18099999999999999</v>
      </c>
      <c r="BD176" s="37"/>
      <c r="BE176" s="35">
        <v>23142</v>
      </c>
      <c r="BF176" s="35">
        <v>13311</v>
      </c>
      <c r="BG176" s="93">
        <v>1</v>
      </c>
      <c r="BH176" s="93">
        <v>1</v>
      </c>
      <c r="BI176" s="94" t="s">
        <v>3285</v>
      </c>
      <c r="BJ176" s="35"/>
      <c r="BK176" s="35">
        <v>4656.5</v>
      </c>
      <c r="BL176" s="35">
        <v>3396</v>
      </c>
      <c r="BM176" s="93">
        <v>1</v>
      </c>
      <c r="BN176" s="93">
        <v>0</v>
      </c>
      <c r="BO176" s="94" t="s">
        <v>3285</v>
      </c>
      <c r="BP176" s="94" t="s">
        <v>3285</v>
      </c>
      <c r="BQ176" s="37"/>
      <c r="BR176" s="35">
        <v>-1.8800000000000001E-2</v>
      </c>
      <c r="BS176" s="35">
        <v>-1.06E-2</v>
      </c>
      <c r="BT176" s="94" t="s">
        <v>3288</v>
      </c>
      <c r="BU176" s="94" t="s">
        <v>3288</v>
      </c>
      <c r="BV176" s="35"/>
      <c r="BW176" s="117">
        <v>3.0539999999999998</v>
      </c>
      <c r="BX176" s="95">
        <v>1.0589999999999999</v>
      </c>
      <c r="BY176" s="35"/>
    </row>
    <row r="177" spans="1:77">
      <c r="A177" s="148">
        <v>2.1800000000000002</v>
      </c>
      <c r="B177" s="141" t="s">
        <v>363</v>
      </c>
      <c r="C177" s="86" t="s">
        <v>441</v>
      </c>
      <c r="D177" s="133" t="s">
        <v>79</v>
      </c>
      <c r="E177" s="80" t="s">
        <v>80</v>
      </c>
      <c r="F177" s="46" t="s">
        <v>79</v>
      </c>
      <c r="G177" s="46" t="s">
        <v>1045</v>
      </c>
      <c r="H177" s="46" t="s">
        <v>1046</v>
      </c>
      <c r="I177" s="46" t="s">
        <v>3377</v>
      </c>
      <c r="J177" s="46" t="s">
        <v>3330</v>
      </c>
      <c r="K177" s="46" t="s">
        <v>79</v>
      </c>
      <c r="L177" s="46">
        <v>5</v>
      </c>
      <c r="N177" s="46" t="s">
        <v>3412</v>
      </c>
      <c r="O177" s="46" t="s">
        <v>79</v>
      </c>
      <c r="P177" s="46">
        <v>3</v>
      </c>
      <c r="R177" s="46" t="s">
        <v>3640</v>
      </c>
      <c r="S177" s="46" t="s">
        <v>79</v>
      </c>
      <c r="T177" s="46">
        <v>2</v>
      </c>
      <c r="V177" s="46" t="s">
        <v>1376</v>
      </c>
      <c r="W177" s="46" t="s">
        <v>1602</v>
      </c>
      <c r="X177" s="46" t="s">
        <v>1767</v>
      </c>
      <c r="Y177" s="46" t="s">
        <v>2310</v>
      </c>
      <c r="Z177" s="46">
        <v>16</v>
      </c>
      <c r="AA177" s="46">
        <v>96.3</v>
      </c>
      <c r="AB177" s="46">
        <v>11</v>
      </c>
      <c r="AC177" s="46" t="s">
        <v>1744</v>
      </c>
      <c r="AD177" s="46" t="s">
        <v>2311</v>
      </c>
      <c r="AE177" s="46" t="s">
        <v>1045</v>
      </c>
      <c r="AF177" s="46" t="s">
        <v>1045</v>
      </c>
      <c r="AG177" s="46" t="s">
        <v>2312</v>
      </c>
      <c r="AH177" s="46" t="s">
        <v>2451</v>
      </c>
      <c r="AI177" s="46" t="s">
        <v>2411</v>
      </c>
      <c r="AJ177" s="46" t="s">
        <v>3193</v>
      </c>
      <c r="AK177" s="46">
        <v>10</v>
      </c>
      <c r="AL177" s="46">
        <v>98.2</v>
      </c>
      <c r="AM177" s="46">
        <v>5</v>
      </c>
      <c r="AN177" s="46" t="s">
        <v>2406</v>
      </c>
      <c r="AO177" s="46" t="s">
        <v>3194</v>
      </c>
      <c r="AP177" s="46" t="s">
        <v>1046</v>
      </c>
      <c r="AQ177" s="46" t="s">
        <v>1046</v>
      </c>
      <c r="AR177" s="46" t="s">
        <v>3195</v>
      </c>
      <c r="AT177" s="48" t="s">
        <v>80</v>
      </c>
      <c r="AU177" s="41">
        <v>0.16309999999999999</v>
      </c>
      <c r="AV177" s="41"/>
      <c r="AW177" s="55">
        <v>3.5089999999999999</v>
      </c>
      <c r="AX177" s="55">
        <v>3.5150000000000001</v>
      </c>
      <c r="AY177" s="55">
        <v>3.5139999999999998</v>
      </c>
      <c r="AZ177" s="50">
        <v>0.128</v>
      </c>
      <c r="BA177" s="43"/>
      <c r="BB177" s="55">
        <v>3.4689999999999999</v>
      </c>
      <c r="BC177" s="58">
        <v>2.165</v>
      </c>
      <c r="BD177" s="43"/>
      <c r="BE177" s="41">
        <v>10188</v>
      </c>
      <c r="BF177" s="41">
        <v>104746.5</v>
      </c>
      <c r="BG177" s="51">
        <v>1</v>
      </c>
      <c r="BH177" s="51">
        <v>1</v>
      </c>
      <c r="BI177" s="52" t="s">
        <v>3286</v>
      </c>
      <c r="BJ177" s="41"/>
      <c r="BK177" s="41">
        <v>3060</v>
      </c>
      <c r="BL177" s="41">
        <v>84258</v>
      </c>
      <c r="BM177" s="51">
        <v>0</v>
      </c>
      <c r="BN177" s="51">
        <v>1</v>
      </c>
      <c r="BO177" s="52" t="s">
        <v>3286</v>
      </c>
      <c r="BP177" s="52" t="s">
        <v>3286</v>
      </c>
      <c r="BQ177" s="43"/>
      <c r="BR177" s="41">
        <v>-6.6799999999999998E-2</v>
      </c>
      <c r="BS177" s="41">
        <v>-6.3E-2</v>
      </c>
      <c r="BT177" s="52" t="s">
        <v>3288</v>
      </c>
      <c r="BU177" s="52" t="s">
        <v>3288</v>
      </c>
      <c r="BV177" s="41"/>
      <c r="BW177" s="56">
        <v>2.6419999999999999</v>
      </c>
      <c r="BX177" s="55">
        <v>3.496</v>
      </c>
      <c r="BY177" s="41"/>
    </row>
    <row r="178" spans="1:77">
      <c r="A178" s="148">
        <v>2.1800000000000002</v>
      </c>
      <c r="B178" s="141" t="s">
        <v>363</v>
      </c>
      <c r="C178" s="86" t="s">
        <v>441</v>
      </c>
      <c r="D178" s="133" t="s">
        <v>81</v>
      </c>
      <c r="E178" s="80" t="s">
        <v>82</v>
      </c>
      <c r="F178" s="46" t="s">
        <v>81</v>
      </c>
      <c r="G178" s="46" t="s">
        <v>1053</v>
      </c>
      <c r="H178" s="46" t="s">
        <v>1054</v>
      </c>
      <c r="I178" s="46" t="s">
        <v>3377</v>
      </c>
      <c r="J178" s="46" t="s">
        <v>3330</v>
      </c>
      <c r="K178" s="46" t="s">
        <v>81</v>
      </c>
      <c r="L178" s="46">
        <v>5</v>
      </c>
      <c r="N178" s="46" t="s">
        <v>3412</v>
      </c>
      <c r="O178" s="46" t="s">
        <v>81</v>
      </c>
      <c r="P178" s="46">
        <v>3</v>
      </c>
      <c r="R178" s="46" t="s">
        <v>3640</v>
      </c>
      <c r="S178" s="46" t="s">
        <v>81</v>
      </c>
      <c r="T178" s="46">
        <v>2</v>
      </c>
      <c r="V178" s="46" t="s">
        <v>1377</v>
      </c>
      <c r="W178" s="46" t="s">
        <v>1602</v>
      </c>
      <c r="X178" s="46" t="s">
        <v>1767</v>
      </c>
      <c r="Y178" s="46" t="s">
        <v>2313</v>
      </c>
      <c r="Z178" s="46">
        <v>16</v>
      </c>
      <c r="AA178" s="46">
        <v>98.3</v>
      </c>
      <c r="AB178" s="46">
        <v>5</v>
      </c>
      <c r="AC178" s="46" t="s">
        <v>1567</v>
      </c>
      <c r="AD178" s="46" t="s">
        <v>2314</v>
      </c>
      <c r="AE178" s="46" t="s">
        <v>1053</v>
      </c>
      <c r="AF178" s="46" t="s">
        <v>1053</v>
      </c>
      <c r="AG178" s="46" t="s">
        <v>2315</v>
      </c>
      <c r="AH178" s="46" t="s">
        <v>2451</v>
      </c>
      <c r="AI178" s="46" t="s">
        <v>2411</v>
      </c>
      <c r="AJ178" s="46" t="s">
        <v>3196</v>
      </c>
      <c r="AK178" s="46">
        <v>10</v>
      </c>
      <c r="AL178" s="46">
        <v>99.3</v>
      </c>
      <c r="AM178" s="46">
        <v>2</v>
      </c>
      <c r="AN178" s="46" t="s">
        <v>2406</v>
      </c>
      <c r="AO178" s="46" t="s">
        <v>3197</v>
      </c>
      <c r="AP178" s="46" t="s">
        <v>1054</v>
      </c>
      <c r="AQ178" s="46" t="s">
        <v>1054</v>
      </c>
      <c r="AR178" s="46" t="s">
        <v>3198</v>
      </c>
      <c r="AT178" s="48" t="s">
        <v>82</v>
      </c>
      <c r="AU178" s="41">
        <v>0.10249999999999999</v>
      </c>
      <c r="AV178" s="41"/>
      <c r="AW178" s="60">
        <v>2.665</v>
      </c>
      <c r="AX178" s="50">
        <v>0.191</v>
      </c>
      <c r="AY178" s="50">
        <v>0.13900000000000001</v>
      </c>
      <c r="AZ178" s="50">
        <v>0.108</v>
      </c>
      <c r="BA178" s="43"/>
      <c r="BB178" s="58">
        <v>3.0880000000000001</v>
      </c>
      <c r="BC178" s="65">
        <v>1.591</v>
      </c>
      <c r="BD178" s="43"/>
      <c r="BE178" s="41">
        <v>11733</v>
      </c>
      <c r="BF178" s="41">
        <v>108560</v>
      </c>
      <c r="BG178" s="51">
        <v>1</v>
      </c>
      <c r="BH178" s="51">
        <v>1</v>
      </c>
      <c r="BI178" s="52" t="s">
        <v>3286</v>
      </c>
      <c r="BJ178" s="41"/>
      <c r="BK178" s="41">
        <v>3761</v>
      </c>
      <c r="BL178" s="41">
        <v>118827</v>
      </c>
      <c r="BM178" s="51">
        <v>0</v>
      </c>
      <c r="BN178" s="51">
        <v>1</v>
      </c>
      <c r="BO178" s="52" t="s">
        <v>3286</v>
      </c>
      <c r="BP178" s="52" t="s">
        <v>3286</v>
      </c>
      <c r="BQ178" s="43"/>
      <c r="BR178" s="41">
        <v>-8.14E-2</v>
      </c>
      <c r="BS178" s="41">
        <v>-4.3400000000000001E-2</v>
      </c>
      <c r="BT178" s="52" t="s">
        <v>3288</v>
      </c>
      <c r="BU178" s="52" t="s">
        <v>3288</v>
      </c>
      <c r="BV178" s="41"/>
      <c r="BW178" s="59">
        <v>0.95599999999999996</v>
      </c>
      <c r="BX178" s="55">
        <v>3.3519999999999999</v>
      </c>
      <c r="BY178" s="41"/>
    </row>
    <row r="179" spans="1:77">
      <c r="A179" s="148">
        <v>2.1800000000000002</v>
      </c>
      <c r="B179" s="141" t="s">
        <v>363</v>
      </c>
      <c r="C179" s="86" t="s">
        <v>441</v>
      </c>
      <c r="D179" s="133" t="s">
        <v>77</v>
      </c>
      <c r="E179" s="80" t="s">
        <v>77</v>
      </c>
      <c r="F179" s="46" t="s">
        <v>77</v>
      </c>
      <c r="G179" s="46" t="s">
        <v>533</v>
      </c>
      <c r="H179" s="46" t="s">
        <v>534</v>
      </c>
      <c r="I179" s="46" t="s">
        <v>3377</v>
      </c>
      <c r="J179" s="46" t="s">
        <v>3330</v>
      </c>
      <c r="K179" s="46" t="s">
        <v>77</v>
      </c>
      <c r="L179" s="46">
        <v>5</v>
      </c>
      <c r="N179" s="46" t="s">
        <v>3412</v>
      </c>
      <c r="O179" s="46" t="s">
        <v>77</v>
      </c>
      <c r="P179" s="46">
        <v>3</v>
      </c>
      <c r="R179" s="46" t="s">
        <v>3537</v>
      </c>
      <c r="S179" s="46" t="s">
        <v>77</v>
      </c>
      <c r="T179" s="46">
        <v>1</v>
      </c>
      <c r="V179" s="46" t="s">
        <v>1374</v>
      </c>
      <c r="W179" s="46" t="s">
        <v>1602</v>
      </c>
      <c r="X179" s="46" t="s">
        <v>1767</v>
      </c>
      <c r="Y179" s="46" t="s">
        <v>2306</v>
      </c>
      <c r="Z179" s="46">
        <v>16</v>
      </c>
      <c r="AA179" s="46">
        <v>94.6</v>
      </c>
      <c r="AB179" s="46">
        <v>16</v>
      </c>
      <c r="AC179" s="46" t="s">
        <v>1617</v>
      </c>
      <c r="AD179" s="46" t="s">
        <v>2307</v>
      </c>
      <c r="AE179" s="46" t="s">
        <v>533</v>
      </c>
      <c r="AF179" s="46" t="s">
        <v>533</v>
      </c>
      <c r="AG179" s="46" t="s">
        <v>2308</v>
      </c>
      <c r="AH179" s="46" t="s">
        <v>2451</v>
      </c>
      <c r="AI179" s="46" t="s">
        <v>2411</v>
      </c>
      <c r="AJ179" s="46" t="s">
        <v>3188</v>
      </c>
      <c r="AK179" s="46">
        <v>10</v>
      </c>
      <c r="AL179" s="46">
        <v>96.9</v>
      </c>
      <c r="AM179" s="46">
        <v>9</v>
      </c>
      <c r="AN179" s="46" t="s">
        <v>2406</v>
      </c>
      <c r="AO179" s="46" t="s">
        <v>3189</v>
      </c>
      <c r="AP179" s="46" t="s">
        <v>534</v>
      </c>
      <c r="AQ179" s="46" t="s">
        <v>534</v>
      </c>
      <c r="AR179" s="46" t="s">
        <v>3190</v>
      </c>
      <c r="AT179" s="48" t="s">
        <v>77</v>
      </c>
      <c r="AU179" s="41">
        <v>0.1176</v>
      </c>
      <c r="AV179" s="41"/>
      <c r="AW179" s="55">
        <v>3.6259999999999999</v>
      </c>
      <c r="AX179" s="55">
        <v>3.569</v>
      </c>
      <c r="AY179" s="55">
        <v>3.6389999999999998</v>
      </c>
      <c r="AZ179" s="50">
        <v>0.14499999999999999</v>
      </c>
      <c r="BA179" s="43"/>
      <c r="BB179" s="55">
        <v>3.573</v>
      </c>
      <c r="BC179" s="58">
        <v>2.1190000000000002</v>
      </c>
      <c r="BD179" s="43"/>
      <c r="BE179" s="41">
        <v>14275</v>
      </c>
      <c r="BF179" s="41">
        <v>122545.5</v>
      </c>
      <c r="BG179" s="51">
        <v>1</v>
      </c>
      <c r="BH179" s="51">
        <v>1</v>
      </c>
      <c r="BI179" s="52" t="s">
        <v>3286</v>
      </c>
      <c r="BJ179" s="41"/>
      <c r="BK179" s="41">
        <v>75506</v>
      </c>
      <c r="BL179" s="41">
        <v>3464</v>
      </c>
      <c r="BM179" s="51">
        <v>1</v>
      </c>
      <c r="BN179" s="51">
        <v>0</v>
      </c>
      <c r="BO179" s="52" t="s">
        <v>3285</v>
      </c>
      <c r="BP179" s="52" t="s">
        <v>3287</v>
      </c>
      <c r="BQ179" s="43"/>
      <c r="BR179" s="41">
        <v>5.8999999999999999E-3</v>
      </c>
      <c r="BS179" s="41">
        <v>8.8000000000000005E-3</v>
      </c>
      <c r="BT179" s="52" t="s">
        <v>3288</v>
      </c>
      <c r="BU179" s="52" t="s">
        <v>3288</v>
      </c>
      <c r="BV179" s="41"/>
      <c r="BW179" s="49">
        <v>3.2450000000000001</v>
      </c>
      <c r="BX179" s="55">
        <v>3.5739999999999998</v>
      </c>
      <c r="BY179" s="41"/>
    </row>
    <row r="180" spans="1:77">
      <c r="A180" s="148">
        <v>2.1800000000000002</v>
      </c>
      <c r="B180" s="141" t="s">
        <v>363</v>
      </c>
      <c r="C180" s="86" t="s">
        <v>441</v>
      </c>
      <c r="D180" s="133" t="s">
        <v>76</v>
      </c>
      <c r="E180" s="80" t="s">
        <v>76</v>
      </c>
      <c r="F180" s="46" t="s">
        <v>76</v>
      </c>
      <c r="G180" s="46" t="s">
        <v>745</v>
      </c>
      <c r="H180" s="46" t="s">
        <v>746</v>
      </c>
      <c r="I180" s="46" t="s">
        <v>3377</v>
      </c>
      <c r="J180" s="46" t="s">
        <v>3330</v>
      </c>
      <c r="K180" s="46" t="s">
        <v>76</v>
      </c>
      <c r="L180" s="46">
        <v>5</v>
      </c>
      <c r="N180" s="46" t="s">
        <v>3454</v>
      </c>
      <c r="O180" s="46" t="s">
        <v>76</v>
      </c>
      <c r="P180" s="46">
        <v>2</v>
      </c>
      <c r="R180" s="46" t="s">
        <v>3586</v>
      </c>
      <c r="S180" s="46" t="s">
        <v>76</v>
      </c>
      <c r="T180" s="46">
        <v>2</v>
      </c>
      <c r="V180" s="46" t="s">
        <v>1373</v>
      </c>
      <c r="W180" s="46" t="s">
        <v>1602</v>
      </c>
      <c r="X180" s="46" t="s">
        <v>1767</v>
      </c>
      <c r="Y180" s="46" t="s">
        <v>2302</v>
      </c>
      <c r="Z180" s="46">
        <v>16</v>
      </c>
      <c r="AA180" s="46">
        <v>96.6</v>
      </c>
      <c r="AB180" s="46">
        <v>10</v>
      </c>
      <c r="AC180" s="46" t="s">
        <v>1454</v>
      </c>
      <c r="AD180" s="46" t="s">
        <v>2303</v>
      </c>
      <c r="AE180" s="46" t="s">
        <v>2304</v>
      </c>
      <c r="AF180" s="46" t="s">
        <v>745</v>
      </c>
      <c r="AG180" s="46" t="s">
        <v>2305</v>
      </c>
      <c r="AH180" s="46" t="s">
        <v>2451</v>
      </c>
      <c r="AI180" s="46" t="s">
        <v>2411</v>
      </c>
      <c r="AJ180" s="46" t="s">
        <v>3184</v>
      </c>
      <c r="AK180" s="46">
        <v>10</v>
      </c>
      <c r="AL180" s="46">
        <v>95.1</v>
      </c>
      <c r="AM180" s="46">
        <v>14</v>
      </c>
      <c r="AN180" s="46" t="s">
        <v>2406</v>
      </c>
      <c r="AO180" s="46" t="s">
        <v>3185</v>
      </c>
      <c r="AP180" s="46" t="s">
        <v>3186</v>
      </c>
      <c r="AQ180" s="46" t="s">
        <v>746</v>
      </c>
      <c r="AR180" s="46" t="s">
        <v>3187</v>
      </c>
      <c r="AT180" s="48" t="s">
        <v>76</v>
      </c>
      <c r="AU180" s="41">
        <v>0.246</v>
      </c>
      <c r="AV180" s="41"/>
      <c r="AW180" s="55">
        <v>3.65</v>
      </c>
      <c r="AX180" s="55">
        <v>3.6309999999999998</v>
      </c>
      <c r="AY180" s="55">
        <v>3.589</v>
      </c>
      <c r="AZ180" s="50">
        <v>0.151</v>
      </c>
      <c r="BA180" s="43"/>
      <c r="BB180" s="55">
        <v>3.6190000000000002</v>
      </c>
      <c r="BC180" s="49">
        <v>2.2930000000000001</v>
      </c>
      <c r="BD180" s="43"/>
      <c r="BE180" s="41">
        <v>37195.5</v>
      </c>
      <c r="BF180" s="41">
        <v>53564</v>
      </c>
      <c r="BG180" s="51">
        <v>1</v>
      </c>
      <c r="BH180" s="51">
        <v>1</v>
      </c>
      <c r="BI180" s="52" t="s">
        <v>3286</v>
      </c>
      <c r="BJ180" s="41"/>
      <c r="BK180" s="41">
        <v>3117.5</v>
      </c>
      <c r="BL180" s="41">
        <v>20532</v>
      </c>
      <c r="BM180" s="51">
        <v>0</v>
      </c>
      <c r="BN180" s="51">
        <v>1</v>
      </c>
      <c r="BO180" s="52" t="s">
        <v>3286</v>
      </c>
      <c r="BP180" s="52" t="s">
        <v>3286</v>
      </c>
      <c r="BQ180" s="43"/>
      <c r="BR180" s="41">
        <v>0.33090000000000003</v>
      </c>
      <c r="BS180" s="41">
        <v>0.1022</v>
      </c>
      <c r="BT180" s="52" t="s">
        <v>3290</v>
      </c>
      <c r="BU180" s="52" t="s">
        <v>3288</v>
      </c>
      <c r="BV180" s="41"/>
      <c r="BW180" s="55">
        <v>3.4710000000000001</v>
      </c>
      <c r="BX180" s="55">
        <v>3.593</v>
      </c>
      <c r="BY180" s="41"/>
    </row>
    <row r="181" spans="1:77" ht="17" thickBot="1">
      <c r="A181" s="148">
        <v>2.1800000000000002</v>
      </c>
      <c r="B181" s="141" t="s">
        <v>363</v>
      </c>
      <c r="C181" s="86" t="s">
        <v>441</v>
      </c>
      <c r="D181" s="133" t="s">
        <v>78</v>
      </c>
      <c r="E181" s="80" t="s">
        <v>78</v>
      </c>
      <c r="F181" s="46" t="s">
        <v>78</v>
      </c>
      <c r="G181" s="46" t="s">
        <v>719</v>
      </c>
      <c r="H181" s="46" t="s">
        <v>720</v>
      </c>
      <c r="I181" s="46" t="s">
        <v>3377</v>
      </c>
      <c r="J181" s="46" t="s">
        <v>3330</v>
      </c>
      <c r="K181" s="46" t="s">
        <v>78</v>
      </c>
      <c r="L181" s="46">
        <v>5</v>
      </c>
      <c r="N181" s="46" t="s">
        <v>3454</v>
      </c>
      <c r="O181" s="46" t="s">
        <v>78</v>
      </c>
      <c r="P181" s="46">
        <v>2</v>
      </c>
      <c r="R181" s="46" t="s">
        <v>3586</v>
      </c>
      <c r="S181" s="46" t="s">
        <v>78</v>
      </c>
      <c r="T181" s="46">
        <v>2</v>
      </c>
      <c r="V181" s="46" t="s">
        <v>1375</v>
      </c>
      <c r="W181" s="46" t="s">
        <v>1602</v>
      </c>
      <c r="X181" s="46" t="s">
        <v>1767</v>
      </c>
      <c r="Y181" s="46" t="s">
        <v>2302</v>
      </c>
      <c r="Z181" s="46">
        <v>16</v>
      </c>
      <c r="AA181" s="46">
        <v>96.6</v>
      </c>
      <c r="AB181" s="46">
        <v>10</v>
      </c>
      <c r="AC181" s="46" t="s">
        <v>1454</v>
      </c>
      <c r="AD181" s="46" t="s">
        <v>2303</v>
      </c>
      <c r="AE181" s="46" t="s">
        <v>719</v>
      </c>
      <c r="AF181" s="46" t="s">
        <v>719</v>
      </c>
      <c r="AG181" s="46" t="s">
        <v>2309</v>
      </c>
      <c r="AH181" s="46" t="s">
        <v>2451</v>
      </c>
      <c r="AI181" s="46" t="s">
        <v>2411</v>
      </c>
      <c r="AJ181" s="46" t="s">
        <v>3184</v>
      </c>
      <c r="AK181" s="46">
        <v>10</v>
      </c>
      <c r="AL181" s="46">
        <v>97.6</v>
      </c>
      <c r="AM181" s="46">
        <v>7</v>
      </c>
      <c r="AN181" s="46" t="s">
        <v>2406</v>
      </c>
      <c r="AO181" s="46" t="s">
        <v>3191</v>
      </c>
      <c r="AP181" s="46" t="s">
        <v>720</v>
      </c>
      <c r="AQ181" s="46" t="s">
        <v>720</v>
      </c>
      <c r="AR181" s="46" t="s">
        <v>3192</v>
      </c>
      <c r="AT181" s="48" t="s">
        <v>78</v>
      </c>
      <c r="AU181" s="41">
        <v>0.26729999999999998</v>
      </c>
      <c r="AV181" s="41"/>
      <c r="AW181" s="55">
        <v>3.59</v>
      </c>
      <c r="AX181" s="55">
        <v>3.5670000000000002</v>
      </c>
      <c r="AY181" s="55">
        <v>3.5369999999999999</v>
      </c>
      <c r="AZ181" s="50">
        <v>0.14399999999999999</v>
      </c>
      <c r="BA181" s="43"/>
      <c r="BB181" s="55">
        <v>3.5529999999999999</v>
      </c>
      <c r="BC181" s="49">
        <v>2.4039999999999999</v>
      </c>
      <c r="BD181" s="43"/>
      <c r="BE181" s="41">
        <v>12881</v>
      </c>
      <c r="BF181" s="41">
        <v>60465.5</v>
      </c>
      <c r="BG181" s="51">
        <v>1</v>
      </c>
      <c r="BH181" s="51">
        <v>1</v>
      </c>
      <c r="BI181" s="52" t="s">
        <v>3286</v>
      </c>
      <c r="BJ181" s="41"/>
      <c r="BK181" s="41">
        <v>3340.5</v>
      </c>
      <c r="BL181" s="41">
        <v>64119.5</v>
      </c>
      <c r="BM181" s="51">
        <v>0</v>
      </c>
      <c r="BN181" s="51">
        <v>1</v>
      </c>
      <c r="BO181" s="52" t="s">
        <v>3286</v>
      </c>
      <c r="BP181" s="52" t="s">
        <v>3286</v>
      </c>
      <c r="BQ181" s="43"/>
      <c r="BR181" s="41">
        <v>0.14149999999999999</v>
      </c>
      <c r="BS181" s="41">
        <v>0.26700000000000002</v>
      </c>
      <c r="BT181" s="52" t="s">
        <v>3288</v>
      </c>
      <c r="BU181" s="52" t="s">
        <v>3290</v>
      </c>
      <c r="BV181" s="41"/>
      <c r="BW181" s="55">
        <v>3.4060000000000001</v>
      </c>
      <c r="BX181" s="55">
        <v>3.5019999999999998</v>
      </c>
      <c r="BY181" s="41"/>
    </row>
    <row r="182" spans="1:77" s="81" customFormat="1">
      <c r="A182" s="147">
        <v>2.19</v>
      </c>
      <c r="B182" s="140" t="s">
        <v>388</v>
      </c>
      <c r="C182" s="120" t="s">
        <v>466</v>
      </c>
      <c r="D182" s="132" t="s">
        <v>207</v>
      </c>
      <c r="E182" s="82" t="s">
        <v>207</v>
      </c>
      <c r="F182" s="81" t="s">
        <v>207</v>
      </c>
      <c r="G182" s="81" t="s">
        <v>582</v>
      </c>
      <c r="H182" s="81" t="s">
        <v>583</v>
      </c>
      <c r="I182" s="81" t="s">
        <v>3377</v>
      </c>
      <c r="J182" s="81" t="s">
        <v>3329</v>
      </c>
      <c r="K182" s="81" t="s">
        <v>207</v>
      </c>
      <c r="L182" s="81">
        <v>4</v>
      </c>
      <c r="N182" s="81" t="s">
        <v>3411</v>
      </c>
      <c r="O182" s="81" t="s">
        <v>207</v>
      </c>
      <c r="P182" s="81">
        <v>4</v>
      </c>
      <c r="R182" s="81" t="s">
        <v>3551</v>
      </c>
      <c r="S182" s="81" t="s">
        <v>207</v>
      </c>
      <c r="T182" s="81">
        <v>3</v>
      </c>
      <c r="V182" s="81" t="s">
        <v>1196</v>
      </c>
      <c r="W182" s="81" t="s">
        <v>1729</v>
      </c>
      <c r="X182" s="81" t="s">
        <v>1428</v>
      </c>
      <c r="Y182" s="81" t="s">
        <v>1733</v>
      </c>
      <c r="Z182" s="81">
        <v>14</v>
      </c>
      <c r="AA182" s="81">
        <v>93.2</v>
      </c>
      <c r="AB182" s="81">
        <v>20</v>
      </c>
      <c r="AC182" s="81" t="s">
        <v>1445</v>
      </c>
      <c r="AD182" s="81" t="s">
        <v>1734</v>
      </c>
      <c r="AE182" s="81" t="s">
        <v>582</v>
      </c>
      <c r="AF182" s="81" t="s">
        <v>582</v>
      </c>
      <c r="AG182" s="81" t="s">
        <v>1735</v>
      </c>
      <c r="AH182" s="81" t="s">
        <v>2603</v>
      </c>
      <c r="AI182" s="81" t="s">
        <v>2452</v>
      </c>
      <c r="AJ182" s="81" t="s">
        <v>2681</v>
      </c>
      <c r="AK182" s="81">
        <v>9</v>
      </c>
      <c r="AL182" s="81">
        <v>98.6</v>
      </c>
      <c r="AM182" s="81">
        <v>4</v>
      </c>
      <c r="AN182" s="81" t="s">
        <v>2406</v>
      </c>
      <c r="AO182" s="81" t="s">
        <v>2682</v>
      </c>
      <c r="AP182" s="81" t="s">
        <v>583</v>
      </c>
      <c r="AQ182" s="81" t="s">
        <v>583</v>
      </c>
      <c r="AR182" s="81" t="s">
        <v>2683</v>
      </c>
      <c r="AT182" s="83" t="s">
        <v>207</v>
      </c>
      <c r="AU182" s="33">
        <v>0.3251</v>
      </c>
      <c r="AV182" s="33"/>
      <c r="AW182" s="100">
        <v>3.597</v>
      </c>
      <c r="AX182" s="100">
        <v>3.573</v>
      </c>
      <c r="AY182" s="100">
        <v>3.6560000000000001</v>
      </c>
      <c r="AZ182" s="87">
        <v>0.215</v>
      </c>
      <c r="BA182" s="34"/>
      <c r="BB182" s="87">
        <v>0.12</v>
      </c>
      <c r="BC182" s="87">
        <v>8.8999999999999996E-2</v>
      </c>
      <c r="BD182" s="34"/>
      <c r="BE182" s="33">
        <v>9219.5</v>
      </c>
      <c r="BF182" s="33">
        <v>1685</v>
      </c>
      <c r="BG182" s="88">
        <v>1</v>
      </c>
      <c r="BH182" s="88">
        <v>0</v>
      </c>
      <c r="BI182" s="89" t="s">
        <v>3285</v>
      </c>
      <c r="BJ182" s="33"/>
      <c r="BK182" s="33">
        <v>4353</v>
      </c>
      <c r="BL182" s="33">
        <v>2838.5</v>
      </c>
      <c r="BM182" s="88">
        <v>0</v>
      </c>
      <c r="BN182" s="88">
        <v>0</v>
      </c>
      <c r="BO182" s="89" t="s">
        <v>3285</v>
      </c>
      <c r="BP182" s="89" t="s">
        <v>3285</v>
      </c>
      <c r="BQ182" s="34"/>
      <c r="BR182" s="33">
        <v>0.28079999999999999</v>
      </c>
      <c r="BS182" s="33">
        <v>-7.6E-3</v>
      </c>
      <c r="BT182" s="89" t="s">
        <v>3290</v>
      </c>
      <c r="BU182" s="89" t="s">
        <v>3288</v>
      </c>
      <c r="BV182" s="33"/>
      <c r="BW182" s="114">
        <v>3.0609999999999999</v>
      </c>
      <c r="BX182" s="123">
        <v>1.21</v>
      </c>
      <c r="BY182" s="33"/>
    </row>
    <row r="183" spans="1:77">
      <c r="A183" s="148">
        <v>2.19</v>
      </c>
      <c r="B183" s="141" t="s">
        <v>388</v>
      </c>
      <c r="C183" s="86" t="s">
        <v>466</v>
      </c>
      <c r="D183" s="133" t="s">
        <v>208</v>
      </c>
      <c r="E183" s="80" t="s">
        <v>208</v>
      </c>
      <c r="F183" s="46" t="s">
        <v>208</v>
      </c>
      <c r="G183" s="46" t="s">
        <v>825</v>
      </c>
      <c r="H183" s="46" t="s">
        <v>826</v>
      </c>
      <c r="I183" s="46" t="s">
        <v>3377</v>
      </c>
      <c r="J183" s="46" t="s">
        <v>3329</v>
      </c>
      <c r="K183" s="46" t="s">
        <v>208</v>
      </c>
      <c r="L183" s="46">
        <v>4</v>
      </c>
      <c r="N183" s="46" t="s">
        <v>3411</v>
      </c>
      <c r="O183" s="46" t="s">
        <v>208</v>
      </c>
      <c r="P183" s="46">
        <v>4</v>
      </c>
      <c r="R183" s="46" t="s">
        <v>3551</v>
      </c>
      <c r="S183" s="46" t="s">
        <v>208</v>
      </c>
      <c r="T183" s="46">
        <v>3</v>
      </c>
      <c r="V183" s="46" t="s">
        <v>1199</v>
      </c>
      <c r="W183" s="46" t="s">
        <v>1729</v>
      </c>
      <c r="X183" s="46" t="s">
        <v>1428</v>
      </c>
      <c r="Y183" s="46" t="s">
        <v>1743</v>
      </c>
      <c r="Z183" s="46">
        <v>14</v>
      </c>
      <c r="AA183" s="46">
        <v>98</v>
      </c>
      <c r="AB183" s="46">
        <v>6</v>
      </c>
      <c r="AC183" s="46" t="s">
        <v>1744</v>
      </c>
      <c r="AD183" s="46" t="s">
        <v>1745</v>
      </c>
      <c r="AE183" s="46" t="s">
        <v>1746</v>
      </c>
      <c r="AF183" s="46" t="s">
        <v>825</v>
      </c>
      <c r="AG183" s="46" t="s">
        <v>1747</v>
      </c>
      <c r="AH183" s="46" t="s">
        <v>2603</v>
      </c>
      <c r="AI183" s="46" t="s">
        <v>2452</v>
      </c>
      <c r="AJ183" s="46" t="s">
        <v>2688</v>
      </c>
      <c r="AK183" s="46">
        <v>8</v>
      </c>
      <c r="AL183" s="46">
        <v>97.9</v>
      </c>
      <c r="AM183" s="46">
        <v>6</v>
      </c>
      <c r="AN183" s="46" t="s">
        <v>2406</v>
      </c>
      <c r="AO183" s="46" t="s">
        <v>2689</v>
      </c>
      <c r="AP183" s="46" t="s">
        <v>2690</v>
      </c>
      <c r="AQ183" s="46" t="s">
        <v>826</v>
      </c>
      <c r="AR183" s="46" t="s">
        <v>2691</v>
      </c>
      <c r="AT183" s="48" t="s">
        <v>3293</v>
      </c>
      <c r="AU183" s="41">
        <v>0.62350000000000005</v>
      </c>
      <c r="AV183" s="41"/>
      <c r="AW183" s="55">
        <v>3.5529999999999999</v>
      </c>
      <c r="AX183" s="58">
        <v>3.17</v>
      </c>
      <c r="AY183" s="55">
        <v>3.57</v>
      </c>
      <c r="AZ183" s="50">
        <v>0.35199999999999998</v>
      </c>
      <c r="BA183" s="43"/>
      <c r="BB183" s="50">
        <v>0.14399999999999999</v>
      </c>
      <c r="BC183" s="50">
        <v>0.104</v>
      </c>
      <c r="BD183" s="43"/>
      <c r="BE183" s="41">
        <v>10918</v>
      </c>
      <c r="BF183" s="41">
        <v>1611.5</v>
      </c>
      <c r="BG183" s="51">
        <v>1</v>
      </c>
      <c r="BH183" s="51">
        <v>0</v>
      </c>
      <c r="BI183" s="52" t="s">
        <v>3285</v>
      </c>
      <c r="BJ183" s="41"/>
      <c r="BK183" s="41">
        <v>2755</v>
      </c>
      <c r="BL183" s="41">
        <v>4836</v>
      </c>
      <c r="BM183" s="51">
        <v>0</v>
      </c>
      <c r="BN183" s="51">
        <v>1</v>
      </c>
      <c r="BO183" s="52" t="s">
        <v>3286</v>
      </c>
      <c r="BP183" s="52" t="s">
        <v>3287</v>
      </c>
      <c r="BQ183" s="43"/>
      <c r="BR183" s="41">
        <v>-8.4199999999999997E-2</v>
      </c>
      <c r="BS183" s="41">
        <v>-5.7799999999999997E-2</v>
      </c>
      <c r="BT183" s="52" t="s">
        <v>3288</v>
      </c>
      <c r="BU183" s="52" t="s">
        <v>3288</v>
      </c>
      <c r="BV183" s="41"/>
      <c r="BW183" s="58">
        <v>3.073</v>
      </c>
      <c r="BX183" s="67">
        <v>1.1930000000000001</v>
      </c>
      <c r="BY183" s="41"/>
    </row>
    <row r="184" spans="1:77">
      <c r="A184" s="148">
        <v>2.19</v>
      </c>
      <c r="B184" s="141" t="s">
        <v>388</v>
      </c>
      <c r="C184" s="86" t="s">
        <v>466</v>
      </c>
      <c r="D184" s="133" t="s">
        <v>209</v>
      </c>
      <c r="E184" s="80" t="s">
        <v>210</v>
      </c>
      <c r="F184" s="46" t="s">
        <v>209</v>
      </c>
      <c r="G184" s="46" t="s">
        <v>1089</v>
      </c>
      <c r="H184" s="46" t="s">
        <v>1090</v>
      </c>
      <c r="I184" s="46" t="s">
        <v>3377</v>
      </c>
      <c r="J184" s="46" t="s">
        <v>3329</v>
      </c>
      <c r="K184" s="46" t="s">
        <v>209</v>
      </c>
      <c r="L184" s="46">
        <v>4</v>
      </c>
      <c r="N184" s="46" t="s">
        <v>3411</v>
      </c>
      <c r="O184" s="46" t="s">
        <v>209</v>
      </c>
      <c r="P184" s="46">
        <v>4</v>
      </c>
      <c r="R184" s="46" t="s">
        <v>3551</v>
      </c>
      <c r="S184" s="46" t="s">
        <v>209</v>
      </c>
      <c r="T184" s="46">
        <v>3</v>
      </c>
      <c r="V184" s="46" t="s">
        <v>1200</v>
      </c>
      <c r="W184" s="46" t="s">
        <v>1729</v>
      </c>
      <c r="X184" s="46" t="s">
        <v>1428</v>
      </c>
      <c r="Y184" s="46" t="s">
        <v>1748</v>
      </c>
      <c r="Z184" s="46">
        <v>14</v>
      </c>
      <c r="AA184" s="46">
        <v>97.3</v>
      </c>
      <c r="AB184" s="46">
        <v>8</v>
      </c>
      <c r="AC184" s="46" t="s">
        <v>1423</v>
      </c>
      <c r="AD184" s="46" t="s">
        <v>1749</v>
      </c>
      <c r="AE184" s="46" t="s">
        <v>1089</v>
      </c>
      <c r="AF184" s="46" t="s">
        <v>1089</v>
      </c>
      <c r="AG184" s="46" t="s">
        <v>1750</v>
      </c>
      <c r="AH184" s="46" t="s">
        <v>2603</v>
      </c>
      <c r="AI184" s="46" t="s">
        <v>2452</v>
      </c>
      <c r="AJ184" s="46" t="s">
        <v>2692</v>
      </c>
      <c r="AK184" s="46">
        <v>8</v>
      </c>
      <c r="AL184" s="46">
        <v>96.5</v>
      </c>
      <c r="AM184" s="46">
        <v>10</v>
      </c>
      <c r="AN184" s="46" t="s">
        <v>2406</v>
      </c>
      <c r="AO184" s="46" t="s">
        <v>2693</v>
      </c>
      <c r="AP184" s="46" t="s">
        <v>1090</v>
      </c>
      <c r="AQ184" s="46" t="s">
        <v>1090</v>
      </c>
      <c r="AR184" s="46" t="s">
        <v>2694</v>
      </c>
      <c r="AT184" s="48" t="s">
        <v>210</v>
      </c>
      <c r="AU184" s="41">
        <v>0.47610000000000002</v>
      </c>
      <c r="AV184" s="41"/>
      <c r="AW184" s="55">
        <v>3.6120000000000001</v>
      </c>
      <c r="AX184" s="55">
        <v>3.5840000000000001</v>
      </c>
      <c r="AY184" s="55">
        <v>3.64</v>
      </c>
      <c r="AZ184" s="50">
        <v>0.307</v>
      </c>
      <c r="BA184" s="43"/>
      <c r="BB184" s="50">
        <v>0.11600000000000001</v>
      </c>
      <c r="BC184" s="50">
        <v>0.109</v>
      </c>
      <c r="BD184" s="43"/>
      <c r="BE184" s="41">
        <v>9515</v>
      </c>
      <c r="BF184" s="41">
        <v>2088</v>
      </c>
      <c r="BG184" s="51">
        <v>1</v>
      </c>
      <c r="BH184" s="51">
        <v>0</v>
      </c>
      <c r="BI184" s="52" t="s">
        <v>3285</v>
      </c>
      <c r="BJ184" s="41"/>
      <c r="BK184" s="41">
        <v>4307.5</v>
      </c>
      <c r="BL184" s="41">
        <v>2470</v>
      </c>
      <c r="BM184" s="51">
        <v>0</v>
      </c>
      <c r="BN184" s="51">
        <v>0</v>
      </c>
      <c r="BO184" s="52" t="s">
        <v>3285</v>
      </c>
      <c r="BP184" s="52" t="s">
        <v>3285</v>
      </c>
      <c r="BQ184" s="43"/>
      <c r="BR184" s="41">
        <v>-7.4700000000000003E-2</v>
      </c>
      <c r="BS184" s="41">
        <v>-4.1399999999999999E-2</v>
      </c>
      <c r="BT184" s="52" t="s">
        <v>3288</v>
      </c>
      <c r="BU184" s="52" t="s">
        <v>3288</v>
      </c>
      <c r="BV184" s="41"/>
      <c r="BW184" s="49">
        <v>3.1080000000000001</v>
      </c>
      <c r="BX184" s="67">
        <v>1.1990000000000001</v>
      </c>
      <c r="BY184" s="41"/>
    </row>
    <row r="185" spans="1:77" s="40" customFormat="1" ht="17" thickBot="1">
      <c r="A185" s="149">
        <v>2.19</v>
      </c>
      <c r="B185" s="142" t="s">
        <v>388</v>
      </c>
      <c r="C185" s="121" t="s">
        <v>466</v>
      </c>
      <c r="D185" s="134" t="s">
        <v>206</v>
      </c>
      <c r="E185" s="84" t="s">
        <v>206</v>
      </c>
      <c r="F185" s="40" t="s">
        <v>206</v>
      </c>
      <c r="G185" s="40" t="s">
        <v>527</v>
      </c>
      <c r="H185" s="40" t="s">
        <v>528</v>
      </c>
      <c r="I185" s="40" t="s">
        <v>3377</v>
      </c>
      <c r="J185" s="40" t="s">
        <v>3329</v>
      </c>
      <c r="K185" s="40" t="s">
        <v>206</v>
      </c>
      <c r="L185" s="40">
        <v>4</v>
      </c>
      <c r="N185" s="40" t="s">
        <v>3411</v>
      </c>
      <c r="O185" s="40" t="s">
        <v>206</v>
      </c>
      <c r="P185" s="40">
        <v>4</v>
      </c>
      <c r="R185" s="40" t="s">
        <v>3535</v>
      </c>
      <c r="S185" s="40" t="s">
        <v>206</v>
      </c>
      <c r="T185" s="40">
        <v>1</v>
      </c>
      <c r="V185" s="40" t="s">
        <v>1195</v>
      </c>
      <c r="W185" s="40" t="s">
        <v>1729</v>
      </c>
      <c r="X185" s="40" t="s">
        <v>1428</v>
      </c>
      <c r="Y185" s="40" t="s">
        <v>1730</v>
      </c>
      <c r="Z185" s="40">
        <v>14</v>
      </c>
      <c r="AA185" s="40">
        <v>93.9</v>
      </c>
      <c r="AB185" s="40">
        <v>18</v>
      </c>
      <c r="AC185" s="40" t="s">
        <v>1617</v>
      </c>
      <c r="AD185" s="40" t="s">
        <v>1731</v>
      </c>
      <c r="AE185" s="40" t="s">
        <v>527</v>
      </c>
      <c r="AF185" s="40" t="s">
        <v>527</v>
      </c>
      <c r="AG185" s="40" t="s">
        <v>1732</v>
      </c>
      <c r="AH185" s="40" t="s">
        <v>2603</v>
      </c>
      <c r="AI185" s="40" t="s">
        <v>2452</v>
      </c>
      <c r="AJ185" s="40" t="s">
        <v>2678</v>
      </c>
      <c r="AK185" s="40">
        <v>8</v>
      </c>
      <c r="AL185" s="40">
        <v>96.5</v>
      </c>
      <c r="AM185" s="40">
        <v>10</v>
      </c>
      <c r="AN185" s="40" t="s">
        <v>2406</v>
      </c>
      <c r="AO185" s="40" t="s">
        <v>2679</v>
      </c>
      <c r="AP185" s="40" t="s">
        <v>528</v>
      </c>
      <c r="AQ185" s="40" t="s">
        <v>528</v>
      </c>
      <c r="AR185" s="40" t="s">
        <v>2680</v>
      </c>
      <c r="AT185" s="85" t="s">
        <v>206</v>
      </c>
      <c r="AU185" s="35">
        <v>0.3659</v>
      </c>
      <c r="AV185" s="35"/>
      <c r="AW185" s="102">
        <v>3.5449999999999999</v>
      </c>
      <c r="AX185" s="102">
        <v>3.544</v>
      </c>
      <c r="AY185" s="102">
        <v>3.6320000000000001</v>
      </c>
      <c r="AZ185" s="90">
        <v>0.27200000000000002</v>
      </c>
      <c r="BA185" s="37"/>
      <c r="BB185" s="90">
        <v>0.14699999999999999</v>
      </c>
      <c r="BC185" s="90">
        <v>8.7999999999999995E-2</v>
      </c>
      <c r="BD185" s="37"/>
      <c r="BE185" s="35">
        <v>12029</v>
      </c>
      <c r="BF185" s="35">
        <v>2089.5</v>
      </c>
      <c r="BG185" s="93">
        <v>1</v>
      </c>
      <c r="BH185" s="93">
        <v>0</v>
      </c>
      <c r="BI185" s="94" t="s">
        <v>3285</v>
      </c>
      <c r="BJ185" s="35"/>
      <c r="BK185" s="35">
        <v>2166</v>
      </c>
      <c r="BL185" s="35">
        <v>3013</v>
      </c>
      <c r="BM185" s="93">
        <v>0</v>
      </c>
      <c r="BN185" s="93">
        <v>0</v>
      </c>
      <c r="BO185" s="94" t="s">
        <v>3286</v>
      </c>
      <c r="BP185" s="94" t="s">
        <v>3287</v>
      </c>
      <c r="BQ185" s="37"/>
      <c r="BR185" s="35">
        <v>0.1149</v>
      </c>
      <c r="BS185" s="35">
        <v>-8.6E-3</v>
      </c>
      <c r="BT185" s="94" t="s">
        <v>3288</v>
      </c>
      <c r="BU185" s="94" t="s">
        <v>3288</v>
      </c>
      <c r="BV185" s="35"/>
      <c r="BW185" s="110">
        <v>3.2090000000000001</v>
      </c>
      <c r="BX185" s="135">
        <v>1.206</v>
      </c>
      <c r="BY185" s="35"/>
    </row>
    <row r="186" spans="1:77" s="81" customFormat="1">
      <c r="A186" s="147">
        <v>2.2000000000000002</v>
      </c>
      <c r="B186" s="140" t="s">
        <v>389</v>
      </c>
      <c r="C186" s="120" t="s">
        <v>467</v>
      </c>
      <c r="D186" s="132" t="s">
        <v>211</v>
      </c>
      <c r="E186" s="82" t="s">
        <v>211</v>
      </c>
      <c r="F186" s="81" t="s">
        <v>211</v>
      </c>
      <c r="G186" s="81" t="s">
        <v>905</v>
      </c>
      <c r="H186" s="81" t="s">
        <v>906</v>
      </c>
      <c r="I186" s="81" t="s">
        <v>3377</v>
      </c>
      <c r="J186" s="81" t="s">
        <v>3310</v>
      </c>
      <c r="K186" s="81" t="s">
        <v>211</v>
      </c>
      <c r="L186" s="81">
        <v>4</v>
      </c>
      <c r="N186" s="81" t="s">
        <v>3390</v>
      </c>
      <c r="O186" s="81" t="s">
        <v>211</v>
      </c>
      <c r="P186" s="81">
        <v>2</v>
      </c>
      <c r="R186" s="81" t="s">
        <v>3514</v>
      </c>
      <c r="S186" s="81" t="s">
        <v>211</v>
      </c>
      <c r="T186" s="81">
        <v>1</v>
      </c>
      <c r="V186" s="81" t="s">
        <v>1201</v>
      </c>
      <c r="W186" s="81" t="s">
        <v>1481</v>
      </c>
      <c r="X186" s="81" t="s">
        <v>1428</v>
      </c>
      <c r="Y186" s="81" t="s">
        <v>1751</v>
      </c>
      <c r="Z186" s="81">
        <v>17</v>
      </c>
      <c r="AA186" s="81">
        <v>96</v>
      </c>
      <c r="AB186" s="81">
        <v>11</v>
      </c>
      <c r="AC186" s="81" t="s">
        <v>1604</v>
      </c>
      <c r="AD186" s="81" t="s">
        <v>1752</v>
      </c>
      <c r="AE186" s="81" t="s">
        <v>1753</v>
      </c>
      <c r="AF186" s="81" t="s">
        <v>905</v>
      </c>
      <c r="AG186" s="81" t="s">
        <v>1754</v>
      </c>
      <c r="AH186" s="81" t="s">
        <v>2695</v>
      </c>
      <c r="AI186" s="81" t="s">
        <v>2460</v>
      </c>
      <c r="AJ186" s="81" t="s">
        <v>2696</v>
      </c>
      <c r="AK186" s="81">
        <v>9</v>
      </c>
      <c r="AL186" s="81">
        <v>98.5</v>
      </c>
      <c r="AM186" s="81">
        <v>4</v>
      </c>
      <c r="AN186" s="81" t="s">
        <v>2406</v>
      </c>
      <c r="AO186" s="81" t="s">
        <v>2697</v>
      </c>
      <c r="AP186" s="81" t="s">
        <v>2698</v>
      </c>
      <c r="AQ186" s="81" t="s">
        <v>906</v>
      </c>
      <c r="AR186" s="81" t="s">
        <v>2699</v>
      </c>
      <c r="AT186" s="83" t="s">
        <v>211</v>
      </c>
      <c r="AU186" s="33">
        <v>0.3095</v>
      </c>
      <c r="AV186" s="33"/>
      <c r="AW186" s="100">
        <v>3.641</v>
      </c>
      <c r="AX186" s="100">
        <v>3.6309999999999998</v>
      </c>
      <c r="AY186" s="101">
        <v>2.7959999999999998</v>
      </c>
      <c r="AZ186" s="87">
        <v>0.14799999999999999</v>
      </c>
      <c r="BA186" s="34"/>
      <c r="BB186" s="100">
        <v>3.6070000000000002</v>
      </c>
      <c r="BC186" s="114">
        <v>2.004</v>
      </c>
      <c r="BD186" s="34"/>
      <c r="BE186" s="33">
        <v>43530</v>
      </c>
      <c r="BF186" s="33">
        <v>47366</v>
      </c>
      <c r="BG186" s="88">
        <v>1</v>
      </c>
      <c r="BH186" s="88">
        <v>1</v>
      </c>
      <c r="BI186" s="89" t="s">
        <v>3289</v>
      </c>
      <c r="BJ186" s="33"/>
      <c r="BK186" s="33">
        <v>3161</v>
      </c>
      <c r="BL186" s="33">
        <v>29355</v>
      </c>
      <c r="BM186" s="88">
        <v>0</v>
      </c>
      <c r="BN186" s="88">
        <v>1</v>
      </c>
      <c r="BO186" s="89" t="s">
        <v>3286</v>
      </c>
      <c r="BP186" s="89" t="s">
        <v>3287</v>
      </c>
      <c r="BQ186" s="34"/>
      <c r="BR186" s="33">
        <v>7.4399999999999994E-2</v>
      </c>
      <c r="BS186" s="33">
        <v>2.3E-2</v>
      </c>
      <c r="BT186" s="89" t="s">
        <v>3288</v>
      </c>
      <c r="BU186" s="89" t="s">
        <v>3288</v>
      </c>
      <c r="BV186" s="33"/>
      <c r="BW186" s="101">
        <v>2.7450000000000001</v>
      </c>
      <c r="BX186" s="100">
        <v>3.556</v>
      </c>
      <c r="BY186" s="33"/>
    </row>
    <row r="187" spans="1:77">
      <c r="A187" s="148">
        <v>2.2000000000000002</v>
      </c>
      <c r="B187" s="141" t="s">
        <v>389</v>
      </c>
      <c r="C187" s="86" t="s">
        <v>467</v>
      </c>
      <c r="D187" s="133" t="s">
        <v>212</v>
      </c>
      <c r="E187" s="80" t="s">
        <v>212</v>
      </c>
      <c r="F187" s="46" t="s">
        <v>212</v>
      </c>
      <c r="G187" s="46" t="s">
        <v>873</v>
      </c>
      <c r="H187" s="46" t="s">
        <v>874</v>
      </c>
      <c r="I187" s="46" t="s">
        <v>3377</v>
      </c>
      <c r="J187" s="46" t="s">
        <v>3310</v>
      </c>
      <c r="K187" s="46" t="s">
        <v>212</v>
      </c>
      <c r="L187" s="46">
        <v>4</v>
      </c>
      <c r="N187" s="46" t="s">
        <v>3437</v>
      </c>
      <c r="O187" s="46" t="s">
        <v>212</v>
      </c>
      <c r="P187" s="46">
        <v>2</v>
      </c>
      <c r="R187" s="46" t="s">
        <v>3616</v>
      </c>
      <c r="S187" s="46" t="s">
        <v>212</v>
      </c>
      <c r="T187" s="46">
        <v>1</v>
      </c>
      <c r="V187" s="46" t="s">
        <v>1202</v>
      </c>
      <c r="W187" s="46" t="s">
        <v>1481</v>
      </c>
      <c r="X187" s="46" t="s">
        <v>1428</v>
      </c>
      <c r="Y187" s="46" t="s">
        <v>1755</v>
      </c>
      <c r="Z187" s="46">
        <v>17</v>
      </c>
      <c r="AA187" s="46">
        <v>93.9</v>
      </c>
      <c r="AB187" s="46">
        <v>18</v>
      </c>
      <c r="AC187" s="46" t="s">
        <v>1449</v>
      </c>
      <c r="AD187" s="46" t="s">
        <v>1756</v>
      </c>
      <c r="AE187" s="46" t="s">
        <v>1757</v>
      </c>
      <c r="AF187" s="46" t="s">
        <v>873</v>
      </c>
      <c r="AG187" s="46" t="s">
        <v>1758</v>
      </c>
      <c r="AH187" s="46" t="s">
        <v>2695</v>
      </c>
      <c r="AI187" s="46" t="s">
        <v>2460</v>
      </c>
      <c r="AJ187" s="46" t="s">
        <v>2700</v>
      </c>
      <c r="AK187" s="46">
        <v>9</v>
      </c>
      <c r="AL187" s="46">
        <v>97.5</v>
      </c>
      <c r="AM187" s="46">
        <v>7</v>
      </c>
      <c r="AN187" s="46" t="s">
        <v>2406</v>
      </c>
      <c r="AO187" s="46" t="s">
        <v>2701</v>
      </c>
      <c r="AP187" s="46" t="s">
        <v>2702</v>
      </c>
      <c r="AQ187" s="46" t="s">
        <v>874</v>
      </c>
      <c r="AR187" s="46" t="s">
        <v>2703</v>
      </c>
      <c r="AT187" s="48" t="s">
        <v>212</v>
      </c>
      <c r="AU187" s="41">
        <v>0.43780000000000002</v>
      </c>
      <c r="AV187" s="41"/>
      <c r="AW187" s="55">
        <v>3.669</v>
      </c>
      <c r="AX187" s="55">
        <v>3.7250000000000001</v>
      </c>
      <c r="AY187" s="55">
        <v>3.5960000000000001</v>
      </c>
      <c r="AZ187" s="50">
        <v>0.16200000000000001</v>
      </c>
      <c r="BA187" s="43"/>
      <c r="BB187" s="55">
        <v>3.56</v>
      </c>
      <c r="BC187" s="49">
        <v>2.42</v>
      </c>
      <c r="BD187" s="43"/>
      <c r="BE187" s="41">
        <v>4706</v>
      </c>
      <c r="BF187" s="41">
        <v>42818</v>
      </c>
      <c r="BG187" s="51">
        <v>0</v>
      </c>
      <c r="BH187" s="51">
        <v>1</v>
      </c>
      <c r="BI187" s="52" t="s">
        <v>3286</v>
      </c>
      <c r="BJ187" s="41"/>
      <c r="BK187" s="41">
        <v>2812</v>
      </c>
      <c r="BL187" s="41">
        <v>39456.5</v>
      </c>
      <c r="BM187" s="51">
        <v>0</v>
      </c>
      <c r="BN187" s="51">
        <v>1</v>
      </c>
      <c r="BO187" s="52" t="s">
        <v>3286</v>
      </c>
      <c r="BP187" s="52" t="s">
        <v>3286</v>
      </c>
      <c r="BQ187" s="43"/>
      <c r="BR187" s="41">
        <v>1.2E-2</v>
      </c>
      <c r="BS187" s="41">
        <v>7.9000000000000008E-3</v>
      </c>
      <c r="BT187" s="52" t="s">
        <v>3288</v>
      </c>
      <c r="BU187" s="52" t="s">
        <v>3288</v>
      </c>
      <c r="BV187" s="41"/>
      <c r="BW187" s="49">
        <v>3.3639999999999999</v>
      </c>
      <c r="BX187" s="55">
        <v>3.577</v>
      </c>
      <c r="BY187" s="41"/>
    </row>
    <row r="188" spans="1:77">
      <c r="A188" s="148">
        <v>2.2000000000000002</v>
      </c>
      <c r="B188" s="141" t="s">
        <v>389</v>
      </c>
      <c r="C188" s="86" t="s">
        <v>467</v>
      </c>
      <c r="D188" s="133" t="s">
        <v>213</v>
      </c>
      <c r="E188" s="80" t="s">
        <v>213</v>
      </c>
      <c r="F188" s="46" t="s">
        <v>213</v>
      </c>
      <c r="G188" s="46" t="s">
        <v>635</v>
      </c>
      <c r="H188" s="46" t="s">
        <v>636</v>
      </c>
      <c r="I188" s="46" t="s">
        <v>3377</v>
      </c>
      <c r="J188" s="46" t="s">
        <v>3310</v>
      </c>
      <c r="K188" s="46" t="s">
        <v>213</v>
      </c>
      <c r="L188" s="46">
        <v>4</v>
      </c>
      <c r="N188" s="46" t="s">
        <v>3437</v>
      </c>
      <c r="O188" s="46" t="s">
        <v>213</v>
      </c>
      <c r="P188" s="46">
        <v>2</v>
      </c>
      <c r="R188" s="46" t="s">
        <v>3567</v>
      </c>
      <c r="S188" s="46" t="s">
        <v>213</v>
      </c>
      <c r="T188" s="46">
        <v>1</v>
      </c>
      <c r="V188" s="46" t="s">
        <v>1203</v>
      </c>
      <c r="W188" s="46" t="s">
        <v>1481</v>
      </c>
      <c r="X188" s="46" t="s">
        <v>1428</v>
      </c>
      <c r="Y188" s="46" t="s">
        <v>1759</v>
      </c>
      <c r="Z188" s="46">
        <v>17</v>
      </c>
      <c r="AA188" s="46">
        <v>93.9</v>
      </c>
      <c r="AB188" s="46">
        <v>18</v>
      </c>
      <c r="AC188" s="46" t="s">
        <v>1567</v>
      </c>
      <c r="AD188" s="46" t="s">
        <v>1760</v>
      </c>
      <c r="AE188" s="46" t="s">
        <v>635</v>
      </c>
      <c r="AF188" s="46" t="s">
        <v>635</v>
      </c>
      <c r="AG188" s="46" t="s">
        <v>1761</v>
      </c>
      <c r="AH188" s="46" t="s">
        <v>2695</v>
      </c>
      <c r="AI188" s="46" t="s">
        <v>2460</v>
      </c>
      <c r="AJ188" s="46" t="s">
        <v>2704</v>
      </c>
      <c r="AK188" s="46">
        <v>9</v>
      </c>
      <c r="AL188" s="46">
        <v>95.8</v>
      </c>
      <c r="AM188" s="46">
        <v>12</v>
      </c>
      <c r="AN188" s="46" t="s">
        <v>2406</v>
      </c>
      <c r="AO188" s="46" t="s">
        <v>2705</v>
      </c>
      <c r="AP188" s="46" t="s">
        <v>636</v>
      </c>
      <c r="AQ188" s="46" t="s">
        <v>636</v>
      </c>
      <c r="AR188" s="46" t="s">
        <v>2706</v>
      </c>
      <c r="AT188" s="48" t="s">
        <v>213</v>
      </c>
      <c r="AU188" s="41">
        <v>0.121</v>
      </c>
      <c r="AV188" s="41"/>
      <c r="AW188" s="61">
        <v>3.649</v>
      </c>
      <c r="AX188" s="61">
        <v>3.5819999999999999</v>
      </c>
      <c r="AY188" s="71">
        <v>3.431</v>
      </c>
      <c r="AZ188" s="63">
        <v>0.125</v>
      </c>
      <c r="BA188" s="42"/>
      <c r="BB188" s="55">
        <v>3.4550000000000001</v>
      </c>
      <c r="BC188" s="60">
        <v>1.9139999999999999</v>
      </c>
      <c r="BD188" s="43"/>
      <c r="BE188" s="41">
        <v>13417</v>
      </c>
      <c r="BF188" s="41">
        <v>100347</v>
      </c>
      <c r="BG188" s="51">
        <v>1</v>
      </c>
      <c r="BH188" s="51">
        <v>1</v>
      </c>
      <c r="BI188" s="52" t="s">
        <v>3286</v>
      </c>
      <c r="BJ188" s="41"/>
      <c r="BK188" s="41">
        <v>4164</v>
      </c>
      <c r="BL188" s="41">
        <v>36082</v>
      </c>
      <c r="BM188" s="51">
        <v>0</v>
      </c>
      <c r="BN188" s="51">
        <v>1</v>
      </c>
      <c r="BO188" s="52" t="s">
        <v>3286</v>
      </c>
      <c r="BP188" s="52" t="s">
        <v>3286</v>
      </c>
      <c r="BQ188" s="43"/>
      <c r="BR188" s="41">
        <v>-9.8699999999999996E-2</v>
      </c>
      <c r="BS188" s="41">
        <v>-8.48E-2</v>
      </c>
      <c r="BT188" s="52" t="s">
        <v>3288</v>
      </c>
      <c r="BU188" s="52" t="s">
        <v>3288</v>
      </c>
      <c r="BV188" s="41"/>
      <c r="BW188" s="68">
        <v>1.5109999999999999</v>
      </c>
      <c r="BX188" s="55">
        <v>3.4790000000000001</v>
      </c>
      <c r="BY188" s="41"/>
    </row>
    <row r="189" spans="1:77" s="40" customFormat="1" ht="17" thickBot="1">
      <c r="A189" s="149">
        <v>2.2000000000000002</v>
      </c>
      <c r="B189" s="142" t="s">
        <v>389</v>
      </c>
      <c r="C189" s="121" t="s">
        <v>467</v>
      </c>
      <c r="D189" s="134" t="s">
        <v>214</v>
      </c>
      <c r="E189" s="84" t="s">
        <v>215</v>
      </c>
      <c r="F189" s="40" t="s">
        <v>214</v>
      </c>
      <c r="G189" s="40" t="s">
        <v>1067</v>
      </c>
      <c r="H189" s="40" t="s">
        <v>1068</v>
      </c>
      <c r="I189" s="40" t="s">
        <v>3377</v>
      </c>
      <c r="J189" s="40" t="s">
        <v>3310</v>
      </c>
      <c r="K189" s="40" t="s">
        <v>214</v>
      </c>
      <c r="L189" s="40">
        <v>4</v>
      </c>
      <c r="N189" s="40" t="s">
        <v>3390</v>
      </c>
      <c r="O189" s="40" t="s">
        <v>214</v>
      </c>
      <c r="P189" s="40">
        <v>2</v>
      </c>
      <c r="R189" s="40" t="s">
        <v>3648</v>
      </c>
      <c r="S189" s="40" t="s">
        <v>214</v>
      </c>
      <c r="T189" s="40">
        <v>1</v>
      </c>
      <c r="V189" s="40" t="s">
        <v>1204</v>
      </c>
      <c r="W189" s="40" t="s">
        <v>1481</v>
      </c>
      <c r="X189" s="40" t="s">
        <v>1428</v>
      </c>
      <c r="Y189" s="40" t="s">
        <v>1762</v>
      </c>
      <c r="Z189" s="40">
        <v>17</v>
      </c>
      <c r="AA189" s="40">
        <v>91.9</v>
      </c>
      <c r="AB189" s="40">
        <v>24</v>
      </c>
      <c r="AC189" s="40" t="s">
        <v>1763</v>
      </c>
      <c r="AD189" s="40" t="s">
        <v>1764</v>
      </c>
      <c r="AE189" s="40" t="s">
        <v>1765</v>
      </c>
      <c r="AF189" s="40" t="s">
        <v>1067</v>
      </c>
      <c r="AG189" s="40" t="s">
        <v>1766</v>
      </c>
      <c r="AH189" s="40" t="s">
        <v>2695</v>
      </c>
      <c r="AI189" s="40" t="s">
        <v>2460</v>
      </c>
      <c r="AJ189" s="40" t="s">
        <v>2707</v>
      </c>
      <c r="AK189" s="40">
        <v>9</v>
      </c>
      <c r="AL189" s="40">
        <v>97.9</v>
      </c>
      <c r="AM189" s="40">
        <v>6</v>
      </c>
      <c r="AN189" s="40" t="s">
        <v>2406</v>
      </c>
      <c r="AO189" s="40" t="s">
        <v>2708</v>
      </c>
      <c r="AP189" s="40" t="s">
        <v>1068</v>
      </c>
      <c r="AQ189" s="40" t="s">
        <v>1068</v>
      </c>
      <c r="AR189" s="40" t="s">
        <v>2709</v>
      </c>
      <c r="AT189" s="85" t="s">
        <v>215</v>
      </c>
      <c r="AU189" s="35">
        <v>0.2331</v>
      </c>
      <c r="AV189" s="35"/>
      <c r="AW189" s="102">
        <v>3.59</v>
      </c>
      <c r="AX189" s="102">
        <v>3.6160000000000001</v>
      </c>
      <c r="AY189" s="102">
        <v>3.5</v>
      </c>
      <c r="AZ189" s="90">
        <v>0.13800000000000001</v>
      </c>
      <c r="BA189" s="37"/>
      <c r="BB189" s="102">
        <v>3.54</v>
      </c>
      <c r="BC189" s="117">
        <v>2.2210000000000001</v>
      </c>
      <c r="BD189" s="37"/>
      <c r="BE189" s="35">
        <v>8220</v>
      </c>
      <c r="BF189" s="35">
        <v>93479.5</v>
      </c>
      <c r="BG189" s="93">
        <v>1</v>
      </c>
      <c r="BH189" s="93">
        <v>1</v>
      </c>
      <c r="BI189" s="94" t="s">
        <v>3286</v>
      </c>
      <c r="BJ189" s="35"/>
      <c r="BK189" s="35">
        <v>3451</v>
      </c>
      <c r="BL189" s="35">
        <v>86060</v>
      </c>
      <c r="BM189" s="93">
        <v>0</v>
      </c>
      <c r="BN189" s="93">
        <v>1</v>
      </c>
      <c r="BO189" s="94" t="s">
        <v>3286</v>
      </c>
      <c r="BP189" s="94" t="s">
        <v>3286</v>
      </c>
      <c r="BQ189" s="37"/>
      <c r="BR189" s="35">
        <v>-9.0399999999999994E-2</v>
      </c>
      <c r="BS189" s="35">
        <v>-2.6200000000000001E-2</v>
      </c>
      <c r="BT189" s="94" t="s">
        <v>3288</v>
      </c>
      <c r="BU189" s="94" t="s">
        <v>3288</v>
      </c>
      <c r="BV189" s="35"/>
      <c r="BW189" s="117">
        <v>2.9369999999999998</v>
      </c>
      <c r="BX189" s="102">
        <v>3.5550000000000002</v>
      </c>
      <c r="BY189" s="35"/>
    </row>
    <row r="190" spans="1:77">
      <c r="A190" s="148">
        <v>2.21</v>
      </c>
      <c r="B190" s="141" t="s">
        <v>383</v>
      </c>
      <c r="C190" s="86" t="s">
        <v>461</v>
      </c>
      <c r="D190" s="133" t="s">
        <v>167</v>
      </c>
      <c r="E190" s="80" t="s">
        <v>168</v>
      </c>
      <c r="F190" s="46" t="s">
        <v>168</v>
      </c>
      <c r="G190" s="46" t="s">
        <v>594</v>
      </c>
      <c r="H190" s="46" t="s">
        <v>595</v>
      </c>
      <c r="I190" s="46" t="s">
        <v>3377</v>
      </c>
      <c r="J190" s="46" t="s">
        <v>3338</v>
      </c>
      <c r="K190" s="46" t="s">
        <v>168</v>
      </c>
      <c r="L190" s="46">
        <v>4</v>
      </c>
      <c r="N190" s="46" t="s">
        <v>3426</v>
      </c>
      <c r="O190" s="46" t="s">
        <v>168</v>
      </c>
      <c r="P190" s="46">
        <v>2</v>
      </c>
      <c r="R190" s="46" t="s">
        <v>3555</v>
      </c>
      <c r="S190" s="46" t="s">
        <v>168</v>
      </c>
      <c r="T190" s="46">
        <v>2</v>
      </c>
      <c r="V190" s="46" t="s">
        <v>1161</v>
      </c>
      <c r="W190" s="46" t="s">
        <v>1602</v>
      </c>
      <c r="X190" s="46" t="s">
        <v>1428</v>
      </c>
      <c r="Y190" s="46" t="s">
        <v>1616</v>
      </c>
      <c r="Z190" s="46">
        <v>19</v>
      </c>
      <c r="AA190" s="46">
        <v>96.3</v>
      </c>
      <c r="AB190" s="46">
        <v>11</v>
      </c>
      <c r="AC190" s="46" t="s">
        <v>1617</v>
      </c>
      <c r="AD190" s="46" t="s">
        <v>1618</v>
      </c>
      <c r="AE190" s="46" t="s">
        <v>594</v>
      </c>
      <c r="AF190" s="46" t="s">
        <v>594</v>
      </c>
      <c r="AG190" s="46" t="s">
        <v>1619</v>
      </c>
      <c r="AH190" s="46" t="s">
        <v>2451</v>
      </c>
      <c r="AI190" s="46" t="s">
        <v>2404</v>
      </c>
      <c r="AJ190" s="46" t="s">
        <v>2574</v>
      </c>
      <c r="AK190" s="46">
        <v>10</v>
      </c>
      <c r="AL190" s="46">
        <v>97.9</v>
      </c>
      <c r="AM190" s="46">
        <v>6</v>
      </c>
      <c r="AN190" s="46" t="s">
        <v>2406</v>
      </c>
      <c r="AO190" s="46" t="s">
        <v>2587</v>
      </c>
      <c r="AP190" s="46" t="s">
        <v>595</v>
      </c>
      <c r="AQ190" s="46" t="s">
        <v>595</v>
      </c>
      <c r="AR190" s="46" t="s">
        <v>2588</v>
      </c>
      <c r="AT190" s="48" t="s">
        <v>168</v>
      </c>
      <c r="AU190" s="41">
        <v>0.29680000000000001</v>
      </c>
      <c r="AV190" s="41"/>
      <c r="AW190" s="55">
        <v>3.569</v>
      </c>
      <c r="AX190" s="59">
        <v>1.107</v>
      </c>
      <c r="AY190" s="55">
        <v>3.585</v>
      </c>
      <c r="AZ190" s="50">
        <v>0.157</v>
      </c>
      <c r="BA190" s="43"/>
      <c r="BB190" s="55">
        <v>3.5270000000000001</v>
      </c>
      <c r="BC190" s="49">
        <v>2.3170000000000002</v>
      </c>
      <c r="BD190" s="43"/>
      <c r="BE190" s="41">
        <v>8467</v>
      </c>
      <c r="BF190" s="41">
        <v>67947</v>
      </c>
      <c r="BG190" s="51">
        <v>1</v>
      </c>
      <c r="BH190" s="51">
        <v>1</v>
      </c>
      <c r="BI190" s="52" t="s">
        <v>3286</v>
      </c>
      <c r="BJ190" s="41"/>
      <c r="BK190" s="41">
        <v>122453</v>
      </c>
      <c r="BL190" s="41">
        <v>3286</v>
      </c>
      <c r="BM190" s="51">
        <v>1</v>
      </c>
      <c r="BN190" s="51">
        <v>0</v>
      </c>
      <c r="BO190" s="52" t="s">
        <v>3285</v>
      </c>
      <c r="BP190" s="52" t="s">
        <v>3287</v>
      </c>
      <c r="BQ190" s="43"/>
      <c r="BR190" s="41">
        <v>0.1444</v>
      </c>
      <c r="BS190" s="41">
        <v>4.4699999999999997E-2</v>
      </c>
      <c r="BT190" s="52" t="s">
        <v>3288</v>
      </c>
      <c r="BU190" s="52" t="s">
        <v>3288</v>
      </c>
      <c r="BV190" s="41"/>
      <c r="BW190" s="49">
        <v>3.1429999999999998</v>
      </c>
      <c r="BX190" s="55">
        <v>3.5819999999999999</v>
      </c>
      <c r="BY190" s="41"/>
    </row>
    <row r="191" spans="1:77">
      <c r="A191" s="148">
        <v>2.21</v>
      </c>
      <c r="B191" s="141" t="s">
        <v>383</v>
      </c>
      <c r="C191" s="86" t="s">
        <v>461</v>
      </c>
      <c r="D191" s="133" t="s">
        <v>171</v>
      </c>
      <c r="E191" s="80" t="s">
        <v>172</v>
      </c>
      <c r="F191" s="46" t="s">
        <v>172</v>
      </c>
      <c r="G191" s="46" t="s">
        <v>654</v>
      </c>
      <c r="H191" s="46" t="s">
        <v>655</v>
      </c>
      <c r="I191" s="46" t="s">
        <v>3377</v>
      </c>
      <c r="J191" s="46" t="s">
        <v>3338</v>
      </c>
      <c r="K191" s="46" t="s">
        <v>172</v>
      </c>
      <c r="L191" s="46">
        <v>4</v>
      </c>
      <c r="N191" s="46" t="s">
        <v>3426</v>
      </c>
      <c r="O191" s="46" t="s">
        <v>172</v>
      </c>
      <c r="P191" s="46">
        <v>2</v>
      </c>
      <c r="R191" s="46" t="s">
        <v>3555</v>
      </c>
      <c r="S191" s="46" t="s">
        <v>172</v>
      </c>
      <c r="T191" s="46">
        <v>2</v>
      </c>
      <c r="V191" s="46" t="s">
        <v>1163</v>
      </c>
      <c r="W191" s="46" t="s">
        <v>1602</v>
      </c>
      <c r="X191" s="46" t="s">
        <v>1428</v>
      </c>
      <c r="Y191" s="46" t="s">
        <v>1623</v>
      </c>
      <c r="Z191" s="46">
        <v>19</v>
      </c>
      <c r="AA191" s="46">
        <v>94.2</v>
      </c>
      <c r="AB191" s="46">
        <v>17</v>
      </c>
      <c r="AC191" s="46" t="s">
        <v>1617</v>
      </c>
      <c r="AD191" s="46" t="s">
        <v>1624</v>
      </c>
      <c r="AE191" s="46" t="s">
        <v>654</v>
      </c>
      <c r="AF191" s="46" t="s">
        <v>654</v>
      </c>
      <c r="AG191" s="46" t="s">
        <v>1625</v>
      </c>
      <c r="AH191" s="46" t="s">
        <v>2451</v>
      </c>
      <c r="AI191" s="46" t="s">
        <v>2404</v>
      </c>
      <c r="AJ191" s="46" t="s">
        <v>2574</v>
      </c>
      <c r="AK191" s="46">
        <v>10</v>
      </c>
      <c r="AL191" s="46">
        <v>95.8</v>
      </c>
      <c r="AM191" s="46">
        <v>12</v>
      </c>
      <c r="AN191" s="46" t="s">
        <v>2406</v>
      </c>
      <c r="AO191" s="46" t="s">
        <v>2587</v>
      </c>
      <c r="AP191" s="46" t="s">
        <v>655</v>
      </c>
      <c r="AQ191" s="46" t="s">
        <v>655</v>
      </c>
      <c r="AR191" s="46" t="s">
        <v>2590</v>
      </c>
      <c r="AT191" s="48" t="s">
        <v>172</v>
      </c>
      <c r="AU191" s="41">
        <v>0.2273</v>
      </c>
      <c r="AV191" s="41"/>
      <c r="AW191" s="61">
        <v>3.548</v>
      </c>
      <c r="AX191" s="61">
        <v>3.4910000000000001</v>
      </c>
      <c r="AY191" s="61">
        <v>3.5790000000000002</v>
      </c>
      <c r="AZ191" s="63">
        <v>0.14899999999999999</v>
      </c>
      <c r="BA191" s="42"/>
      <c r="BB191" s="55">
        <v>3.5019999999999998</v>
      </c>
      <c r="BC191" s="49">
        <v>2.4660000000000002</v>
      </c>
      <c r="BD191" s="43"/>
      <c r="BE191" s="41">
        <v>11155</v>
      </c>
      <c r="BF191" s="41">
        <v>85861</v>
      </c>
      <c r="BG191" s="51">
        <v>1</v>
      </c>
      <c r="BH191" s="51">
        <v>1</v>
      </c>
      <c r="BI191" s="52" t="s">
        <v>3286</v>
      </c>
      <c r="BJ191" s="41"/>
      <c r="BK191" s="41">
        <v>4907</v>
      </c>
      <c r="BL191" s="41">
        <v>35009</v>
      </c>
      <c r="BM191" s="51">
        <v>1</v>
      </c>
      <c r="BN191" s="51">
        <v>1</v>
      </c>
      <c r="BO191" s="52" t="s">
        <v>3286</v>
      </c>
      <c r="BP191" s="52" t="s">
        <v>3286</v>
      </c>
      <c r="BQ191" s="43"/>
      <c r="BR191" s="41">
        <v>0.11799999999999999</v>
      </c>
      <c r="BS191" s="41">
        <v>-5.3600000000000002E-2</v>
      </c>
      <c r="BT191" s="52" t="s">
        <v>3288</v>
      </c>
      <c r="BU191" s="52" t="s">
        <v>3288</v>
      </c>
      <c r="BV191" s="41"/>
      <c r="BW191" s="49">
        <v>3.226</v>
      </c>
      <c r="BX191" s="55">
        <v>3.4969999999999999</v>
      </c>
      <c r="BY191" s="41"/>
    </row>
    <row r="192" spans="1:77">
      <c r="A192" s="148">
        <v>2.21</v>
      </c>
      <c r="B192" s="141" t="s">
        <v>382</v>
      </c>
      <c r="C192" s="86" t="s">
        <v>460</v>
      </c>
      <c r="D192" s="133" t="s">
        <v>161</v>
      </c>
      <c r="E192" s="80" t="s">
        <v>162</v>
      </c>
      <c r="F192" s="46" t="s">
        <v>162</v>
      </c>
      <c r="G192" s="46" t="s">
        <v>716</v>
      </c>
      <c r="H192" s="46" t="s">
        <v>717</v>
      </c>
      <c r="I192" s="46" t="s">
        <v>3377</v>
      </c>
      <c r="J192" s="46" t="s">
        <v>3338</v>
      </c>
      <c r="K192" s="46" t="s">
        <v>162</v>
      </c>
      <c r="L192" s="46">
        <v>4</v>
      </c>
      <c r="N192" s="46" t="s">
        <v>3453</v>
      </c>
      <c r="O192" s="46" t="s">
        <v>162</v>
      </c>
      <c r="P192" s="46">
        <v>2</v>
      </c>
      <c r="R192" s="46" t="s">
        <v>3585</v>
      </c>
      <c r="S192" s="46" t="s">
        <v>162</v>
      </c>
      <c r="T192" s="46">
        <v>1</v>
      </c>
      <c r="V192" s="46" t="s">
        <v>1157</v>
      </c>
      <c r="W192" s="46" t="s">
        <v>1602</v>
      </c>
      <c r="X192" s="46" t="s">
        <v>1428</v>
      </c>
      <c r="Y192" s="46" t="s">
        <v>1603</v>
      </c>
      <c r="Z192" s="46">
        <v>19</v>
      </c>
      <c r="AA192" s="46">
        <v>94.2</v>
      </c>
      <c r="AB192" s="46">
        <v>17</v>
      </c>
      <c r="AC192" s="46" t="s">
        <v>1604</v>
      </c>
      <c r="AD192" s="46" t="s">
        <v>1605</v>
      </c>
      <c r="AE192" s="46" t="s">
        <v>716</v>
      </c>
      <c r="AF192" s="46" t="s">
        <v>716</v>
      </c>
      <c r="AG192" s="46" t="s">
        <v>1606</v>
      </c>
      <c r="AH192" s="46" t="s">
        <v>2451</v>
      </c>
      <c r="AI192" s="46" t="s">
        <v>2404</v>
      </c>
      <c r="AJ192" s="46" t="s">
        <v>2574</v>
      </c>
      <c r="AK192" s="46">
        <v>10</v>
      </c>
      <c r="AL192" s="46">
        <v>96.9</v>
      </c>
      <c r="AM192" s="46">
        <v>9</v>
      </c>
      <c r="AN192" s="46" t="s">
        <v>2406</v>
      </c>
      <c r="AO192" s="46" t="s">
        <v>2575</v>
      </c>
      <c r="AP192" s="46" t="s">
        <v>717</v>
      </c>
      <c r="AQ192" s="46" t="s">
        <v>717</v>
      </c>
      <c r="AR192" s="46" t="s">
        <v>2576</v>
      </c>
      <c r="AT192" s="48" t="s">
        <v>162</v>
      </c>
      <c r="AU192" s="41">
        <v>0.1915</v>
      </c>
      <c r="AV192" s="41"/>
      <c r="AW192" s="55">
        <v>3.53</v>
      </c>
      <c r="AX192" s="59">
        <v>0.90300000000000002</v>
      </c>
      <c r="AY192" s="55">
        <v>3.5579999999999998</v>
      </c>
      <c r="AZ192" s="50">
        <v>0.13</v>
      </c>
      <c r="BA192" s="43"/>
      <c r="BB192" s="55">
        <v>3.52</v>
      </c>
      <c r="BC192" s="49">
        <v>2.4049999999999998</v>
      </c>
      <c r="BD192" s="43"/>
      <c r="BE192" s="41">
        <v>19519</v>
      </c>
      <c r="BF192" s="41">
        <v>80896</v>
      </c>
      <c r="BG192" s="51">
        <v>1</v>
      </c>
      <c r="BH192" s="51">
        <v>1</v>
      </c>
      <c r="BI192" s="52" t="s">
        <v>3286</v>
      </c>
      <c r="BJ192" s="41"/>
      <c r="BK192" s="41">
        <v>3371.5</v>
      </c>
      <c r="BL192" s="41">
        <v>108362.5</v>
      </c>
      <c r="BM192" s="51">
        <v>0</v>
      </c>
      <c r="BN192" s="51">
        <v>1</v>
      </c>
      <c r="BO192" s="52" t="s">
        <v>3286</v>
      </c>
      <c r="BP192" s="52" t="s">
        <v>3286</v>
      </c>
      <c r="BQ192" s="43"/>
      <c r="BR192" s="41">
        <v>-7.6499999999999999E-2</v>
      </c>
      <c r="BS192" s="41">
        <v>-3.6499999999999998E-2</v>
      </c>
      <c r="BT192" s="52" t="s">
        <v>3288</v>
      </c>
      <c r="BU192" s="52" t="s">
        <v>3288</v>
      </c>
      <c r="BV192" s="41"/>
      <c r="BW192" s="58">
        <v>2.9180000000000001</v>
      </c>
      <c r="BX192" s="55">
        <v>3.4660000000000002</v>
      </c>
      <c r="BY192" s="41"/>
    </row>
    <row r="193" spans="1:77" ht="17" thickBot="1">
      <c r="A193" s="148">
        <v>2.21</v>
      </c>
      <c r="B193" s="141" t="s">
        <v>382</v>
      </c>
      <c r="C193" s="86" t="s">
        <v>460</v>
      </c>
      <c r="D193" s="133" t="s">
        <v>163</v>
      </c>
      <c r="E193" s="80" t="s">
        <v>164</v>
      </c>
      <c r="F193" s="46" t="s">
        <v>163</v>
      </c>
      <c r="G193" s="46" t="s">
        <v>1043</v>
      </c>
      <c r="H193" s="46" t="s">
        <v>1044</v>
      </c>
      <c r="I193" s="46" t="s">
        <v>3377</v>
      </c>
      <c r="J193" s="46" t="s">
        <v>3338</v>
      </c>
      <c r="K193" s="46" t="s">
        <v>163</v>
      </c>
      <c r="L193" s="46">
        <v>4</v>
      </c>
      <c r="N193" s="46" t="s">
        <v>3453</v>
      </c>
      <c r="O193" s="46" t="s">
        <v>163</v>
      </c>
      <c r="P193" s="46">
        <v>2</v>
      </c>
      <c r="R193" s="46" t="s">
        <v>3639</v>
      </c>
      <c r="S193" s="46" t="s">
        <v>163</v>
      </c>
      <c r="T193" s="46">
        <v>1</v>
      </c>
      <c r="V193" s="46" t="s">
        <v>1159</v>
      </c>
      <c r="W193" s="46" t="s">
        <v>1602</v>
      </c>
      <c r="X193" s="46" t="s">
        <v>1428</v>
      </c>
      <c r="Y193" s="46" t="s">
        <v>1610</v>
      </c>
      <c r="Z193" s="46">
        <v>19</v>
      </c>
      <c r="AA193" s="46">
        <v>96.9</v>
      </c>
      <c r="AB193" s="46">
        <v>9</v>
      </c>
      <c r="AC193" s="46" t="s">
        <v>1604</v>
      </c>
      <c r="AD193" s="46" t="s">
        <v>1611</v>
      </c>
      <c r="AE193" s="46" t="s">
        <v>1043</v>
      </c>
      <c r="AF193" s="46" t="s">
        <v>1043</v>
      </c>
      <c r="AG193" s="46" t="s">
        <v>1612</v>
      </c>
      <c r="AH193" s="46" t="s">
        <v>2451</v>
      </c>
      <c r="AI193" s="46" t="s">
        <v>2404</v>
      </c>
      <c r="AJ193" s="46" t="s">
        <v>2581</v>
      </c>
      <c r="AK193" s="46">
        <v>10</v>
      </c>
      <c r="AL193" s="46">
        <v>96.9</v>
      </c>
      <c r="AM193" s="46">
        <v>9</v>
      </c>
      <c r="AN193" s="46" t="s">
        <v>2406</v>
      </c>
      <c r="AO193" s="46" t="s">
        <v>2582</v>
      </c>
      <c r="AP193" s="46" t="s">
        <v>1044</v>
      </c>
      <c r="AQ193" s="46" t="s">
        <v>1044</v>
      </c>
      <c r="AR193" s="46" t="s">
        <v>2583</v>
      </c>
      <c r="AT193" s="48" t="s">
        <v>164</v>
      </c>
      <c r="AU193" s="41">
        <v>0.1022</v>
      </c>
      <c r="AV193" s="41"/>
      <c r="AW193" s="55">
        <v>3.6160000000000001</v>
      </c>
      <c r="AX193" s="65">
        <v>2.2799999999999998</v>
      </c>
      <c r="AY193" s="55">
        <v>3.5489999999999999</v>
      </c>
      <c r="AZ193" s="50">
        <v>0.14799999999999999</v>
      </c>
      <c r="BA193" s="43"/>
      <c r="BB193" s="55">
        <v>3.5739999999999998</v>
      </c>
      <c r="BC193" s="49">
        <v>2.359</v>
      </c>
      <c r="BD193" s="43"/>
      <c r="BE193" s="41">
        <v>16416</v>
      </c>
      <c r="BF193" s="41">
        <v>113402</v>
      </c>
      <c r="BG193" s="51">
        <v>1</v>
      </c>
      <c r="BH193" s="51">
        <v>1</v>
      </c>
      <c r="BI193" s="52" t="s">
        <v>3286</v>
      </c>
      <c r="BJ193" s="41"/>
      <c r="BK193" s="41">
        <v>4628.5</v>
      </c>
      <c r="BL193" s="41">
        <v>132697.5</v>
      </c>
      <c r="BM193" s="51">
        <v>0</v>
      </c>
      <c r="BN193" s="51">
        <v>1</v>
      </c>
      <c r="BO193" s="52" t="s">
        <v>3286</v>
      </c>
      <c r="BP193" s="52" t="s">
        <v>3286</v>
      </c>
      <c r="BQ193" s="43"/>
      <c r="BR193" s="41">
        <v>-6.08E-2</v>
      </c>
      <c r="BS193" s="41">
        <v>-4.7199999999999999E-2</v>
      </c>
      <c r="BT193" s="52" t="s">
        <v>3288</v>
      </c>
      <c r="BU193" s="52" t="s">
        <v>3288</v>
      </c>
      <c r="BV193" s="41"/>
      <c r="BW193" s="49">
        <v>3.1509999999999998</v>
      </c>
      <c r="BX193" s="55">
        <v>3.5230000000000001</v>
      </c>
      <c r="BY193" s="41"/>
    </row>
    <row r="194" spans="1:77" s="81" customFormat="1">
      <c r="A194" s="147">
        <v>2.2200000000000002</v>
      </c>
      <c r="B194" s="140" t="s">
        <v>390</v>
      </c>
      <c r="C194" s="120" t="s">
        <v>468</v>
      </c>
      <c r="D194" s="132" t="s">
        <v>216</v>
      </c>
      <c r="E194" s="82" t="s">
        <v>216</v>
      </c>
      <c r="F194" s="81" t="s">
        <v>216</v>
      </c>
      <c r="G194" s="81" t="s">
        <v>857</v>
      </c>
      <c r="H194" s="81" t="s">
        <v>858</v>
      </c>
      <c r="I194" s="81" t="s">
        <v>3377</v>
      </c>
      <c r="J194" s="81" t="s">
        <v>3356</v>
      </c>
      <c r="K194" s="81" t="s">
        <v>216</v>
      </c>
      <c r="L194" s="81">
        <v>3</v>
      </c>
      <c r="N194" s="81" t="s">
        <v>3451</v>
      </c>
      <c r="O194" s="81" t="s">
        <v>216</v>
      </c>
      <c r="P194" s="81">
        <v>3</v>
      </c>
      <c r="R194" s="81" t="s">
        <v>3583</v>
      </c>
      <c r="S194" s="81" t="s">
        <v>216</v>
      </c>
      <c r="T194" s="81">
        <v>2</v>
      </c>
      <c r="V194" s="81" t="s">
        <v>1205</v>
      </c>
      <c r="W194" s="81" t="s">
        <v>1420</v>
      </c>
      <c r="X194" s="81" t="s">
        <v>1767</v>
      </c>
      <c r="Y194" s="81" t="s">
        <v>1768</v>
      </c>
      <c r="Z194" s="81">
        <v>17</v>
      </c>
      <c r="AA194" s="81">
        <v>91.2</v>
      </c>
      <c r="AB194" s="81">
        <v>26</v>
      </c>
      <c r="AC194" s="81" t="s">
        <v>1563</v>
      </c>
      <c r="AD194" s="81" t="s">
        <v>1769</v>
      </c>
      <c r="AE194" s="81" t="s">
        <v>1770</v>
      </c>
      <c r="AF194" s="81" t="s">
        <v>857</v>
      </c>
      <c r="AG194" s="81" t="s">
        <v>1771</v>
      </c>
      <c r="AH194" s="81" t="s">
        <v>2710</v>
      </c>
      <c r="AI194" s="81" t="s">
        <v>2433</v>
      </c>
      <c r="AJ194" s="81" t="s">
        <v>2711</v>
      </c>
      <c r="AK194" s="81">
        <v>10</v>
      </c>
      <c r="AL194" s="81">
        <v>93.6</v>
      </c>
      <c r="AM194" s="81">
        <v>19</v>
      </c>
      <c r="AN194" s="81" t="s">
        <v>2406</v>
      </c>
      <c r="AO194" s="81" t="s">
        <v>2712</v>
      </c>
      <c r="AP194" s="81" t="s">
        <v>2713</v>
      </c>
      <c r="AQ194" s="81" t="s">
        <v>858</v>
      </c>
      <c r="AR194" s="81" t="s">
        <v>2714</v>
      </c>
      <c r="AT194" s="83" t="s">
        <v>216</v>
      </c>
      <c r="AU194" s="33">
        <v>0.44059999999999999</v>
      </c>
      <c r="AV194" s="33"/>
      <c r="AW194" s="100">
        <v>3.593</v>
      </c>
      <c r="AX194" s="100">
        <v>3.5230000000000001</v>
      </c>
      <c r="AY194" s="87">
        <v>0.17799999999999999</v>
      </c>
      <c r="AZ194" s="87">
        <v>0.14799999999999999</v>
      </c>
      <c r="BA194" s="34"/>
      <c r="BB194" s="100">
        <v>3.472</v>
      </c>
      <c r="BC194" s="100">
        <v>2.427</v>
      </c>
      <c r="BD194" s="34"/>
      <c r="BE194" s="33">
        <v>3254</v>
      </c>
      <c r="BF194" s="33">
        <v>62283</v>
      </c>
      <c r="BG194" s="88">
        <v>0</v>
      </c>
      <c r="BH194" s="88">
        <v>1</v>
      </c>
      <c r="BI194" s="89" t="s">
        <v>3286</v>
      </c>
      <c r="BJ194" s="33"/>
      <c r="BK194" s="33">
        <v>3632</v>
      </c>
      <c r="BL194" s="33">
        <v>29423</v>
      </c>
      <c r="BM194" s="88">
        <v>0</v>
      </c>
      <c r="BN194" s="88">
        <v>1</v>
      </c>
      <c r="BO194" s="89" t="s">
        <v>3286</v>
      </c>
      <c r="BP194" s="89" t="s">
        <v>3286</v>
      </c>
      <c r="BQ194" s="34"/>
      <c r="BR194" s="33">
        <v>2.6956000000000002</v>
      </c>
      <c r="BS194" s="33">
        <v>1.0771999999999999</v>
      </c>
      <c r="BT194" s="89" t="s">
        <v>3290</v>
      </c>
      <c r="BU194" s="89" t="s">
        <v>3290</v>
      </c>
      <c r="BV194" s="33"/>
      <c r="BW194" s="100">
        <v>3.49</v>
      </c>
      <c r="BX194" s="101">
        <v>2.7850000000000001</v>
      </c>
      <c r="BY194" s="33"/>
    </row>
    <row r="195" spans="1:77">
      <c r="A195" s="148">
        <v>2.2200000000000002</v>
      </c>
      <c r="B195" s="141" t="s">
        <v>390</v>
      </c>
      <c r="C195" s="86" t="s">
        <v>468</v>
      </c>
      <c r="D195" s="133" t="s">
        <v>219</v>
      </c>
      <c r="E195" s="80" t="s">
        <v>219</v>
      </c>
      <c r="F195" s="46" t="s">
        <v>219</v>
      </c>
      <c r="G195" s="46" t="s">
        <v>696</v>
      </c>
      <c r="H195" s="46" t="s">
        <v>697</v>
      </c>
      <c r="I195" s="46" t="s">
        <v>3377</v>
      </c>
      <c r="J195" s="46" t="s">
        <v>3356</v>
      </c>
      <c r="K195" s="46" t="s">
        <v>219</v>
      </c>
      <c r="L195" s="46">
        <v>3</v>
      </c>
      <c r="N195" s="46" t="s">
        <v>3451</v>
      </c>
      <c r="O195" s="46" t="s">
        <v>219</v>
      </c>
      <c r="P195" s="46">
        <v>3</v>
      </c>
      <c r="R195" s="46" t="s">
        <v>3583</v>
      </c>
      <c r="S195" s="46" t="s">
        <v>219</v>
      </c>
      <c r="T195" s="46">
        <v>2</v>
      </c>
      <c r="V195" s="46" t="s">
        <v>1207</v>
      </c>
      <c r="W195" s="46" t="s">
        <v>1420</v>
      </c>
      <c r="X195" s="46" t="s">
        <v>1767</v>
      </c>
      <c r="Y195" s="46" t="s">
        <v>1775</v>
      </c>
      <c r="Z195" s="46">
        <v>17</v>
      </c>
      <c r="AA195" s="46">
        <v>93.9</v>
      </c>
      <c r="AB195" s="46">
        <v>18</v>
      </c>
      <c r="AC195" s="46" t="s">
        <v>1563</v>
      </c>
      <c r="AD195" s="46" t="s">
        <v>1776</v>
      </c>
      <c r="AE195" s="46" t="s">
        <v>696</v>
      </c>
      <c r="AF195" s="46" t="s">
        <v>696</v>
      </c>
      <c r="AG195" s="46" t="s">
        <v>1777</v>
      </c>
      <c r="AH195" s="46" t="s">
        <v>2710</v>
      </c>
      <c r="AI195" s="46" t="s">
        <v>2433</v>
      </c>
      <c r="AJ195" s="46" t="s">
        <v>2711</v>
      </c>
      <c r="AK195" s="46">
        <v>10</v>
      </c>
      <c r="AL195" s="46">
        <v>95.6</v>
      </c>
      <c r="AM195" s="46">
        <v>13</v>
      </c>
      <c r="AN195" s="46" t="s">
        <v>2406</v>
      </c>
      <c r="AO195" s="46" t="s">
        <v>2712</v>
      </c>
      <c r="AP195" s="46" t="s">
        <v>697</v>
      </c>
      <c r="AQ195" s="46" t="s">
        <v>697</v>
      </c>
      <c r="AR195" s="46" t="s">
        <v>2718</v>
      </c>
      <c r="AT195" s="48" t="s">
        <v>219</v>
      </c>
      <c r="AU195" s="41">
        <v>0.2626</v>
      </c>
      <c r="AV195" s="41"/>
      <c r="AW195" s="61">
        <v>3.6190000000000002</v>
      </c>
      <c r="AX195" s="61">
        <v>3.4950000000000001</v>
      </c>
      <c r="AY195" s="71">
        <v>3.327</v>
      </c>
      <c r="AZ195" s="63">
        <v>0.157</v>
      </c>
      <c r="BA195" s="42"/>
      <c r="BB195" s="50">
        <v>0.115</v>
      </c>
      <c r="BC195" s="59">
        <v>0.71799999999999997</v>
      </c>
      <c r="BD195" s="43"/>
      <c r="BE195" s="41">
        <v>32821</v>
      </c>
      <c r="BF195" s="41">
        <v>203367</v>
      </c>
      <c r="BG195" s="51">
        <v>1</v>
      </c>
      <c r="BH195" s="51">
        <v>1</v>
      </c>
      <c r="BI195" s="52" t="s">
        <v>3286</v>
      </c>
      <c r="BJ195" s="41"/>
      <c r="BK195" s="41">
        <v>11682</v>
      </c>
      <c r="BL195" s="41">
        <v>24835</v>
      </c>
      <c r="BM195" s="51">
        <v>1</v>
      </c>
      <c r="BN195" s="51">
        <v>1</v>
      </c>
      <c r="BO195" s="52" t="s">
        <v>3286</v>
      </c>
      <c r="BP195" s="52" t="s">
        <v>3286</v>
      </c>
      <c r="BQ195" s="43"/>
      <c r="BR195" s="41">
        <v>1.7789999999999999</v>
      </c>
      <c r="BS195" s="41">
        <v>1.5558000000000001</v>
      </c>
      <c r="BT195" s="52" t="s">
        <v>3290</v>
      </c>
      <c r="BU195" s="52" t="s">
        <v>3290</v>
      </c>
      <c r="BV195" s="41"/>
      <c r="BW195" s="55">
        <v>3.4750000000000001</v>
      </c>
      <c r="BX195" s="55">
        <v>3.47</v>
      </c>
      <c r="BY195" s="41"/>
    </row>
    <row r="196" spans="1:77" s="40" customFormat="1" ht="17" thickBot="1">
      <c r="A196" s="149">
        <v>2.2200000000000002</v>
      </c>
      <c r="B196" s="142" t="s">
        <v>390</v>
      </c>
      <c r="C196" s="121" t="s">
        <v>468</v>
      </c>
      <c r="D196" s="134" t="s">
        <v>217</v>
      </c>
      <c r="E196" s="84" t="s">
        <v>218</v>
      </c>
      <c r="F196" s="40" t="s">
        <v>217</v>
      </c>
      <c r="G196" s="40" t="s">
        <v>1097</v>
      </c>
      <c r="H196" s="40" t="s">
        <v>1098</v>
      </c>
      <c r="I196" s="40" t="s">
        <v>3377</v>
      </c>
      <c r="J196" s="40" t="s">
        <v>3356</v>
      </c>
      <c r="K196" s="40" t="s">
        <v>217</v>
      </c>
      <c r="L196" s="40">
        <v>3</v>
      </c>
      <c r="N196" s="40" t="s">
        <v>3451</v>
      </c>
      <c r="O196" s="40" t="s">
        <v>217</v>
      </c>
      <c r="P196" s="40">
        <v>3</v>
      </c>
      <c r="R196" s="40" t="s">
        <v>3661</v>
      </c>
      <c r="S196" s="40" t="s">
        <v>217</v>
      </c>
      <c r="T196" s="40">
        <v>1</v>
      </c>
      <c r="V196" s="40" t="s">
        <v>1206</v>
      </c>
      <c r="W196" s="40" t="s">
        <v>1420</v>
      </c>
      <c r="X196" s="40" t="s">
        <v>1767</v>
      </c>
      <c r="Y196" s="40" t="s">
        <v>1772</v>
      </c>
      <c r="Z196" s="40">
        <v>17</v>
      </c>
      <c r="AA196" s="40">
        <v>98.6</v>
      </c>
      <c r="AB196" s="40">
        <v>4</v>
      </c>
      <c r="AC196" s="40" t="s">
        <v>1697</v>
      </c>
      <c r="AD196" s="40" t="s">
        <v>1773</v>
      </c>
      <c r="AE196" s="40" t="s">
        <v>1097</v>
      </c>
      <c r="AF196" s="40" t="s">
        <v>1097</v>
      </c>
      <c r="AG196" s="40" t="s">
        <v>1774</v>
      </c>
      <c r="AH196" s="40" t="s">
        <v>2710</v>
      </c>
      <c r="AI196" s="40" t="s">
        <v>2433</v>
      </c>
      <c r="AJ196" s="40" t="s">
        <v>2715</v>
      </c>
      <c r="AK196" s="40">
        <v>12</v>
      </c>
      <c r="AL196" s="40">
        <v>99.3</v>
      </c>
      <c r="AM196" s="40">
        <v>2</v>
      </c>
      <c r="AN196" s="40" t="s">
        <v>2406</v>
      </c>
      <c r="AO196" s="40" t="s">
        <v>2716</v>
      </c>
      <c r="AP196" s="40" t="s">
        <v>1098</v>
      </c>
      <c r="AQ196" s="40" t="s">
        <v>1098</v>
      </c>
      <c r="AR196" s="40" t="s">
        <v>2717</v>
      </c>
      <c r="AT196" s="85" t="s">
        <v>218</v>
      </c>
      <c r="AU196" s="35">
        <v>0.27550000000000002</v>
      </c>
      <c r="AV196" s="35"/>
      <c r="AW196" s="102">
        <v>3.5979999999999999</v>
      </c>
      <c r="AX196" s="102">
        <v>3.5819999999999999</v>
      </c>
      <c r="AY196" s="90">
        <v>0.13700000000000001</v>
      </c>
      <c r="AZ196" s="90">
        <v>0.14599999999999999</v>
      </c>
      <c r="BA196" s="37"/>
      <c r="BB196" s="102">
        <v>3.5350000000000001</v>
      </c>
      <c r="BC196" s="110">
        <v>2.35</v>
      </c>
      <c r="BD196" s="37"/>
      <c r="BE196" s="35">
        <v>92000.5</v>
      </c>
      <c r="BF196" s="35">
        <v>79655</v>
      </c>
      <c r="BG196" s="93">
        <v>1</v>
      </c>
      <c r="BH196" s="93">
        <v>1</v>
      </c>
      <c r="BI196" s="94" t="s">
        <v>3289</v>
      </c>
      <c r="BJ196" s="35"/>
      <c r="BK196" s="35">
        <v>21781</v>
      </c>
      <c r="BL196" s="35">
        <v>5638</v>
      </c>
      <c r="BM196" s="93">
        <v>1</v>
      </c>
      <c r="BN196" s="93">
        <v>1</v>
      </c>
      <c r="BO196" s="94" t="s">
        <v>3285</v>
      </c>
      <c r="BP196" s="94" t="s">
        <v>3287</v>
      </c>
      <c r="BQ196" s="37"/>
      <c r="BR196" s="35">
        <v>1.1386000000000001</v>
      </c>
      <c r="BS196" s="35">
        <v>2.0849000000000002</v>
      </c>
      <c r="BT196" s="94" t="s">
        <v>3290</v>
      </c>
      <c r="BU196" s="94" t="s">
        <v>3290</v>
      </c>
      <c r="BV196" s="35"/>
      <c r="BW196" s="102">
        <v>3.4569999999999999</v>
      </c>
      <c r="BX196" s="107">
        <v>2.5219999999999998</v>
      </c>
      <c r="BY196" s="35"/>
    </row>
    <row r="197" spans="1:77" s="81" customFormat="1">
      <c r="A197" s="147">
        <v>2.23</v>
      </c>
      <c r="B197" s="140" t="s">
        <v>391</v>
      </c>
      <c r="C197" s="120" t="s">
        <v>469</v>
      </c>
      <c r="D197" s="132" t="s">
        <v>220</v>
      </c>
      <c r="E197" s="82" t="s">
        <v>220</v>
      </c>
      <c r="F197" s="81" t="s">
        <v>220</v>
      </c>
      <c r="G197" s="81" t="s">
        <v>735</v>
      </c>
      <c r="H197" s="81" t="s">
        <v>736</v>
      </c>
      <c r="I197" s="81" t="s">
        <v>3377</v>
      </c>
      <c r="J197" s="81" t="s">
        <v>3344</v>
      </c>
      <c r="K197" s="81" t="s">
        <v>220</v>
      </c>
      <c r="L197" s="81">
        <v>3</v>
      </c>
      <c r="N197" s="81" t="s">
        <v>3434</v>
      </c>
      <c r="O197" s="81" t="s">
        <v>220</v>
      </c>
      <c r="P197" s="81">
        <v>2</v>
      </c>
      <c r="R197" s="81" t="s">
        <v>3591</v>
      </c>
      <c r="S197" s="81" t="s">
        <v>220</v>
      </c>
      <c r="T197" s="81">
        <v>1</v>
      </c>
      <c r="V197" s="81" t="s">
        <v>1208</v>
      </c>
      <c r="W197" s="81" t="s">
        <v>1412</v>
      </c>
      <c r="X197" s="81" t="s">
        <v>1421</v>
      </c>
      <c r="Y197" s="81" t="s">
        <v>1778</v>
      </c>
      <c r="Z197" s="81">
        <v>17</v>
      </c>
      <c r="AA197" s="81">
        <v>92.6</v>
      </c>
      <c r="AB197" s="81">
        <v>22</v>
      </c>
      <c r="AC197" s="81" t="s">
        <v>1445</v>
      </c>
      <c r="AD197" s="81" t="s">
        <v>1779</v>
      </c>
      <c r="AE197" s="81" t="s">
        <v>1780</v>
      </c>
      <c r="AF197" s="81" t="s">
        <v>735</v>
      </c>
      <c r="AG197" s="81" t="s">
        <v>1781</v>
      </c>
      <c r="AH197" s="81" t="s">
        <v>2719</v>
      </c>
      <c r="AI197" s="81" t="s">
        <v>2508</v>
      </c>
      <c r="AJ197" s="81" t="s">
        <v>2720</v>
      </c>
      <c r="AK197" s="81">
        <v>11</v>
      </c>
      <c r="AL197" s="81">
        <v>95.9</v>
      </c>
      <c r="AM197" s="81">
        <v>12</v>
      </c>
      <c r="AN197" s="81" t="s">
        <v>2406</v>
      </c>
      <c r="AO197" s="81" t="s">
        <v>2721</v>
      </c>
      <c r="AP197" s="81" t="s">
        <v>2722</v>
      </c>
      <c r="AQ197" s="81" t="s">
        <v>736</v>
      </c>
      <c r="AR197" s="81" t="s">
        <v>2723</v>
      </c>
      <c r="AT197" s="83" t="s">
        <v>220</v>
      </c>
      <c r="AU197" s="33">
        <v>2.955E-2</v>
      </c>
      <c r="AV197" s="33"/>
      <c r="AW197" s="100">
        <v>3.6179999999999999</v>
      </c>
      <c r="AX197" s="100">
        <v>3.6019999999999999</v>
      </c>
      <c r="AY197" s="87">
        <v>0.125</v>
      </c>
      <c r="AZ197" s="87">
        <v>0.14099999999999999</v>
      </c>
      <c r="BA197" s="34"/>
      <c r="BB197" s="100">
        <v>3.653</v>
      </c>
      <c r="BC197" s="100">
        <v>2.4220000000000002</v>
      </c>
      <c r="BD197" s="34"/>
      <c r="BE197" s="33">
        <v>56963.5</v>
      </c>
      <c r="BF197" s="33">
        <v>220962</v>
      </c>
      <c r="BG197" s="88">
        <v>1</v>
      </c>
      <c r="BH197" s="88">
        <v>1</v>
      </c>
      <c r="BI197" s="89" t="s">
        <v>3286</v>
      </c>
      <c r="BJ197" s="33"/>
      <c r="BK197" s="33">
        <v>23223</v>
      </c>
      <c r="BL197" s="33">
        <v>5894</v>
      </c>
      <c r="BM197" s="88">
        <v>1</v>
      </c>
      <c r="BN197" s="88">
        <v>1</v>
      </c>
      <c r="BO197" s="89" t="s">
        <v>3285</v>
      </c>
      <c r="BP197" s="89" t="s">
        <v>3287</v>
      </c>
      <c r="BQ197" s="34"/>
      <c r="BR197" s="33">
        <v>0.1037</v>
      </c>
      <c r="BS197" s="33">
        <v>7.6700000000000004E-2</v>
      </c>
      <c r="BT197" s="89" t="s">
        <v>3288</v>
      </c>
      <c r="BU197" s="89" t="s">
        <v>3288</v>
      </c>
      <c r="BV197" s="33"/>
      <c r="BW197" s="100">
        <v>3.5259999999999998</v>
      </c>
      <c r="BX197" s="101">
        <v>2.665</v>
      </c>
      <c r="BY197" s="33"/>
    </row>
    <row r="198" spans="1:77">
      <c r="A198" s="148">
        <v>2.23</v>
      </c>
      <c r="B198" s="141" t="s">
        <v>391</v>
      </c>
      <c r="C198" s="86" t="s">
        <v>469</v>
      </c>
      <c r="D198" s="133" t="s">
        <v>221</v>
      </c>
      <c r="E198" s="80" t="s">
        <v>221</v>
      </c>
      <c r="F198" s="46" t="s">
        <v>221</v>
      </c>
      <c r="G198" s="46" t="s">
        <v>629</v>
      </c>
      <c r="H198" s="46" t="s">
        <v>630</v>
      </c>
      <c r="I198" s="46" t="s">
        <v>3377</v>
      </c>
      <c r="J198" s="46" t="s">
        <v>3344</v>
      </c>
      <c r="K198" s="46" t="s">
        <v>221</v>
      </c>
      <c r="L198" s="46">
        <v>3</v>
      </c>
      <c r="N198" s="46" t="s">
        <v>3434</v>
      </c>
      <c r="O198" s="46" t="s">
        <v>221</v>
      </c>
      <c r="P198" s="46">
        <v>2</v>
      </c>
      <c r="R198" s="46" t="s">
        <v>3564</v>
      </c>
      <c r="S198" s="46" t="s">
        <v>221</v>
      </c>
      <c r="T198" s="46">
        <v>1</v>
      </c>
      <c r="V198" s="46" t="s">
        <v>1210</v>
      </c>
      <c r="W198" s="46" t="s">
        <v>1412</v>
      </c>
      <c r="X198" s="46" t="s">
        <v>1421</v>
      </c>
      <c r="Y198" s="46" t="s">
        <v>1783</v>
      </c>
      <c r="Z198" s="46">
        <v>17</v>
      </c>
      <c r="AA198" s="46">
        <v>95.3</v>
      </c>
      <c r="AB198" s="46">
        <v>14</v>
      </c>
      <c r="AC198" s="46" t="s">
        <v>1454</v>
      </c>
      <c r="AD198" s="46" t="s">
        <v>1784</v>
      </c>
      <c r="AE198" s="46" t="s">
        <v>629</v>
      </c>
      <c r="AF198" s="46" t="s">
        <v>629</v>
      </c>
      <c r="AG198" s="46" t="s">
        <v>1785</v>
      </c>
      <c r="AH198" s="46" t="s">
        <v>2719</v>
      </c>
      <c r="AI198" s="46" t="s">
        <v>2508</v>
      </c>
      <c r="AJ198" s="46" t="s">
        <v>2724</v>
      </c>
      <c r="AK198" s="46">
        <v>11</v>
      </c>
      <c r="AL198" s="46">
        <v>99.3</v>
      </c>
      <c r="AM198" s="46">
        <v>2</v>
      </c>
      <c r="AN198" s="46" t="s">
        <v>2406</v>
      </c>
      <c r="AO198" s="46" t="s">
        <v>2725</v>
      </c>
      <c r="AP198" s="46" t="s">
        <v>2726</v>
      </c>
      <c r="AQ198" s="46" t="s">
        <v>630</v>
      </c>
      <c r="AR198" s="46" t="s">
        <v>2727</v>
      </c>
      <c r="AT198" s="48" t="s">
        <v>221</v>
      </c>
      <c r="AU198" s="41">
        <v>0.35170000000000001</v>
      </c>
      <c r="AV198" s="41"/>
      <c r="AW198" s="55">
        <v>3.617</v>
      </c>
      <c r="AX198" s="55">
        <v>3.601</v>
      </c>
      <c r="AY198" s="50">
        <v>0.13</v>
      </c>
      <c r="AZ198" s="50">
        <v>0.13500000000000001</v>
      </c>
      <c r="BA198" s="43"/>
      <c r="BB198" s="55">
        <v>3.532</v>
      </c>
      <c r="BC198" s="49">
        <v>2.2530000000000001</v>
      </c>
      <c r="BD198" s="43"/>
      <c r="BE198" s="41">
        <v>130652</v>
      </c>
      <c r="BF198" s="41">
        <v>87411</v>
      </c>
      <c r="BG198" s="51">
        <v>1</v>
      </c>
      <c r="BH198" s="51">
        <v>1</v>
      </c>
      <c r="BI198" s="52" t="s">
        <v>3285</v>
      </c>
      <c r="BJ198" s="41"/>
      <c r="BK198" s="41">
        <v>19514</v>
      </c>
      <c r="BL198" s="41">
        <v>2418</v>
      </c>
      <c r="BM198" s="51">
        <v>1</v>
      </c>
      <c r="BN198" s="51">
        <v>0</v>
      </c>
      <c r="BO198" s="52" t="s">
        <v>3285</v>
      </c>
      <c r="BP198" s="52" t="s">
        <v>3285</v>
      </c>
      <c r="BQ198" s="43"/>
      <c r="BR198" s="41">
        <v>2.1095999999999999</v>
      </c>
      <c r="BS198" s="41">
        <v>1.5359</v>
      </c>
      <c r="BT198" s="52" t="s">
        <v>3290</v>
      </c>
      <c r="BU198" s="52" t="s">
        <v>3290</v>
      </c>
      <c r="BV198" s="41"/>
      <c r="BW198" s="55">
        <v>3.54</v>
      </c>
      <c r="BX198" s="60">
        <v>2.524</v>
      </c>
      <c r="BY198" s="41"/>
    </row>
    <row r="199" spans="1:77" s="40" customFormat="1" ht="17" thickBot="1">
      <c r="A199" s="149">
        <v>2.23</v>
      </c>
      <c r="B199" s="142" t="s">
        <v>391</v>
      </c>
      <c r="C199" s="121" t="s">
        <v>469</v>
      </c>
      <c r="D199" s="134" t="s">
        <v>222</v>
      </c>
      <c r="E199" s="84" t="s">
        <v>222</v>
      </c>
      <c r="F199" s="40" t="s">
        <v>222</v>
      </c>
      <c r="G199" s="40" t="s">
        <v>953</v>
      </c>
      <c r="H199" s="40" t="s">
        <v>954</v>
      </c>
      <c r="I199" s="40" t="s">
        <v>3377</v>
      </c>
      <c r="J199" s="40" t="s">
        <v>3344</v>
      </c>
      <c r="K199" s="40" t="s">
        <v>222</v>
      </c>
      <c r="L199" s="40">
        <v>3</v>
      </c>
      <c r="N199" s="40" t="s">
        <v>3480</v>
      </c>
      <c r="O199" s="40" t="s">
        <v>222</v>
      </c>
      <c r="P199" s="40">
        <v>1</v>
      </c>
      <c r="R199" s="40" t="s">
        <v>3623</v>
      </c>
      <c r="S199" s="40" t="s">
        <v>222</v>
      </c>
      <c r="T199" s="40">
        <v>1</v>
      </c>
      <c r="V199" s="40" t="s">
        <v>1211</v>
      </c>
      <c r="W199" s="40" t="s">
        <v>1412</v>
      </c>
      <c r="X199" s="40" t="s">
        <v>1421</v>
      </c>
      <c r="Y199" s="40" t="s">
        <v>1786</v>
      </c>
      <c r="Z199" s="40">
        <v>17</v>
      </c>
      <c r="AA199" s="40">
        <v>95.9</v>
      </c>
      <c r="AB199" s="40">
        <v>12</v>
      </c>
      <c r="AC199" s="40" t="s">
        <v>1617</v>
      </c>
      <c r="AD199" s="40" t="s">
        <v>1787</v>
      </c>
      <c r="AE199" s="40" t="s">
        <v>953</v>
      </c>
      <c r="AF199" s="40" t="s">
        <v>953</v>
      </c>
      <c r="AG199" s="40" t="s">
        <v>1788</v>
      </c>
      <c r="AH199" s="40" t="s">
        <v>2719</v>
      </c>
      <c r="AI199" s="40" t="s">
        <v>2508</v>
      </c>
      <c r="AJ199" s="40" t="s">
        <v>2728</v>
      </c>
      <c r="AK199" s="40">
        <v>11</v>
      </c>
      <c r="AL199" s="40">
        <v>97.3</v>
      </c>
      <c r="AM199" s="40">
        <v>8</v>
      </c>
      <c r="AN199" s="40" t="s">
        <v>2406</v>
      </c>
      <c r="AO199" s="40" t="s">
        <v>2729</v>
      </c>
      <c r="AP199" s="40" t="s">
        <v>954</v>
      </c>
      <c r="AQ199" s="40" t="s">
        <v>954</v>
      </c>
      <c r="AR199" s="40" t="s">
        <v>2730</v>
      </c>
      <c r="AT199" s="85" t="s">
        <v>222</v>
      </c>
      <c r="AU199" s="35">
        <v>0.5897</v>
      </c>
      <c r="AV199" s="35"/>
      <c r="AW199" s="102">
        <v>3.5939999999999999</v>
      </c>
      <c r="AX199" s="102">
        <v>3.61</v>
      </c>
      <c r="AY199" s="90">
        <v>0.14899999999999999</v>
      </c>
      <c r="AZ199" s="90">
        <v>0.158</v>
      </c>
      <c r="BA199" s="37"/>
      <c r="BB199" s="102">
        <v>3.5409999999999999</v>
      </c>
      <c r="BC199" s="110">
        <v>2.282</v>
      </c>
      <c r="BD199" s="37"/>
      <c r="BE199" s="35">
        <v>70553</v>
      </c>
      <c r="BF199" s="35">
        <v>35224</v>
      </c>
      <c r="BG199" s="93">
        <v>1</v>
      </c>
      <c r="BH199" s="93">
        <v>1</v>
      </c>
      <c r="BI199" s="94" t="s">
        <v>3285</v>
      </c>
      <c r="BJ199" s="35"/>
      <c r="BK199" s="35">
        <v>19244.5</v>
      </c>
      <c r="BL199" s="35">
        <v>2566.5</v>
      </c>
      <c r="BM199" s="93">
        <v>1</v>
      </c>
      <c r="BN199" s="93">
        <v>0</v>
      </c>
      <c r="BO199" s="94" t="s">
        <v>3285</v>
      </c>
      <c r="BP199" s="94" t="s">
        <v>3285</v>
      </c>
      <c r="BQ199" s="37"/>
      <c r="BR199" s="35">
        <v>1.2791999999999999</v>
      </c>
      <c r="BS199" s="35">
        <v>2.1011000000000002</v>
      </c>
      <c r="BT199" s="94" t="s">
        <v>3290</v>
      </c>
      <c r="BU199" s="94" t="s">
        <v>3290</v>
      </c>
      <c r="BV199" s="35"/>
      <c r="BW199" s="102">
        <v>3.5339999999999998</v>
      </c>
      <c r="BX199" s="117">
        <v>2.94</v>
      </c>
      <c r="BY199" s="35"/>
    </row>
    <row r="200" spans="1:77">
      <c r="A200" s="148">
        <v>2.2400000000000002</v>
      </c>
      <c r="B200" s="141" t="s">
        <v>392</v>
      </c>
      <c r="C200" s="86" t="s">
        <v>470</v>
      </c>
      <c r="D200" s="133" t="s">
        <v>223</v>
      </c>
      <c r="E200" s="80" t="s">
        <v>223</v>
      </c>
      <c r="F200" s="46" t="s">
        <v>223</v>
      </c>
      <c r="G200" s="46" t="s">
        <v>923</v>
      </c>
      <c r="H200" s="46" t="s">
        <v>924</v>
      </c>
      <c r="I200" s="46" t="s">
        <v>3377</v>
      </c>
      <c r="J200" s="46" t="s">
        <v>3318</v>
      </c>
      <c r="K200" s="46" t="s">
        <v>223</v>
      </c>
      <c r="L200" s="46">
        <v>3</v>
      </c>
      <c r="N200" s="46" t="s">
        <v>3398</v>
      </c>
      <c r="O200" s="46" t="s">
        <v>223</v>
      </c>
      <c r="P200" s="46">
        <v>2</v>
      </c>
      <c r="R200" s="46" t="s">
        <v>3521</v>
      </c>
      <c r="S200" s="46" t="s">
        <v>223</v>
      </c>
      <c r="T200" s="46">
        <v>2</v>
      </c>
      <c r="V200" s="46" t="s">
        <v>1212</v>
      </c>
      <c r="W200" s="46" t="s">
        <v>1642</v>
      </c>
      <c r="X200" s="46" t="s">
        <v>1413</v>
      </c>
      <c r="Y200" s="46" t="s">
        <v>1789</v>
      </c>
      <c r="Z200" s="46">
        <v>12</v>
      </c>
      <c r="AA200" s="46">
        <v>94.5</v>
      </c>
      <c r="AB200" s="46">
        <v>15</v>
      </c>
      <c r="AC200" s="46" t="s">
        <v>1454</v>
      </c>
      <c r="AD200" s="46" t="s">
        <v>1790</v>
      </c>
      <c r="AE200" s="46" t="s">
        <v>1791</v>
      </c>
      <c r="AF200" s="46" t="s">
        <v>923</v>
      </c>
      <c r="AG200" s="46" t="s">
        <v>1792</v>
      </c>
      <c r="AH200" s="46" t="s">
        <v>2603</v>
      </c>
      <c r="AI200" s="46" t="s">
        <v>2452</v>
      </c>
      <c r="AJ200" s="46" t="s">
        <v>2620</v>
      </c>
      <c r="AK200" s="46">
        <v>9</v>
      </c>
      <c r="AL200" s="46">
        <v>95.5</v>
      </c>
      <c r="AM200" s="46">
        <v>12</v>
      </c>
      <c r="AN200" s="46" t="s">
        <v>2406</v>
      </c>
      <c r="AO200" s="46" t="s">
        <v>2731</v>
      </c>
      <c r="AP200" s="46" t="s">
        <v>2732</v>
      </c>
      <c r="AQ200" s="46" t="s">
        <v>924</v>
      </c>
      <c r="AR200" s="46" t="s">
        <v>2733</v>
      </c>
      <c r="AT200" s="48" t="s">
        <v>223</v>
      </c>
      <c r="AU200" s="41">
        <v>0.18990000000000001</v>
      </c>
      <c r="AV200" s="41" t="s">
        <v>3291</v>
      </c>
      <c r="AW200" s="55">
        <v>3.5910000000000002</v>
      </c>
      <c r="AX200" s="50">
        <v>0.13600000000000001</v>
      </c>
      <c r="AY200" s="50">
        <v>0.129</v>
      </c>
      <c r="AZ200" s="50">
        <v>0.14899999999999999</v>
      </c>
      <c r="BA200" s="43"/>
      <c r="BB200" s="55">
        <v>3.5209999999999999</v>
      </c>
      <c r="BC200" s="49">
        <v>2.327</v>
      </c>
      <c r="BD200" s="43"/>
      <c r="BE200" s="41">
        <v>286837.5</v>
      </c>
      <c r="BF200" s="41">
        <v>174591</v>
      </c>
      <c r="BG200" s="51">
        <v>1</v>
      </c>
      <c r="BH200" s="51">
        <v>1</v>
      </c>
      <c r="BI200" s="52" t="s">
        <v>3285</v>
      </c>
      <c r="BJ200" s="41"/>
      <c r="BK200" s="41">
        <v>20022</v>
      </c>
      <c r="BL200" s="41">
        <v>56124</v>
      </c>
      <c r="BM200" s="51">
        <v>1</v>
      </c>
      <c r="BN200" s="51">
        <v>1</v>
      </c>
      <c r="BO200" s="52" t="s">
        <v>3286</v>
      </c>
      <c r="BP200" s="52" t="s">
        <v>3287</v>
      </c>
      <c r="BQ200" s="43"/>
      <c r="BR200" s="41">
        <v>1.5760000000000001</v>
      </c>
      <c r="BS200" s="41">
        <v>-1.09E-2</v>
      </c>
      <c r="BT200" s="52" t="s">
        <v>3290</v>
      </c>
      <c r="BU200" s="52" t="s">
        <v>3288</v>
      </c>
      <c r="BV200" s="41"/>
      <c r="BW200" s="55">
        <v>3.5110000000000001</v>
      </c>
      <c r="BX200" s="55">
        <v>3.5339999999999998</v>
      </c>
      <c r="BY200" s="41"/>
    </row>
    <row r="201" spans="1:77">
      <c r="A201" s="148">
        <v>2.2400000000000002</v>
      </c>
      <c r="B201" s="141" t="s">
        <v>392</v>
      </c>
      <c r="C201" s="86" t="s">
        <v>470</v>
      </c>
      <c r="D201" s="133" t="s">
        <v>225</v>
      </c>
      <c r="E201" s="80" t="s">
        <v>226</v>
      </c>
      <c r="F201" s="46" t="s">
        <v>225</v>
      </c>
      <c r="G201" s="46" t="s">
        <v>1039</v>
      </c>
      <c r="H201" s="46" t="s">
        <v>1040</v>
      </c>
      <c r="I201" s="46" t="s">
        <v>3377</v>
      </c>
      <c r="J201" s="46" t="s">
        <v>3318</v>
      </c>
      <c r="K201" s="46" t="s">
        <v>225</v>
      </c>
      <c r="L201" s="46">
        <v>3</v>
      </c>
      <c r="N201" s="46" t="s">
        <v>3398</v>
      </c>
      <c r="O201" s="46" t="s">
        <v>225</v>
      </c>
      <c r="P201" s="46">
        <v>2</v>
      </c>
      <c r="R201" s="46" t="s">
        <v>3521</v>
      </c>
      <c r="S201" s="46" t="s">
        <v>225</v>
      </c>
      <c r="T201" s="46">
        <v>2</v>
      </c>
      <c r="V201" s="46" t="s">
        <v>1214</v>
      </c>
      <c r="W201" s="46" t="s">
        <v>1642</v>
      </c>
      <c r="X201" s="46" t="s">
        <v>1413</v>
      </c>
      <c r="Y201" s="46" t="s">
        <v>1796</v>
      </c>
      <c r="Z201" s="46">
        <v>12</v>
      </c>
      <c r="AA201" s="46">
        <v>91.1</v>
      </c>
      <c r="AB201" s="46">
        <v>26</v>
      </c>
      <c r="AC201" s="46" t="s">
        <v>1454</v>
      </c>
      <c r="AD201" s="46" t="s">
        <v>1797</v>
      </c>
      <c r="AE201" s="46" t="s">
        <v>1039</v>
      </c>
      <c r="AF201" s="46" t="s">
        <v>1039</v>
      </c>
      <c r="AG201" s="46" t="s">
        <v>1798</v>
      </c>
      <c r="AH201" s="46" t="s">
        <v>2603</v>
      </c>
      <c r="AI201" s="46" t="s">
        <v>2452</v>
      </c>
      <c r="AJ201" s="46" t="s">
        <v>2737</v>
      </c>
      <c r="AK201" s="46">
        <v>9</v>
      </c>
      <c r="AL201" s="46">
        <v>96.2</v>
      </c>
      <c r="AM201" s="46">
        <v>11</v>
      </c>
      <c r="AN201" s="46" t="s">
        <v>2406</v>
      </c>
      <c r="AO201" s="46" t="s">
        <v>2738</v>
      </c>
      <c r="AP201" s="46" t="s">
        <v>1040</v>
      </c>
      <c r="AQ201" s="46" t="s">
        <v>1040</v>
      </c>
      <c r="AR201" s="46" t="s">
        <v>2739</v>
      </c>
      <c r="AT201" s="48" t="s">
        <v>226</v>
      </c>
      <c r="AU201" s="41">
        <v>0.12509999999999999</v>
      </c>
      <c r="AV201" s="41"/>
      <c r="AW201" s="55">
        <v>3.6560000000000001</v>
      </c>
      <c r="AX201" s="50">
        <v>0.186</v>
      </c>
      <c r="AY201" s="50">
        <v>0.14099999999999999</v>
      </c>
      <c r="AZ201" s="50">
        <v>0.16600000000000001</v>
      </c>
      <c r="BA201" s="43"/>
      <c r="BB201" s="55">
        <v>3.5489999999999999</v>
      </c>
      <c r="BC201" s="55">
        <v>2.5720000000000001</v>
      </c>
      <c r="BD201" s="43"/>
      <c r="BE201" s="41">
        <v>360121</v>
      </c>
      <c r="BF201" s="41">
        <v>280987</v>
      </c>
      <c r="BG201" s="51">
        <v>1</v>
      </c>
      <c r="BH201" s="51">
        <v>1</v>
      </c>
      <c r="BI201" s="52" t="s">
        <v>3285</v>
      </c>
      <c r="BJ201" s="41"/>
      <c r="BK201" s="41">
        <v>81947</v>
      </c>
      <c r="BL201" s="41">
        <v>106090</v>
      </c>
      <c r="BM201" s="51">
        <v>1</v>
      </c>
      <c r="BN201" s="51">
        <v>1</v>
      </c>
      <c r="BO201" s="52" t="s">
        <v>3286</v>
      </c>
      <c r="BP201" s="52" t="s">
        <v>3287</v>
      </c>
      <c r="BQ201" s="43"/>
      <c r="BR201" s="41">
        <v>2.3614000000000002</v>
      </c>
      <c r="BS201" s="41">
        <v>2.3043999999999998</v>
      </c>
      <c r="BT201" s="52" t="s">
        <v>3290</v>
      </c>
      <c r="BU201" s="52" t="s">
        <v>3290</v>
      </c>
      <c r="BV201" s="41"/>
      <c r="BW201" s="55">
        <v>3.548</v>
      </c>
      <c r="BX201" s="55">
        <v>3.548</v>
      </c>
      <c r="BY201" s="41"/>
    </row>
    <row r="202" spans="1:77" ht="17" thickBot="1">
      <c r="A202" s="148">
        <v>2.2400000000000002</v>
      </c>
      <c r="B202" s="141" t="s">
        <v>392</v>
      </c>
      <c r="C202" s="86" t="s">
        <v>470</v>
      </c>
      <c r="D202" s="133" t="s">
        <v>224</v>
      </c>
      <c r="E202" s="80" t="s">
        <v>224</v>
      </c>
      <c r="F202" s="46" t="s">
        <v>224</v>
      </c>
      <c r="G202" s="46" t="s">
        <v>623</v>
      </c>
      <c r="H202" s="46" t="s">
        <v>624</v>
      </c>
      <c r="I202" s="46" t="s">
        <v>3377</v>
      </c>
      <c r="J202" s="46" t="s">
        <v>3318</v>
      </c>
      <c r="K202" s="46" t="s">
        <v>224</v>
      </c>
      <c r="L202" s="46">
        <v>3</v>
      </c>
      <c r="N202" s="46" t="s">
        <v>3432</v>
      </c>
      <c r="O202" s="46" t="s">
        <v>224</v>
      </c>
      <c r="P202" s="46">
        <v>1</v>
      </c>
      <c r="R202" s="46" t="s">
        <v>3562</v>
      </c>
      <c r="S202" s="46" t="s">
        <v>224</v>
      </c>
      <c r="T202" s="46">
        <v>1</v>
      </c>
      <c r="V202" s="46" t="s">
        <v>1213</v>
      </c>
      <c r="W202" s="46" t="s">
        <v>1642</v>
      </c>
      <c r="X202" s="46" t="s">
        <v>1413</v>
      </c>
      <c r="Y202" s="46" t="s">
        <v>1793</v>
      </c>
      <c r="Z202" s="46">
        <v>12</v>
      </c>
      <c r="AA202" s="46">
        <v>96.6</v>
      </c>
      <c r="AB202" s="46">
        <v>10</v>
      </c>
      <c r="AC202" s="46" t="s">
        <v>1430</v>
      </c>
      <c r="AD202" s="46" t="s">
        <v>1794</v>
      </c>
      <c r="AE202" s="46" t="s">
        <v>623</v>
      </c>
      <c r="AF202" s="46" t="s">
        <v>623</v>
      </c>
      <c r="AG202" s="46" t="s">
        <v>1795</v>
      </c>
      <c r="AH202" s="46" t="s">
        <v>2603</v>
      </c>
      <c r="AI202" s="46" t="s">
        <v>2452</v>
      </c>
      <c r="AJ202" s="46" t="s">
        <v>2734</v>
      </c>
      <c r="AK202" s="46">
        <v>9</v>
      </c>
      <c r="AL202" s="46">
        <v>95.8</v>
      </c>
      <c r="AM202" s="46">
        <v>12</v>
      </c>
      <c r="AN202" s="46" t="s">
        <v>2406</v>
      </c>
      <c r="AO202" s="46" t="s">
        <v>2735</v>
      </c>
      <c r="AP202" s="46" t="s">
        <v>624</v>
      </c>
      <c r="AQ202" s="46" t="s">
        <v>624</v>
      </c>
      <c r="AR202" s="46" t="s">
        <v>2736</v>
      </c>
      <c r="AT202" s="48" t="s">
        <v>224</v>
      </c>
      <c r="AU202" s="41">
        <v>0.22850000000000001</v>
      </c>
      <c r="AV202" s="41"/>
      <c r="AW202" s="61">
        <v>3.6280000000000001</v>
      </c>
      <c r="AX202" s="63">
        <v>0.16900000000000001</v>
      </c>
      <c r="AY202" s="63">
        <v>0.13700000000000001</v>
      </c>
      <c r="AZ202" s="63">
        <v>0.14399999999999999</v>
      </c>
      <c r="BA202" s="42"/>
      <c r="BB202" s="55">
        <v>3.55</v>
      </c>
      <c r="BC202" s="49">
        <v>2.5209999999999999</v>
      </c>
      <c r="BD202" s="43"/>
      <c r="BE202" s="41">
        <v>183091</v>
      </c>
      <c r="BF202" s="41">
        <v>171804</v>
      </c>
      <c r="BG202" s="51">
        <v>1</v>
      </c>
      <c r="BH202" s="51">
        <v>1</v>
      </c>
      <c r="BI202" s="52" t="s">
        <v>3289</v>
      </c>
      <c r="BJ202" s="41"/>
      <c r="BK202" s="41">
        <v>61382.5</v>
      </c>
      <c r="BL202" s="41">
        <v>26815</v>
      </c>
      <c r="BM202" s="51">
        <v>1</v>
      </c>
      <c r="BN202" s="51">
        <v>1</v>
      </c>
      <c r="BO202" s="52" t="s">
        <v>3285</v>
      </c>
      <c r="BP202" s="52" t="s">
        <v>3287</v>
      </c>
      <c r="BQ202" s="43"/>
      <c r="BR202" s="41">
        <v>2.1387</v>
      </c>
      <c r="BS202" s="41">
        <v>1.3824000000000001</v>
      </c>
      <c r="BT202" s="52" t="s">
        <v>3290</v>
      </c>
      <c r="BU202" s="52" t="s">
        <v>3290</v>
      </c>
      <c r="BV202" s="41"/>
      <c r="BW202" s="55">
        <v>3.536</v>
      </c>
      <c r="BX202" s="55">
        <v>3.552</v>
      </c>
      <c r="BY202" s="41"/>
    </row>
    <row r="203" spans="1:77" s="81" customFormat="1">
      <c r="A203" s="147">
        <v>2.25</v>
      </c>
      <c r="B203" s="140" t="s">
        <v>354</v>
      </c>
      <c r="C203" s="120" t="s">
        <v>432</v>
      </c>
      <c r="D203" s="132" t="s">
        <v>8</v>
      </c>
      <c r="E203" s="82" t="s">
        <v>8</v>
      </c>
      <c r="F203" s="81" t="s">
        <v>8</v>
      </c>
      <c r="G203" s="81" t="s">
        <v>616</v>
      </c>
      <c r="H203" s="81" t="s">
        <v>617</v>
      </c>
      <c r="I203" s="81" t="s">
        <v>3377</v>
      </c>
      <c r="J203" s="81" t="s">
        <v>3342</v>
      </c>
      <c r="K203" s="81" t="s">
        <v>8</v>
      </c>
      <c r="L203" s="81">
        <v>3</v>
      </c>
      <c r="N203" s="81" t="s">
        <v>3431</v>
      </c>
      <c r="O203" s="81" t="s">
        <v>8</v>
      </c>
      <c r="P203" s="81">
        <v>3</v>
      </c>
      <c r="R203" s="81" t="s">
        <v>3560</v>
      </c>
      <c r="S203" s="81" t="s">
        <v>8</v>
      </c>
      <c r="T203" s="81">
        <v>3</v>
      </c>
      <c r="V203" s="81" t="s">
        <v>1368</v>
      </c>
      <c r="W203" s="81" t="s">
        <v>1452</v>
      </c>
      <c r="X203" s="81" t="s">
        <v>1413</v>
      </c>
      <c r="Y203" s="81" t="s">
        <v>2287</v>
      </c>
      <c r="Z203" s="81">
        <v>15</v>
      </c>
      <c r="AA203" s="81">
        <v>97.6</v>
      </c>
      <c r="AB203" s="81">
        <v>7</v>
      </c>
      <c r="AC203" s="81" t="s">
        <v>1454</v>
      </c>
      <c r="AD203" s="81" t="s">
        <v>2288</v>
      </c>
      <c r="AE203" s="81" t="s">
        <v>616</v>
      </c>
      <c r="AF203" s="81" t="s">
        <v>616</v>
      </c>
      <c r="AG203" s="81" t="s">
        <v>2289</v>
      </c>
      <c r="AH203" s="81" t="s">
        <v>2479</v>
      </c>
      <c r="AI203" s="81" t="s">
        <v>2480</v>
      </c>
      <c r="AJ203" s="81" t="s">
        <v>3168</v>
      </c>
      <c r="AK203" s="81">
        <v>11</v>
      </c>
      <c r="AL203" s="81">
        <v>99.3</v>
      </c>
      <c r="AM203" s="81">
        <v>2</v>
      </c>
      <c r="AN203" s="81" t="s">
        <v>2406</v>
      </c>
      <c r="AO203" s="81" t="s">
        <v>3169</v>
      </c>
      <c r="AP203" s="81" t="s">
        <v>617</v>
      </c>
      <c r="AQ203" s="81" t="s">
        <v>617</v>
      </c>
      <c r="AR203" s="81" t="s">
        <v>3170</v>
      </c>
      <c r="AT203" s="83" t="s">
        <v>146</v>
      </c>
      <c r="AU203" s="33">
        <v>0.34770000000000001</v>
      </c>
      <c r="AV203" s="33"/>
      <c r="AW203" s="100">
        <v>3.665</v>
      </c>
      <c r="AX203" s="100">
        <v>3.6589999999999998</v>
      </c>
      <c r="AY203" s="100">
        <v>3.6560000000000001</v>
      </c>
      <c r="AZ203" s="87">
        <v>0.16200000000000001</v>
      </c>
      <c r="BA203" s="34"/>
      <c r="BB203" s="100">
        <v>3.5910000000000002</v>
      </c>
      <c r="BC203" s="114">
        <v>2.2109999999999999</v>
      </c>
      <c r="BD203" s="34"/>
      <c r="BE203" s="33">
        <v>8300</v>
      </c>
      <c r="BF203" s="33">
        <v>90925</v>
      </c>
      <c r="BG203" s="88">
        <v>1</v>
      </c>
      <c r="BH203" s="88">
        <v>1</v>
      </c>
      <c r="BI203" s="89" t="s">
        <v>3286</v>
      </c>
      <c r="BJ203" s="33"/>
      <c r="BK203" s="33">
        <v>2904.5</v>
      </c>
      <c r="BL203" s="33">
        <v>48810</v>
      </c>
      <c r="BM203" s="88">
        <v>0</v>
      </c>
      <c r="BN203" s="88">
        <v>1</v>
      </c>
      <c r="BO203" s="89" t="s">
        <v>3286</v>
      </c>
      <c r="BP203" s="89" t="s">
        <v>3286</v>
      </c>
      <c r="BQ203" s="34"/>
      <c r="BR203" s="33">
        <v>-0.11269999999999999</v>
      </c>
      <c r="BS203" s="33">
        <v>-6.7599999999999993E-2</v>
      </c>
      <c r="BT203" s="89" t="s">
        <v>3288</v>
      </c>
      <c r="BU203" s="89" t="s">
        <v>3288</v>
      </c>
      <c r="BV203" s="33"/>
      <c r="BW203" s="100">
        <v>3.5</v>
      </c>
      <c r="BX203" s="100">
        <v>3.5680000000000001</v>
      </c>
      <c r="BY203" s="33"/>
    </row>
    <row r="204" spans="1:77">
      <c r="A204" s="148">
        <v>2.25</v>
      </c>
      <c r="B204" s="141" t="s">
        <v>354</v>
      </c>
      <c r="C204" s="86" t="s">
        <v>432</v>
      </c>
      <c r="D204" s="133" t="s">
        <v>9</v>
      </c>
      <c r="E204" s="80" t="s">
        <v>10</v>
      </c>
      <c r="F204" s="46" t="s">
        <v>10</v>
      </c>
      <c r="G204" s="46" t="s">
        <v>619</v>
      </c>
      <c r="H204" s="46" t="s">
        <v>620</v>
      </c>
      <c r="I204" s="46" t="s">
        <v>3377</v>
      </c>
      <c r="J204" s="46" t="s">
        <v>3342</v>
      </c>
      <c r="K204" s="46" t="s">
        <v>10</v>
      </c>
      <c r="L204" s="46">
        <v>3</v>
      </c>
      <c r="N204" s="46" t="s">
        <v>3431</v>
      </c>
      <c r="O204" s="46" t="s">
        <v>10</v>
      </c>
      <c r="P204" s="46">
        <v>3</v>
      </c>
      <c r="R204" s="46" t="s">
        <v>3560</v>
      </c>
      <c r="S204" s="46" t="s">
        <v>10</v>
      </c>
      <c r="T204" s="46">
        <v>3</v>
      </c>
      <c r="V204" s="46" t="s">
        <v>1379</v>
      </c>
      <c r="W204" s="46" t="s">
        <v>1452</v>
      </c>
      <c r="X204" s="46" t="s">
        <v>1413</v>
      </c>
      <c r="Y204" s="46" t="s">
        <v>2319</v>
      </c>
      <c r="Z204" s="46">
        <v>15</v>
      </c>
      <c r="AA204" s="46">
        <v>95.3</v>
      </c>
      <c r="AB204" s="46">
        <v>14</v>
      </c>
      <c r="AC204" s="46" t="s">
        <v>1454</v>
      </c>
      <c r="AD204" s="46" t="s">
        <v>2320</v>
      </c>
      <c r="AE204" s="46" t="s">
        <v>619</v>
      </c>
      <c r="AF204" s="46" t="s">
        <v>619</v>
      </c>
      <c r="AG204" s="46" t="s">
        <v>2321</v>
      </c>
      <c r="AH204" s="46" t="s">
        <v>2479</v>
      </c>
      <c r="AI204" s="46" t="s">
        <v>2480</v>
      </c>
      <c r="AJ204" s="46" t="s">
        <v>3202</v>
      </c>
      <c r="AK204" s="46">
        <v>11</v>
      </c>
      <c r="AL204" s="46">
        <v>97.6</v>
      </c>
      <c r="AM204" s="46">
        <v>7</v>
      </c>
      <c r="AN204" s="46" t="s">
        <v>2406</v>
      </c>
      <c r="AO204" s="46" t="s">
        <v>3203</v>
      </c>
      <c r="AP204" s="46" t="s">
        <v>620</v>
      </c>
      <c r="AQ204" s="46" t="s">
        <v>620</v>
      </c>
      <c r="AR204" s="46" t="s">
        <v>3204</v>
      </c>
      <c r="AT204" s="48" t="s">
        <v>10</v>
      </c>
      <c r="AU204" s="41">
        <v>0.45429999999999998</v>
      </c>
      <c r="AV204" s="41"/>
      <c r="AW204" s="55">
        <v>3.6640000000000001</v>
      </c>
      <c r="AX204" s="50">
        <v>0.28000000000000003</v>
      </c>
      <c r="AY204" s="55">
        <v>3.6480000000000001</v>
      </c>
      <c r="AZ204" s="50">
        <v>0.248</v>
      </c>
      <c r="BA204" s="43"/>
      <c r="BB204" s="55">
        <v>3.6219999999999999</v>
      </c>
      <c r="BC204" s="55">
        <v>2.4340000000000002</v>
      </c>
      <c r="BD204" s="43"/>
      <c r="BE204" s="41">
        <v>41000</v>
      </c>
      <c r="BF204" s="41">
        <v>2037</v>
      </c>
      <c r="BG204" s="51">
        <v>1</v>
      </c>
      <c r="BH204" s="51">
        <v>0</v>
      </c>
      <c r="BI204" s="52" t="s">
        <v>3285</v>
      </c>
      <c r="BJ204" s="41"/>
      <c r="BK204" s="41">
        <v>5359</v>
      </c>
      <c r="BL204" s="41">
        <v>1917</v>
      </c>
      <c r="BM204" s="51">
        <v>1</v>
      </c>
      <c r="BN204" s="51">
        <v>0</v>
      </c>
      <c r="BO204" s="52" t="s">
        <v>3285</v>
      </c>
      <c r="BP204" s="52" t="s">
        <v>3285</v>
      </c>
      <c r="BQ204" s="43"/>
      <c r="BR204" s="41">
        <v>-0.1241</v>
      </c>
      <c r="BS204" s="41">
        <v>-8.1100000000000005E-2</v>
      </c>
      <c r="BT204" s="52" t="s">
        <v>3288</v>
      </c>
      <c r="BU204" s="52" t="s">
        <v>3288</v>
      </c>
      <c r="BV204" s="41"/>
      <c r="BW204" s="55">
        <v>3.589</v>
      </c>
      <c r="BX204" s="55">
        <v>3.5750000000000002</v>
      </c>
      <c r="BY204" s="41"/>
    </row>
    <row r="205" spans="1:77" s="40" customFormat="1" ht="17" thickBot="1">
      <c r="A205" s="149">
        <v>2.25</v>
      </c>
      <c r="B205" s="142" t="s">
        <v>354</v>
      </c>
      <c r="C205" s="121" t="s">
        <v>432</v>
      </c>
      <c r="D205" s="134" t="s">
        <v>11</v>
      </c>
      <c r="E205" s="84" t="s">
        <v>12</v>
      </c>
      <c r="F205" s="40" t="s">
        <v>11</v>
      </c>
      <c r="G205" s="40" t="s">
        <v>1101</v>
      </c>
      <c r="H205" s="40" t="s">
        <v>1102</v>
      </c>
      <c r="I205" s="40" t="s">
        <v>3377</v>
      </c>
      <c r="J205" s="40" t="s">
        <v>3342</v>
      </c>
      <c r="K205" s="40" t="s">
        <v>11</v>
      </c>
      <c r="L205" s="40">
        <v>3</v>
      </c>
      <c r="N205" s="40" t="s">
        <v>3431</v>
      </c>
      <c r="O205" s="40" t="s">
        <v>11</v>
      </c>
      <c r="P205" s="40">
        <v>3</v>
      </c>
      <c r="R205" s="40" t="s">
        <v>3560</v>
      </c>
      <c r="S205" s="40" t="s">
        <v>11</v>
      </c>
      <c r="T205" s="40">
        <v>3</v>
      </c>
      <c r="V205" s="40" t="s">
        <v>1390</v>
      </c>
      <c r="W205" s="40" t="s">
        <v>1452</v>
      </c>
      <c r="X205" s="40" t="s">
        <v>1413</v>
      </c>
      <c r="Y205" s="40" t="s">
        <v>2358</v>
      </c>
      <c r="Z205" s="40">
        <v>15</v>
      </c>
      <c r="AA205" s="40">
        <v>97.3</v>
      </c>
      <c r="AB205" s="40">
        <v>8</v>
      </c>
      <c r="AC205" s="40" t="s">
        <v>1454</v>
      </c>
      <c r="AD205" s="40" t="s">
        <v>2359</v>
      </c>
      <c r="AE205" s="40" t="s">
        <v>1101</v>
      </c>
      <c r="AF205" s="40" t="s">
        <v>1101</v>
      </c>
      <c r="AG205" s="40" t="s">
        <v>2360</v>
      </c>
      <c r="AH205" s="40" t="s">
        <v>2479</v>
      </c>
      <c r="AI205" s="40" t="s">
        <v>2480</v>
      </c>
      <c r="AJ205" s="40" t="s">
        <v>2827</v>
      </c>
      <c r="AK205" s="40">
        <v>11</v>
      </c>
      <c r="AL205" s="40">
        <v>99.3</v>
      </c>
      <c r="AM205" s="40">
        <v>2</v>
      </c>
      <c r="AN205" s="40" t="s">
        <v>2406</v>
      </c>
      <c r="AO205" s="40" t="s">
        <v>2828</v>
      </c>
      <c r="AP205" s="40" t="s">
        <v>1102</v>
      </c>
      <c r="AQ205" s="40" t="s">
        <v>1102</v>
      </c>
      <c r="AR205" s="40" t="s">
        <v>3238</v>
      </c>
      <c r="AT205" s="85" t="s">
        <v>12</v>
      </c>
      <c r="AU205" s="35">
        <v>0.43969999999999998</v>
      </c>
      <c r="AV205" s="35"/>
      <c r="AW205" s="102">
        <v>3.6360000000000001</v>
      </c>
      <c r="AX205" s="90">
        <v>0.17299999999999999</v>
      </c>
      <c r="AY205" s="102">
        <v>3.653</v>
      </c>
      <c r="AZ205" s="90">
        <v>0.16800000000000001</v>
      </c>
      <c r="BA205" s="37"/>
      <c r="BB205" s="102">
        <v>3.6110000000000002</v>
      </c>
      <c r="BC205" s="110">
        <v>2.2879999999999998</v>
      </c>
      <c r="BD205" s="37"/>
      <c r="BE205" s="35">
        <v>22373</v>
      </c>
      <c r="BF205" s="35">
        <v>1892</v>
      </c>
      <c r="BG205" s="93">
        <v>1</v>
      </c>
      <c r="BH205" s="93">
        <v>0</v>
      </c>
      <c r="BI205" s="94" t="s">
        <v>3285</v>
      </c>
      <c r="BJ205" s="35"/>
      <c r="BK205" s="35">
        <v>6425.5</v>
      </c>
      <c r="BL205" s="35">
        <v>2825</v>
      </c>
      <c r="BM205" s="93">
        <v>1</v>
      </c>
      <c r="BN205" s="93">
        <v>0</v>
      </c>
      <c r="BO205" s="94" t="s">
        <v>3285</v>
      </c>
      <c r="BP205" s="94" t="s">
        <v>3285</v>
      </c>
      <c r="BQ205" s="37"/>
      <c r="BR205" s="35">
        <v>-0.1017</v>
      </c>
      <c r="BS205" s="35">
        <v>-7.4300000000000005E-2</v>
      </c>
      <c r="BT205" s="94" t="s">
        <v>3288</v>
      </c>
      <c r="BU205" s="94" t="s">
        <v>3288</v>
      </c>
      <c r="BV205" s="35"/>
      <c r="BW205" s="102">
        <v>3.5539999999999998</v>
      </c>
      <c r="BX205" s="102">
        <v>3.585</v>
      </c>
      <c r="BY205" s="35"/>
    </row>
    <row r="206" spans="1:77">
      <c r="A206" s="148">
        <v>2.2599999999999998</v>
      </c>
      <c r="B206" s="141" t="s">
        <v>372</v>
      </c>
      <c r="C206" s="86" t="s">
        <v>450</v>
      </c>
      <c r="D206" s="133" t="s">
        <v>119</v>
      </c>
      <c r="E206" s="80" t="s">
        <v>119</v>
      </c>
      <c r="F206" s="46" t="s">
        <v>119</v>
      </c>
      <c r="G206" s="46" t="s">
        <v>887</v>
      </c>
      <c r="H206" s="46" t="s">
        <v>888</v>
      </c>
      <c r="I206" s="46" t="s">
        <v>3377</v>
      </c>
      <c r="J206" s="46" t="s">
        <v>3302</v>
      </c>
      <c r="K206" s="46" t="s">
        <v>119</v>
      </c>
      <c r="L206" s="46">
        <v>3</v>
      </c>
      <c r="N206" s="46" t="s">
        <v>3382</v>
      </c>
      <c r="O206" s="46" t="s">
        <v>119</v>
      </c>
      <c r="P206" s="46">
        <v>3</v>
      </c>
      <c r="R206" s="46" t="s">
        <v>3506</v>
      </c>
      <c r="S206" s="46" t="s">
        <v>119</v>
      </c>
      <c r="T206" s="46">
        <v>2</v>
      </c>
      <c r="V206" s="46" t="s">
        <v>1122</v>
      </c>
      <c r="W206" s="46" t="s">
        <v>1481</v>
      </c>
      <c r="X206" s="46" t="s">
        <v>1413</v>
      </c>
      <c r="Y206" s="46" t="s">
        <v>1482</v>
      </c>
      <c r="Z206" s="46">
        <v>17</v>
      </c>
      <c r="AA206" s="46">
        <v>99.3</v>
      </c>
      <c r="AB206" s="46">
        <v>2</v>
      </c>
      <c r="AC206" s="46" t="s">
        <v>1454</v>
      </c>
      <c r="AD206" s="46" t="s">
        <v>1483</v>
      </c>
      <c r="AE206" s="46" t="s">
        <v>1484</v>
      </c>
      <c r="AF206" s="46" t="s">
        <v>887</v>
      </c>
      <c r="AG206" s="46" t="s">
        <v>1485</v>
      </c>
      <c r="AH206" s="46" t="s">
        <v>2451</v>
      </c>
      <c r="AI206" s="46" t="s">
        <v>2460</v>
      </c>
      <c r="AJ206" s="46" t="s">
        <v>2461</v>
      </c>
      <c r="AK206" s="46">
        <v>10</v>
      </c>
      <c r="AL206" s="46">
        <v>99.6</v>
      </c>
      <c r="AM206" s="46">
        <v>1</v>
      </c>
      <c r="AN206" s="46" t="s">
        <v>2406</v>
      </c>
      <c r="AO206" s="46" t="s">
        <v>2462</v>
      </c>
      <c r="AP206" s="46" t="s">
        <v>2463</v>
      </c>
      <c r="AQ206" s="46" t="s">
        <v>888</v>
      </c>
      <c r="AR206" s="46" t="s">
        <v>2464</v>
      </c>
      <c r="AT206" s="48" t="s">
        <v>119</v>
      </c>
      <c r="AU206" s="41">
        <v>0.24429999999999999</v>
      </c>
      <c r="AV206" s="41"/>
      <c r="AW206" s="55">
        <v>3.536</v>
      </c>
      <c r="AX206" s="50">
        <v>0.13300000000000001</v>
      </c>
      <c r="AY206" s="54">
        <v>0.52600000000000002</v>
      </c>
      <c r="AZ206" s="50">
        <v>0.14299999999999999</v>
      </c>
      <c r="BA206" s="43"/>
      <c r="BB206" s="55">
        <v>3.6749999999999998</v>
      </c>
      <c r="BC206" s="58">
        <v>2.1720000000000002</v>
      </c>
      <c r="BD206" s="43"/>
      <c r="BE206" s="41">
        <v>42466</v>
      </c>
      <c r="BF206" s="41">
        <v>61687.5</v>
      </c>
      <c r="BG206" s="51">
        <v>1</v>
      </c>
      <c r="BH206" s="51">
        <v>1</v>
      </c>
      <c r="BI206" s="52" t="s">
        <v>3286</v>
      </c>
      <c r="BJ206" s="41"/>
      <c r="BK206" s="41">
        <v>3345</v>
      </c>
      <c r="BL206" s="41">
        <v>30844.5</v>
      </c>
      <c r="BM206" s="51">
        <v>0</v>
      </c>
      <c r="BN206" s="51">
        <v>1</v>
      </c>
      <c r="BO206" s="52" t="s">
        <v>3286</v>
      </c>
      <c r="BP206" s="52" t="s">
        <v>3286</v>
      </c>
      <c r="BQ206" s="43"/>
      <c r="BR206" s="41">
        <v>9.1499999999999998E-2</v>
      </c>
      <c r="BS206" s="41">
        <v>3.9199999999999999E-2</v>
      </c>
      <c r="BT206" s="52" t="s">
        <v>3288</v>
      </c>
      <c r="BU206" s="52" t="s">
        <v>3288</v>
      </c>
      <c r="BV206" s="41"/>
      <c r="BW206" s="56">
        <v>2.762</v>
      </c>
      <c r="BX206" s="55">
        <v>3.6190000000000002</v>
      </c>
      <c r="BY206" s="41"/>
    </row>
    <row r="207" spans="1:77">
      <c r="A207" s="148">
        <v>2.2599999999999998</v>
      </c>
      <c r="B207" s="141" t="s">
        <v>372</v>
      </c>
      <c r="C207" s="86" t="s">
        <v>450</v>
      </c>
      <c r="D207" s="133" t="s">
        <v>120</v>
      </c>
      <c r="E207" s="80" t="s">
        <v>120</v>
      </c>
      <c r="F207" s="46" t="s">
        <v>120</v>
      </c>
      <c r="G207" s="46" t="s">
        <v>925</v>
      </c>
      <c r="H207" s="46" t="s">
        <v>926</v>
      </c>
      <c r="I207" s="46" t="s">
        <v>3377</v>
      </c>
      <c r="J207" s="46" t="s">
        <v>3302</v>
      </c>
      <c r="K207" s="46" t="s">
        <v>120</v>
      </c>
      <c r="L207" s="46">
        <v>3</v>
      </c>
      <c r="N207" s="46" t="s">
        <v>3382</v>
      </c>
      <c r="O207" s="46" t="s">
        <v>120</v>
      </c>
      <c r="P207" s="46">
        <v>3</v>
      </c>
      <c r="R207" s="46" t="s">
        <v>3506</v>
      </c>
      <c r="S207" s="46" t="s">
        <v>120</v>
      </c>
      <c r="T207" s="46">
        <v>2</v>
      </c>
      <c r="V207" s="46" t="s">
        <v>1123</v>
      </c>
      <c r="W207" s="46" t="s">
        <v>1481</v>
      </c>
      <c r="X207" s="46" t="s">
        <v>1413</v>
      </c>
      <c r="Y207" s="46" t="s">
        <v>1486</v>
      </c>
      <c r="Z207" s="46">
        <v>17</v>
      </c>
      <c r="AA207" s="46">
        <v>98.2</v>
      </c>
      <c r="AB207" s="46">
        <v>5</v>
      </c>
      <c r="AC207" s="46" t="s">
        <v>1454</v>
      </c>
      <c r="AD207" s="46" t="s">
        <v>1487</v>
      </c>
      <c r="AE207" s="46" t="s">
        <v>1488</v>
      </c>
      <c r="AF207" s="46" t="s">
        <v>925</v>
      </c>
      <c r="AG207" s="46" t="s">
        <v>1489</v>
      </c>
      <c r="AH207" s="46" t="s">
        <v>2451</v>
      </c>
      <c r="AI207" s="46" t="s">
        <v>2460</v>
      </c>
      <c r="AJ207" s="46" t="s">
        <v>2461</v>
      </c>
      <c r="AK207" s="46">
        <v>10</v>
      </c>
      <c r="AL207" s="46">
        <v>98.5</v>
      </c>
      <c r="AM207" s="46">
        <v>4</v>
      </c>
      <c r="AN207" s="46" t="s">
        <v>2406</v>
      </c>
      <c r="AO207" s="46" t="s">
        <v>2462</v>
      </c>
      <c r="AP207" s="46" t="s">
        <v>2465</v>
      </c>
      <c r="AQ207" s="46" t="s">
        <v>926</v>
      </c>
      <c r="AR207" s="46" t="s">
        <v>2466</v>
      </c>
      <c r="AT207" s="48" t="s">
        <v>120</v>
      </c>
      <c r="AU207" s="41">
        <v>0.2142</v>
      </c>
      <c r="AV207" s="41"/>
      <c r="AW207" s="55">
        <v>3.6219999999999999</v>
      </c>
      <c r="AX207" s="50">
        <v>0.13300000000000001</v>
      </c>
      <c r="AY207" s="54">
        <v>0.55500000000000005</v>
      </c>
      <c r="AZ207" s="50">
        <v>0.13100000000000001</v>
      </c>
      <c r="BA207" s="43"/>
      <c r="BB207" s="55">
        <v>3.5259999999999998</v>
      </c>
      <c r="BC207" s="49">
        <v>2.282</v>
      </c>
      <c r="BD207" s="43"/>
      <c r="BE207" s="41">
        <v>61154.5</v>
      </c>
      <c r="BF207" s="41">
        <v>64799</v>
      </c>
      <c r="BG207" s="51">
        <v>1</v>
      </c>
      <c r="BH207" s="51">
        <v>1</v>
      </c>
      <c r="BI207" s="52" t="s">
        <v>3289</v>
      </c>
      <c r="BJ207" s="41"/>
      <c r="BK207" s="41">
        <v>3623</v>
      </c>
      <c r="BL207" s="41">
        <v>38509</v>
      </c>
      <c r="BM207" s="51">
        <v>0</v>
      </c>
      <c r="BN207" s="51">
        <v>1</v>
      </c>
      <c r="BO207" s="52" t="s">
        <v>3286</v>
      </c>
      <c r="BP207" s="52" t="s">
        <v>3287</v>
      </c>
      <c r="BQ207" s="43"/>
      <c r="BR207" s="41">
        <v>6.7900000000000002E-2</v>
      </c>
      <c r="BS207" s="41">
        <v>3.9600000000000003E-2</v>
      </c>
      <c r="BT207" s="52" t="s">
        <v>3288</v>
      </c>
      <c r="BU207" s="52" t="s">
        <v>3288</v>
      </c>
      <c r="BV207" s="41"/>
      <c r="BW207" s="49">
        <v>3.2290000000000001</v>
      </c>
      <c r="BX207" s="55">
        <v>3.544</v>
      </c>
      <c r="BY207" s="41"/>
    </row>
    <row r="208" spans="1:77" ht="17" thickBot="1">
      <c r="A208" s="148">
        <v>2.2599999999999998</v>
      </c>
      <c r="B208" s="141" t="s">
        <v>372</v>
      </c>
      <c r="C208" s="86" t="s">
        <v>450</v>
      </c>
      <c r="D208" s="133" t="s">
        <v>121</v>
      </c>
      <c r="E208" s="80" t="s">
        <v>121</v>
      </c>
      <c r="F208" s="46" t="s">
        <v>121</v>
      </c>
      <c r="G208" s="46" t="s">
        <v>927</v>
      </c>
      <c r="H208" s="46" t="s">
        <v>928</v>
      </c>
      <c r="I208" s="46" t="s">
        <v>3377</v>
      </c>
      <c r="J208" s="46" t="s">
        <v>3302</v>
      </c>
      <c r="K208" s="46" t="s">
        <v>121</v>
      </c>
      <c r="L208" s="46">
        <v>3</v>
      </c>
      <c r="N208" s="46" t="s">
        <v>3382</v>
      </c>
      <c r="O208" s="46" t="s">
        <v>121</v>
      </c>
      <c r="P208" s="46">
        <v>3</v>
      </c>
      <c r="R208" s="46" t="s">
        <v>3522</v>
      </c>
      <c r="S208" s="46" t="s">
        <v>121</v>
      </c>
      <c r="T208" s="46">
        <v>1</v>
      </c>
      <c r="V208" s="46" t="s">
        <v>1124</v>
      </c>
      <c r="W208" s="46" t="s">
        <v>1481</v>
      </c>
      <c r="X208" s="46" t="s">
        <v>1413</v>
      </c>
      <c r="Y208" s="46" t="s">
        <v>1490</v>
      </c>
      <c r="Z208" s="46">
        <v>17</v>
      </c>
      <c r="AA208" s="46">
        <v>99.3</v>
      </c>
      <c r="AB208" s="46">
        <v>2</v>
      </c>
      <c r="AC208" s="46" t="s">
        <v>1454</v>
      </c>
      <c r="AD208" s="46" t="s">
        <v>1491</v>
      </c>
      <c r="AE208" s="46" t="s">
        <v>1492</v>
      </c>
      <c r="AF208" s="46" t="s">
        <v>927</v>
      </c>
      <c r="AG208" s="46" t="s">
        <v>1493</v>
      </c>
      <c r="AH208" s="46" t="s">
        <v>2451</v>
      </c>
      <c r="AI208" s="46" t="s">
        <v>2460</v>
      </c>
      <c r="AJ208" s="46" t="s">
        <v>2461</v>
      </c>
      <c r="AK208" s="46">
        <v>10</v>
      </c>
      <c r="AL208" s="46">
        <v>98.5</v>
      </c>
      <c r="AM208" s="46">
        <v>4</v>
      </c>
      <c r="AN208" s="46" t="s">
        <v>2406</v>
      </c>
      <c r="AO208" s="46" t="s">
        <v>2467</v>
      </c>
      <c r="AP208" s="46" t="s">
        <v>2468</v>
      </c>
      <c r="AQ208" s="46" t="s">
        <v>928</v>
      </c>
      <c r="AR208" s="46" t="s">
        <v>2469</v>
      </c>
      <c r="AT208" s="48" t="s">
        <v>121</v>
      </c>
      <c r="AU208" s="41">
        <v>0.42670000000000002</v>
      </c>
      <c r="AV208" s="41"/>
      <c r="AW208" s="60">
        <v>2.4950000000000001</v>
      </c>
      <c r="AX208" s="50">
        <v>0.14599999999999999</v>
      </c>
      <c r="AY208" s="50">
        <v>0.13400000000000001</v>
      </c>
      <c r="AZ208" s="50">
        <v>0.14599999999999999</v>
      </c>
      <c r="BA208" s="43"/>
      <c r="BB208" s="55">
        <v>3.52</v>
      </c>
      <c r="BC208" s="58">
        <v>2.0529999999999999</v>
      </c>
      <c r="BD208" s="43"/>
      <c r="BE208" s="41">
        <v>50443.5</v>
      </c>
      <c r="BF208" s="41">
        <v>30352</v>
      </c>
      <c r="BG208" s="51">
        <v>1</v>
      </c>
      <c r="BH208" s="51">
        <v>1</v>
      </c>
      <c r="BI208" s="52" t="s">
        <v>3285</v>
      </c>
      <c r="BJ208" s="41"/>
      <c r="BK208" s="41">
        <v>3171.5</v>
      </c>
      <c r="BL208" s="41">
        <v>19115.5</v>
      </c>
      <c r="BM208" s="51">
        <v>0</v>
      </c>
      <c r="BN208" s="51">
        <v>1</v>
      </c>
      <c r="BO208" s="52" t="s">
        <v>3286</v>
      </c>
      <c r="BP208" s="52" t="s">
        <v>3287</v>
      </c>
      <c r="BQ208" s="43"/>
      <c r="BR208" s="41">
        <v>0.1055</v>
      </c>
      <c r="BS208" s="41">
        <v>1.6299999999999999E-2</v>
      </c>
      <c r="BT208" s="52" t="s">
        <v>3288</v>
      </c>
      <c r="BU208" s="52" t="s">
        <v>3288</v>
      </c>
      <c r="BV208" s="41"/>
      <c r="BW208" s="49">
        <v>3.242</v>
      </c>
      <c r="BX208" s="49">
        <v>3.37</v>
      </c>
      <c r="BY208" s="41"/>
    </row>
    <row r="209" spans="1:77" s="81" customFormat="1">
      <c r="A209" s="147">
        <v>2.27</v>
      </c>
      <c r="B209" s="140" t="s">
        <v>394</v>
      </c>
      <c r="C209" s="120" t="s">
        <v>472</v>
      </c>
      <c r="D209" s="132" t="s">
        <v>230</v>
      </c>
      <c r="E209" s="82" t="s">
        <v>230</v>
      </c>
      <c r="F209" s="81" t="s">
        <v>230</v>
      </c>
      <c r="G209" s="81" t="s">
        <v>911</v>
      </c>
      <c r="H209" s="81" t="s">
        <v>912</v>
      </c>
      <c r="I209" s="81" t="s">
        <v>3377</v>
      </c>
      <c r="J209" s="81" t="s">
        <v>3313</v>
      </c>
      <c r="K209" s="81" t="s">
        <v>230</v>
      </c>
      <c r="L209" s="81">
        <v>3</v>
      </c>
      <c r="N209" s="81" t="s">
        <v>3393</v>
      </c>
      <c r="O209" s="81" t="s">
        <v>230</v>
      </c>
      <c r="P209" s="81">
        <v>2</v>
      </c>
      <c r="R209" s="81" t="s">
        <v>3517</v>
      </c>
      <c r="S209" s="81" t="s">
        <v>230</v>
      </c>
      <c r="T209" s="81">
        <v>1</v>
      </c>
      <c r="V209" s="81" t="s">
        <v>1218</v>
      </c>
      <c r="W209" s="81" t="s">
        <v>1502</v>
      </c>
      <c r="X209" s="81" t="s">
        <v>1428</v>
      </c>
      <c r="Y209" s="81" t="s">
        <v>1809</v>
      </c>
      <c r="Z209" s="81">
        <v>17</v>
      </c>
      <c r="AA209" s="81">
        <v>97.5</v>
      </c>
      <c r="AB209" s="81">
        <v>7</v>
      </c>
      <c r="AC209" s="81" t="s">
        <v>1627</v>
      </c>
      <c r="AD209" s="81" t="s">
        <v>1810</v>
      </c>
      <c r="AE209" s="81" t="s">
        <v>1811</v>
      </c>
      <c r="AF209" s="81" t="s">
        <v>911</v>
      </c>
      <c r="AG209" s="81" t="s">
        <v>1812</v>
      </c>
      <c r="AH209" s="81" t="s">
        <v>2695</v>
      </c>
      <c r="AI209" s="81" t="s">
        <v>2452</v>
      </c>
      <c r="AJ209" s="81" t="s">
        <v>2749</v>
      </c>
      <c r="AK209" s="81">
        <v>9</v>
      </c>
      <c r="AL209" s="81">
        <v>98.9</v>
      </c>
      <c r="AM209" s="81">
        <v>3</v>
      </c>
      <c r="AN209" s="81" t="s">
        <v>2406</v>
      </c>
      <c r="AO209" s="81" t="s">
        <v>2750</v>
      </c>
      <c r="AP209" s="81" t="s">
        <v>2751</v>
      </c>
      <c r="AQ209" s="81" t="s">
        <v>912</v>
      </c>
      <c r="AR209" s="81" t="s">
        <v>2752</v>
      </c>
      <c r="AT209" s="83" t="s">
        <v>230</v>
      </c>
      <c r="AU209" s="33">
        <v>0.17899999999999999</v>
      </c>
      <c r="AV209" s="33"/>
      <c r="AW209" s="100">
        <v>3.476</v>
      </c>
      <c r="AX209" s="100">
        <v>3.5179999999999998</v>
      </c>
      <c r="AY209" s="87">
        <v>0.217</v>
      </c>
      <c r="AZ209" s="87">
        <v>0.13400000000000001</v>
      </c>
      <c r="BA209" s="34"/>
      <c r="BB209" s="100">
        <v>3.5049999999999999</v>
      </c>
      <c r="BC209" s="115">
        <v>1.7430000000000001</v>
      </c>
      <c r="BD209" s="34"/>
      <c r="BE209" s="33">
        <v>23551.5</v>
      </c>
      <c r="BF209" s="33">
        <v>49976.5</v>
      </c>
      <c r="BG209" s="88">
        <v>1</v>
      </c>
      <c r="BH209" s="88">
        <v>1</v>
      </c>
      <c r="BI209" s="89" t="s">
        <v>3286</v>
      </c>
      <c r="BJ209" s="33"/>
      <c r="BK209" s="33">
        <v>2806</v>
      </c>
      <c r="BL209" s="33">
        <v>38032</v>
      </c>
      <c r="BM209" s="88">
        <v>0</v>
      </c>
      <c r="BN209" s="88">
        <v>1</v>
      </c>
      <c r="BO209" s="89" t="s">
        <v>3286</v>
      </c>
      <c r="BP209" s="89" t="s">
        <v>3286</v>
      </c>
      <c r="BQ209" s="34"/>
      <c r="BR209" s="33">
        <v>2.0999999999999999E-3</v>
      </c>
      <c r="BS209" s="33">
        <v>-1.11E-2</v>
      </c>
      <c r="BT209" s="89" t="s">
        <v>3288</v>
      </c>
      <c r="BU209" s="89" t="s">
        <v>3288</v>
      </c>
      <c r="BV209" s="33"/>
      <c r="BW209" s="106">
        <v>1.3959999999999999</v>
      </c>
      <c r="BX209" s="100">
        <v>3.5259999999999998</v>
      </c>
      <c r="BY209" s="33"/>
    </row>
    <row r="210" spans="1:77">
      <c r="A210" s="148">
        <v>2.27</v>
      </c>
      <c r="B210" s="141" t="s">
        <v>394</v>
      </c>
      <c r="C210" s="86" t="s">
        <v>472</v>
      </c>
      <c r="D210" s="133" t="s">
        <v>232</v>
      </c>
      <c r="E210" s="80" t="s">
        <v>233</v>
      </c>
      <c r="F210" s="46" t="s">
        <v>232</v>
      </c>
      <c r="G210" s="46" t="s">
        <v>1026</v>
      </c>
      <c r="H210" s="46" t="s">
        <v>1027</v>
      </c>
      <c r="I210" s="46" t="s">
        <v>3377</v>
      </c>
      <c r="J210" s="46" t="s">
        <v>3313</v>
      </c>
      <c r="K210" s="46" t="s">
        <v>232</v>
      </c>
      <c r="L210" s="46">
        <v>3</v>
      </c>
      <c r="N210" s="46" t="s">
        <v>3393</v>
      </c>
      <c r="O210" s="46" t="s">
        <v>232</v>
      </c>
      <c r="P210" s="46">
        <v>2</v>
      </c>
      <c r="R210" s="46" t="s">
        <v>3632</v>
      </c>
      <c r="S210" s="46" t="s">
        <v>232</v>
      </c>
      <c r="T210" s="46">
        <v>1</v>
      </c>
      <c r="V210" s="46" t="s">
        <v>1221</v>
      </c>
      <c r="W210" s="46" t="s">
        <v>1502</v>
      </c>
      <c r="X210" s="46" t="s">
        <v>1428</v>
      </c>
      <c r="Y210" s="46" t="s">
        <v>1819</v>
      </c>
      <c r="Z210" s="46">
        <v>17</v>
      </c>
      <c r="AA210" s="46">
        <v>97.5</v>
      </c>
      <c r="AB210" s="46">
        <v>7</v>
      </c>
      <c r="AC210" s="46" t="s">
        <v>1445</v>
      </c>
      <c r="AD210" s="46" t="s">
        <v>1820</v>
      </c>
      <c r="AE210" s="46" t="s">
        <v>1026</v>
      </c>
      <c r="AF210" s="46" t="s">
        <v>1026</v>
      </c>
      <c r="AG210" s="46" t="s">
        <v>1821</v>
      </c>
      <c r="AH210" s="46" t="s">
        <v>2695</v>
      </c>
      <c r="AI210" s="46" t="s">
        <v>2452</v>
      </c>
      <c r="AJ210" s="46" t="s">
        <v>2749</v>
      </c>
      <c r="AK210" s="46">
        <v>9</v>
      </c>
      <c r="AL210" s="46">
        <v>98.9</v>
      </c>
      <c r="AM210" s="46">
        <v>3</v>
      </c>
      <c r="AN210" s="46" t="s">
        <v>2406</v>
      </c>
      <c r="AO210" s="46" t="s">
        <v>2750</v>
      </c>
      <c r="AP210" s="46" t="s">
        <v>1027</v>
      </c>
      <c r="AQ210" s="46" t="s">
        <v>1027</v>
      </c>
      <c r="AR210" s="46" t="s">
        <v>2756</v>
      </c>
      <c r="AT210" s="73" t="s">
        <v>233</v>
      </c>
      <c r="AU210" s="74">
        <v>9.3270000000000002E-3</v>
      </c>
      <c r="AV210" s="74"/>
      <c r="AW210" s="75">
        <v>0.109</v>
      </c>
      <c r="AX210" s="75">
        <v>0.106</v>
      </c>
      <c r="AY210" s="75">
        <v>0.10199999999999999</v>
      </c>
      <c r="AZ210" s="75">
        <v>0.105</v>
      </c>
      <c r="BA210" s="43"/>
      <c r="BB210" s="75">
        <v>0.11799999999999999</v>
      </c>
      <c r="BC210" s="75">
        <v>9.5000000000000001E-2</v>
      </c>
      <c r="BD210" s="43"/>
      <c r="BE210" s="46">
        <v>1735</v>
      </c>
      <c r="BF210" s="46">
        <v>1367</v>
      </c>
      <c r="BG210" s="76">
        <f>IF(BE210&gt;$BE$52,1,0)</f>
        <v>0</v>
      </c>
      <c r="BH210" s="76">
        <f>IF(BF210&gt;$BE$52,1,0)</f>
        <v>0</v>
      </c>
      <c r="BI210" s="77" t="str">
        <f>IF((BE210/BF210)&gt;1.2,"Intact",IF((BE210/BF210)&lt;0.8,"Cleaved","Non-cryptic"))</f>
        <v>Intact</v>
      </c>
      <c r="BK210" s="46">
        <v>2308</v>
      </c>
      <c r="BL210" s="46">
        <v>1993</v>
      </c>
      <c r="BM210" s="76">
        <f>IF(BK210&gt;$BE$53,1,0)</f>
        <v>0</v>
      </c>
      <c r="BN210" s="76">
        <f>IF(BL210&gt;$BE$53,1,0)</f>
        <v>0</v>
      </c>
      <c r="BO210" s="77" t="str">
        <f>IF((BK210/BL210)&gt;1.2,"Intact",IF((BK210/BL210)&lt;0.8,"Cleaved","Non-cryptic"))</f>
        <v>Non-cryptic</v>
      </c>
      <c r="BP210" s="77" t="str">
        <f>IF(BO210=BI210, BO210, "no match")</f>
        <v>no match</v>
      </c>
      <c r="BQ210" s="43"/>
      <c r="BR210" s="46">
        <v>-0.1249</v>
      </c>
      <c r="BS210" s="46">
        <v>-4.8300000000000003E-2</v>
      </c>
      <c r="BT210" s="77" t="str">
        <f>IF(BR210&gt;0.2,"Yes"," No")</f>
        <v xml:space="preserve"> No</v>
      </c>
      <c r="BU210" s="77" t="str">
        <f>IF(BS210&gt;0.2,"Yes"," No")</f>
        <v xml:space="preserve"> No</v>
      </c>
      <c r="BW210" s="75">
        <v>0.13300000000000001</v>
      </c>
      <c r="BX210" s="75">
        <v>0.13100000000000001</v>
      </c>
    </row>
    <row r="211" spans="1:77" s="40" customFormat="1" ht="17" thickBot="1">
      <c r="A211" s="149">
        <v>2.7</v>
      </c>
      <c r="B211" s="142" t="s">
        <v>394</v>
      </c>
      <c r="C211" s="121" t="s">
        <v>472</v>
      </c>
      <c r="D211" s="134" t="s">
        <v>231</v>
      </c>
      <c r="E211" s="84" t="s">
        <v>231</v>
      </c>
      <c r="F211" s="40" t="s">
        <v>231</v>
      </c>
      <c r="G211" s="40" t="s">
        <v>690</v>
      </c>
      <c r="H211" s="40" t="s">
        <v>691</v>
      </c>
      <c r="I211" s="40" t="s">
        <v>3377</v>
      </c>
      <c r="J211" s="40" t="s">
        <v>3313</v>
      </c>
      <c r="K211" s="40" t="s">
        <v>231</v>
      </c>
      <c r="L211" s="40">
        <v>3</v>
      </c>
      <c r="N211" s="40" t="s">
        <v>3449</v>
      </c>
      <c r="O211" s="40" t="s">
        <v>231</v>
      </c>
      <c r="P211" s="40">
        <v>1</v>
      </c>
      <c r="R211" s="40" t="s">
        <v>3581</v>
      </c>
      <c r="S211" s="40" t="s">
        <v>231</v>
      </c>
      <c r="T211" s="40">
        <v>1</v>
      </c>
      <c r="V211" s="40" t="s">
        <v>1219</v>
      </c>
      <c r="W211" s="40" t="s">
        <v>1502</v>
      </c>
      <c r="X211" s="40" t="s">
        <v>1428</v>
      </c>
      <c r="Y211" s="40" t="s">
        <v>1813</v>
      </c>
      <c r="Z211" s="40">
        <v>17</v>
      </c>
      <c r="AA211" s="40">
        <v>95.9</v>
      </c>
      <c r="AB211" s="40">
        <v>12</v>
      </c>
      <c r="AC211" s="40" t="s">
        <v>1627</v>
      </c>
      <c r="AD211" s="40" t="s">
        <v>1814</v>
      </c>
      <c r="AE211" s="40" t="s">
        <v>690</v>
      </c>
      <c r="AF211" s="40" t="s">
        <v>690</v>
      </c>
      <c r="AG211" s="40" t="s">
        <v>1815</v>
      </c>
      <c r="AH211" s="40" t="s">
        <v>2695</v>
      </c>
      <c r="AI211" s="40" t="s">
        <v>2452</v>
      </c>
      <c r="AJ211" s="40" t="s">
        <v>2749</v>
      </c>
      <c r="AK211" s="40">
        <v>9</v>
      </c>
      <c r="AL211" s="40">
        <v>96.1</v>
      </c>
      <c r="AM211" s="40">
        <v>11</v>
      </c>
      <c r="AN211" s="40" t="s">
        <v>2406</v>
      </c>
      <c r="AO211" s="40" t="s">
        <v>2753</v>
      </c>
      <c r="AP211" s="40" t="s">
        <v>691</v>
      </c>
      <c r="AQ211" s="40" t="s">
        <v>691</v>
      </c>
      <c r="AR211" s="40" t="s">
        <v>2754</v>
      </c>
      <c r="AT211" s="85" t="s">
        <v>231</v>
      </c>
      <c r="AU211" s="35">
        <v>0.30869999999999997</v>
      </c>
      <c r="AV211" s="35"/>
      <c r="AW211" s="108">
        <v>3.6030000000000002</v>
      </c>
      <c r="AX211" s="118">
        <v>3.278</v>
      </c>
      <c r="AY211" s="118">
        <v>3.4729999999999999</v>
      </c>
      <c r="AZ211" s="109">
        <v>0.159</v>
      </c>
      <c r="BA211" s="36"/>
      <c r="BB211" s="102">
        <v>3.512</v>
      </c>
      <c r="BC211" s="110">
        <v>2.4620000000000002</v>
      </c>
      <c r="BD211" s="37"/>
      <c r="BE211" s="35">
        <v>8670</v>
      </c>
      <c r="BF211" s="35">
        <v>47320</v>
      </c>
      <c r="BG211" s="93">
        <v>1</v>
      </c>
      <c r="BH211" s="93">
        <v>1</v>
      </c>
      <c r="BI211" s="94" t="s">
        <v>3286</v>
      </c>
      <c r="BJ211" s="35"/>
      <c r="BK211" s="35">
        <v>3084</v>
      </c>
      <c r="BL211" s="35">
        <v>18526.5</v>
      </c>
      <c r="BM211" s="93">
        <v>0</v>
      </c>
      <c r="BN211" s="93">
        <v>1</v>
      </c>
      <c r="BO211" s="94" t="s">
        <v>3286</v>
      </c>
      <c r="BP211" s="94" t="s">
        <v>3286</v>
      </c>
      <c r="BQ211" s="37"/>
      <c r="BR211" s="35">
        <v>-9.3299999999999994E-2</v>
      </c>
      <c r="BS211" s="35">
        <v>-7.5200000000000003E-2</v>
      </c>
      <c r="BT211" s="94" t="s">
        <v>3288</v>
      </c>
      <c r="BU211" s="94" t="s">
        <v>3288</v>
      </c>
      <c r="BV211" s="35"/>
      <c r="BW211" s="110">
        <v>3.1960000000000002</v>
      </c>
      <c r="BX211" s="102">
        <v>3.464</v>
      </c>
      <c r="BY211" s="35"/>
    </row>
    <row r="212" spans="1:77">
      <c r="A212" s="148">
        <v>2.2799999999999998</v>
      </c>
      <c r="B212" s="141" t="s">
        <v>362</v>
      </c>
      <c r="C212" s="86" t="s">
        <v>440</v>
      </c>
      <c r="D212" s="133" t="s">
        <v>74</v>
      </c>
      <c r="E212" s="80" t="s">
        <v>74</v>
      </c>
      <c r="F212" s="46" t="s">
        <v>74</v>
      </c>
      <c r="G212" s="46" t="s">
        <v>731</v>
      </c>
      <c r="H212" s="46" t="s">
        <v>732</v>
      </c>
      <c r="I212" s="46" t="s">
        <v>3377</v>
      </c>
      <c r="J212" s="46" t="s">
        <v>3319</v>
      </c>
      <c r="K212" s="46" t="s">
        <v>74</v>
      </c>
      <c r="L212" s="46">
        <v>3</v>
      </c>
      <c r="N212" s="46" t="s">
        <v>3399</v>
      </c>
      <c r="O212" s="46" t="s">
        <v>74</v>
      </c>
      <c r="P212" s="46">
        <v>3</v>
      </c>
      <c r="R212" s="46" t="s">
        <v>3561</v>
      </c>
      <c r="S212" s="46" t="s">
        <v>74</v>
      </c>
      <c r="T212" s="46">
        <v>2</v>
      </c>
      <c r="V212" s="46" t="s">
        <v>1371</v>
      </c>
      <c r="W212" s="46" t="s">
        <v>2271</v>
      </c>
      <c r="X212" s="46" t="s">
        <v>1428</v>
      </c>
      <c r="Y212" s="46" t="s">
        <v>2297</v>
      </c>
      <c r="Z212" s="46">
        <v>16</v>
      </c>
      <c r="AA212" s="46">
        <v>91.1</v>
      </c>
      <c r="AB212" s="46">
        <v>26</v>
      </c>
      <c r="AC212" s="46" t="s">
        <v>1627</v>
      </c>
      <c r="AD212" s="46" t="s">
        <v>2298</v>
      </c>
      <c r="AE212" s="46" t="s">
        <v>2299</v>
      </c>
      <c r="AF212" s="46" t="s">
        <v>731</v>
      </c>
      <c r="AG212" s="46" t="s">
        <v>2300</v>
      </c>
      <c r="AH212" s="46" t="s">
        <v>2416</v>
      </c>
      <c r="AI212" s="46" t="s">
        <v>2452</v>
      </c>
      <c r="AJ212" s="46" t="s">
        <v>3176</v>
      </c>
      <c r="AK212" s="46">
        <v>9</v>
      </c>
      <c r="AL212" s="46">
        <v>95.2</v>
      </c>
      <c r="AM212" s="46">
        <v>14</v>
      </c>
      <c r="AN212" s="46" t="s">
        <v>2406</v>
      </c>
      <c r="AO212" s="46" t="s">
        <v>3177</v>
      </c>
      <c r="AP212" s="46" t="s">
        <v>3178</v>
      </c>
      <c r="AQ212" s="46" t="s">
        <v>732</v>
      </c>
      <c r="AR212" s="46" t="s">
        <v>3179</v>
      </c>
      <c r="AT212" s="48" t="s">
        <v>74</v>
      </c>
      <c r="AU212" s="41">
        <v>0.28039999999999998</v>
      </c>
      <c r="AV212" s="41"/>
      <c r="AW212" s="50">
        <v>0.35399999999999998</v>
      </c>
      <c r="AX212" s="67">
        <v>1.214</v>
      </c>
      <c r="AY212" s="50">
        <v>0.121</v>
      </c>
      <c r="AZ212" s="50">
        <v>0.14000000000000001</v>
      </c>
      <c r="BA212" s="43"/>
      <c r="BB212" s="50">
        <v>0.13600000000000001</v>
      </c>
      <c r="BC212" s="50">
        <v>8.1000000000000003E-2</v>
      </c>
      <c r="BD212" s="43"/>
      <c r="BE212" s="41">
        <v>173276</v>
      </c>
      <c r="BF212" s="41">
        <v>215909</v>
      </c>
      <c r="BG212" s="51">
        <v>1</v>
      </c>
      <c r="BH212" s="51">
        <v>1</v>
      </c>
      <c r="BI212" s="52" t="s">
        <v>3289</v>
      </c>
      <c r="BJ212" s="41"/>
      <c r="BK212" s="41">
        <v>10909</v>
      </c>
      <c r="BL212" s="41">
        <v>81106.5</v>
      </c>
      <c r="BM212" s="51">
        <v>1</v>
      </c>
      <c r="BN212" s="51">
        <v>1</v>
      </c>
      <c r="BO212" s="52" t="s">
        <v>3286</v>
      </c>
      <c r="BP212" s="52" t="s">
        <v>3287</v>
      </c>
      <c r="BQ212" s="43"/>
      <c r="BR212" s="41">
        <v>1.8720000000000001</v>
      </c>
      <c r="BS212" s="41">
        <v>1.3431999999999999</v>
      </c>
      <c r="BT212" s="52" t="s">
        <v>3290</v>
      </c>
      <c r="BU212" s="52" t="s">
        <v>3290</v>
      </c>
      <c r="BV212" s="41"/>
      <c r="BW212" s="59">
        <v>0.86099999999999999</v>
      </c>
      <c r="BX212" s="50">
        <v>0.215</v>
      </c>
      <c r="BY212" s="41"/>
    </row>
    <row r="213" spans="1:77">
      <c r="A213" s="148">
        <v>2.2799999999999998</v>
      </c>
      <c r="B213" s="141" t="s">
        <v>362</v>
      </c>
      <c r="C213" s="86" t="s">
        <v>440</v>
      </c>
      <c r="D213" s="133" t="s">
        <v>75</v>
      </c>
      <c r="E213" s="80" t="s">
        <v>75</v>
      </c>
      <c r="F213" s="46" t="s">
        <v>75</v>
      </c>
      <c r="G213" s="46" t="s">
        <v>621</v>
      </c>
      <c r="H213" s="46" t="s">
        <v>622</v>
      </c>
      <c r="I213" s="46" t="s">
        <v>3377</v>
      </c>
      <c r="J213" s="46" t="s">
        <v>3319</v>
      </c>
      <c r="K213" s="46" t="s">
        <v>75</v>
      </c>
      <c r="L213" s="46">
        <v>3</v>
      </c>
      <c r="N213" s="46" t="s">
        <v>3399</v>
      </c>
      <c r="O213" s="46" t="s">
        <v>75</v>
      </c>
      <c r="P213" s="46">
        <v>3</v>
      </c>
      <c r="R213" s="46" t="s">
        <v>3561</v>
      </c>
      <c r="S213" s="46" t="s">
        <v>75</v>
      </c>
      <c r="T213" s="46">
        <v>2</v>
      </c>
      <c r="V213" s="46" t="s">
        <v>1372</v>
      </c>
      <c r="W213" s="46" t="s">
        <v>2271</v>
      </c>
      <c r="X213" s="46" t="s">
        <v>1428</v>
      </c>
      <c r="Y213" s="46" t="s">
        <v>2297</v>
      </c>
      <c r="Z213" s="46">
        <v>16</v>
      </c>
      <c r="AA213" s="46">
        <v>91.4</v>
      </c>
      <c r="AB213" s="46">
        <v>25</v>
      </c>
      <c r="AC213" s="46" t="s">
        <v>1627</v>
      </c>
      <c r="AD213" s="46" t="s">
        <v>2298</v>
      </c>
      <c r="AE213" s="46" t="s">
        <v>621</v>
      </c>
      <c r="AF213" s="46" t="s">
        <v>621</v>
      </c>
      <c r="AG213" s="46" t="s">
        <v>2301</v>
      </c>
      <c r="AH213" s="46" t="s">
        <v>2416</v>
      </c>
      <c r="AI213" s="46" t="s">
        <v>2452</v>
      </c>
      <c r="AJ213" s="46" t="s">
        <v>3180</v>
      </c>
      <c r="AK213" s="46">
        <v>9</v>
      </c>
      <c r="AL213" s="46">
        <v>95.2</v>
      </c>
      <c r="AM213" s="46">
        <v>14</v>
      </c>
      <c r="AN213" s="46" t="s">
        <v>2406</v>
      </c>
      <c r="AO213" s="46" t="s">
        <v>3181</v>
      </c>
      <c r="AP213" s="46" t="s">
        <v>3182</v>
      </c>
      <c r="AQ213" s="46" t="s">
        <v>622</v>
      </c>
      <c r="AR213" s="46" t="s">
        <v>3183</v>
      </c>
      <c r="AT213" s="48" t="s">
        <v>75</v>
      </c>
      <c r="AU213" s="41">
        <v>0.26640000000000003</v>
      </c>
      <c r="AV213" s="41"/>
      <c r="AW213" s="64">
        <v>0.433</v>
      </c>
      <c r="AX213" s="69">
        <v>1.841</v>
      </c>
      <c r="AY213" s="63">
        <v>0.122</v>
      </c>
      <c r="AZ213" s="63">
        <v>0.124</v>
      </c>
      <c r="BA213" s="42"/>
      <c r="BB213" s="50">
        <v>0.115</v>
      </c>
      <c r="BC213" s="50">
        <v>8.8999999999999996E-2</v>
      </c>
      <c r="BD213" s="43"/>
      <c r="BE213" s="41">
        <v>75711</v>
      </c>
      <c r="BF213" s="41">
        <v>309062</v>
      </c>
      <c r="BG213" s="51">
        <v>1</v>
      </c>
      <c r="BH213" s="51">
        <v>1</v>
      </c>
      <c r="BI213" s="52" t="s">
        <v>3286</v>
      </c>
      <c r="BJ213" s="41"/>
      <c r="BK213" s="41">
        <v>31345.5</v>
      </c>
      <c r="BL213" s="41">
        <v>58731</v>
      </c>
      <c r="BM213" s="51">
        <v>1</v>
      </c>
      <c r="BN213" s="51">
        <v>1</v>
      </c>
      <c r="BO213" s="52" t="s">
        <v>3286</v>
      </c>
      <c r="BP213" s="52" t="s">
        <v>3286</v>
      </c>
      <c r="BQ213" s="43"/>
      <c r="BR213" s="41">
        <v>2.6063999999999998</v>
      </c>
      <c r="BS213" s="41">
        <v>2.0888</v>
      </c>
      <c r="BT213" s="52" t="s">
        <v>3290</v>
      </c>
      <c r="BU213" s="52" t="s">
        <v>3290</v>
      </c>
      <c r="BV213" s="41"/>
      <c r="BW213" s="57">
        <v>0.66700000000000004</v>
      </c>
      <c r="BX213" s="50">
        <v>0.219</v>
      </c>
      <c r="BY213" s="41"/>
    </row>
    <row r="214" spans="1:77" ht="17" thickBot="1">
      <c r="A214" s="148">
        <v>2.2799999999999998</v>
      </c>
      <c r="B214" s="141" t="s">
        <v>362</v>
      </c>
      <c r="C214" s="86" t="s">
        <v>440</v>
      </c>
      <c r="D214" s="133" t="s">
        <v>73</v>
      </c>
      <c r="E214" s="80" t="s">
        <v>73</v>
      </c>
      <c r="F214" s="46" t="s">
        <v>73</v>
      </c>
      <c r="G214" s="46" t="s">
        <v>933</v>
      </c>
      <c r="H214" s="46" t="s">
        <v>934</v>
      </c>
      <c r="I214" s="46" t="s">
        <v>3377</v>
      </c>
      <c r="J214" s="46" t="s">
        <v>3319</v>
      </c>
      <c r="K214" s="46" t="s">
        <v>73</v>
      </c>
      <c r="L214" s="46">
        <v>3</v>
      </c>
      <c r="N214" s="46" t="s">
        <v>3399</v>
      </c>
      <c r="O214" s="46" t="s">
        <v>73</v>
      </c>
      <c r="P214" s="46">
        <v>3</v>
      </c>
      <c r="R214" s="46" t="s">
        <v>3523</v>
      </c>
      <c r="S214" s="46" t="s">
        <v>73</v>
      </c>
      <c r="T214" s="46">
        <v>1</v>
      </c>
      <c r="V214" s="46" t="s">
        <v>1370</v>
      </c>
      <c r="W214" s="46" t="s">
        <v>2271</v>
      </c>
      <c r="X214" s="46" t="s">
        <v>1428</v>
      </c>
      <c r="Y214" s="46" t="s">
        <v>2293</v>
      </c>
      <c r="Z214" s="46">
        <v>16</v>
      </c>
      <c r="AA214" s="46">
        <v>93</v>
      </c>
      <c r="AB214" s="46">
        <v>19</v>
      </c>
      <c r="AC214" s="46" t="s">
        <v>1416</v>
      </c>
      <c r="AD214" s="46" t="s">
        <v>2294</v>
      </c>
      <c r="AE214" s="46" t="s">
        <v>2295</v>
      </c>
      <c r="AF214" s="46" t="s">
        <v>933</v>
      </c>
      <c r="AG214" s="46" t="s">
        <v>2296</v>
      </c>
      <c r="AH214" s="46" t="s">
        <v>2416</v>
      </c>
      <c r="AI214" s="46" t="s">
        <v>2452</v>
      </c>
      <c r="AJ214" s="46" t="s">
        <v>3172</v>
      </c>
      <c r="AK214" s="46">
        <v>10</v>
      </c>
      <c r="AL214" s="46">
        <v>97.8</v>
      </c>
      <c r="AM214" s="46">
        <v>6</v>
      </c>
      <c r="AN214" s="46" t="s">
        <v>2406</v>
      </c>
      <c r="AO214" s="46" t="s">
        <v>3173</v>
      </c>
      <c r="AP214" s="46" t="s">
        <v>3174</v>
      </c>
      <c r="AQ214" s="46" t="s">
        <v>934</v>
      </c>
      <c r="AR214" s="46" t="s">
        <v>3175</v>
      </c>
      <c r="AT214" s="48" t="s">
        <v>73</v>
      </c>
      <c r="AU214" s="41">
        <v>0.13200000000000001</v>
      </c>
      <c r="AV214" s="41"/>
      <c r="AW214" s="50">
        <v>0.19500000000000001</v>
      </c>
      <c r="AX214" s="54">
        <v>0.41499999999999998</v>
      </c>
      <c r="AY214" s="50">
        <v>0.112</v>
      </c>
      <c r="AZ214" s="50">
        <v>0.13</v>
      </c>
      <c r="BA214" s="43"/>
      <c r="BB214" s="50">
        <v>0.105</v>
      </c>
      <c r="BC214" s="50">
        <v>8.2000000000000003E-2</v>
      </c>
      <c r="BD214" s="43"/>
      <c r="BE214" s="41">
        <v>124947.5</v>
      </c>
      <c r="BF214" s="41">
        <v>595873.5</v>
      </c>
      <c r="BG214" s="51">
        <v>1</v>
      </c>
      <c r="BH214" s="51">
        <v>1</v>
      </c>
      <c r="BI214" s="52" t="s">
        <v>3286</v>
      </c>
      <c r="BJ214" s="41"/>
      <c r="BK214" s="41">
        <v>44305</v>
      </c>
      <c r="BL214" s="41">
        <v>129259</v>
      </c>
      <c r="BM214" s="51">
        <v>1</v>
      </c>
      <c r="BN214" s="51">
        <v>1</v>
      </c>
      <c r="BO214" s="52" t="s">
        <v>3286</v>
      </c>
      <c r="BP214" s="52" t="s">
        <v>3286</v>
      </c>
      <c r="BQ214" s="43"/>
      <c r="BR214" s="41">
        <v>0.39100000000000001</v>
      </c>
      <c r="BS214" s="41">
        <v>1.1273</v>
      </c>
      <c r="BT214" s="52" t="s">
        <v>3290</v>
      </c>
      <c r="BU214" s="52" t="s">
        <v>3290</v>
      </c>
      <c r="BV214" s="41"/>
      <c r="BW214" s="54">
        <v>0.57799999999999996</v>
      </c>
      <c r="BX214" s="50">
        <v>0.14599999999999999</v>
      </c>
      <c r="BY214" s="41"/>
    </row>
    <row r="215" spans="1:77" s="81" customFormat="1">
      <c r="A215" s="147">
        <v>2.29</v>
      </c>
      <c r="B215" s="140" t="s">
        <v>395</v>
      </c>
      <c r="C215" s="120" t="s">
        <v>473</v>
      </c>
      <c r="D215" s="132" t="s">
        <v>234</v>
      </c>
      <c r="E215" s="82" t="s">
        <v>234</v>
      </c>
      <c r="F215" s="81" t="s">
        <v>234</v>
      </c>
      <c r="G215" s="81" t="s">
        <v>935</v>
      </c>
      <c r="H215" s="81" t="s">
        <v>936</v>
      </c>
      <c r="I215" s="81" t="s">
        <v>3377</v>
      </c>
      <c r="J215" s="81" t="s">
        <v>3320</v>
      </c>
      <c r="K215" s="81" t="s">
        <v>234</v>
      </c>
      <c r="L215" s="81">
        <v>3</v>
      </c>
      <c r="N215" s="81" t="s">
        <v>3400</v>
      </c>
      <c r="O215" s="81" t="s">
        <v>234</v>
      </c>
      <c r="P215" s="81">
        <v>3</v>
      </c>
      <c r="R215" s="81" t="s">
        <v>3524</v>
      </c>
      <c r="S215" s="81" t="s">
        <v>234</v>
      </c>
      <c r="T215" s="81">
        <v>2</v>
      </c>
      <c r="V215" s="81" t="s">
        <v>1222</v>
      </c>
      <c r="W215" s="81" t="s">
        <v>1822</v>
      </c>
      <c r="X215" s="81" t="s">
        <v>1428</v>
      </c>
      <c r="Y215" s="81" t="s">
        <v>1823</v>
      </c>
      <c r="Z215" s="81">
        <v>12</v>
      </c>
      <c r="AA215" s="81">
        <v>95.2</v>
      </c>
      <c r="AB215" s="81">
        <v>13</v>
      </c>
      <c r="AC215" s="81" t="s">
        <v>1414</v>
      </c>
      <c r="AD215" s="81" t="s">
        <v>1824</v>
      </c>
      <c r="AE215" s="81" t="s">
        <v>1825</v>
      </c>
      <c r="AF215" s="81" t="s">
        <v>935</v>
      </c>
      <c r="AG215" s="81" t="s">
        <v>1826</v>
      </c>
      <c r="AH215" s="81" t="s">
        <v>2603</v>
      </c>
      <c r="AI215" s="81" t="s">
        <v>2452</v>
      </c>
      <c r="AJ215" s="81" t="s">
        <v>2757</v>
      </c>
      <c r="AK215" s="81">
        <v>10</v>
      </c>
      <c r="AL215" s="81">
        <v>98.9</v>
      </c>
      <c r="AM215" s="81">
        <v>3</v>
      </c>
      <c r="AN215" s="81" t="s">
        <v>2406</v>
      </c>
      <c r="AO215" s="81" t="s">
        <v>2758</v>
      </c>
      <c r="AP215" s="81" t="s">
        <v>2759</v>
      </c>
      <c r="AQ215" s="81" t="s">
        <v>936</v>
      </c>
      <c r="AR215" s="81" t="s">
        <v>2760</v>
      </c>
      <c r="AT215" s="83" t="s">
        <v>234</v>
      </c>
      <c r="AU215" s="33">
        <v>7.6100000000000001E-2</v>
      </c>
      <c r="AV215" s="33"/>
      <c r="AW215" s="105">
        <v>3.2989999999999999</v>
      </c>
      <c r="AX215" s="100">
        <v>3.492</v>
      </c>
      <c r="AY215" s="100">
        <v>3.6230000000000002</v>
      </c>
      <c r="AZ215" s="87">
        <v>0.20100000000000001</v>
      </c>
      <c r="BA215" s="34"/>
      <c r="BB215" s="87">
        <v>0.11</v>
      </c>
      <c r="BC215" s="87">
        <v>8.5000000000000006E-2</v>
      </c>
      <c r="BD215" s="34"/>
      <c r="BE215" s="33">
        <v>35170</v>
      </c>
      <c r="BF215" s="33">
        <v>2719.5</v>
      </c>
      <c r="BG215" s="88">
        <v>1</v>
      </c>
      <c r="BH215" s="88">
        <v>0</v>
      </c>
      <c r="BI215" s="89" t="s">
        <v>3285</v>
      </c>
      <c r="BJ215" s="33"/>
      <c r="BK215" s="33">
        <v>2659.5</v>
      </c>
      <c r="BL215" s="33">
        <v>3176</v>
      </c>
      <c r="BM215" s="88">
        <v>0</v>
      </c>
      <c r="BN215" s="88">
        <v>0</v>
      </c>
      <c r="BO215" s="89" t="s">
        <v>3289</v>
      </c>
      <c r="BP215" s="89" t="s">
        <v>3287</v>
      </c>
      <c r="BQ215" s="34"/>
      <c r="BR215" s="33">
        <v>-2.29E-2</v>
      </c>
      <c r="BS215" s="33">
        <v>-1.54E-2</v>
      </c>
      <c r="BT215" s="89" t="s">
        <v>3288</v>
      </c>
      <c r="BU215" s="89" t="s">
        <v>3288</v>
      </c>
      <c r="BV215" s="33"/>
      <c r="BW215" s="119">
        <v>2.36</v>
      </c>
      <c r="BX215" s="104">
        <v>0.6</v>
      </c>
      <c r="BY215" s="33"/>
    </row>
    <row r="216" spans="1:77">
      <c r="A216" s="148">
        <v>2.29</v>
      </c>
      <c r="B216" s="141" t="s">
        <v>395</v>
      </c>
      <c r="C216" s="86" t="s">
        <v>473</v>
      </c>
      <c r="D216" s="133" t="s">
        <v>236</v>
      </c>
      <c r="E216" s="80" t="s">
        <v>237</v>
      </c>
      <c r="F216" s="46" t="s">
        <v>236</v>
      </c>
      <c r="G216" s="46" t="s">
        <v>1065</v>
      </c>
      <c r="H216" s="46" t="s">
        <v>1066</v>
      </c>
      <c r="I216" s="46" t="s">
        <v>3377</v>
      </c>
      <c r="J216" s="46" t="s">
        <v>3320</v>
      </c>
      <c r="K216" s="46" t="s">
        <v>236</v>
      </c>
      <c r="L216" s="46">
        <v>3</v>
      </c>
      <c r="N216" s="46" t="s">
        <v>3400</v>
      </c>
      <c r="O216" s="46" t="s">
        <v>236</v>
      </c>
      <c r="P216" s="46">
        <v>3</v>
      </c>
      <c r="R216" s="46" t="s">
        <v>3524</v>
      </c>
      <c r="S216" s="46" t="s">
        <v>236</v>
      </c>
      <c r="T216" s="46">
        <v>2</v>
      </c>
      <c r="V216" s="46" t="s">
        <v>1224</v>
      </c>
      <c r="W216" s="46" t="s">
        <v>1822</v>
      </c>
      <c r="X216" s="46" t="s">
        <v>1428</v>
      </c>
      <c r="Y216" s="46" t="s">
        <v>1831</v>
      </c>
      <c r="Z216" s="46">
        <v>12</v>
      </c>
      <c r="AA216" s="46">
        <v>96.9</v>
      </c>
      <c r="AB216" s="46">
        <v>9</v>
      </c>
      <c r="AC216" s="46" t="s">
        <v>1470</v>
      </c>
      <c r="AD216" s="46" t="s">
        <v>1832</v>
      </c>
      <c r="AE216" s="46" t="s">
        <v>1065</v>
      </c>
      <c r="AF216" s="46" t="s">
        <v>1065</v>
      </c>
      <c r="AG216" s="46" t="s">
        <v>1833</v>
      </c>
      <c r="AH216" s="46" t="s">
        <v>2603</v>
      </c>
      <c r="AI216" s="46" t="s">
        <v>2452</v>
      </c>
      <c r="AJ216" s="46" t="s">
        <v>2757</v>
      </c>
      <c r="AK216" s="46">
        <v>10</v>
      </c>
      <c r="AL216" s="46">
        <v>98.3</v>
      </c>
      <c r="AM216" s="46">
        <v>5</v>
      </c>
      <c r="AN216" s="46" t="s">
        <v>2406</v>
      </c>
      <c r="AO216" s="46" t="s">
        <v>2758</v>
      </c>
      <c r="AP216" s="46" t="s">
        <v>1066</v>
      </c>
      <c r="AQ216" s="46" t="s">
        <v>1066</v>
      </c>
      <c r="AR216" s="46" t="s">
        <v>2765</v>
      </c>
      <c r="AT216" s="48" t="s">
        <v>237</v>
      </c>
      <c r="AU216" s="41">
        <v>0.1323</v>
      </c>
      <c r="AV216" s="41"/>
      <c r="AW216" s="55">
        <v>3.55</v>
      </c>
      <c r="AX216" s="55">
        <v>3.5470000000000002</v>
      </c>
      <c r="AY216" s="55">
        <v>3.5630000000000002</v>
      </c>
      <c r="AZ216" s="50">
        <v>0.23599999999999999</v>
      </c>
      <c r="BA216" s="43"/>
      <c r="BB216" s="50">
        <v>0.121</v>
      </c>
      <c r="BC216" s="50">
        <v>0.127</v>
      </c>
      <c r="BD216" s="43"/>
      <c r="BE216" s="41">
        <v>18434</v>
      </c>
      <c r="BF216" s="41">
        <v>1897</v>
      </c>
      <c r="BG216" s="51">
        <v>1</v>
      </c>
      <c r="BH216" s="51">
        <v>0</v>
      </c>
      <c r="BI216" s="52" t="s">
        <v>3285</v>
      </c>
      <c r="BJ216" s="41"/>
      <c r="BK216" s="41">
        <v>4010</v>
      </c>
      <c r="BL216" s="41">
        <v>2065</v>
      </c>
      <c r="BM216" s="51">
        <v>0</v>
      </c>
      <c r="BN216" s="51">
        <v>0</v>
      </c>
      <c r="BO216" s="52" t="s">
        <v>3285</v>
      </c>
      <c r="BP216" s="52" t="s">
        <v>3285</v>
      </c>
      <c r="BQ216" s="43"/>
      <c r="BR216" s="41">
        <v>-8.2500000000000004E-2</v>
      </c>
      <c r="BS216" s="41">
        <v>-5.8700000000000002E-2</v>
      </c>
      <c r="BT216" s="52" t="s">
        <v>3288</v>
      </c>
      <c r="BU216" s="52" t="s">
        <v>3288</v>
      </c>
      <c r="BV216" s="41"/>
      <c r="BW216" s="58">
        <v>3.0350000000000001</v>
      </c>
      <c r="BX216" s="59">
        <v>1.028</v>
      </c>
      <c r="BY216" s="41"/>
    </row>
    <row r="217" spans="1:77" s="40" customFormat="1" ht="17" thickBot="1">
      <c r="A217" s="149">
        <v>2.29</v>
      </c>
      <c r="B217" s="142" t="s">
        <v>395</v>
      </c>
      <c r="C217" s="121" t="s">
        <v>473</v>
      </c>
      <c r="D217" s="134" t="s">
        <v>235</v>
      </c>
      <c r="E217" s="84" t="s">
        <v>235</v>
      </c>
      <c r="F217" s="40" t="s">
        <v>235</v>
      </c>
      <c r="G217" s="40" t="s">
        <v>859</v>
      </c>
      <c r="H217" s="40" t="s">
        <v>860</v>
      </c>
      <c r="I217" s="40" t="s">
        <v>3377</v>
      </c>
      <c r="J217" s="40" t="s">
        <v>3320</v>
      </c>
      <c r="K217" s="40" t="s">
        <v>235</v>
      </c>
      <c r="L217" s="40">
        <v>3</v>
      </c>
      <c r="N217" s="40" t="s">
        <v>3400</v>
      </c>
      <c r="O217" s="40" t="s">
        <v>235</v>
      </c>
      <c r="P217" s="40">
        <v>3</v>
      </c>
      <c r="R217" s="40" t="s">
        <v>3614</v>
      </c>
      <c r="S217" s="40" t="s">
        <v>235</v>
      </c>
      <c r="T217" s="40">
        <v>1</v>
      </c>
      <c r="V217" s="40" t="s">
        <v>1223</v>
      </c>
      <c r="W217" s="40" t="s">
        <v>1822</v>
      </c>
      <c r="X217" s="40" t="s">
        <v>1428</v>
      </c>
      <c r="Y217" s="40" t="s">
        <v>1827</v>
      </c>
      <c r="Z217" s="40">
        <v>12</v>
      </c>
      <c r="AA217" s="40">
        <v>96.9</v>
      </c>
      <c r="AB217" s="40">
        <v>9</v>
      </c>
      <c r="AC217" s="40" t="s">
        <v>1414</v>
      </c>
      <c r="AD217" s="40" t="s">
        <v>1828</v>
      </c>
      <c r="AE217" s="40" t="s">
        <v>1829</v>
      </c>
      <c r="AF217" s="40" t="s">
        <v>859</v>
      </c>
      <c r="AG217" s="40" t="s">
        <v>1830</v>
      </c>
      <c r="AH217" s="40" t="s">
        <v>2603</v>
      </c>
      <c r="AI217" s="40" t="s">
        <v>2452</v>
      </c>
      <c r="AJ217" s="40" t="s">
        <v>2761</v>
      </c>
      <c r="AK217" s="40">
        <v>10</v>
      </c>
      <c r="AL217" s="40">
        <v>97.2</v>
      </c>
      <c r="AM217" s="40">
        <v>8</v>
      </c>
      <c r="AN217" s="40" t="s">
        <v>2406</v>
      </c>
      <c r="AO217" s="40" t="s">
        <v>2762</v>
      </c>
      <c r="AP217" s="40" t="s">
        <v>2763</v>
      </c>
      <c r="AQ217" s="40" t="s">
        <v>860</v>
      </c>
      <c r="AR217" s="40" t="s">
        <v>2764</v>
      </c>
      <c r="AT217" s="85" t="s">
        <v>235</v>
      </c>
      <c r="AU217" s="35">
        <v>1.601</v>
      </c>
      <c r="AV217" s="35"/>
      <c r="AW217" s="110">
        <v>3.274</v>
      </c>
      <c r="AX217" s="103">
        <v>2.8759999999999999</v>
      </c>
      <c r="AY217" s="102">
        <v>3.504</v>
      </c>
      <c r="AZ217" s="90">
        <v>0.16</v>
      </c>
      <c r="BA217" s="37"/>
      <c r="BB217" s="90">
        <v>0.126</v>
      </c>
      <c r="BC217" s="90">
        <v>8.4000000000000005E-2</v>
      </c>
      <c r="BD217" s="37"/>
      <c r="BE217" s="35">
        <v>7379</v>
      </c>
      <c r="BF217" s="35">
        <v>1905</v>
      </c>
      <c r="BG217" s="93">
        <v>0</v>
      </c>
      <c r="BH217" s="93">
        <v>0</v>
      </c>
      <c r="BI217" s="94" t="s">
        <v>3285</v>
      </c>
      <c r="BJ217" s="35"/>
      <c r="BK217" s="35">
        <v>3886</v>
      </c>
      <c r="BL217" s="35">
        <v>2235</v>
      </c>
      <c r="BM217" s="93">
        <v>0</v>
      </c>
      <c r="BN217" s="93">
        <v>0</v>
      </c>
      <c r="BO217" s="94" t="s">
        <v>3285</v>
      </c>
      <c r="BP217" s="94" t="s">
        <v>3285</v>
      </c>
      <c r="BQ217" s="37"/>
      <c r="BR217" s="35">
        <v>-3.0700000000000002E-2</v>
      </c>
      <c r="BS217" s="35">
        <v>-7.7799999999999994E-2</v>
      </c>
      <c r="BT217" s="94" t="s">
        <v>3288</v>
      </c>
      <c r="BU217" s="94" t="s">
        <v>3288</v>
      </c>
      <c r="BV217" s="35"/>
      <c r="BW217" s="91">
        <v>2.2400000000000002</v>
      </c>
      <c r="BX217" s="92">
        <v>0.59099999999999997</v>
      </c>
      <c r="BY217" s="35"/>
    </row>
    <row r="218" spans="1:77">
      <c r="A218" s="148">
        <v>2.2999999999999998</v>
      </c>
      <c r="B218" s="141" t="s">
        <v>396</v>
      </c>
      <c r="C218" s="86" t="s">
        <v>474</v>
      </c>
      <c r="D218" s="133" t="s">
        <v>238</v>
      </c>
      <c r="E218" s="80" t="s">
        <v>238</v>
      </c>
      <c r="F218" s="46" t="s">
        <v>238</v>
      </c>
      <c r="G218" s="46" t="s">
        <v>737</v>
      </c>
      <c r="H218" s="46" t="s">
        <v>738</v>
      </c>
      <c r="I218" s="46" t="s">
        <v>3377</v>
      </c>
      <c r="J218" s="46" t="s">
        <v>3359</v>
      </c>
      <c r="K218" s="46" t="s">
        <v>238</v>
      </c>
      <c r="L218" s="46">
        <v>3</v>
      </c>
      <c r="N218" s="46" t="s">
        <v>3457</v>
      </c>
      <c r="O218" s="46" t="s">
        <v>238</v>
      </c>
      <c r="P218" s="46">
        <v>2</v>
      </c>
      <c r="R218" s="46" t="s">
        <v>3592</v>
      </c>
      <c r="S218" s="46" t="s">
        <v>238</v>
      </c>
      <c r="T218" s="46">
        <v>1</v>
      </c>
      <c r="V218" s="46" t="s">
        <v>1225</v>
      </c>
      <c r="W218" s="46" t="s">
        <v>1602</v>
      </c>
      <c r="X218" s="46" t="s">
        <v>1413</v>
      </c>
      <c r="Y218" s="46" t="s">
        <v>1834</v>
      </c>
      <c r="Z218" s="46">
        <v>17</v>
      </c>
      <c r="AA218" s="46">
        <v>95.9</v>
      </c>
      <c r="AB218" s="46">
        <v>12</v>
      </c>
      <c r="AC218" s="46" t="s">
        <v>1454</v>
      </c>
      <c r="AD218" s="46" t="s">
        <v>1835</v>
      </c>
      <c r="AE218" s="46" t="s">
        <v>1836</v>
      </c>
      <c r="AF218" s="46" t="s">
        <v>737</v>
      </c>
      <c r="AG218" s="46" t="s">
        <v>1837</v>
      </c>
      <c r="AH218" s="46" t="s">
        <v>2451</v>
      </c>
      <c r="AI218" s="46" t="s">
        <v>2404</v>
      </c>
      <c r="AJ218" s="46" t="s">
        <v>2766</v>
      </c>
      <c r="AK218" s="46">
        <v>10</v>
      </c>
      <c r="AL218" s="46">
        <v>97.2</v>
      </c>
      <c r="AM218" s="46">
        <v>8</v>
      </c>
      <c r="AN218" s="46" t="s">
        <v>2406</v>
      </c>
      <c r="AO218" s="46" t="s">
        <v>2767</v>
      </c>
      <c r="AP218" s="46" t="s">
        <v>586</v>
      </c>
      <c r="AQ218" s="46" t="s">
        <v>738</v>
      </c>
      <c r="AR218" s="46" t="s">
        <v>2768</v>
      </c>
      <c r="AT218" s="48" t="s">
        <v>238</v>
      </c>
      <c r="AU218" s="41">
        <v>0.3281</v>
      </c>
      <c r="AV218" s="41"/>
      <c r="AW218" s="55">
        <v>3.5979999999999999</v>
      </c>
      <c r="AX218" s="67">
        <v>1.1519999999999999</v>
      </c>
      <c r="AY218" s="55">
        <v>3.5470000000000002</v>
      </c>
      <c r="AZ218" s="50">
        <v>0.155</v>
      </c>
      <c r="BA218" s="43"/>
      <c r="BB218" s="55">
        <v>3.55</v>
      </c>
      <c r="BC218" s="49">
        <v>2.3090000000000002</v>
      </c>
      <c r="BD218" s="43"/>
      <c r="BE218" s="41">
        <v>12938</v>
      </c>
      <c r="BF218" s="41">
        <v>45923</v>
      </c>
      <c r="BG218" s="51">
        <v>1</v>
      </c>
      <c r="BH218" s="51">
        <v>1</v>
      </c>
      <c r="BI218" s="52" t="s">
        <v>3286</v>
      </c>
      <c r="BJ218" s="41"/>
      <c r="BK218" s="41">
        <v>3519</v>
      </c>
      <c r="BL218" s="41">
        <v>42983</v>
      </c>
      <c r="BM218" s="51">
        <v>0</v>
      </c>
      <c r="BN218" s="51">
        <v>1</v>
      </c>
      <c r="BO218" s="52" t="s">
        <v>3286</v>
      </c>
      <c r="BP218" s="52" t="s">
        <v>3286</v>
      </c>
      <c r="BQ218" s="43"/>
      <c r="BR218" s="41">
        <v>0.1812</v>
      </c>
      <c r="BS218" s="41">
        <v>0.99439999999999995</v>
      </c>
      <c r="BT218" s="52" t="s">
        <v>3288</v>
      </c>
      <c r="BU218" s="52" t="s">
        <v>3290</v>
      </c>
      <c r="BV218" s="41"/>
      <c r="BW218" s="55">
        <v>3.4129999999999998</v>
      </c>
      <c r="BX218" s="55">
        <v>3.5129999999999999</v>
      </c>
      <c r="BY218" s="41"/>
    </row>
    <row r="219" spans="1:77">
      <c r="A219" s="148">
        <v>2.2999999999999998</v>
      </c>
      <c r="B219" s="141" t="s">
        <v>396</v>
      </c>
      <c r="C219" s="86" t="s">
        <v>474</v>
      </c>
      <c r="D219" s="133" t="s">
        <v>239</v>
      </c>
      <c r="E219" s="80" t="s">
        <v>240</v>
      </c>
      <c r="F219" s="46" t="s">
        <v>239</v>
      </c>
      <c r="G219" s="46" t="s">
        <v>1061</v>
      </c>
      <c r="H219" s="46" t="s">
        <v>1062</v>
      </c>
      <c r="I219" s="46" t="s">
        <v>3377</v>
      </c>
      <c r="J219" s="46" t="s">
        <v>3359</v>
      </c>
      <c r="K219" s="46" t="s">
        <v>239</v>
      </c>
      <c r="L219" s="46">
        <v>3</v>
      </c>
      <c r="N219" s="46" t="s">
        <v>3457</v>
      </c>
      <c r="O219" s="46" t="s">
        <v>239</v>
      </c>
      <c r="P219" s="46">
        <v>2</v>
      </c>
      <c r="R219" s="46" t="s">
        <v>3646</v>
      </c>
      <c r="S219" s="46" t="s">
        <v>239</v>
      </c>
      <c r="T219" s="46">
        <v>1</v>
      </c>
      <c r="V219" s="46" t="s">
        <v>1226</v>
      </c>
      <c r="W219" s="46" t="s">
        <v>1602</v>
      </c>
      <c r="X219" s="46" t="s">
        <v>1413</v>
      </c>
      <c r="Y219" s="46" t="s">
        <v>1838</v>
      </c>
      <c r="Z219" s="46">
        <v>17</v>
      </c>
      <c r="AA219" s="46">
        <v>95.9</v>
      </c>
      <c r="AB219" s="46">
        <v>12</v>
      </c>
      <c r="AC219" s="46" t="s">
        <v>1454</v>
      </c>
      <c r="AD219" s="46" t="s">
        <v>1839</v>
      </c>
      <c r="AE219" s="46" t="s">
        <v>1061</v>
      </c>
      <c r="AF219" s="46" t="s">
        <v>1061</v>
      </c>
      <c r="AG219" s="46" t="s">
        <v>1840</v>
      </c>
      <c r="AH219" s="46" t="s">
        <v>2451</v>
      </c>
      <c r="AI219" s="46" t="s">
        <v>2404</v>
      </c>
      <c r="AJ219" s="46" t="s">
        <v>2766</v>
      </c>
      <c r="AK219" s="46">
        <v>10</v>
      </c>
      <c r="AL219" s="46">
        <v>96.9</v>
      </c>
      <c r="AM219" s="46">
        <v>9</v>
      </c>
      <c r="AN219" s="46" t="s">
        <v>2406</v>
      </c>
      <c r="AO219" s="46" t="s">
        <v>2769</v>
      </c>
      <c r="AP219" s="46" t="s">
        <v>1062</v>
      </c>
      <c r="AQ219" s="46" t="s">
        <v>1062</v>
      </c>
      <c r="AR219" s="46" t="s">
        <v>2770</v>
      </c>
      <c r="AT219" s="48" t="s">
        <v>240</v>
      </c>
      <c r="AU219" s="41">
        <v>0.19020000000000001</v>
      </c>
      <c r="AV219" s="41"/>
      <c r="AW219" s="55">
        <v>3.61</v>
      </c>
      <c r="AX219" s="50">
        <v>0.27</v>
      </c>
      <c r="AY219" s="57">
        <v>0.81100000000000005</v>
      </c>
      <c r="AZ219" s="50">
        <v>0.16600000000000001</v>
      </c>
      <c r="BA219" s="43"/>
      <c r="BB219" s="55">
        <v>3.5230000000000001</v>
      </c>
      <c r="BC219" s="49">
        <v>2.302</v>
      </c>
      <c r="BD219" s="43"/>
      <c r="BE219" s="41">
        <v>19919</v>
      </c>
      <c r="BF219" s="41">
        <v>92009.5</v>
      </c>
      <c r="BG219" s="51">
        <v>1</v>
      </c>
      <c r="BH219" s="51">
        <v>1</v>
      </c>
      <c r="BI219" s="52" t="s">
        <v>3286</v>
      </c>
      <c r="BJ219" s="41"/>
      <c r="BK219" s="41">
        <v>3388</v>
      </c>
      <c r="BL219" s="41">
        <v>99190</v>
      </c>
      <c r="BM219" s="51">
        <v>0</v>
      </c>
      <c r="BN219" s="51">
        <v>1</v>
      </c>
      <c r="BO219" s="52" t="s">
        <v>3286</v>
      </c>
      <c r="BP219" s="52" t="s">
        <v>3286</v>
      </c>
      <c r="BQ219" s="43"/>
      <c r="BR219" s="41">
        <v>0.25769999999999998</v>
      </c>
      <c r="BS219" s="41">
        <v>0.38540000000000002</v>
      </c>
      <c r="BT219" s="52" t="s">
        <v>3290</v>
      </c>
      <c r="BU219" s="52" t="s">
        <v>3290</v>
      </c>
      <c r="BV219" s="41"/>
      <c r="BW219" s="49">
        <v>3.1019999999999999</v>
      </c>
      <c r="BX219" s="55">
        <v>3.51</v>
      </c>
      <c r="BY219" s="41"/>
    </row>
    <row r="220" spans="1:77" ht="17" thickBot="1">
      <c r="A220" s="148">
        <v>2.2999999999999998</v>
      </c>
      <c r="B220" s="141" t="s">
        <v>396</v>
      </c>
      <c r="C220" s="86" t="s">
        <v>474</v>
      </c>
      <c r="D220" s="133" t="s">
        <v>241</v>
      </c>
      <c r="E220" s="80" t="s">
        <v>242</v>
      </c>
      <c r="F220" s="46" t="s">
        <v>241</v>
      </c>
      <c r="G220" s="46" t="s">
        <v>1075</v>
      </c>
      <c r="H220" s="46" t="s">
        <v>1076</v>
      </c>
      <c r="I220" s="46" t="s">
        <v>3377</v>
      </c>
      <c r="J220" s="46" t="s">
        <v>3359</v>
      </c>
      <c r="K220" s="46" t="s">
        <v>241</v>
      </c>
      <c r="L220" s="46">
        <v>3</v>
      </c>
      <c r="N220" s="46" t="s">
        <v>3496</v>
      </c>
      <c r="O220" s="46" t="s">
        <v>241</v>
      </c>
      <c r="P220" s="46">
        <v>1</v>
      </c>
      <c r="R220" s="46" t="s">
        <v>3652</v>
      </c>
      <c r="S220" s="46" t="s">
        <v>241</v>
      </c>
      <c r="T220" s="46">
        <v>1</v>
      </c>
      <c r="V220" s="46" t="s">
        <v>1227</v>
      </c>
      <c r="W220" s="46" t="s">
        <v>1602</v>
      </c>
      <c r="X220" s="46" t="s">
        <v>1413</v>
      </c>
      <c r="Y220" s="46" t="s">
        <v>1841</v>
      </c>
      <c r="Z220" s="46">
        <v>17</v>
      </c>
      <c r="AA220" s="46">
        <v>97</v>
      </c>
      <c r="AB220" s="46">
        <v>9</v>
      </c>
      <c r="AC220" s="46" t="s">
        <v>1454</v>
      </c>
      <c r="AD220" s="46" t="s">
        <v>1842</v>
      </c>
      <c r="AE220" s="46" t="s">
        <v>1075</v>
      </c>
      <c r="AF220" s="46" t="s">
        <v>1075</v>
      </c>
      <c r="AG220" s="46" t="s">
        <v>1843</v>
      </c>
      <c r="AH220" s="46" t="s">
        <v>2451</v>
      </c>
      <c r="AI220" s="46" t="s">
        <v>2404</v>
      </c>
      <c r="AJ220" s="46" t="s">
        <v>2461</v>
      </c>
      <c r="AK220" s="46">
        <v>10</v>
      </c>
      <c r="AL220" s="46">
        <v>98.3</v>
      </c>
      <c r="AM220" s="46">
        <v>5</v>
      </c>
      <c r="AN220" s="46" t="s">
        <v>2406</v>
      </c>
      <c r="AO220" s="46" t="s">
        <v>2771</v>
      </c>
      <c r="AP220" s="46" t="s">
        <v>1076</v>
      </c>
      <c r="AQ220" s="46" t="s">
        <v>1076</v>
      </c>
      <c r="AR220" s="46" t="s">
        <v>2772</v>
      </c>
      <c r="AT220" s="48" t="s">
        <v>242</v>
      </c>
      <c r="AU220" s="41">
        <v>6.4439999999999997E-2</v>
      </c>
      <c r="AV220" s="41"/>
      <c r="AW220" s="55">
        <v>3.5230000000000001</v>
      </c>
      <c r="AX220" s="50">
        <v>0.18</v>
      </c>
      <c r="AY220" s="60">
        <v>2.4590000000000001</v>
      </c>
      <c r="AZ220" s="50">
        <v>0.11799999999999999</v>
      </c>
      <c r="BA220" s="43"/>
      <c r="BB220" s="55">
        <v>3.5070000000000001</v>
      </c>
      <c r="BC220" s="58">
        <v>2.1259999999999999</v>
      </c>
      <c r="BD220" s="43"/>
      <c r="BE220" s="41">
        <v>11980</v>
      </c>
      <c r="BF220" s="41">
        <v>133059</v>
      </c>
      <c r="BG220" s="51">
        <v>1</v>
      </c>
      <c r="BH220" s="51">
        <v>1</v>
      </c>
      <c r="BI220" s="52" t="s">
        <v>3286</v>
      </c>
      <c r="BJ220" s="41"/>
      <c r="BK220" s="41">
        <v>5759</v>
      </c>
      <c r="BL220" s="41">
        <v>120389</v>
      </c>
      <c r="BM220" s="51">
        <v>1</v>
      </c>
      <c r="BN220" s="51">
        <v>1</v>
      </c>
      <c r="BO220" s="52" t="s">
        <v>3286</v>
      </c>
      <c r="BP220" s="52" t="s">
        <v>3286</v>
      </c>
      <c r="BQ220" s="43"/>
      <c r="BR220" s="41">
        <v>-8.6199999999999999E-2</v>
      </c>
      <c r="BS220" s="41">
        <v>-4.9599999999999998E-2</v>
      </c>
      <c r="BT220" s="52" t="s">
        <v>3288</v>
      </c>
      <c r="BU220" s="52" t="s">
        <v>3288</v>
      </c>
      <c r="BV220" s="41"/>
      <c r="BW220" s="65">
        <v>2.1850000000000001</v>
      </c>
      <c r="BX220" s="55">
        <v>3.504</v>
      </c>
      <c r="BY220" s="41"/>
    </row>
    <row r="221" spans="1:77" s="81" customFormat="1">
      <c r="A221" s="147">
        <v>2.2999999999999998</v>
      </c>
      <c r="B221" s="140" t="s">
        <v>377</v>
      </c>
      <c r="C221" s="120" t="s">
        <v>455</v>
      </c>
      <c r="D221" s="132" t="s">
        <v>140</v>
      </c>
      <c r="E221" s="82" t="s">
        <v>140</v>
      </c>
      <c r="F221" s="81" t="s">
        <v>140</v>
      </c>
      <c r="G221" s="81" t="s">
        <v>879</v>
      </c>
      <c r="H221" s="81" t="s">
        <v>880</v>
      </c>
      <c r="I221" s="81" t="s">
        <v>3377</v>
      </c>
      <c r="J221" s="81" t="s">
        <v>3323</v>
      </c>
      <c r="K221" s="81" t="s">
        <v>140</v>
      </c>
      <c r="L221" s="120">
        <v>3</v>
      </c>
      <c r="N221" s="81" t="s">
        <v>3404</v>
      </c>
      <c r="O221" s="81" t="s">
        <v>140</v>
      </c>
      <c r="P221" s="120">
        <v>2</v>
      </c>
      <c r="S221" s="81" t="s">
        <v>140</v>
      </c>
      <c r="T221" s="120">
        <v>1</v>
      </c>
      <c r="V221" s="81" t="s">
        <v>1138</v>
      </c>
      <c r="W221" s="81" t="s">
        <v>1544</v>
      </c>
      <c r="X221" s="81" t="s">
        <v>1413</v>
      </c>
      <c r="Y221" s="81" t="s">
        <v>1545</v>
      </c>
      <c r="Z221" s="81">
        <v>13</v>
      </c>
      <c r="AA221" s="81">
        <v>94.3</v>
      </c>
      <c r="AB221" s="81">
        <v>17</v>
      </c>
      <c r="AC221" s="81" t="s">
        <v>1470</v>
      </c>
      <c r="AD221" s="81" t="s">
        <v>1546</v>
      </c>
      <c r="AE221" s="81" t="s">
        <v>1547</v>
      </c>
      <c r="AF221" s="81" t="s">
        <v>879</v>
      </c>
      <c r="AG221" s="81" t="s">
        <v>1548</v>
      </c>
      <c r="AH221" s="81" t="s">
        <v>2515</v>
      </c>
      <c r="AI221" s="81" t="s">
        <v>2433</v>
      </c>
      <c r="AJ221" s="81" t="s">
        <v>2516</v>
      </c>
      <c r="AK221" s="81">
        <v>9</v>
      </c>
      <c r="AL221" s="81">
        <v>93.1</v>
      </c>
      <c r="AM221" s="81">
        <v>14</v>
      </c>
      <c r="AN221" s="81" t="s">
        <v>2406</v>
      </c>
      <c r="AO221" s="81" t="s">
        <v>2517</v>
      </c>
      <c r="AP221" s="81" t="s">
        <v>2518</v>
      </c>
      <c r="AQ221" s="81" t="s">
        <v>880</v>
      </c>
      <c r="AR221" s="81" t="s">
        <v>2519</v>
      </c>
      <c r="AT221" s="83" t="s">
        <v>140</v>
      </c>
      <c r="AU221" s="33">
        <v>0.2366</v>
      </c>
      <c r="AV221" s="33"/>
      <c r="AW221" s="105">
        <v>3.468</v>
      </c>
      <c r="AX221" s="105">
        <v>3.4540000000000002</v>
      </c>
      <c r="AY221" s="87">
        <v>0.153</v>
      </c>
      <c r="AZ221" s="87">
        <v>0.13700000000000001</v>
      </c>
      <c r="BA221" s="34"/>
      <c r="BB221" s="87">
        <v>0.108</v>
      </c>
      <c r="BC221" s="87">
        <v>8.5999999999999993E-2</v>
      </c>
      <c r="BD221" s="34"/>
      <c r="BE221" s="33">
        <v>7229.5</v>
      </c>
      <c r="BF221" s="33">
        <v>2166</v>
      </c>
      <c r="BG221" s="88">
        <v>0</v>
      </c>
      <c r="BH221" s="88">
        <v>0</v>
      </c>
      <c r="BI221" s="89" t="s">
        <v>3285</v>
      </c>
      <c r="BJ221" s="33"/>
      <c r="BK221" s="33">
        <v>3288.5</v>
      </c>
      <c r="BL221" s="33">
        <v>2486</v>
      </c>
      <c r="BM221" s="88">
        <v>0</v>
      </c>
      <c r="BN221" s="88">
        <v>0</v>
      </c>
      <c r="BO221" s="89" t="s">
        <v>3285</v>
      </c>
      <c r="BP221" s="89" t="s">
        <v>3285</v>
      </c>
      <c r="BQ221" s="34"/>
      <c r="BR221" s="33">
        <v>-3.78E-2</v>
      </c>
      <c r="BS221" s="33">
        <v>-1.2800000000000001E-2</v>
      </c>
      <c r="BT221" s="89" t="s">
        <v>3288</v>
      </c>
      <c r="BU221" s="89" t="s">
        <v>3288</v>
      </c>
      <c r="BV221" s="33"/>
      <c r="BW221" s="114">
        <v>2.923</v>
      </c>
      <c r="BX221" s="97">
        <v>0.91100000000000003</v>
      </c>
      <c r="BY221" s="33"/>
    </row>
    <row r="222" spans="1:77">
      <c r="A222" s="148">
        <v>2.2999999999999998</v>
      </c>
      <c r="B222" s="141" t="s">
        <v>377</v>
      </c>
      <c r="C222" s="86" t="s">
        <v>455</v>
      </c>
      <c r="D222" s="133" t="s">
        <v>142</v>
      </c>
      <c r="E222" s="80" t="s">
        <v>143</v>
      </c>
      <c r="F222" s="46" t="s">
        <v>142</v>
      </c>
      <c r="G222" s="46" t="s">
        <v>1069</v>
      </c>
      <c r="H222" s="46" t="s">
        <v>1070</v>
      </c>
      <c r="I222" s="46" t="s">
        <v>3377</v>
      </c>
      <c r="J222" s="46" t="s">
        <v>3323</v>
      </c>
      <c r="K222" s="46" t="s">
        <v>142</v>
      </c>
      <c r="L222" s="46">
        <v>3</v>
      </c>
      <c r="N222" s="46" t="s">
        <v>3404</v>
      </c>
      <c r="O222" s="46" t="s">
        <v>142</v>
      </c>
      <c r="P222" s="86">
        <v>2</v>
      </c>
      <c r="R222" s="46" t="s">
        <v>3649</v>
      </c>
      <c r="S222" s="46" t="s">
        <v>142</v>
      </c>
      <c r="T222" s="46">
        <v>1</v>
      </c>
      <c r="V222" s="46" t="s">
        <v>1141</v>
      </c>
      <c r="W222" s="46" t="s">
        <v>1544</v>
      </c>
      <c r="X222" s="46" t="s">
        <v>1413</v>
      </c>
      <c r="Y222" s="46" t="s">
        <v>1554</v>
      </c>
      <c r="Z222" s="46">
        <v>13</v>
      </c>
      <c r="AA222" s="46">
        <v>94.3</v>
      </c>
      <c r="AB222" s="46">
        <v>17</v>
      </c>
      <c r="AC222" s="46" t="s">
        <v>1555</v>
      </c>
      <c r="AD222" s="46" t="s">
        <v>1556</v>
      </c>
      <c r="AE222" s="46" t="s">
        <v>1069</v>
      </c>
      <c r="AF222" s="46" t="s">
        <v>1069</v>
      </c>
      <c r="AG222" s="46" t="s">
        <v>1557</v>
      </c>
      <c r="AH222" s="46" t="s">
        <v>2515</v>
      </c>
      <c r="AI222" s="46" t="s">
        <v>2433</v>
      </c>
      <c r="AJ222" s="46" t="s">
        <v>2523</v>
      </c>
      <c r="AK222" s="46">
        <v>11</v>
      </c>
      <c r="AL222" s="46">
        <v>95.9</v>
      </c>
      <c r="AM222" s="46">
        <v>12</v>
      </c>
      <c r="AN222" s="46" t="s">
        <v>2406</v>
      </c>
      <c r="AO222" s="46" t="s">
        <v>2526</v>
      </c>
      <c r="AP222" s="46" t="s">
        <v>1070</v>
      </c>
      <c r="AQ222" s="46" t="s">
        <v>1070</v>
      </c>
      <c r="AR222" s="46" t="s">
        <v>2527</v>
      </c>
      <c r="AT222" s="48" t="s">
        <v>143</v>
      </c>
      <c r="AU222" s="41">
        <v>0.17760000000000001</v>
      </c>
      <c r="AV222" s="41"/>
      <c r="AW222" s="55">
        <v>3.4769999999999999</v>
      </c>
      <c r="AX222" s="55">
        <v>3.61</v>
      </c>
      <c r="AY222" s="50">
        <v>0.16800000000000001</v>
      </c>
      <c r="AZ222" s="50">
        <v>0.16400000000000001</v>
      </c>
      <c r="BA222" s="43"/>
      <c r="BB222" s="50">
        <v>0.114</v>
      </c>
      <c r="BC222" s="50">
        <v>8.6999999999999994E-2</v>
      </c>
      <c r="BD222" s="43"/>
      <c r="BE222" s="41">
        <v>12737</v>
      </c>
      <c r="BF222" s="41">
        <v>2300</v>
      </c>
      <c r="BG222" s="51">
        <v>1</v>
      </c>
      <c r="BH222" s="51">
        <v>0</v>
      </c>
      <c r="BI222" s="52" t="s">
        <v>3285</v>
      </c>
      <c r="BJ222" s="41"/>
      <c r="BK222" s="41">
        <v>2784.5</v>
      </c>
      <c r="BL222" s="41">
        <v>3316.5</v>
      </c>
      <c r="BM222" s="51">
        <v>0</v>
      </c>
      <c r="BN222" s="51">
        <v>0</v>
      </c>
      <c r="BO222" s="52" t="s">
        <v>3289</v>
      </c>
      <c r="BP222" s="52" t="s">
        <v>3287</v>
      </c>
      <c r="BQ222" s="43"/>
      <c r="BR222" s="41">
        <v>-0.1313</v>
      </c>
      <c r="BS222" s="41">
        <v>-8.1799999999999998E-2</v>
      </c>
      <c r="BT222" s="52" t="s">
        <v>3288</v>
      </c>
      <c r="BU222" s="52" t="s">
        <v>3288</v>
      </c>
      <c r="BV222" s="41"/>
      <c r="BW222" s="60">
        <v>2.54</v>
      </c>
      <c r="BX222" s="57">
        <v>0.66100000000000003</v>
      </c>
      <c r="BY222" s="41"/>
    </row>
    <row r="223" spans="1:77" s="40" customFormat="1" ht="17" thickBot="1">
      <c r="A223" s="149">
        <v>2.2999999999999998</v>
      </c>
      <c r="B223" s="142" t="s">
        <v>377</v>
      </c>
      <c r="C223" s="121" t="s">
        <v>455</v>
      </c>
      <c r="D223" s="134" t="s">
        <v>141</v>
      </c>
      <c r="E223" s="84" t="s">
        <v>141</v>
      </c>
      <c r="F223" s="40" t="s">
        <v>141</v>
      </c>
      <c r="G223" s="40" t="s">
        <v>511</v>
      </c>
      <c r="H223" s="40" t="s">
        <v>512</v>
      </c>
      <c r="I223" s="40" t="s">
        <v>3377</v>
      </c>
      <c r="J223" s="40" t="s">
        <v>3323</v>
      </c>
      <c r="K223" s="40" t="s">
        <v>141</v>
      </c>
      <c r="L223" s="40">
        <v>3</v>
      </c>
      <c r="N223" s="40" t="s">
        <v>3404</v>
      </c>
      <c r="O223" s="40" t="s">
        <v>141</v>
      </c>
      <c r="P223" s="121">
        <v>1</v>
      </c>
      <c r="R223" s="40" t="s">
        <v>3528</v>
      </c>
      <c r="S223" s="40" t="s">
        <v>141</v>
      </c>
      <c r="T223" s="40">
        <v>1</v>
      </c>
      <c r="V223" s="40" t="s">
        <v>1140</v>
      </c>
      <c r="W223" s="40" t="s">
        <v>1544</v>
      </c>
      <c r="X223" s="40" t="s">
        <v>1413</v>
      </c>
      <c r="Y223" s="40" t="s">
        <v>1550</v>
      </c>
      <c r="Z223" s="40">
        <v>13</v>
      </c>
      <c r="AA223" s="40">
        <v>99.7</v>
      </c>
      <c r="AB223" s="40">
        <v>1</v>
      </c>
      <c r="AC223" s="40" t="s">
        <v>1551</v>
      </c>
      <c r="AD223" s="40" t="s">
        <v>1552</v>
      </c>
      <c r="AE223" s="40" t="s">
        <v>511</v>
      </c>
      <c r="AF223" s="40" t="s">
        <v>511</v>
      </c>
      <c r="AG223" s="40" t="s">
        <v>1553</v>
      </c>
      <c r="AH223" s="40" t="s">
        <v>2515</v>
      </c>
      <c r="AI223" s="40" t="s">
        <v>2433</v>
      </c>
      <c r="AJ223" s="40" t="s">
        <v>2523</v>
      </c>
      <c r="AK223" s="40">
        <v>11</v>
      </c>
      <c r="AL223" s="40">
        <v>98.3</v>
      </c>
      <c r="AM223" s="40">
        <v>5</v>
      </c>
      <c r="AN223" s="40" t="s">
        <v>2406</v>
      </c>
      <c r="AO223" s="40" t="s">
        <v>2524</v>
      </c>
      <c r="AP223" s="40" t="s">
        <v>512</v>
      </c>
      <c r="AQ223" s="40" t="s">
        <v>512</v>
      </c>
      <c r="AR223" s="40" t="s">
        <v>2525</v>
      </c>
      <c r="AT223" s="85" t="s">
        <v>34</v>
      </c>
      <c r="AU223" s="35">
        <v>0.37290000000000001</v>
      </c>
      <c r="AV223" s="35"/>
      <c r="AW223" s="102">
        <v>3.74</v>
      </c>
      <c r="AX223" s="102">
        <v>3.621</v>
      </c>
      <c r="AY223" s="90">
        <v>0.17199999999999999</v>
      </c>
      <c r="AZ223" s="90">
        <v>0.17499999999999999</v>
      </c>
      <c r="BA223" s="37"/>
      <c r="BB223" s="102">
        <v>3.6280000000000001</v>
      </c>
      <c r="BC223" s="110">
        <v>2.3260000000000001</v>
      </c>
      <c r="BD223" s="37"/>
      <c r="BE223" s="35">
        <v>22511</v>
      </c>
      <c r="BF223" s="35">
        <v>59754</v>
      </c>
      <c r="BG223" s="93">
        <v>1</v>
      </c>
      <c r="BH223" s="93">
        <v>1</v>
      </c>
      <c r="BI223" s="94" t="s">
        <v>3286</v>
      </c>
      <c r="BJ223" s="35"/>
      <c r="BK223" s="35">
        <v>4168</v>
      </c>
      <c r="BL223" s="35">
        <v>19373</v>
      </c>
      <c r="BM223" s="93">
        <v>0</v>
      </c>
      <c r="BN223" s="93">
        <v>1</v>
      </c>
      <c r="BO223" s="94" t="s">
        <v>3286</v>
      </c>
      <c r="BP223" s="94" t="s">
        <v>3286</v>
      </c>
      <c r="BQ223" s="37"/>
      <c r="BR223" s="35">
        <v>1.8471</v>
      </c>
      <c r="BS223" s="35">
        <v>0.96020000000000005</v>
      </c>
      <c r="BT223" s="94" t="s">
        <v>3290</v>
      </c>
      <c r="BU223" s="94" t="s">
        <v>3290</v>
      </c>
      <c r="BV223" s="35"/>
      <c r="BW223" s="102">
        <v>3.6019999999999999</v>
      </c>
      <c r="BX223" s="110">
        <v>3.1880000000000002</v>
      </c>
      <c r="BY223" s="35"/>
    </row>
    <row r="224" spans="1:77">
      <c r="A224" s="148">
        <v>2.31</v>
      </c>
      <c r="B224" s="141" t="s">
        <v>364</v>
      </c>
      <c r="C224" s="86" t="s">
        <v>442</v>
      </c>
      <c r="D224" s="133" t="s">
        <v>83</v>
      </c>
      <c r="E224" s="80" t="s">
        <v>83</v>
      </c>
      <c r="F224" s="46" t="s">
        <v>83</v>
      </c>
      <c r="G224" s="46" t="s">
        <v>757</v>
      </c>
      <c r="H224" s="46" t="s">
        <v>758</v>
      </c>
      <c r="I224" s="46" t="s">
        <v>3377</v>
      </c>
      <c r="J224" s="46" t="s">
        <v>3362</v>
      </c>
      <c r="K224" s="46" t="s">
        <v>83</v>
      </c>
      <c r="L224" s="46">
        <v>3</v>
      </c>
      <c r="N224" s="46" t="s">
        <v>3462</v>
      </c>
      <c r="O224" s="46" t="s">
        <v>83</v>
      </c>
      <c r="P224" s="46">
        <v>2</v>
      </c>
      <c r="R224" s="46" t="s">
        <v>3598</v>
      </c>
      <c r="S224" s="46" t="s">
        <v>83</v>
      </c>
      <c r="T224" s="46">
        <v>2</v>
      </c>
      <c r="V224" s="46" t="s">
        <v>1378</v>
      </c>
      <c r="W224" s="46" t="s">
        <v>1579</v>
      </c>
      <c r="X224" s="46" t="s">
        <v>1421</v>
      </c>
      <c r="Y224" s="46" t="s">
        <v>2316</v>
      </c>
      <c r="Z224" s="46">
        <v>20</v>
      </c>
      <c r="AA224" s="46">
        <v>96.2</v>
      </c>
      <c r="AB224" s="46">
        <v>11</v>
      </c>
      <c r="AC224" s="46" t="s">
        <v>1454</v>
      </c>
      <c r="AD224" s="46" t="s">
        <v>2317</v>
      </c>
      <c r="AE224" s="46" t="s">
        <v>590</v>
      </c>
      <c r="AF224" s="46" t="s">
        <v>757</v>
      </c>
      <c r="AG224" s="46" t="s">
        <v>2318</v>
      </c>
      <c r="AH224" s="46" t="s">
        <v>2475</v>
      </c>
      <c r="AI224" s="46" t="s">
        <v>2404</v>
      </c>
      <c r="AJ224" s="46" t="s">
        <v>2889</v>
      </c>
      <c r="AK224" s="46">
        <v>9</v>
      </c>
      <c r="AL224" s="46">
        <v>96.8</v>
      </c>
      <c r="AM224" s="46">
        <v>9</v>
      </c>
      <c r="AN224" s="46" t="s">
        <v>2406</v>
      </c>
      <c r="AO224" s="46" t="s">
        <v>3199</v>
      </c>
      <c r="AP224" s="46" t="s">
        <v>3200</v>
      </c>
      <c r="AQ224" s="46" t="s">
        <v>758</v>
      </c>
      <c r="AR224" s="46" t="s">
        <v>3201</v>
      </c>
      <c r="AT224" s="48" t="s">
        <v>83</v>
      </c>
      <c r="AU224" s="41">
        <v>0.43130000000000002</v>
      </c>
      <c r="AV224" s="41"/>
      <c r="AW224" s="55">
        <v>3.5750000000000002</v>
      </c>
      <c r="AX224" s="50">
        <v>0.14000000000000001</v>
      </c>
      <c r="AY224" s="50">
        <v>0.13100000000000001</v>
      </c>
      <c r="AZ224" s="50">
        <v>0.14699999999999999</v>
      </c>
      <c r="BA224" s="43"/>
      <c r="BB224" s="50">
        <v>0.104</v>
      </c>
      <c r="BC224" s="50">
        <v>8.6999999999999994E-2</v>
      </c>
      <c r="BD224" s="43"/>
      <c r="BE224" s="41">
        <v>99795</v>
      </c>
      <c r="BF224" s="41">
        <v>265419</v>
      </c>
      <c r="BG224" s="51">
        <v>1</v>
      </c>
      <c r="BH224" s="51">
        <v>1</v>
      </c>
      <c r="BI224" s="52" t="s">
        <v>3286</v>
      </c>
      <c r="BJ224" s="41"/>
      <c r="BK224" s="41">
        <v>11922</v>
      </c>
      <c r="BL224" s="41">
        <v>43882</v>
      </c>
      <c r="BM224" s="51">
        <v>1</v>
      </c>
      <c r="BN224" s="51">
        <v>1</v>
      </c>
      <c r="BO224" s="52" t="s">
        <v>3286</v>
      </c>
      <c r="BP224" s="52" t="s">
        <v>3286</v>
      </c>
      <c r="BQ224" s="43"/>
      <c r="BR224" s="41">
        <v>1.2297</v>
      </c>
      <c r="BS224" s="41">
        <v>1.2826</v>
      </c>
      <c r="BT224" s="52" t="s">
        <v>3290</v>
      </c>
      <c r="BU224" s="52" t="s">
        <v>3290</v>
      </c>
      <c r="BV224" s="41"/>
      <c r="BW224" s="49">
        <v>3.294</v>
      </c>
      <c r="BX224" s="65">
        <v>2.2050000000000001</v>
      </c>
      <c r="BY224" s="41"/>
    </row>
    <row r="225" spans="1:77">
      <c r="A225" s="148">
        <v>2.31</v>
      </c>
      <c r="B225" s="141" t="s">
        <v>364</v>
      </c>
      <c r="C225" s="86" t="s">
        <v>442</v>
      </c>
      <c r="D225" s="133" t="s">
        <v>84</v>
      </c>
      <c r="E225" s="80" t="s">
        <v>84</v>
      </c>
      <c r="F225" s="46" t="s">
        <v>84</v>
      </c>
      <c r="G225" s="46" t="s">
        <v>789</v>
      </c>
      <c r="H225" s="46" t="s">
        <v>790</v>
      </c>
      <c r="I225" s="46" t="s">
        <v>3377</v>
      </c>
      <c r="J225" s="46" t="s">
        <v>3362</v>
      </c>
      <c r="K225" s="46" t="s">
        <v>84</v>
      </c>
      <c r="L225" s="46">
        <v>3</v>
      </c>
      <c r="N225" s="46" t="s">
        <v>3462</v>
      </c>
      <c r="O225" s="46" t="s">
        <v>84</v>
      </c>
      <c r="P225" s="46">
        <v>2</v>
      </c>
      <c r="R225" s="46" t="s">
        <v>3598</v>
      </c>
      <c r="S225" s="46" t="s">
        <v>84</v>
      </c>
      <c r="T225" s="46">
        <v>2</v>
      </c>
      <c r="V225" s="46" t="s">
        <v>1380</v>
      </c>
      <c r="W225" s="46" t="s">
        <v>1579</v>
      </c>
      <c r="X225" s="46" t="s">
        <v>1421</v>
      </c>
      <c r="Y225" s="46" t="s">
        <v>2322</v>
      </c>
      <c r="Z225" s="46">
        <v>20</v>
      </c>
      <c r="AA225" s="46">
        <v>97.3</v>
      </c>
      <c r="AB225" s="46">
        <v>8</v>
      </c>
      <c r="AC225" s="46" t="s">
        <v>1454</v>
      </c>
      <c r="AD225" s="46" t="s">
        <v>2323</v>
      </c>
      <c r="AE225" s="46" t="s">
        <v>2324</v>
      </c>
      <c r="AF225" s="46" t="s">
        <v>789</v>
      </c>
      <c r="AG225" s="46" t="s">
        <v>2325</v>
      </c>
      <c r="AH225" s="46" t="s">
        <v>2475</v>
      </c>
      <c r="AI225" s="46" t="s">
        <v>2404</v>
      </c>
      <c r="AJ225" s="46" t="s">
        <v>3205</v>
      </c>
      <c r="AK225" s="46">
        <v>9</v>
      </c>
      <c r="AL225" s="46">
        <v>94.7</v>
      </c>
      <c r="AM225" s="46">
        <v>15</v>
      </c>
      <c r="AN225" s="46" t="s">
        <v>2406</v>
      </c>
      <c r="AO225" s="46" t="s">
        <v>3206</v>
      </c>
      <c r="AP225" s="46" t="s">
        <v>3207</v>
      </c>
      <c r="AQ225" s="46" t="s">
        <v>790</v>
      </c>
      <c r="AR225" s="46" t="s">
        <v>3208</v>
      </c>
      <c r="AT225" s="48" t="s">
        <v>84</v>
      </c>
      <c r="AU225" s="41">
        <v>0.41670000000000001</v>
      </c>
      <c r="AV225" s="41"/>
      <c r="AW225" s="55">
        <v>3.5920000000000001</v>
      </c>
      <c r="AX225" s="50">
        <v>0.13500000000000001</v>
      </c>
      <c r="AY225" s="50">
        <v>0.11799999999999999</v>
      </c>
      <c r="AZ225" s="50">
        <v>0.126</v>
      </c>
      <c r="BA225" s="43"/>
      <c r="BB225" s="50">
        <v>0.108</v>
      </c>
      <c r="BC225" s="50">
        <v>7.6999999999999999E-2</v>
      </c>
      <c r="BD225" s="43"/>
      <c r="BE225" s="41">
        <v>139097</v>
      </c>
      <c r="BF225" s="41">
        <v>243797</v>
      </c>
      <c r="BG225" s="51">
        <v>1</v>
      </c>
      <c r="BH225" s="51">
        <v>1</v>
      </c>
      <c r="BI225" s="52" t="s">
        <v>3286</v>
      </c>
      <c r="BJ225" s="41"/>
      <c r="BK225" s="41">
        <v>19917</v>
      </c>
      <c r="BL225" s="41">
        <v>75829</v>
      </c>
      <c r="BM225" s="51">
        <v>1</v>
      </c>
      <c r="BN225" s="51">
        <v>1</v>
      </c>
      <c r="BO225" s="52" t="s">
        <v>3286</v>
      </c>
      <c r="BP225" s="52" t="s">
        <v>3286</v>
      </c>
      <c r="BQ225" s="43"/>
      <c r="BR225" s="41">
        <v>1.3622000000000001</v>
      </c>
      <c r="BS225" s="41">
        <v>1.3493999999999999</v>
      </c>
      <c r="BT225" s="52" t="s">
        <v>3290</v>
      </c>
      <c r="BU225" s="52" t="s">
        <v>3290</v>
      </c>
      <c r="BV225" s="41"/>
      <c r="BW225" s="55">
        <v>3.5329999999999999</v>
      </c>
      <c r="BX225" s="49">
        <v>3.1739999999999999</v>
      </c>
      <c r="BY225" s="41"/>
    </row>
    <row r="226" spans="1:77" ht="17" thickBot="1">
      <c r="A226" s="148">
        <v>2.31</v>
      </c>
      <c r="B226" s="141" t="s">
        <v>364</v>
      </c>
      <c r="C226" s="86" t="s">
        <v>442</v>
      </c>
      <c r="D226" s="133" t="s">
        <v>85</v>
      </c>
      <c r="E226" s="80" t="s">
        <v>86</v>
      </c>
      <c r="F226" s="46" t="s">
        <v>85</v>
      </c>
      <c r="G226" s="46" t="s">
        <v>1051</v>
      </c>
      <c r="H226" s="46" t="s">
        <v>1052</v>
      </c>
      <c r="I226" s="46" t="s">
        <v>3377</v>
      </c>
      <c r="J226" s="46" t="s">
        <v>3362</v>
      </c>
      <c r="K226" s="46" t="s">
        <v>85</v>
      </c>
      <c r="L226" s="46">
        <v>3</v>
      </c>
      <c r="N226" s="46" t="s">
        <v>3492</v>
      </c>
      <c r="O226" s="46" t="s">
        <v>85</v>
      </c>
      <c r="P226" s="46">
        <v>1</v>
      </c>
      <c r="R226" s="46" t="s">
        <v>3643</v>
      </c>
      <c r="S226" s="46" t="s">
        <v>85</v>
      </c>
      <c r="T226" s="46">
        <v>1</v>
      </c>
      <c r="V226" s="46" t="s">
        <v>1381</v>
      </c>
      <c r="W226" s="46" t="s">
        <v>1579</v>
      </c>
      <c r="X226" s="46" t="s">
        <v>1421</v>
      </c>
      <c r="Y226" s="46" t="s">
        <v>2326</v>
      </c>
      <c r="Z226" s="46">
        <v>20</v>
      </c>
      <c r="AA226" s="46">
        <v>94.5</v>
      </c>
      <c r="AB226" s="46">
        <v>16</v>
      </c>
      <c r="AC226" s="46" t="s">
        <v>1445</v>
      </c>
      <c r="AD226" s="46" t="s">
        <v>2327</v>
      </c>
      <c r="AE226" s="46" t="s">
        <v>1051</v>
      </c>
      <c r="AF226" s="46" t="s">
        <v>1051</v>
      </c>
      <c r="AG226" s="46" t="s">
        <v>2328</v>
      </c>
      <c r="AH226" s="46" t="s">
        <v>2475</v>
      </c>
      <c r="AI226" s="46" t="s">
        <v>2404</v>
      </c>
      <c r="AJ226" s="46" t="s">
        <v>3209</v>
      </c>
      <c r="AK226" s="46">
        <v>9</v>
      </c>
      <c r="AL226" s="46">
        <v>96.5</v>
      </c>
      <c r="AM226" s="46">
        <v>10</v>
      </c>
      <c r="AN226" s="46" t="s">
        <v>2406</v>
      </c>
      <c r="AO226" s="46" t="s">
        <v>3210</v>
      </c>
      <c r="AP226" s="46" t="s">
        <v>1052</v>
      </c>
      <c r="AQ226" s="46" t="s">
        <v>1052</v>
      </c>
      <c r="AR226" s="46" t="s">
        <v>3211</v>
      </c>
      <c r="AT226" s="48" t="s">
        <v>86</v>
      </c>
      <c r="AU226" s="41">
        <v>0.38150000000000001</v>
      </c>
      <c r="AV226" s="41"/>
      <c r="AW226" s="55">
        <v>3.6269999999999998</v>
      </c>
      <c r="AX226" s="50">
        <v>0.18</v>
      </c>
      <c r="AY226" s="50">
        <v>0.13900000000000001</v>
      </c>
      <c r="AZ226" s="50">
        <v>0.13900000000000001</v>
      </c>
      <c r="BA226" s="43"/>
      <c r="BB226" s="50">
        <v>0.126</v>
      </c>
      <c r="BC226" s="50">
        <v>0.1</v>
      </c>
      <c r="BD226" s="43"/>
      <c r="BE226" s="41">
        <v>62118</v>
      </c>
      <c r="BF226" s="41">
        <v>435988.5</v>
      </c>
      <c r="BG226" s="51">
        <v>1</v>
      </c>
      <c r="BH226" s="51">
        <v>1</v>
      </c>
      <c r="BI226" s="52" t="s">
        <v>3286</v>
      </c>
      <c r="BJ226" s="41"/>
      <c r="BK226" s="41">
        <v>15435</v>
      </c>
      <c r="BL226" s="41">
        <v>104819.5</v>
      </c>
      <c r="BM226" s="51">
        <v>1</v>
      </c>
      <c r="BN226" s="51">
        <v>1</v>
      </c>
      <c r="BO226" s="52" t="s">
        <v>3286</v>
      </c>
      <c r="BP226" s="52" t="s">
        <v>3286</v>
      </c>
      <c r="BQ226" s="43"/>
      <c r="BR226" s="41">
        <v>2.1816</v>
      </c>
      <c r="BS226" s="41">
        <v>1.9403999999999999</v>
      </c>
      <c r="BT226" s="52" t="s">
        <v>3290</v>
      </c>
      <c r="BU226" s="52" t="s">
        <v>3290</v>
      </c>
      <c r="BV226" s="41"/>
      <c r="BW226" s="55">
        <v>3.5049999999999999</v>
      </c>
      <c r="BX226" s="49">
        <v>3.1789999999999998</v>
      </c>
      <c r="BY226" s="41"/>
    </row>
    <row r="227" spans="1:77" s="81" customFormat="1">
      <c r="A227" s="147">
        <v>2.3199999999999998</v>
      </c>
      <c r="B227" s="140" t="s">
        <v>365</v>
      </c>
      <c r="C227" s="120" t="s">
        <v>443</v>
      </c>
      <c r="D227" s="132" t="s">
        <v>88</v>
      </c>
      <c r="E227" s="82" t="s">
        <v>88</v>
      </c>
      <c r="F227" s="81" t="s">
        <v>88</v>
      </c>
      <c r="G227" s="81" t="s">
        <v>963</v>
      </c>
      <c r="H227" s="81" t="s">
        <v>964</v>
      </c>
      <c r="I227" s="81" t="s">
        <v>3377</v>
      </c>
      <c r="J227" s="81" t="s">
        <v>3370</v>
      </c>
      <c r="K227" s="81" t="s">
        <v>88</v>
      </c>
      <c r="L227" s="81">
        <v>3</v>
      </c>
      <c r="N227" s="81" t="s">
        <v>3473</v>
      </c>
      <c r="O227" s="81" t="s">
        <v>88</v>
      </c>
      <c r="P227" s="81">
        <v>3</v>
      </c>
      <c r="R227" s="81" t="s">
        <v>3627</v>
      </c>
      <c r="S227" s="81" t="s">
        <v>88</v>
      </c>
      <c r="T227" s="81">
        <v>2</v>
      </c>
      <c r="V227" s="81" t="s">
        <v>1383</v>
      </c>
      <c r="W227" s="81" t="s">
        <v>1579</v>
      </c>
      <c r="X227" s="81" t="s">
        <v>1428</v>
      </c>
      <c r="Y227" s="81" t="s">
        <v>2333</v>
      </c>
      <c r="Z227" s="81">
        <v>13</v>
      </c>
      <c r="AA227" s="81">
        <v>98.3</v>
      </c>
      <c r="AB227" s="81">
        <v>5</v>
      </c>
      <c r="AC227" s="81" t="s">
        <v>1445</v>
      </c>
      <c r="AD227" s="81" t="s">
        <v>2334</v>
      </c>
      <c r="AE227" s="81" t="s">
        <v>963</v>
      </c>
      <c r="AF227" s="81" t="s">
        <v>963</v>
      </c>
      <c r="AG227" s="81" t="s">
        <v>2335</v>
      </c>
      <c r="AH227" s="81" t="s">
        <v>2603</v>
      </c>
      <c r="AI227" s="81" t="s">
        <v>2404</v>
      </c>
      <c r="AJ227" s="81" t="s">
        <v>3216</v>
      </c>
      <c r="AK227" s="81">
        <v>10</v>
      </c>
      <c r="AL227" s="81">
        <v>98.6</v>
      </c>
      <c r="AM227" s="81">
        <v>4</v>
      </c>
      <c r="AN227" s="81" t="s">
        <v>2406</v>
      </c>
      <c r="AO227" s="81" t="s">
        <v>3217</v>
      </c>
      <c r="AP227" s="81" t="s">
        <v>964</v>
      </c>
      <c r="AQ227" s="81" t="s">
        <v>964</v>
      </c>
      <c r="AR227" s="81" t="s">
        <v>3218</v>
      </c>
      <c r="AT227" s="83" t="s">
        <v>88</v>
      </c>
      <c r="AU227" s="33">
        <v>0.33029999999999998</v>
      </c>
      <c r="AV227" s="33"/>
      <c r="AW227" s="104">
        <v>0.54800000000000004</v>
      </c>
      <c r="AX227" s="87">
        <v>0.16</v>
      </c>
      <c r="AY227" s="104">
        <v>0.46100000000000002</v>
      </c>
      <c r="AZ227" s="87">
        <v>0.14799999999999999</v>
      </c>
      <c r="BA227" s="34"/>
      <c r="BB227" s="87">
        <v>0.11799999999999999</v>
      </c>
      <c r="BC227" s="87">
        <v>0.112</v>
      </c>
      <c r="BD227" s="34"/>
      <c r="BE227" s="33">
        <v>82645</v>
      </c>
      <c r="BF227" s="33">
        <v>320187.5</v>
      </c>
      <c r="BG227" s="88">
        <v>1</v>
      </c>
      <c r="BH227" s="88">
        <v>1</v>
      </c>
      <c r="BI227" s="89" t="s">
        <v>3286</v>
      </c>
      <c r="BJ227" s="33"/>
      <c r="BK227" s="33">
        <v>20466</v>
      </c>
      <c r="BL227" s="33">
        <v>130933.5</v>
      </c>
      <c r="BM227" s="88">
        <v>1</v>
      </c>
      <c r="BN227" s="88">
        <v>1</v>
      </c>
      <c r="BO227" s="89" t="s">
        <v>3286</v>
      </c>
      <c r="BP227" s="89" t="s">
        <v>3286</v>
      </c>
      <c r="BQ227" s="34"/>
      <c r="BR227" s="33">
        <v>-0.245</v>
      </c>
      <c r="BS227" s="33">
        <v>-6.6199999999999995E-2</v>
      </c>
      <c r="BT227" s="89" t="s">
        <v>3288</v>
      </c>
      <c r="BU227" s="89" t="s">
        <v>3288</v>
      </c>
      <c r="BV227" s="33"/>
      <c r="BW227" s="116">
        <v>0.621</v>
      </c>
      <c r="BX227" s="98">
        <v>1.7529999999999999</v>
      </c>
      <c r="BY227" s="33"/>
    </row>
    <row r="228" spans="1:77">
      <c r="A228" s="148">
        <v>2.3199999999999998</v>
      </c>
      <c r="B228" s="141" t="s">
        <v>365</v>
      </c>
      <c r="C228" s="86" t="s">
        <v>443</v>
      </c>
      <c r="D228" s="133" t="s">
        <v>89</v>
      </c>
      <c r="E228" s="80" t="s">
        <v>89</v>
      </c>
      <c r="F228" s="46" t="s">
        <v>89</v>
      </c>
      <c r="G228" s="46" t="s">
        <v>978</v>
      </c>
      <c r="H228" s="46" t="s">
        <v>979</v>
      </c>
      <c r="I228" s="46" t="s">
        <v>3377</v>
      </c>
      <c r="J228" s="46" t="s">
        <v>3370</v>
      </c>
      <c r="K228" s="46" t="s">
        <v>89</v>
      </c>
      <c r="L228" s="46">
        <v>3</v>
      </c>
      <c r="N228" s="46" t="s">
        <v>3473</v>
      </c>
      <c r="O228" s="46" t="s">
        <v>89</v>
      </c>
      <c r="P228" s="46">
        <v>3</v>
      </c>
      <c r="R228" s="46" t="s">
        <v>3627</v>
      </c>
      <c r="S228" s="46" t="s">
        <v>89</v>
      </c>
      <c r="T228" s="46">
        <v>2</v>
      </c>
      <c r="V228" s="46" t="s">
        <v>1384</v>
      </c>
      <c r="W228" s="46" t="s">
        <v>1579</v>
      </c>
      <c r="X228" s="46" t="s">
        <v>1428</v>
      </c>
      <c r="Y228" s="46" t="s">
        <v>2336</v>
      </c>
      <c r="Z228" s="46">
        <v>13</v>
      </c>
      <c r="AA228" s="46">
        <v>95.2</v>
      </c>
      <c r="AB228" s="46">
        <v>14</v>
      </c>
      <c r="AC228" s="46" t="s">
        <v>1674</v>
      </c>
      <c r="AD228" s="46" t="s">
        <v>2337</v>
      </c>
      <c r="AE228" s="46" t="s">
        <v>978</v>
      </c>
      <c r="AF228" s="46" t="s">
        <v>978</v>
      </c>
      <c r="AG228" s="46" t="s">
        <v>2338</v>
      </c>
      <c r="AH228" s="46" t="s">
        <v>2603</v>
      </c>
      <c r="AI228" s="46" t="s">
        <v>2404</v>
      </c>
      <c r="AJ228" s="46" t="s">
        <v>3219</v>
      </c>
      <c r="AK228" s="46">
        <v>10</v>
      </c>
      <c r="AL228" s="46">
        <v>95.8</v>
      </c>
      <c r="AM228" s="46">
        <v>12</v>
      </c>
      <c r="AN228" s="46" t="s">
        <v>2406</v>
      </c>
      <c r="AO228" s="46" t="s">
        <v>3220</v>
      </c>
      <c r="AP228" s="46" t="s">
        <v>979</v>
      </c>
      <c r="AQ228" s="46" t="s">
        <v>979</v>
      </c>
      <c r="AR228" s="46" t="s">
        <v>3221</v>
      </c>
      <c r="AT228" s="48" t="s">
        <v>89</v>
      </c>
      <c r="AU228" s="41">
        <v>5.5140000000000002E-2</v>
      </c>
      <c r="AV228" s="41"/>
      <c r="AW228" s="54">
        <v>0.38400000000000001</v>
      </c>
      <c r="AX228" s="50">
        <v>0.11899999999999999</v>
      </c>
      <c r="AY228" s="54">
        <v>0.41499999999999998</v>
      </c>
      <c r="AZ228" s="50">
        <v>0.109</v>
      </c>
      <c r="BA228" s="43"/>
      <c r="BB228" s="50">
        <v>0.123</v>
      </c>
      <c r="BC228" s="50">
        <v>9.1999999999999998E-2</v>
      </c>
      <c r="BD228" s="43"/>
      <c r="BE228" s="41">
        <v>115229.5</v>
      </c>
      <c r="BF228" s="41">
        <v>996659.5</v>
      </c>
      <c r="BG228" s="51">
        <v>1</v>
      </c>
      <c r="BH228" s="51">
        <v>1</v>
      </c>
      <c r="BI228" s="52" t="s">
        <v>3286</v>
      </c>
      <c r="BJ228" s="41"/>
      <c r="BK228" s="41">
        <v>45075.5</v>
      </c>
      <c r="BL228" s="41">
        <v>379300</v>
      </c>
      <c r="BM228" s="51">
        <v>1</v>
      </c>
      <c r="BN228" s="51">
        <v>1</v>
      </c>
      <c r="BO228" s="52" t="s">
        <v>3286</v>
      </c>
      <c r="BP228" s="52" t="s">
        <v>3286</v>
      </c>
      <c r="BQ228" s="43"/>
      <c r="BR228" s="41">
        <v>-9.1899999999999996E-2</v>
      </c>
      <c r="BS228" s="41">
        <v>0.34920000000000001</v>
      </c>
      <c r="BT228" s="52" t="s">
        <v>3288</v>
      </c>
      <c r="BU228" s="52" t="s">
        <v>3290</v>
      </c>
      <c r="BV228" s="41"/>
      <c r="BW228" s="54">
        <v>0.46400000000000002</v>
      </c>
      <c r="BX228" s="66">
        <v>1.766</v>
      </c>
      <c r="BY228" s="41"/>
    </row>
    <row r="229" spans="1:77" s="40" customFormat="1" ht="17" thickBot="1">
      <c r="A229" s="149">
        <v>2.3199999999999998</v>
      </c>
      <c r="B229" s="142" t="s">
        <v>365</v>
      </c>
      <c r="C229" s="121" t="s">
        <v>443</v>
      </c>
      <c r="D229" s="134" t="s">
        <v>87</v>
      </c>
      <c r="E229" s="84" t="s">
        <v>87</v>
      </c>
      <c r="F229" s="40" t="s">
        <v>87</v>
      </c>
      <c r="G229" s="40" t="s">
        <v>861</v>
      </c>
      <c r="H229" s="40" t="s">
        <v>862</v>
      </c>
      <c r="I229" s="40" t="s">
        <v>3377</v>
      </c>
      <c r="J229" s="40" t="s">
        <v>3370</v>
      </c>
      <c r="K229" s="40" t="s">
        <v>87</v>
      </c>
      <c r="L229" s="40">
        <v>3</v>
      </c>
      <c r="N229" s="40" t="s">
        <v>3473</v>
      </c>
      <c r="O229" s="40" t="s">
        <v>87</v>
      </c>
      <c r="P229" s="40">
        <v>3</v>
      </c>
      <c r="R229" s="40" t="s">
        <v>3615</v>
      </c>
      <c r="S229" s="40" t="s">
        <v>87</v>
      </c>
      <c r="T229" s="40">
        <v>1</v>
      </c>
      <c r="V229" s="40" t="s">
        <v>1382</v>
      </c>
      <c r="W229" s="40" t="s">
        <v>1579</v>
      </c>
      <c r="X229" s="40" t="s">
        <v>1428</v>
      </c>
      <c r="Y229" s="40" t="s">
        <v>2329</v>
      </c>
      <c r="Z229" s="40">
        <v>13</v>
      </c>
      <c r="AA229" s="40">
        <v>95.5</v>
      </c>
      <c r="AB229" s="40">
        <v>13</v>
      </c>
      <c r="AC229" s="40" t="s">
        <v>1445</v>
      </c>
      <c r="AD229" s="40" t="s">
        <v>2330</v>
      </c>
      <c r="AE229" s="40" t="s">
        <v>2331</v>
      </c>
      <c r="AF229" s="40" t="s">
        <v>861</v>
      </c>
      <c r="AG229" s="40" t="s">
        <v>2332</v>
      </c>
      <c r="AH229" s="40" t="s">
        <v>2603</v>
      </c>
      <c r="AI229" s="40" t="s">
        <v>2404</v>
      </c>
      <c r="AJ229" s="40" t="s">
        <v>3212</v>
      </c>
      <c r="AK229" s="40">
        <v>10</v>
      </c>
      <c r="AL229" s="40">
        <v>95.5</v>
      </c>
      <c r="AM229" s="40">
        <v>13</v>
      </c>
      <c r="AN229" s="40" t="s">
        <v>2406</v>
      </c>
      <c r="AO229" s="40" t="s">
        <v>3213</v>
      </c>
      <c r="AP229" s="40" t="s">
        <v>3214</v>
      </c>
      <c r="AQ229" s="40" t="s">
        <v>862</v>
      </c>
      <c r="AR229" s="40" t="s">
        <v>3215</v>
      </c>
      <c r="AT229" s="85" t="s">
        <v>87</v>
      </c>
      <c r="AU229" s="35">
        <v>0.4325</v>
      </c>
      <c r="AV229" s="35"/>
      <c r="AW229" s="117">
        <v>3.1379999999999999</v>
      </c>
      <c r="AX229" s="90">
        <v>0.13900000000000001</v>
      </c>
      <c r="AY229" s="90">
        <v>0.20399999999999999</v>
      </c>
      <c r="AZ229" s="90">
        <v>0.13300000000000001</v>
      </c>
      <c r="BA229" s="37"/>
      <c r="BB229" s="90">
        <v>0.107</v>
      </c>
      <c r="BC229" s="90">
        <v>0.09</v>
      </c>
      <c r="BD229" s="37"/>
      <c r="BE229" s="35">
        <v>37625</v>
      </c>
      <c r="BF229" s="35">
        <v>295898.5</v>
      </c>
      <c r="BG229" s="93">
        <v>1</v>
      </c>
      <c r="BH229" s="93">
        <v>1</v>
      </c>
      <c r="BI229" s="94" t="s">
        <v>3286</v>
      </c>
      <c r="BJ229" s="35"/>
      <c r="BK229" s="35">
        <v>14442</v>
      </c>
      <c r="BL229" s="35">
        <v>120413.5</v>
      </c>
      <c r="BM229" s="93">
        <v>1</v>
      </c>
      <c r="BN229" s="93">
        <v>1</v>
      </c>
      <c r="BO229" s="94" t="s">
        <v>3286</v>
      </c>
      <c r="BP229" s="94" t="s">
        <v>3286</v>
      </c>
      <c r="BQ229" s="37"/>
      <c r="BR229" s="35">
        <v>0.55859999999999999</v>
      </c>
      <c r="BS229" s="35">
        <v>0.3226</v>
      </c>
      <c r="BT229" s="94" t="s">
        <v>3290</v>
      </c>
      <c r="BU229" s="94" t="s">
        <v>3290</v>
      </c>
      <c r="BV229" s="35"/>
      <c r="BW229" s="117">
        <v>2.8860000000000001</v>
      </c>
      <c r="BX229" s="107">
        <v>2.4620000000000002</v>
      </c>
      <c r="BY229" s="35"/>
    </row>
    <row r="230" spans="1:77">
      <c r="A230" s="148">
        <v>2.33</v>
      </c>
      <c r="B230" s="141" t="s">
        <v>397</v>
      </c>
      <c r="C230" s="86" t="s">
        <v>475</v>
      </c>
      <c r="D230" s="133" t="s">
        <v>244</v>
      </c>
      <c r="E230" s="80" t="s">
        <v>245</v>
      </c>
      <c r="F230" s="46" t="s">
        <v>1036</v>
      </c>
      <c r="G230" s="46" t="s">
        <v>1037</v>
      </c>
      <c r="H230" s="46" t="s">
        <v>1038</v>
      </c>
      <c r="I230" s="46" t="s">
        <v>3377</v>
      </c>
      <c r="J230" s="46" t="s">
        <v>3354</v>
      </c>
      <c r="K230" s="46" t="s">
        <v>1036</v>
      </c>
      <c r="L230" s="46">
        <v>3</v>
      </c>
      <c r="N230" s="46" t="s">
        <v>3488</v>
      </c>
      <c r="O230" s="46" t="s">
        <v>1036</v>
      </c>
      <c r="P230" s="46">
        <v>2</v>
      </c>
      <c r="R230" s="46" t="s">
        <v>3637</v>
      </c>
      <c r="S230" s="46" t="s">
        <v>1036</v>
      </c>
      <c r="T230" s="46">
        <v>2</v>
      </c>
      <c r="V230" s="46" t="s">
        <v>1229</v>
      </c>
      <c r="W230" s="46" t="s">
        <v>1844</v>
      </c>
      <c r="X230" s="46" t="s">
        <v>1421</v>
      </c>
      <c r="Y230" s="46" t="s">
        <v>1848</v>
      </c>
      <c r="Z230" s="46">
        <v>17</v>
      </c>
      <c r="AA230" s="46">
        <v>95.6</v>
      </c>
      <c r="AB230" s="46">
        <v>13</v>
      </c>
      <c r="AC230" s="46" t="s">
        <v>1423</v>
      </c>
      <c r="AD230" s="46" t="s">
        <v>1849</v>
      </c>
      <c r="AE230" s="46" t="s">
        <v>1037</v>
      </c>
      <c r="AF230" s="46" t="s">
        <v>1037</v>
      </c>
      <c r="AG230" s="46" t="s">
        <v>1850</v>
      </c>
      <c r="AH230" s="46" t="s">
        <v>2695</v>
      </c>
      <c r="AI230" s="46" t="s">
        <v>2773</v>
      </c>
      <c r="AJ230" s="46" t="s">
        <v>2777</v>
      </c>
      <c r="AK230" s="46">
        <v>9</v>
      </c>
      <c r="AL230" s="46">
        <v>96.1</v>
      </c>
      <c r="AM230" s="46">
        <v>11</v>
      </c>
      <c r="AN230" s="46" t="s">
        <v>2406</v>
      </c>
      <c r="AO230" s="46" t="s">
        <v>2778</v>
      </c>
      <c r="AP230" s="46" t="s">
        <v>1038</v>
      </c>
      <c r="AQ230" s="46" t="s">
        <v>1038</v>
      </c>
      <c r="AR230" s="46" t="s">
        <v>2779</v>
      </c>
      <c r="AT230" s="48" t="s">
        <v>245</v>
      </c>
      <c r="AU230" s="41">
        <v>0.48309999999999997</v>
      </c>
      <c r="AV230" s="41"/>
      <c r="AW230" s="55">
        <v>3.6030000000000002</v>
      </c>
      <c r="AX230" s="55">
        <v>3.5750000000000002</v>
      </c>
      <c r="AY230" s="55">
        <v>3.585</v>
      </c>
      <c r="AZ230" s="50">
        <v>0.16700000000000001</v>
      </c>
      <c r="BA230" s="43"/>
      <c r="BB230" s="55">
        <v>3.5209999999999999</v>
      </c>
      <c r="BC230" s="49">
        <v>2.38</v>
      </c>
      <c r="BD230" s="43"/>
      <c r="BE230" s="41">
        <v>8061.5</v>
      </c>
      <c r="BF230" s="41">
        <v>47124.5</v>
      </c>
      <c r="BG230" s="51">
        <v>0</v>
      </c>
      <c r="BH230" s="51">
        <v>1</v>
      </c>
      <c r="BI230" s="52" t="s">
        <v>3286</v>
      </c>
      <c r="BJ230" s="41"/>
      <c r="BK230" s="41">
        <v>2615</v>
      </c>
      <c r="BL230" s="41">
        <v>58631</v>
      </c>
      <c r="BM230" s="51">
        <v>0</v>
      </c>
      <c r="BN230" s="51">
        <v>1</v>
      </c>
      <c r="BO230" s="52" t="s">
        <v>3286</v>
      </c>
      <c r="BP230" s="52" t="s">
        <v>3286</v>
      </c>
      <c r="BQ230" s="43"/>
      <c r="BR230" s="41">
        <v>4.7100000000000003E-2</v>
      </c>
      <c r="BS230" s="41">
        <v>0.5323</v>
      </c>
      <c r="BT230" s="52" t="s">
        <v>3288</v>
      </c>
      <c r="BU230" s="52" t="s">
        <v>3290</v>
      </c>
      <c r="BV230" s="41"/>
      <c r="BW230" s="49">
        <v>3.3450000000000002</v>
      </c>
      <c r="BX230" s="55">
        <v>3.49</v>
      </c>
      <c r="BY230" s="41"/>
    </row>
    <row r="231" spans="1:77">
      <c r="A231" s="148">
        <v>2.33</v>
      </c>
      <c r="B231" s="141" t="s">
        <v>397</v>
      </c>
      <c r="C231" s="86" t="s">
        <v>475</v>
      </c>
      <c r="D231" s="133" t="s">
        <v>244</v>
      </c>
      <c r="E231" s="80" t="s">
        <v>245</v>
      </c>
      <c r="F231" s="46" t="s">
        <v>244</v>
      </c>
      <c r="G231" s="46" t="s">
        <v>1037</v>
      </c>
      <c r="H231" s="46" t="s">
        <v>1038</v>
      </c>
      <c r="I231" s="46" t="s">
        <v>3377</v>
      </c>
      <c r="J231" s="46" t="s">
        <v>3354</v>
      </c>
      <c r="K231" s="46" t="s">
        <v>244</v>
      </c>
      <c r="L231" s="46">
        <v>3</v>
      </c>
      <c r="N231" s="46" t="s">
        <v>3488</v>
      </c>
      <c r="O231" s="46" t="s">
        <v>244</v>
      </c>
      <c r="P231" s="46">
        <v>2</v>
      </c>
      <c r="R231" s="46" t="s">
        <v>3637</v>
      </c>
      <c r="S231" s="46" t="s">
        <v>244</v>
      </c>
      <c r="T231" s="46">
        <v>2</v>
      </c>
      <c r="V231" s="46" t="s">
        <v>1230</v>
      </c>
      <c r="W231" s="46" t="s">
        <v>1844</v>
      </c>
      <c r="X231" s="46" t="s">
        <v>1421</v>
      </c>
      <c r="Y231" s="46" t="s">
        <v>1848</v>
      </c>
      <c r="Z231" s="46">
        <v>17</v>
      </c>
      <c r="AA231" s="46">
        <v>95.6</v>
      </c>
      <c r="AB231" s="46">
        <v>13</v>
      </c>
      <c r="AC231" s="46" t="s">
        <v>1423</v>
      </c>
      <c r="AD231" s="46" t="s">
        <v>1849</v>
      </c>
      <c r="AE231" s="46" t="s">
        <v>1037</v>
      </c>
      <c r="AF231" s="46" t="s">
        <v>1037</v>
      </c>
      <c r="AG231" s="46" t="s">
        <v>1850</v>
      </c>
      <c r="AH231" s="46" t="s">
        <v>2695</v>
      </c>
      <c r="AI231" s="46" t="s">
        <v>2773</v>
      </c>
      <c r="AJ231" s="46" t="s">
        <v>2777</v>
      </c>
      <c r="AK231" s="46">
        <v>9</v>
      </c>
      <c r="AL231" s="46">
        <v>96.1</v>
      </c>
      <c r="AM231" s="46">
        <v>11</v>
      </c>
      <c r="AN231" s="46" t="s">
        <v>2406</v>
      </c>
      <c r="AO231" s="46" t="s">
        <v>2778</v>
      </c>
      <c r="AP231" s="46" t="s">
        <v>1038</v>
      </c>
      <c r="AQ231" s="46" t="s">
        <v>1038</v>
      </c>
      <c r="AR231" s="46" t="s">
        <v>2779</v>
      </c>
      <c r="AT231" s="48" t="s">
        <v>245</v>
      </c>
      <c r="AU231" s="41">
        <v>0.48309999999999997</v>
      </c>
      <c r="AV231" s="41"/>
      <c r="AW231" s="55">
        <v>3.6030000000000002</v>
      </c>
      <c r="AX231" s="55">
        <v>3.5750000000000002</v>
      </c>
      <c r="AY231" s="55">
        <v>3.585</v>
      </c>
      <c r="AZ231" s="50">
        <v>0.16700000000000001</v>
      </c>
      <c r="BA231" s="43"/>
      <c r="BB231" s="55">
        <v>3.5209999999999999</v>
      </c>
      <c r="BC231" s="49">
        <v>2.38</v>
      </c>
      <c r="BD231" s="43"/>
      <c r="BE231" s="41">
        <v>8061.5</v>
      </c>
      <c r="BF231" s="41">
        <v>47124.5</v>
      </c>
      <c r="BG231" s="51">
        <v>0</v>
      </c>
      <c r="BH231" s="51">
        <v>1</v>
      </c>
      <c r="BI231" s="52" t="s">
        <v>3286</v>
      </c>
      <c r="BJ231" s="41"/>
      <c r="BK231" s="41">
        <v>2615</v>
      </c>
      <c r="BL231" s="41">
        <v>58631</v>
      </c>
      <c r="BM231" s="51">
        <v>0</v>
      </c>
      <c r="BN231" s="51">
        <v>1</v>
      </c>
      <c r="BO231" s="52" t="s">
        <v>3286</v>
      </c>
      <c r="BP231" s="52" t="s">
        <v>3286</v>
      </c>
      <c r="BQ231" s="43"/>
      <c r="BR231" s="41">
        <v>4.7100000000000003E-2</v>
      </c>
      <c r="BS231" s="41">
        <v>0.5323</v>
      </c>
      <c r="BT231" s="52" t="s">
        <v>3288</v>
      </c>
      <c r="BU231" s="52" t="s">
        <v>3290</v>
      </c>
      <c r="BV231" s="41"/>
      <c r="BW231" s="49">
        <v>3.3450000000000002</v>
      </c>
      <c r="BX231" s="55">
        <v>3.49</v>
      </c>
      <c r="BY231" s="41"/>
    </row>
    <row r="232" spans="1:77" ht="17" thickBot="1">
      <c r="A232" s="148">
        <v>2.33</v>
      </c>
      <c r="B232" s="141" t="s">
        <v>397</v>
      </c>
      <c r="C232" s="86" t="s">
        <v>475</v>
      </c>
      <c r="D232" s="133" t="s">
        <v>243</v>
      </c>
      <c r="E232" s="80" t="s">
        <v>243</v>
      </c>
      <c r="F232" s="46" t="s">
        <v>243</v>
      </c>
      <c r="G232" s="46" t="s">
        <v>682</v>
      </c>
      <c r="H232" s="46" t="s">
        <v>683</v>
      </c>
      <c r="I232" s="46" t="s">
        <v>3377</v>
      </c>
      <c r="J232" s="46" t="s">
        <v>3354</v>
      </c>
      <c r="K232" s="46" t="s">
        <v>243</v>
      </c>
      <c r="L232" s="46">
        <v>3</v>
      </c>
      <c r="N232" s="46" t="s">
        <v>3447</v>
      </c>
      <c r="O232" s="46" t="s">
        <v>243</v>
      </c>
      <c r="P232" s="46">
        <v>1</v>
      </c>
      <c r="R232" s="46" t="s">
        <v>3579</v>
      </c>
      <c r="S232" s="46" t="s">
        <v>243</v>
      </c>
      <c r="T232" s="46">
        <v>1</v>
      </c>
      <c r="V232" s="46" t="s">
        <v>1228</v>
      </c>
      <c r="W232" s="46" t="s">
        <v>1844</v>
      </c>
      <c r="X232" s="46" t="s">
        <v>1421</v>
      </c>
      <c r="Y232" s="46" t="s">
        <v>1845</v>
      </c>
      <c r="Z232" s="46">
        <v>17</v>
      </c>
      <c r="AA232" s="46">
        <v>93</v>
      </c>
      <c r="AB232" s="46">
        <v>21</v>
      </c>
      <c r="AC232" s="46" t="s">
        <v>1567</v>
      </c>
      <c r="AD232" s="46" t="s">
        <v>1846</v>
      </c>
      <c r="AE232" s="46" t="s">
        <v>682</v>
      </c>
      <c r="AF232" s="46" t="s">
        <v>682</v>
      </c>
      <c r="AG232" s="46" t="s">
        <v>1847</v>
      </c>
      <c r="AH232" s="46" t="s">
        <v>2695</v>
      </c>
      <c r="AI232" s="46" t="s">
        <v>2773</v>
      </c>
      <c r="AJ232" s="46" t="s">
        <v>2774</v>
      </c>
      <c r="AK232" s="46">
        <v>9</v>
      </c>
      <c r="AL232" s="46">
        <v>94.1</v>
      </c>
      <c r="AM232" s="46">
        <v>17</v>
      </c>
      <c r="AN232" s="46" t="s">
        <v>2406</v>
      </c>
      <c r="AO232" s="46" t="s">
        <v>2775</v>
      </c>
      <c r="AP232" s="46" t="s">
        <v>683</v>
      </c>
      <c r="AQ232" s="46" t="s">
        <v>683</v>
      </c>
      <c r="AR232" s="46" t="s">
        <v>2776</v>
      </c>
      <c r="AT232" s="48" t="s">
        <v>243</v>
      </c>
      <c r="AU232" s="41">
        <v>0.50139999999999996</v>
      </c>
      <c r="AV232" s="41"/>
      <c r="AW232" s="61">
        <v>3.5259999999999998</v>
      </c>
      <c r="AX232" s="61">
        <v>3.52</v>
      </c>
      <c r="AY232" s="61">
        <v>3.5630000000000002</v>
      </c>
      <c r="AZ232" s="63">
        <v>0.16900000000000001</v>
      </c>
      <c r="BA232" s="42"/>
      <c r="BB232" s="55">
        <v>3.496</v>
      </c>
      <c r="BC232" s="49">
        <v>2.524</v>
      </c>
      <c r="BD232" s="43"/>
      <c r="BE232" s="41">
        <v>3715</v>
      </c>
      <c r="BF232" s="41">
        <v>40641</v>
      </c>
      <c r="BG232" s="51">
        <v>0</v>
      </c>
      <c r="BH232" s="51">
        <v>1</v>
      </c>
      <c r="BI232" s="52" t="s">
        <v>3286</v>
      </c>
      <c r="BJ232" s="41"/>
      <c r="BK232" s="41">
        <v>2620.5</v>
      </c>
      <c r="BL232" s="41">
        <v>28422</v>
      </c>
      <c r="BM232" s="51">
        <v>0</v>
      </c>
      <c r="BN232" s="51">
        <v>1</v>
      </c>
      <c r="BO232" s="52" t="s">
        <v>3286</v>
      </c>
      <c r="BP232" s="52" t="s">
        <v>3286</v>
      </c>
      <c r="BQ232" s="43"/>
      <c r="BR232" s="41">
        <v>0.11749999999999999</v>
      </c>
      <c r="BS232" s="41">
        <v>0.22320000000000001</v>
      </c>
      <c r="BT232" s="52" t="s">
        <v>3288</v>
      </c>
      <c r="BU232" s="52" t="s">
        <v>3290</v>
      </c>
      <c r="BV232" s="41"/>
      <c r="BW232" s="55">
        <v>3.4249999999999998</v>
      </c>
      <c r="BX232" s="55">
        <v>3.4740000000000002</v>
      </c>
      <c r="BY232" s="41"/>
    </row>
    <row r="233" spans="1:77" s="81" customFormat="1">
      <c r="A233" s="147">
        <v>2.34</v>
      </c>
      <c r="B233" s="140" t="s">
        <v>398</v>
      </c>
      <c r="C233" s="120" t="s">
        <v>476</v>
      </c>
      <c r="D233" s="132" t="s">
        <v>246</v>
      </c>
      <c r="E233" s="82" t="s">
        <v>246</v>
      </c>
      <c r="F233" s="81" t="s">
        <v>246</v>
      </c>
      <c r="G233" s="81" t="s">
        <v>839</v>
      </c>
      <c r="H233" s="81" t="s">
        <v>840</v>
      </c>
      <c r="I233" s="81" t="s">
        <v>3377</v>
      </c>
      <c r="J233" s="81" t="s">
        <v>3352</v>
      </c>
      <c r="K233" s="81" t="s">
        <v>246</v>
      </c>
      <c r="L233" s="81">
        <v>3</v>
      </c>
      <c r="N233" s="81" t="s">
        <v>3443</v>
      </c>
      <c r="O233" s="81" t="s">
        <v>246</v>
      </c>
      <c r="P233" s="81">
        <v>2</v>
      </c>
      <c r="R233" s="81" t="s">
        <v>3575</v>
      </c>
      <c r="S233" s="81" t="s">
        <v>246</v>
      </c>
      <c r="T233" s="81">
        <v>2</v>
      </c>
      <c r="V233" s="81" t="s">
        <v>1232</v>
      </c>
      <c r="W233" s="81" t="s">
        <v>1558</v>
      </c>
      <c r="X233" s="81" t="s">
        <v>1413</v>
      </c>
      <c r="Y233" s="81" t="s">
        <v>1855</v>
      </c>
      <c r="Z233" s="81">
        <v>20</v>
      </c>
      <c r="AA233" s="81">
        <v>92.5</v>
      </c>
      <c r="AB233" s="81">
        <v>22</v>
      </c>
      <c r="AC233" s="81" t="s">
        <v>1430</v>
      </c>
      <c r="AD233" s="81" t="s">
        <v>1856</v>
      </c>
      <c r="AE233" s="81" t="s">
        <v>1857</v>
      </c>
      <c r="AF233" s="81" t="s">
        <v>839</v>
      </c>
      <c r="AG233" s="81" t="s">
        <v>1858</v>
      </c>
      <c r="AH233" s="81" t="s">
        <v>2475</v>
      </c>
      <c r="AI233" s="81" t="s">
        <v>2411</v>
      </c>
      <c r="AJ233" s="81" t="s">
        <v>2782</v>
      </c>
      <c r="AK233" s="81">
        <v>9</v>
      </c>
      <c r="AL233" s="81">
        <v>94.7</v>
      </c>
      <c r="AM233" s="81">
        <v>15</v>
      </c>
      <c r="AN233" s="81" t="s">
        <v>2406</v>
      </c>
      <c r="AO233" s="81" t="s">
        <v>2783</v>
      </c>
      <c r="AP233" s="81" t="s">
        <v>2784</v>
      </c>
      <c r="AQ233" s="81" t="s">
        <v>840</v>
      </c>
      <c r="AR233" s="81" t="s">
        <v>2785</v>
      </c>
      <c r="AT233" s="83" t="s">
        <v>246</v>
      </c>
      <c r="AU233" s="33">
        <v>0.30559999999999998</v>
      </c>
      <c r="AV233" s="33"/>
      <c r="AW233" s="100">
        <v>3.6520000000000001</v>
      </c>
      <c r="AX233" s="100">
        <v>3.609</v>
      </c>
      <c r="AY233" s="87">
        <v>0.11899999999999999</v>
      </c>
      <c r="AZ233" s="87">
        <v>0.13400000000000001</v>
      </c>
      <c r="BA233" s="34"/>
      <c r="BB233" s="100">
        <v>3.6110000000000002</v>
      </c>
      <c r="BC233" s="100">
        <v>2.4209999999999998</v>
      </c>
      <c r="BD233" s="34"/>
      <c r="BE233" s="33">
        <v>286194</v>
      </c>
      <c r="BF233" s="33">
        <v>80312.5</v>
      </c>
      <c r="BG233" s="88">
        <v>1</v>
      </c>
      <c r="BH233" s="88">
        <v>1</v>
      </c>
      <c r="BI233" s="89" t="s">
        <v>3285</v>
      </c>
      <c r="BJ233" s="33"/>
      <c r="BK233" s="33">
        <v>56339</v>
      </c>
      <c r="BL233" s="33">
        <v>4531</v>
      </c>
      <c r="BM233" s="88">
        <v>1</v>
      </c>
      <c r="BN233" s="88">
        <v>0</v>
      </c>
      <c r="BO233" s="89" t="s">
        <v>3285</v>
      </c>
      <c r="BP233" s="89" t="s">
        <v>3285</v>
      </c>
      <c r="BQ233" s="34"/>
      <c r="BR233" s="33">
        <v>1.8586</v>
      </c>
      <c r="BS233" s="33">
        <v>1.3115000000000001</v>
      </c>
      <c r="BT233" s="89" t="s">
        <v>3290</v>
      </c>
      <c r="BU233" s="89" t="s">
        <v>3290</v>
      </c>
      <c r="BV233" s="33"/>
      <c r="BW233" s="100">
        <v>3.59</v>
      </c>
      <c r="BX233" s="114">
        <v>3.109</v>
      </c>
      <c r="BY233" s="33"/>
    </row>
    <row r="234" spans="1:77">
      <c r="A234" s="148">
        <v>2.34</v>
      </c>
      <c r="B234" s="141" t="s">
        <v>398</v>
      </c>
      <c r="C234" s="86" t="s">
        <v>476</v>
      </c>
      <c r="D234" s="133" t="s">
        <v>247</v>
      </c>
      <c r="E234" s="80" t="s">
        <v>247</v>
      </c>
      <c r="F234" s="46" t="s">
        <v>247</v>
      </c>
      <c r="G234" s="46" t="s">
        <v>662</v>
      </c>
      <c r="H234" s="46" t="s">
        <v>663</v>
      </c>
      <c r="I234" s="46" t="s">
        <v>3377</v>
      </c>
      <c r="J234" s="46" t="s">
        <v>3352</v>
      </c>
      <c r="K234" s="46" t="s">
        <v>247</v>
      </c>
      <c r="L234" s="46">
        <v>3</v>
      </c>
      <c r="N234" s="46" t="s">
        <v>3443</v>
      </c>
      <c r="O234" s="46" t="s">
        <v>247</v>
      </c>
      <c r="P234" s="46">
        <v>2</v>
      </c>
      <c r="R234" s="46" t="s">
        <v>3575</v>
      </c>
      <c r="S234" s="46" t="s">
        <v>247</v>
      </c>
      <c r="T234" s="46">
        <v>2</v>
      </c>
      <c r="V234" s="46" t="s">
        <v>1233</v>
      </c>
      <c r="W234" s="46" t="s">
        <v>1558</v>
      </c>
      <c r="X234" s="46" t="s">
        <v>1413</v>
      </c>
      <c r="Y234" s="46" t="s">
        <v>1855</v>
      </c>
      <c r="Z234" s="46">
        <v>20</v>
      </c>
      <c r="AA234" s="46">
        <v>92.2</v>
      </c>
      <c r="AB234" s="46">
        <v>23</v>
      </c>
      <c r="AC234" s="46" t="s">
        <v>1430</v>
      </c>
      <c r="AD234" s="46" t="s">
        <v>1856</v>
      </c>
      <c r="AE234" s="46" t="s">
        <v>662</v>
      </c>
      <c r="AF234" s="46" t="s">
        <v>662</v>
      </c>
      <c r="AG234" s="46" t="s">
        <v>1859</v>
      </c>
      <c r="AH234" s="46" t="s">
        <v>2475</v>
      </c>
      <c r="AI234" s="46" t="s">
        <v>2411</v>
      </c>
      <c r="AJ234" s="46" t="s">
        <v>2782</v>
      </c>
      <c r="AK234" s="46">
        <v>9</v>
      </c>
      <c r="AL234" s="46">
        <v>94</v>
      </c>
      <c r="AM234" s="46">
        <v>17</v>
      </c>
      <c r="AN234" s="46" t="s">
        <v>2406</v>
      </c>
      <c r="AO234" s="46" t="s">
        <v>2783</v>
      </c>
      <c r="AP234" s="46" t="s">
        <v>663</v>
      </c>
      <c r="AQ234" s="46" t="s">
        <v>663</v>
      </c>
      <c r="AR234" s="46" t="s">
        <v>2786</v>
      </c>
      <c r="AT234" s="48" t="s">
        <v>247</v>
      </c>
      <c r="AU234" s="41">
        <v>0.32319999999999999</v>
      </c>
      <c r="AV234" s="41"/>
      <c r="AW234" s="61">
        <v>3.5529999999999999</v>
      </c>
      <c r="AX234" s="61">
        <v>3.532</v>
      </c>
      <c r="AY234" s="63">
        <v>0.12</v>
      </c>
      <c r="AZ234" s="63">
        <v>0.13100000000000001</v>
      </c>
      <c r="BA234" s="42"/>
      <c r="BB234" s="55">
        <v>3.5150000000000001</v>
      </c>
      <c r="BC234" s="49">
        <v>2.448</v>
      </c>
      <c r="BD234" s="43"/>
      <c r="BE234" s="41">
        <v>142098</v>
      </c>
      <c r="BF234" s="41">
        <v>131387.5</v>
      </c>
      <c r="BG234" s="51">
        <v>1</v>
      </c>
      <c r="BH234" s="51">
        <v>1</v>
      </c>
      <c r="BI234" s="52" t="s">
        <v>3289</v>
      </c>
      <c r="BJ234" s="41"/>
      <c r="BK234" s="41">
        <v>72229</v>
      </c>
      <c r="BL234" s="41">
        <v>31295.5</v>
      </c>
      <c r="BM234" s="51">
        <v>1</v>
      </c>
      <c r="BN234" s="51">
        <v>1</v>
      </c>
      <c r="BO234" s="52" t="s">
        <v>3285</v>
      </c>
      <c r="BP234" s="52" t="s">
        <v>3287</v>
      </c>
      <c r="BQ234" s="43"/>
      <c r="BR234" s="41">
        <v>2.5590999999999999</v>
      </c>
      <c r="BS234" s="41">
        <v>2.6745000000000001</v>
      </c>
      <c r="BT234" s="52" t="s">
        <v>3290</v>
      </c>
      <c r="BU234" s="52" t="s">
        <v>3290</v>
      </c>
      <c r="BV234" s="41"/>
      <c r="BW234" s="55">
        <v>3.4820000000000002</v>
      </c>
      <c r="BX234" s="56">
        <v>2.7890000000000001</v>
      </c>
      <c r="BY234" s="41"/>
    </row>
    <row r="235" spans="1:77" s="40" customFormat="1" ht="17" thickBot="1">
      <c r="A235" s="149">
        <v>2.34</v>
      </c>
      <c r="B235" s="142" t="s">
        <v>398</v>
      </c>
      <c r="C235" s="121" t="s">
        <v>476</v>
      </c>
      <c r="D235" s="134" t="s">
        <v>248</v>
      </c>
      <c r="E235" s="84" t="s">
        <v>249</v>
      </c>
      <c r="F235" s="40" t="s">
        <v>248</v>
      </c>
      <c r="G235" s="40" t="s">
        <v>1047</v>
      </c>
      <c r="H235" s="40" t="s">
        <v>1048</v>
      </c>
      <c r="I235" s="40" t="s">
        <v>3377</v>
      </c>
      <c r="J235" s="40" t="s">
        <v>3352</v>
      </c>
      <c r="K235" s="40" t="s">
        <v>248</v>
      </c>
      <c r="L235" s="40">
        <v>3</v>
      </c>
      <c r="N235" s="40" t="s">
        <v>3490</v>
      </c>
      <c r="O235" s="40" t="s">
        <v>248</v>
      </c>
      <c r="P235" s="40">
        <v>1</v>
      </c>
      <c r="R235" s="40" t="s">
        <v>3641</v>
      </c>
      <c r="S235" s="40" t="s">
        <v>248</v>
      </c>
      <c r="T235" s="40">
        <v>1</v>
      </c>
      <c r="V235" s="40" t="s">
        <v>1234</v>
      </c>
      <c r="W235" s="40" t="s">
        <v>1558</v>
      </c>
      <c r="X235" s="40" t="s">
        <v>1413</v>
      </c>
      <c r="Y235" s="40" t="s">
        <v>1860</v>
      </c>
      <c r="Z235" s="40">
        <v>20</v>
      </c>
      <c r="AA235" s="40">
        <v>93.5</v>
      </c>
      <c r="AB235" s="40">
        <v>19</v>
      </c>
      <c r="AC235" s="40" t="s">
        <v>1679</v>
      </c>
      <c r="AD235" s="40" t="s">
        <v>1861</v>
      </c>
      <c r="AE235" s="40" t="s">
        <v>1047</v>
      </c>
      <c r="AF235" s="40" t="s">
        <v>1047</v>
      </c>
      <c r="AG235" s="40" t="s">
        <v>1862</v>
      </c>
      <c r="AH235" s="40" t="s">
        <v>2475</v>
      </c>
      <c r="AI235" s="40" t="s">
        <v>2411</v>
      </c>
      <c r="AJ235" s="40" t="s">
        <v>2787</v>
      </c>
      <c r="AK235" s="40">
        <v>9</v>
      </c>
      <c r="AL235" s="40">
        <v>94.7</v>
      </c>
      <c r="AM235" s="40">
        <v>15</v>
      </c>
      <c r="AN235" s="40" t="s">
        <v>2406</v>
      </c>
      <c r="AO235" s="40" t="s">
        <v>2788</v>
      </c>
      <c r="AP235" s="40" t="s">
        <v>1048</v>
      </c>
      <c r="AQ235" s="40" t="s">
        <v>1048</v>
      </c>
      <c r="AR235" s="40" t="s">
        <v>2789</v>
      </c>
      <c r="AT235" s="85" t="s">
        <v>249</v>
      </c>
      <c r="AU235" s="35">
        <v>0.29959999999999998</v>
      </c>
      <c r="AV235" s="35"/>
      <c r="AW235" s="102">
        <v>3.5670000000000002</v>
      </c>
      <c r="AX235" s="102">
        <v>3.4889999999999999</v>
      </c>
      <c r="AY235" s="90">
        <v>0.30299999999999999</v>
      </c>
      <c r="AZ235" s="90">
        <v>0.13300000000000001</v>
      </c>
      <c r="BA235" s="37"/>
      <c r="BB235" s="102">
        <v>3.5449999999999999</v>
      </c>
      <c r="BC235" s="117">
        <v>2.2509999999999999</v>
      </c>
      <c r="BD235" s="37"/>
      <c r="BE235" s="35">
        <v>15184.5</v>
      </c>
      <c r="BF235" s="35">
        <v>110050</v>
      </c>
      <c r="BG235" s="93">
        <v>1</v>
      </c>
      <c r="BH235" s="93">
        <v>1</v>
      </c>
      <c r="BI235" s="94" t="s">
        <v>3286</v>
      </c>
      <c r="BJ235" s="35"/>
      <c r="BK235" s="35">
        <v>3567</v>
      </c>
      <c r="BL235" s="35">
        <v>99040.5</v>
      </c>
      <c r="BM235" s="93">
        <v>0</v>
      </c>
      <c r="BN235" s="93">
        <v>1</v>
      </c>
      <c r="BO235" s="94" t="s">
        <v>3286</v>
      </c>
      <c r="BP235" s="94" t="s">
        <v>3286</v>
      </c>
      <c r="BQ235" s="37"/>
      <c r="BR235" s="35">
        <v>-7.3700000000000002E-2</v>
      </c>
      <c r="BS235" s="35">
        <v>-3.4599999999999999E-2</v>
      </c>
      <c r="BT235" s="94" t="s">
        <v>3288</v>
      </c>
      <c r="BU235" s="94" t="s">
        <v>3288</v>
      </c>
      <c r="BV235" s="35"/>
      <c r="BW235" s="110">
        <v>3.2629999999999999</v>
      </c>
      <c r="BX235" s="102">
        <v>3.5419999999999998</v>
      </c>
      <c r="BY235" s="35"/>
    </row>
    <row r="236" spans="1:77">
      <c r="A236" s="147">
        <v>2.35</v>
      </c>
      <c r="B236" s="141" t="s">
        <v>366</v>
      </c>
      <c r="C236" s="86" t="s">
        <v>444</v>
      </c>
      <c r="D236" s="133" t="s">
        <v>90</v>
      </c>
      <c r="E236" s="80" t="s">
        <v>90</v>
      </c>
      <c r="F236" s="46" t="s">
        <v>90</v>
      </c>
      <c r="G236" s="46" t="s">
        <v>903</v>
      </c>
      <c r="H236" s="46" t="s">
        <v>904</v>
      </c>
      <c r="I236" s="46" t="s">
        <v>3377</v>
      </c>
      <c r="J236" s="46" t="s">
        <v>3309</v>
      </c>
      <c r="K236" s="46" t="s">
        <v>90</v>
      </c>
      <c r="L236" s="46">
        <v>2</v>
      </c>
      <c r="N236" s="46" t="s">
        <v>3389</v>
      </c>
      <c r="O236" s="46" t="s">
        <v>90</v>
      </c>
      <c r="P236" s="46">
        <v>2</v>
      </c>
      <c r="R236" s="46" t="s">
        <v>3513</v>
      </c>
      <c r="S236" s="46" t="s">
        <v>90</v>
      </c>
      <c r="T236" s="46">
        <v>2</v>
      </c>
      <c r="V236" s="46" t="s">
        <v>1385</v>
      </c>
      <c r="W236" s="46" t="s">
        <v>1729</v>
      </c>
      <c r="X236" s="46" t="s">
        <v>1413</v>
      </c>
      <c r="Y236" s="46" t="s">
        <v>2339</v>
      </c>
      <c r="Z236" s="46">
        <v>14</v>
      </c>
      <c r="AA236" s="46">
        <v>97.4</v>
      </c>
      <c r="AB236" s="46">
        <v>7</v>
      </c>
      <c r="AC236" s="46" t="s">
        <v>1423</v>
      </c>
      <c r="AD236" s="46" t="s">
        <v>2340</v>
      </c>
      <c r="AE236" s="46" t="s">
        <v>2341</v>
      </c>
      <c r="AF236" s="46" t="s">
        <v>903</v>
      </c>
      <c r="AG236" s="46" t="s">
        <v>2342</v>
      </c>
      <c r="AH236" s="46" t="s">
        <v>2603</v>
      </c>
      <c r="AI236" s="46" t="s">
        <v>2404</v>
      </c>
      <c r="AJ236" s="46" t="s">
        <v>3222</v>
      </c>
      <c r="AK236" s="46">
        <v>9</v>
      </c>
      <c r="AL236" s="46">
        <v>98.9</v>
      </c>
      <c r="AM236" s="46">
        <v>3</v>
      </c>
      <c r="AN236" s="46" t="s">
        <v>2406</v>
      </c>
      <c r="AO236" s="46" t="s">
        <v>3223</v>
      </c>
      <c r="AP236" s="46" t="s">
        <v>1025</v>
      </c>
      <c r="AQ236" s="46" t="s">
        <v>904</v>
      </c>
      <c r="AR236" s="46" t="s">
        <v>3224</v>
      </c>
      <c r="AT236" s="48" t="s">
        <v>90</v>
      </c>
      <c r="AU236" s="41">
        <v>0.31719999999999998</v>
      </c>
      <c r="AV236" s="41"/>
      <c r="AW236" s="55">
        <v>3.4910000000000001</v>
      </c>
      <c r="AX236" s="55">
        <v>3.4729999999999999</v>
      </c>
      <c r="AY236" s="55">
        <v>3.556</v>
      </c>
      <c r="AZ236" s="50">
        <v>0.188</v>
      </c>
      <c r="BA236" s="43"/>
      <c r="BB236" s="50">
        <v>9.7000000000000003E-2</v>
      </c>
      <c r="BC236" s="50">
        <v>8.2000000000000003E-2</v>
      </c>
      <c r="BD236" s="43"/>
      <c r="BE236" s="41">
        <v>49618.5</v>
      </c>
      <c r="BF236" s="41">
        <v>2287.5</v>
      </c>
      <c r="BG236" s="51">
        <v>1</v>
      </c>
      <c r="BH236" s="51">
        <v>0</v>
      </c>
      <c r="BI236" s="52" t="s">
        <v>3285</v>
      </c>
      <c r="BJ236" s="41"/>
      <c r="BK236" s="41">
        <v>2846</v>
      </c>
      <c r="BL236" s="41">
        <v>2652.5</v>
      </c>
      <c r="BM236" s="51">
        <v>0</v>
      </c>
      <c r="BN236" s="51">
        <v>0</v>
      </c>
      <c r="BO236" s="52" t="s">
        <v>3289</v>
      </c>
      <c r="BP236" s="52" t="s">
        <v>3287</v>
      </c>
      <c r="BQ236" s="43"/>
      <c r="BR236" s="41">
        <v>-2.76E-2</v>
      </c>
      <c r="BS236" s="41">
        <v>-1.04E-2</v>
      </c>
      <c r="BT236" s="52" t="s">
        <v>3288</v>
      </c>
      <c r="BU236" s="52" t="s">
        <v>3288</v>
      </c>
      <c r="BV236" s="41"/>
      <c r="BW236" s="60">
        <v>2.472</v>
      </c>
      <c r="BX236" s="57">
        <v>0.71599999999999997</v>
      </c>
      <c r="BY236" s="41"/>
    </row>
    <row r="237" spans="1:77" ht="17" thickBot="1">
      <c r="A237" s="148">
        <v>2.35</v>
      </c>
      <c r="B237" s="141" t="s">
        <v>366</v>
      </c>
      <c r="C237" s="86" t="s">
        <v>444</v>
      </c>
      <c r="D237" s="133" t="s">
        <v>91</v>
      </c>
      <c r="E237" s="80" t="s">
        <v>91</v>
      </c>
      <c r="F237" s="46" t="s">
        <v>91</v>
      </c>
      <c r="G237" s="46" t="s">
        <v>710</v>
      </c>
      <c r="H237" s="46" t="s">
        <v>711</v>
      </c>
      <c r="I237" s="46" t="s">
        <v>3377</v>
      </c>
      <c r="J237" s="46" t="s">
        <v>3309</v>
      </c>
      <c r="K237" s="46" t="s">
        <v>91</v>
      </c>
      <c r="L237" s="46">
        <v>2</v>
      </c>
      <c r="N237" s="46" t="s">
        <v>3389</v>
      </c>
      <c r="O237" s="46" t="s">
        <v>91</v>
      </c>
      <c r="P237" s="46">
        <v>2</v>
      </c>
      <c r="R237" s="46" t="s">
        <v>3513</v>
      </c>
      <c r="S237" s="46" t="s">
        <v>91</v>
      </c>
      <c r="T237" s="46">
        <v>2</v>
      </c>
      <c r="V237" s="46" t="s">
        <v>1386</v>
      </c>
      <c r="W237" s="46" t="s">
        <v>1729</v>
      </c>
      <c r="X237" s="46" t="s">
        <v>1413</v>
      </c>
      <c r="Y237" s="46" t="s">
        <v>2343</v>
      </c>
      <c r="Z237" s="46">
        <v>14</v>
      </c>
      <c r="AA237" s="46">
        <v>92.5</v>
      </c>
      <c r="AB237" s="46">
        <v>22</v>
      </c>
      <c r="AC237" s="46" t="s">
        <v>1567</v>
      </c>
      <c r="AD237" s="46" t="s">
        <v>2344</v>
      </c>
      <c r="AE237" s="46" t="s">
        <v>710</v>
      </c>
      <c r="AF237" s="46" t="s">
        <v>710</v>
      </c>
      <c r="AG237" s="46" t="s">
        <v>2345</v>
      </c>
      <c r="AH237" s="46" t="s">
        <v>2603</v>
      </c>
      <c r="AI237" s="46" t="s">
        <v>2404</v>
      </c>
      <c r="AJ237" s="46" t="s">
        <v>3138</v>
      </c>
      <c r="AK237" s="46">
        <v>9</v>
      </c>
      <c r="AL237" s="46">
        <v>93.1</v>
      </c>
      <c r="AM237" s="46">
        <v>20</v>
      </c>
      <c r="AN237" s="46" t="s">
        <v>2406</v>
      </c>
      <c r="AO237" s="46" t="s">
        <v>3225</v>
      </c>
      <c r="AP237" s="46" t="s">
        <v>711</v>
      </c>
      <c r="AQ237" s="46" t="s">
        <v>711</v>
      </c>
      <c r="AR237" s="46" t="s">
        <v>3226</v>
      </c>
      <c r="AT237" s="48" t="s">
        <v>91</v>
      </c>
      <c r="AU237" s="41">
        <v>0.30790000000000001</v>
      </c>
      <c r="AV237" s="41"/>
      <c r="AW237" s="55">
        <v>3.63</v>
      </c>
      <c r="AX237" s="55">
        <v>3.5609999999999999</v>
      </c>
      <c r="AY237" s="55">
        <v>3.6240000000000001</v>
      </c>
      <c r="AZ237" s="50">
        <v>0.19</v>
      </c>
      <c r="BA237" s="43"/>
      <c r="BB237" s="50">
        <v>0.13400000000000001</v>
      </c>
      <c r="BC237" s="50">
        <v>0.10299999999999999</v>
      </c>
      <c r="BD237" s="43"/>
      <c r="BE237" s="41">
        <v>38420</v>
      </c>
      <c r="BF237" s="41">
        <v>1659</v>
      </c>
      <c r="BG237" s="51">
        <v>1</v>
      </c>
      <c r="BH237" s="51">
        <v>0</v>
      </c>
      <c r="BI237" s="52" t="s">
        <v>3285</v>
      </c>
      <c r="BJ237" s="41"/>
      <c r="BK237" s="41">
        <v>6541</v>
      </c>
      <c r="BL237" s="41">
        <v>1977</v>
      </c>
      <c r="BM237" s="51">
        <v>1</v>
      </c>
      <c r="BN237" s="51">
        <v>0</v>
      </c>
      <c r="BO237" s="52" t="s">
        <v>3285</v>
      </c>
      <c r="BP237" s="52" t="s">
        <v>3285</v>
      </c>
      <c r="BQ237" s="43"/>
      <c r="BR237" s="41">
        <v>-0.24479999999999999</v>
      </c>
      <c r="BS237" s="41">
        <v>-9.4899999999999998E-2</v>
      </c>
      <c r="BT237" s="52" t="s">
        <v>3288</v>
      </c>
      <c r="BU237" s="52" t="s">
        <v>3288</v>
      </c>
      <c r="BV237" s="41"/>
      <c r="BW237" s="49">
        <v>3.11</v>
      </c>
      <c r="BX237" s="59">
        <v>1.0529999999999999</v>
      </c>
      <c r="BY237" s="41"/>
    </row>
    <row r="238" spans="1:77" s="81" customFormat="1" ht="17" thickBot="1">
      <c r="A238" s="149">
        <v>2.35</v>
      </c>
      <c r="B238" s="140" t="s">
        <v>399</v>
      </c>
      <c r="C238" s="120" t="s">
        <v>477</v>
      </c>
      <c r="D238" s="132" t="s">
        <v>250</v>
      </c>
      <c r="E238" s="82" t="s">
        <v>250</v>
      </c>
      <c r="F238" s="81" t="s">
        <v>250</v>
      </c>
      <c r="G238" s="81" t="s">
        <v>688</v>
      </c>
      <c r="H238" s="81" t="s">
        <v>689</v>
      </c>
      <c r="I238" s="81" t="s">
        <v>3377</v>
      </c>
      <c r="J238" s="81" t="s">
        <v>3355</v>
      </c>
      <c r="K238" s="81" t="s">
        <v>250</v>
      </c>
      <c r="L238" s="81">
        <v>2</v>
      </c>
      <c r="N238" s="81" t="s">
        <v>3448</v>
      </c>
      <c r="O238" s="81" t="s">
        <v>250</v>
      </c>
      <c r="P238" s="81">
        <v>1</v>
      </c>
      <c r="R238" s="81" t="s">
        <v>3580</v>
      </c>
      <c r="S238" s="81" t="s">
        <v>250</v>
      </c>
      <c r="T238" s="81">
        <v>1</v>
      </c>
      <c r="V238" s="81" t="s">
        <v>1235</v>
      </c>
      <c r="W238" s="81" t="s">
        <v>1729</v>
      </c>
      <c r="X238" s="81" t="s">
        <v>1413</v>
      </c>
      <c r="Y238" s="81" t="s">
        <v>1863</v>
      </c>
      <c r="Z238" s="81">
        <v>14</v>
      </c>
      <c r="AA238" s="81">
        <v>97.6</v>
      </c>
      <c r="AB238" s="81">
        <v>7</v>
      </c>
      <c r="AC238" s="81" t="s">
        <v>1567</v>
      </c>
      <c r="AD238" s="81" t="s">
        <v>1864</v>
      </c>
      <c r="AE238" s="81" t="s">
        <v>688</v>
      </c>
      <c r="AF238" s="81" t="s">
        <v>688</v>
      </c>
      <c r="AG238" s="81" t="s">
        <v>1865</v>
      </c>
      <c r="AH238" s="81" t="s">
        <v>2603</v>
      </c>
      <c r="AI238" s="81" t="s">
        <v>2460</v>
      </c>
      <c r="AJ238" s="81" t="s">
        <v>2790</v>
      </c>
      <c r="AK238" s="81">
        <v>10</v>
      </c>
      <c r="AL238" s="81">
        <v>97.9</v>
      </c>
      <c r="AM238" s="81">
        <v>6</v>
      </c>
      <c r="AN238" s="81" t="s">
        <v>2406</v>
      </c>
      <c r="AO238" s="81" t="s">
        <v>2791</v>
      </c>
      <c r="AP238" s="81" t="s">
        <v>689</v>
      </c>
      <c r="AQ238" s="81" t="s">
        <v>689</v>
      </c>
      <c r="AR238" s="81" t="s">
        <v>2792</v>
      </c>
      <c r="AT238" s="83" t="s">
        <v>250</v>
      </c>
      <c r="AU238" s="33">
        <v>2.9489999999999999E-2</v>
      </c>
      <c r="AV238" s="33"/>
      <c r="AW238" s="111">
        <v>3.5640000000000001</v>
      </c>
      <c r="AX238" s="111">
        <v>3.54</v>
      </c>
      <c r="AY238" s="111">
        <v>3.6619999999999999</v>
      </c>
      <c r="AZ238" s="112">
        <v>0.17299999999999999</v>
      </c>
      <c r="BA238" s="39"/>
      <c r="BB238" s="87">
        <v>0.126</v>
      </c>
      <c r="BC238" s="87">
        <v>9.9000000000000005E-2</v>
      </c>
      <c r="BD238" s="34"/>
      <c r="BE238" s="33">
        <v>3047</v>
      </c>
      <c r="BF238" s="33">
        <v>1803</v>
      </c>
      <c r="BG238" s="88">
        <v>0</v>
      </c>
      <c r="BH238" s="88">
        <v>0</v>
      </c>
      <c r="BI238" s="89" t="s">
        <v>3285</v>
      </c>
      <c r="BJ238" s="33"/>
      <c r="BK238" s="33">
        <v>2330</v>
      </c>
      <c r="BL238" s="33">
        <v>39408</v>
      </c>
      <c r="BM238" s="88">
        <v>0</v>
      </c>
      <c r="BN238" s="88">
        <v>1</v>
      </c>
      <c r="BO238" s="89" t="s">
        <v>3286</v>
      </c>
      <c r="BP238" s="89" t="s">
        <v>3287</v>
      </c>
      <c r="BQ238" s="34"/>
      <c r="BR238" s="33">
        <v>-0.1404</v>
      </c>
      <c r="BS238" s="33">
        <v>-7.0099999999999996E-2</v>
      </c>
      <c r="BT238" s="89" t="s">
        <v>3288</v>
      </c>
      <c r="BU238" s="89" t="s">
        <v>3288</v>
      </c>
      <c r="BV238" s="33"/>
      <c r="BW238" s="113">
        <v>2.0310000000000001</v>
      </c>
      <c r="BX238" s="116">
        <v>0.66</v>
      </c>
      <c r="BY238" s="33"/>
    </row>
    <row r="239" spans="1:77" s="40" customFormat="1" ht="17" thickBot="1">
      <c r="A239" s="148">
        <v>2.36</v>
      </c>
      <c r="B239" s="142" t="s">
        <v>399</v>
      </c>
      <c r="C239" s="121" t="s">
        <v>477</v>
      </c>
      <c r="D239" s="134" t="s">
        <v>251</v>
      </c>
      <c r="E239" s="84" t="s">
        <v>252</v>
      </c>
      <c r="F239" s="40" t="s">
        <v>251</v>
      </c>
      <c r="G239" s="40" t="s">
        <v>1030</v>
      </c>
      <c r="H239" s="40" t="s">
        <v>1031</v>
      </c>
      <c r="I239" s="40" t="s">
        <v>3377</v>
      </c>
      <c r="J239" s="40" t="s">
        <v>3355</v>
      </c>
      <c r="K239" s="40" t="s">
        <v>251</v>
      </c>
      <c r="L239" s="40">
        <v>2</v>
      </c>
      <c r="N239" s="40" t="s">
        <v>3485</v>
      </c>
      <c r="O239" s="40" t="s">
        <v>251</v>
      </c>
      <c r="P239" s="40">
        <v>1</v>
      </c>
      <c r="R239" s="40" t="s">
        <v>3634</v>
      </c>
      <c r="S239" s="40" t="s">
        <v>251</v>
      </c>
      <c r="T239" s="40">
        <v>1</v>
      </c>
      <c r="V239" s="40" t="s">
        <v>1236</v>
      </c>
      <c r="W239" s="40" t="s">
        <v>1729</v>
      </c>
      <c r="X239" s="40" t="s">
        <v>1413</v>
      </c>
      <c r="Y239" s="40" t="s">
        <v>1866</v>
      </c>
      <c r="Z239" s="40">
        <v>14</v>
      </c>
      <c r="AA239" s="40">
        <v>94.9</v>
      </c>
      <c r="AB239" s="40">
        <v>15</v>
      </c>
      <c r="AC239" s="40" t="s">
        <v>1510</v>
      </c>
      <c r="AD239" s="40" t="s">
        <v>1867</v>
      </c>
      <c r="AE239" s="40" t="s">
        <v>1030</v>
      </c>
      <c r="AF239" s="40" t="s">
        <v>1030</v>
      </c>
      <c r="AG239" s="40" t="s">
        <v>1868</v>
      </c>
      <c r="AH239" s="40" t="s">
        <v>2603</v>
      </c>
      <c r="AI239" s="40" t="s">
        <v>2460</v>
      </c>
      <c r="AJ239" s="40" t="s">
        <v>2793</v>
      </c>
      <c r="AK239" s="40">
        <v>9</v>
      </c>
      <c r="AL239" s="40">
        <v>98.6</v>
      </c>
      <c r="AM239" s="40">
        <v>4</v>
      </c>
      <c r="AN239" s="40" t="s">
        <v>2406</v>
      </c>
      <c r="AO239" s="40" t="s">
        <v>2794</v>
      </c>
      <c r="AP239" s="40" t="s">
        <v>1031</v>
      </c>
      <c r="AQ239" s="40" t="s">
        <v>1031</v>
      </c>
      <c r="AR239" s="40" t="s">
        <v>2795</v>
      </c>
      <c r="AT239" s="85" t="s">
        <v>252</v>
      </c>
      <c r="AU239" s="35">
        <v>0.51359999999999995</v>
      </c>
      <c r="AV239" s="35"/>
      <c r="AW239" s="102">
        <v>3.5720000000000001</v>
      </c>
      <c r="AX239" s="102">
        <v>3.5350000000000001</v>
      </c>
      <c r="AY239" s="102">
        <v>3.6179999999999999</v>
      </c>
      <c r="AZ239" s="90">
        <v>0.29599999999999999</v>
      </c>
      <c r="BA239" s="37"/>
      <c r="BB239" s="90">
        <v>0.11899999999999999</v>
      </c>
      <c r="BC239" s="90">
        <v>0.114</v>
      </c>
      <c r="BD239" s="37"/>
      <c r="BE239" s="35">
        <v>14093.5</v>
      </c>
      <c r="BF239" s="35">
        <v>2175.5</v>
      </c>
      <c r="BG239" s="93">
        <v>1</v>
      </c>
      <c r="BH239" s="93">
        <v>0</v>
      </c>
      <c r="BI239" s="94" t="s">
        <v>3285</v>
      </c>
      <c r="BJ239" s="35"/>
      <c r="BK239" s="35">
        <v>3461.5</v>
      </c>
      <c r="BL239" s="35">
        <v>2071</v>
      </c>
      <c r="BM239" s="93">
        <v>0</v>
      </c>
      <c r="BN239" s="93">
        <v>0</v>
      </c>
      <c r="BO239" s="94" t="s">
        <v>3285</v>
      </c>
      <c r="BP239" s="94" t="s">
        <v>3285</v>
      </c>
      <c r="BQ239" s="37"/>
      <c r="BR239" s="35">
        <v>-9.2200000000000004E-2</v>
      </c>
      <c r="BS239" s="35">
        <v>-7.6499999999999999E-2</v>
      </c>
      <c r="BT239" s="94" t="s">
        <v>3288</v>
      </c>
      <c r="BU239" s="94" t="s">
        <v>3288</v>
      </c>
      <c r="BV239" s="35"/>
      <c r="BW239" s="103">
        <v>2.718</v>
      </c>
      <c r="BX239" s="95">
        <v>0.95599999999999996</v>
      </c>
      <c r="BY239" s="35"/>
    </row>
    <row r="240" spans="1:77" ht="17" thickBot="1">
      <c r="A240" s="148">
        <v>2.36</v>
      </c>
      <c r="B240" s="141" t="s">
        <v>400</v>
      </c>
      <c r="C240" s="86" t="s">
        <v>478</v>
      </c>
      <c r="D240" s="133" t="s">
        <v>253</v>
      </c>
      <c r="E240" s="80" t="s">
        <v>253</v>
      </c>
      <c r="F240" s="46" t="s">
        <v>253</v>
      </c>
      <c r="G240" s="46" t="s">
        <v>633</v>
      </c>
      <c r="H240" s="46" t="s">
        <v>634</v>
      </c>
      <c r="I240" s="46" t="s">
        <v>3377</v>
      </c>
      <c r="J240" s="46" t="s">
        <v>3346</v>
      </c>
      <c r="K240" s="46" t="s">
        <v>253</v>
      </c>
      <c r="L240" s="46">
        <v>2</v>
      </c>
      <c r="N240" s="46" t="s">
        <v>3436</v>
      </c>
      <c r="O240" s="46" t="s">
        <v>253</v>
      </c>
      <c r="P240" s="46">
        <v>1</v>
      </c>
      <c r="R240" s="46" t="s">
        <v>3566</v>
      </c>
      <c r="S240" s="46" t="s">
        <v>253</v>
      </c>
      <c r="T240" s="46">
        <v>1</v>
      </c>
      <c r="V240" s="46" t="s">
        <v>1237</v>
      </c>
      <c r="W240" s="46" t="s">
        <v>1869</v>
      </c>
      <c r="X240" s="46" t="s">
        <v>1413</v>
      </c>
      <c r="Y240" s="46" t="s">
        <v>1870</v>
      </c>
      <c r="Z240" s="46">
        <v>13</v>
      </c>
      <c r="AA240" s="46">
        <v>96.2</v>
      </c>
      <c r="AB240" s="46">
        <v>11</v>
      </c>
      <c r="AC240" s="46" t="s">
        <v>1674</v>
      </c>
      <c r="AD240" s="46" t="s">
        <v>1871</v>
      </c>
      <c r="AE240" s="46" t="s">
        <v>633</v>
      </c>
      <c r="AF240" s="46" t="s">
        <v>633</v>
      </c>
      <c r="AG240" s="46" t="s">
        <v>1872</v>
      </c>
      <c r="AH240" s="46" t="s">
        <v>2796</v>
      </c>
      <c r="AI240" s="46" t="s">
        <v>2452</v>
      </c>
      <c r="AJ240" s="46" t="s">
        <v>2797</v>
      </c>
      <c r="AK240" s="46">
        <v>9</v>
      </c>
      <c r="AL240" s="46">
        <v>99</v>
      </c>
      <c r="AM240" s="46">
        <v>3</v>
      </c>
      <c r="AN240" s="46" t="s">
        <v>2406</v>
      </c>
      <c r="AO240" s="46" t="s">
        <v>2798</v>
      </c>
      <c r="AP240" s="46" t="s">
        <v>634</v>
      </c>
      <c r="AQ240" s="46" t="s">
        <v>634</v>
      </c>
      <c r="AR240" s="46" t="s">
        <v>2799</v>
      </c>
      <c r="AT240" s="48" t="s">
        <v>253</v>
      </c>
      <c r="AU240" s="41">
        <v>0.1588</v>
      </c>
      <c r="AV240" s="41"/>
      <c r="AW240" s="61">
        <v>3.633</v>
      </c>
      <c r="AX240" s="61">
        <v>3.5760000000000001</v>
      </c>
      <c r="AY240" s="61">
        <v>3.6779999999999999</v>
      </c>
      <c r="AZ240" s="63">
        <v>0.17799999999999999</v>
      </c>
      <c r="BA240" s="42"/>
      <c r="BB240" s="50">
        <v>0.108</v>
      </c>
      <c r="BC240" s="50">
        <v>8.5999999999999993E-2</v>
      </c>
      <c r="BD240" s="43"/>
      <c r="BE240" s="41">
        <v>69212</v>
      </c>
      <c r="BF240" s="41">
        <v>2535</v>
      </c>
      <c r="BG240" s="51">
        <v>1</v>
      </c>
      <c r="BH240" s="51">
        <v>0</v>
      </c>
      <c r="BI240" s="52" t="s">
        <v>3285</v>
      </c>
      <c r="BJ240" s="41"/>
      <c r="BK240" s="41">
        <v>21727</v>
      </c>
      <c r="BL240" s="41">
        <v>11675</v>
      </c>
      <c r="BM240" s="51">
        <v>1</v>
      </c>
      <c r="BN240" s="51">
        <v>1</v>
      </c>
      <c r="BO240" s="52" t="s">
        <v>3285</v>
      </c>
      <c r="BP240" s="52" t="s">
        <v>3285</v>
      </c>
      <c r="BQ240" s="43"/>
      <c r="BR240" s="41">
        <v>-0.16239999999999999</v>
      </c>
      <c r="BS240" s="41">
        <v>-3.44E-2</v>
      </c>
      <c r="BT240" s="52" t="s">
        <v>3288</v>
      </c>
      <c r="BU240" s="52" t="s">
        <v>3288</v>
      </c>
      <c r="BV240" s="41"/>
      <c r="BW240" s="55">
        <v>3.427</v>
      </c>
      <c r="BX240" s="60">
        <v>2.5609999999999999</v>
      </c>
      <c r="BY240" s="41"/>
    </row>
    <row r="241" spans="1:77" ht="17" thickBot="1">
      <c r="A241" s="147">
        <v>2.37</v>
      </c>
      <c r="B241" s="141" t="s">
        <v>400</v>
      </c>
      <c r="C241" s="86" t="s">
        <v>478</v>
      </c>
      <c r="D241" s="133" t="s">
        <v>254</v>
      </c>
      <c r="E241" s="80" t="s">
        <v>254</v>
      </c>
      <c r="F241" s="46" t="s">
        <v>254</v>
      </c>
      <c r="G241" s="46" t="s">
        <v>943</v>
      </c>
      <c r="H241" s="46" t="s">
        <v>944</v>
      </c>
      <c r="I241" s="46" t="s">
        <v>3377</v>
      </c>
      <c r="J241" s="46" t="s">
        <v>3346</v>
      </c>
      <c r="K241" s="46" t="s">
        <v>254</v>
      </c>
      <c r="L241" s="46">
        <v>2</v>
      </c>
      <c r="N241" s="46" t="s">
        <v>3477</v>
      </c>
      <c r="O241" s="46" t="s">
        <v>254</v>
      </c>
      <c r="P241" s="46">
        <v>1</v>
      </c>
      <c r="R241" s="46" t="s">
        <v>3620</v>
      </c>
      <c r="S241" s="46" t="s">
        <v>254</v>
      </c>
      <c r="T241" s="46">
        <v>1</v>
      </c>
      <c r="V241" s="46" t="s">
        <v>1238</v>
      </c>
      <c r="W241" s="46" t="s">
        <v>1869</v>
      </c>
      <c r="X241" s="46" t="s">
        <v>1413</v>
      </c>
      <c r="Y241" s="46" t="s">
        <v>1873</v>
      </c>
      <c r="Z241" s="46">
        <v>13</v>
      </c>
      <c r="AA241" s="46">
        <v>96.6</v>
      </c>
      <c r="AB241" s="46">
        <v>10</v>
      </c>
      <c r="AC241" s="46" t="s">
        <v>1449</v>
      </c>
      <c r="AD241" s="46" t="s">
        <v>1874</v>
      </c>
      <c r="AE241" s="46" t="s">
        <v>943</v>
      </c>
      <c r="AF241" s="46" t="s">
        <v>943</v>
      </c>
      <c r="AG241" s="46" t="s">
        <v>1875</v>
      </c>
      <c r="AH241" s="46" t="s">
        <v>2796</v>
      </c>
      <c r="AI241" s="46" t="s">
        <v>2452</v>
      </c>
      <c r="AJ241" s="46" t="s">
        <v>2800</v>
      </c>
      <c r="AK241" s="46">
        <v>9</v>
      </c>
      <c r="AL241" s="46">
        <v>97.7</v>
      </c>
      <c r="AM241" s="46">
        <v>7</v>
      </c>
      <c r="AN241" s="46" t="s">
        <v>2406</v>
      </c>
      <c r="AO241" s="46" t="s">
        <v>2801</v>
      </c>
      <c r="AP241" s="46" t="s">
        <v>944</v>
      </c>
      <c r="AQ241" s="46" t="s">
        <v>944</v>
      </c>
      <c r="AR241" s="46" t="s">
        <v>2802</v>
      </c>
      <c r="AT241" s="48" t="s">
        <v>254</v>
      </c>
      <c r="AU241" s="41">
        <v>7.0989999999999998E-2</v>
      </c>
      <c r="AV241" s="41"/>
      <c r="AW241" s="55">
        <v>3.5209999999999999</v>
      </c>
      <c r="AX241" s="55">
        <v>3.556</v>
      </c>
      <c r="AY241" s="55">
        <v>3.4820000000000002</v>
      </c>
      <c r="AZ241" s="50">
        <v>0.125</v>
      </c>
      <c r="BA241" s="43"/>
      <c r="BB241" s="50">
        <v>0.11899999999999999</v>
      </c>
      <c r="BC241" s="50">
        <v>9.9000000000000005E-2</v>
      </c>
      <c r="BD241" s="43"/>
      <c r="BE241" s="41">
        <v>110438</v>
      </c>
      <c r="BF241" s="41">
        <v>2453.5</v>
      </c>
      <c r="BG241" s="51">
        <v>1</v>
      </c>
      <c r="BH241" s="51">
        <v>0</v>
      </c>
      <c r="BI241" s="52" t="s">
        <v>3285</v>
      </c>
      <c r="BJ241" s="41"/>
      <c r="BK241" s="41">
        <v>44823</v>
      </c>
      <c r="BL241" s="41">
        <v>2215</v>
      </c>
      <c r="BM241" s="51">
        <v>1</v>
      </c>
      <c r="BN241" s="51">
        <v>0</v>
      </c>
      <c r="BO241" s="52" t="s">
        <v>3285</v>
      </c>
      <c r="BP241" s="52" t="s">
        <v>3285</v>
      </c>
      <c r="BQ241" s="43"/>
      <c r="BR241" s="41">
        <v>-8.7900000000000006E-2</v>
      </c>
      <c r="BS241" s="41">
        <v>-6.0199999999999997E-2</v>
      </c>
      <c r="BT241" s="52" t="s">
        <v>3288</v>
      </c>
      <c r="BU241" s="52" t="s">
        <v>3288</v>
      </c>
      <c r="BV241" s="41"/>
      <c r="BW241" s="49">
        <v>3.2309999999999999</v>
      </c>
      <c r="BX241" s="60">
        <v>2.5489999999999999</v>
      </c>
      <c r="BY241" s="41"/>
    </row>
    <row r="242" spans="1:77" s="81" customFormat="1" ht="17" thickBot="1">
      <c r="A242" s="149">
        <v>2.37</v>
      </c>
      <c r="B242" s="140" t="s">
        <v>401</v>
      </c>
      <c r="C242" s="120" t="s">
        <v>479</v>
      </c>
      <c r="D242" s="132" t="s">
        <v>255</v>
      </c>
      <c r="E242" s="82" t="s">
        <v>255</v>
      </c>
      <c r="F242" s="81" t="s">
        <v>255</v>
      </c>
      <c r="G242" s="81" t="s">
        <v>666</v>
      </c>
      <c r="H242" s="81" t="s">
        <v>667</v>
      </c>
      <c r="I242" s="81" t="s">
        <v>3377</v>
      </c>
      <c r="J242" s="81" t="s">
        <v>3353</v>
      </c>
      <c r="K242" s="81" t="s">
        <v>255</v>
      </c>
      <c r="L242" s="81">
        <v>2</v>
      </c>
      <c r="N242" s="81" t="s">
        <v>3444</v>
      </c>
      <c r="O242" s="81" t="s">
        <v>255</v>
      </c>
      <c r="P242" s="81">
        <v>1</v>
      </c>
      <c r="R242" s="81" t="s">
        <v>3576</v>
      </c>
      <c r="S242" s="81" t="s">
        <v>255</v>
      </c>
      <c r="T242" s="81">
        <v>1</v>
      </c>
      <c r="V242" s="81" t="s">
        <v>1239</v>
      </c>
      <c r="W242" s="81" t="s">
        <v>1876</v>
      </c>
      <c r="X242" s="81" t="s">
        <v>1428</v>
      </c>
      <c r="Y242" s="81" t="s">
        <v>1877</v>
      </c>
      <c r="Z242" s="81">
        <v>14</v>
      </c>
      <c r="AA242" s="81">
        <v>95.9</v>
      </c>
      <c r="AB242" s="81">
        <v>12</v>
      </c>
      <c r="AC242" s="81" t="s">
        <v>1445</v>
      </c>
      <c r="AD242" s="81" t="s">
        <v>1878</v>
      </c>
      <c r="AE242" s="81" t="s">
        <v>666</v>
      </c>
      <c r="AF242" s="81" t="s">
        <v>666</v>
      </c>
      <c r="AG242" s="81" t="s">
        <v>1879</v>
      </c>
      <c r="AH242" s="81" t="s">
        <v>2695</v>
      </c>
      <c r="AI242" s="81" t="s">
        <v>2452</v>
      </c>
      <c r="AJ242" s="81" t="s">
        <v>2749</v>
      </c>
      <c r="AK242" s="81">
        <v>9</v>
      </c>
      <c r="AL242" s="81">
        <v>99.3</v>
      </c>
      <c r="AM242" s="81">
        <v>2</v>
      </c>
      <c r="AN242" s="81" t="s">
        <v>2406</v>
      </c>
      <c r="AO242" s="81" t="s">
        <v>2753</v>
      </c>
      <c r="AP242" s="81" t="s">
        <v>667</v>
      </c>
      <c r="AQ242" s="81" t="s">
        <v>667</v>
      </c>
      <c r="AR242" s="81" t="s">
        <v>2803</v>
      </c>
      <c r="AT242" s="83" t="s">
        <v>255</v>
      </c>
      <c r="AU242" s="33">
        <v>0.40200000000000002</v>
      </c>
      <c r="AV242" s="33"/>
      <c r="AW242" s="111">
        <v>3.5990000000000002</v>
      </c>
      <c r="AX242" s="122">
        <v>3.3239999999999998</v>
      </c>
      <c r="AY242" s="111">
        <v>3.569</v>
      </c>
      <c r="AZ242" s="112">
        <v>0.161</v>
      </c>
      <c r="BA242" s="39"/>
      <c r="BB242" s="100">
        <v>3.4980000000000002</v>
      </c>
      <c r="BC242" s="114">
        <v>2.3290000000000002</v>
      </c>
      <c r="BD242" s="34"/>
      <c r="BE242" s="33">
        <v>14029.5</v>
      </c>
      <c r="BF242" s="33">
        <v>45997</v>
      </c>
      <c r="BG242" s="88">
        <v>1</v>
      </c>
      <c r="BH242" s="88">
        <v>1</v>
      </c>
      <c r="BI242" s="89" t="s">
        <v>3286</v>
      </c>
      <c r="BJ242" s="33"/>
      <c r="BK242" s="33">
        <v>3906</v>
      </c>
      <c r="BL242" s="33">
        <v>57003</v>
      </c>
      <c r="BM242" s="88">
        <v>0</v>
      </c>
      <c r="BN242" s="88">
        <v>1</v>
      </c>
      <c r="BO242" s="89" t="s">
        <v>3286</v>
      </c>
      <c r="BP242" s="89" t="s">
        <v>3286</v>
      </c>
      <c r="BQ242" s="34"/>
      <c r="BR242" s="33">
        <v>4.8300000000000003E-2</v>
      </c>
      <c r="BS242" s="33">
        <v>2.1000000000000001E-2</v>
      </c>
      <c r="BT242" s="89" t="s">
        <v>3288</v>
      </c>
      <c r="BU242" s="89" t="s">
        <v>3288</v>
      </c>
      <c r="BV242" s="33"/>
      <c r="BW242" s="105">
        <v>3.1680000000000001</v>
      </c>
      <c r="BX242" s="100">
        <v>3.504</v>
      </c>
      <c r="BY242" s="33"/>
    </row>
    <row r="243" spans="1:77" s="40" customFormat="1" ht="17" thickBot="1">
      <c r="A243" s="148">
        <v>2.38</v>
      </c>
      <c r="B243" s="142" t="s">
        <v>401</v>
      </c>
      <c r="C243" s="121" t="s">
        <v>479</v>
      </c>
      <c r="D243" s="134" t="s">
        <v>256</v>
      </c>
      <c r="E243" s="84" t="s">
        <v>257</v>
      </c>
      <c r="F243" s="40" t="s">
        <v>256</v>
      </c>
      <c r="G243" s="40" t="s">
        <v>1049</v>
      </c>
      <c r="H243" s="40" t="s">
        <v>1050</v>
      </c>
      <c r="I243" s="40" t="s">
        <v>3377</v>
      </c>
      <c r="J243" s="40" t="s">
        <v>3353</v>
      </c>
      <c r="K243" s="40" t="s">
        <v>256</v>
      </c>
      <c r="L243" s="40">
        <v>2</v>
      </c>
      <c r="N243" s="40" t="s">
        <v>3491</v>
      </c>
      <c r="O243" s="40" t="s">
        <v>256</v>
      </c>
      <c r="P243" s="40">
        <v>1</v>
      </c>
      <c r="R243" s="40" t="s">
        <v>3642</v>
      </c>
      <c r="S243" s="40" t="s">
        <v>256</v>
      </c>
      <c r="T243" s="40">
        <v>1</v>
      </c>
      <c r="V243" s="40" t="s">
        <v>1240</v>
      </c>
      <c r="W243" s="40" t="s">
        <v>1876</v>
      </c>
      <c r="X243" s="40" t="s">
        <v>1428</v>
      </c>
      <c r="Y243" s="40" t="s">
        <v>1880</v>
      </c>
      <c r="Z243" s="40">
        <v>14</v>
      </c>
      <c r="AA243" s="40">
        <v>96.2</v>
      </c>
      <c r="AB243" s="40">
        <v>11</v>
      </c>
      <c r="AC243" s="40" t="s">
        <v>1449</v>
      </c>
      <c r="AD243" s="40" t="s">
        <v>1881</v>
      </c>
      <c r="AE243" s="40" t="s">
        <v>1049</v>
      </c>
      <c r="AF243" s="40" t="s">
        <v>1049</v>
      </c>
      <c r="AG243" s="40" t="s">
        <v>1882</v>
      </c>
      <c r="AH243" s="40" t="s">
        <v>2695</v>
      </c>
      <c r="AI243" s="40" t="s">
        <v>2452</v>
      </c>
      <c r="AJ243" s="40" t="s">
        <v>2749</v>
      </c>
      <c r="AK243" s="40">
        <v>9</v>
      </c>
      <c r="AL243" s="40">
        <v>95.1</v>
      </c>
      <c r="AM243" s="40">
        <v>14</v>
      </c>
      <c r="AN243" s="40" t="s">
        <v>2406</v>
      </c>
      <c r="AO243" s="40" t="s">
        <v>2804</v>
      </c>
      <c r="AP243" s="40" t="s">
        <v>1050</v>
      </c>
      <c r="AQ243" s="40" t="s">
        <v>1050</v>
      </c>
      <c r="AR243" s="40" t="s">
        <v>2805</v>
      </c>
      <c r="AT243" s="85" t="s">
        <v>257</v>
      </c>
      <c r="AU243" s="35">
        <v>0.27800000000000002</v>
      </c>
      <c r="AV243" s="35"/>
      <c r="AW243" s="102">
        <v>3.63</v>
      </c>
      <c r="AX243" s="102">
        <v>3.5710000000000002</v>
      </c>
      <c r="AY243" s="102">
        <v>3.6110000000000002</v>
      </c>
      <c r="AZ243" s="90">
        <v>0.13</v>
      </c>
      <c r="BA243" s="37"/>
      <c r="BB243" s="102">
        <v>3.57</v>
      </c>
      <c r="BC243" s="110">
        <v>2.3410000000000002</v>
      </c>
      <c r="BD243" s="37"/>
      <c r="BE243" s="35">
        <v>19755</v>
      </c>
      <c r="BF243" s="35">
        <v>107593</v>
      </c>
      <c r="BG243" s="93">
        <v>1</v>
      </c>
      <c r="BH243" s="93">
        <v>1</v>
      </c>
      <c r="BI243" s="94" t="s">
        <v>3286</v>
      </c>
      <c r="BJ243" s="35"/>
      <c r="BK243" s="35">
        <v>3119</v>
      </c>
      <c r="BL243" s="35">
        <v>89719.5</v>
      </c>
      <c r="BM243" s="93">
        <v>0</v>
      </c>
      <c r="BN243" s="93">
        <v>1</v>
      </c>
      <c r="BO243" s="94" t="s">
        <v>3286</v>
      </c>
      <c r="BP243" s="94" t="s">
        <v>3286</v>
      </c>
      <c r="BQ243" s="37"/>
      <c r="BR243" s="35">
        <v>-6.4299999999999996E-2</v>
      </c>
      <c r="BS243" s="35">
        <v>-3.6999999999999998E-2</v>
      </c>
      <c r="BT243" s="94" t="s">
        <v>3288</v>
      </c>
      <c r="BU243" s="94" t="s">
        <v>3288</v>
      </c>
      <c r="BV243" s="35"/>
      <c r="BW243" s="102">
        <v>3.4369999999999998</v>
      </c>
      <c r="BX243" s="102">
        <v>3.59</v>
      </c>
      <c r="BY243" s="35"/>
    </row>
    <row r="244" spans="1:77" ht="17" thickBot="1">
      <c r="A244" s="148">
        <v>2.38</v>
      </c>
      <c r="B244" s="141" t="s">
        <v>402</v>
      </c>
      <c r="C244" s="86" t="s">
        <v>480</v>
      </c>
      <c r="D244" s="133" t="s">
        <v>258</v>
      </c>
      <c r="E244" s="80" t="s">
        <v>258</v>
      </c>
      <c r="F244" s="46" t="s">
        <v>258</v>
      </c>
      <c r="G244" s="46" t="s">
        <v>759</v>
      </c>
      <c r="H244" s="46" t="s">
        <v>760</v>
      </c>
      <c r="I244" s="46" t="s">
        <v>3377</v>
      </c>
      <c r="J244" s="46" t="s">
        <v>3363</v>
      </c>
      <c r="K244" s="46" t="s">
        <v>258</v>
      </c>
      <c r="L244" s="46">
        <v>2</v>
      </c>
      <c r="N244" s="46" t="s">
        <v>3463</v>
      </c>
      <c r="O244" s="46" t="s">
        <v>258</v>
      </c>
      <c r="P244" s="46">
        <v>1</v>
      </c>
      <c r="R244" s="46" t="s">
        <v>3599</v>
      </c>
      <c r="S244" s="46" t="s">
        <v>258</v>
      </c>
      <c r="T244" s="46">
        <v>1</v>
      </c>
      <c r="V244" s="46" t="s">
        <v>1241</v>
      </c>
      <c r="W244" s="46" t="s">
        <v>1642</v>
      </c>
      <c r="X244" s="46" t="s">
        <v>1413</v>
      </c>
      <c r="Y244" s="46" t="s">
        <v>1883</v>
      </c>
      <c r="Z244" s="46">
        <v>12</v>
      </c>
      <c r="AA244" s="46">
        <v>95.5</v>
      </c>
      <c r="AB244" s="46">
        <v>13</v>
      </c>
      <c r="AC244" s="46" t="s">
        <v>1445</v>
      </c>
      <c r="AD244" s="46" t="s">
        <v>1884</v>
      </c>
      <c r="AE244" s="46" t="s">
        <v>591</v>
      </c>
      <c r="AF244" s="46" t="s">
        <v>759</v>
      </c>
      <c r="AG244" s="46" t="s">
        <v>1885</v>
      </c>
      <c r="AH244" s="46" t="s">
        <v>2451</v>
      </c>
      <c r="AI244" s="46" t="s">
        <v>2452</v>
      </c>
      <c r="AJ244" s="46" t="s">
        <v>2806</v>
      </c>
      <c r="AK244" s="46">
        <v>8</v>
      </c>
      <c r="AL244" s="46">
        <v>95.1</v>
      </c>
      <c r="AM244" s="46">
        <v>14</v>
      </c>
      <c r="AN244" s="46" t="s">
        <v>2406</v>
      </c>
      <c r="AO244" s="46" t="s">
        <v>2807</v>
      </c>
      <c r="AP244" s="46" t="s">
        <v>2808</v>
      </c>
      <c r="AQ244" s="46" t="s">
        <v>760</v>
      </c>
      <c r="AR244" s="46" t="s">
        <v>2809</v>
      </c>
      <c r="AT244" s="48" t="s">
        <v>258</v>
      </c>
      <c r="AU244" s="41">
        <v>0.14180000000000001</v>
      </c>
      <c r="AV244" s="41"/>
      <c r="AW244" s="55">
        <v>3.6349999999999998</v>
      </c>
      <c r="AX244" s="50">
        <v>0.11799999999999999</v>
      </c>
      <c r="AY244" s="50">
        <v>0.11</v>
      </c>
      <c r="AZ244" s="50">
        <v>0.113</v>
      </c>
      <c r="BA244" s="43"/>
      <c r="BB244" s="55">
        <v>3.5910000000000002</v>
      </c>
      <c r="BC244" s="49">
        <v>2.302</v>
      </c>
      <c r="BD244" s="43"/>
      <c r="BE244" s="41">
        <v>147715.5</v>
      </c>
      <c r="BF244" s="41">
        <v>195087</v>
      </c>
      <c r="BG244" s="51">
        <v>1</v>
      </c>
      <c r="BH244" s="51">
        <v>1</v>
      </c>
      <c r="BI244" s="52" t="s">
        <v>3286</v>
      </c>
      <c r="BJ244" s="41"/>
      <c r="BK244" s="41">
        <v>42074</v>
      </c>
      <c r="BL244" s="41">
        <v>84376</v>
      </c>
      <c r="BM244" s="51">
        <v>1</v>
      </c>
      <c r="BN244" s="51">
        <v>1</v>
      </c>
      <c r="BO244" s="52" t="s">
        <v>3286</v>
      </c>
      <c r="BP244" s="52" t="s">
        <v>3286</v>
      </c>
      <c r="BQ244" s="43"/>
      <c r="BR244" s="41">
        <v>1.9471000000000001</v>
      </c>
      <c r="BS244" s="41">
        <v>1.4337</v>
      </c>
      <c r="BT244" s="52" t="s">
        <v>3290</v>
      </c>
      <c r="BU244" s="52" t="s">
        <v>3290</v>
      </c>
      <c r="BV244" s="41"/>
      <c r="BW244" s="55">
        <v>3.569</v>
      </c>
      <c r="BX244" s="55">
        <v>3.5739999999999998</v>
      </c>
      <c r="BY244" s="41"/>
    </row>
    <row r="245" spans="1:77" ht="17" thickBot="1">
      <c r="A245" s="147">
        <v>2.39</v>
      </c>
      <c r="B245" s="141" t="s">
        <v>402</v>
      </c>
      <c r="C245" s="86" t="s">
        <v>480</v>
      </c>
      <c r="D245" s="133" t="s">
        <v>259</v>
      </c>
      <c r="E245" s="80" t="s">
        <v>260</v>
      </c>
      <c r="F245" s="46" t="s">
        <v>259</v>
      </c>
      <c r="G245" s="46" t="s">
        <v>1028</v>
      </c>
      <c r="H245" s="46" t="s">
        <v>1029</v>
      </c>
      <c r="I245" s="46" t="s">
        <v>3377</v>
      </c>
      <c r="J245" s="46" t="s">
        <v>3363</v>
      </c>
      <c r="K245" s="46" t="s">
        <v>259</v>
      </c>
      <c r="L245" s="46">
        <v>2</v>
      </c>
      <c r="N245" s="46" t="s">
        <v>3484</v>
      </c>
      <c r="O245" s="46" t="s">
        <v>259</v>
      </c>
      <c r="P245" s="46">
        <v>1</v>
      </c>
      <c r="R245" s="46" t="s">
        <v>3633</v>
      </c>
      <c r="S245" s="46" t="s">
        <v>259</v>
      </c>
      <c r="T245" s="46">
        <v>1</v>
      </c>
      <c r="V245" s="46" t="s">
        <v>1243</v>
      </c>
      <c r="W245" s="46" t="s">
        <v>1642</v>
      </c>
      <c r="X245" s="46" t="s">
        <v>1413</v>
      </c>
      <c r="Y245" s="46" t="s">
        <v>1889</v>
      </c>
      <c r="Z245" s="46">
        <v>12</v>
      </c>
      <c r="AA245" s="46">
        <v>92.8</v>
      </c>
      <c r="AB245" s="46">
        <v>21</v>
      </c>
      <c r="AC245" s="46" t="s">
        <v>1445</v>
      </c>
      <c r="AD245" s="46" t="s">
        <v>1890</v>
      </c>
      <c r="AE245" s="46" t="s">
        <v>1028</v>
      </c>
      <c r="AF245" s="46" t="s">
        <v>1028</v>
      </c>
      <c r="AG245" s="46" t="s">
        <v>1891</v>
      </c>
      <c r="AH245" s="46" t="s">
        <v>2451</v>
      </c>
      <c r="AI245" s="46" t="s">
        <v>2452</v>
      </c>
      <c r="AJ245" s="46" t="s">
        <v>2811</v>
      </c>
      <c r="AK245" s="46">
        <v>9</v>
      </c>
      <c r="AL245" s="46">
        <v>96.1</v>
      </c>
      <c r="AM245" s="46">
        <v>11</v>
      </c>
      <c r="AN245" s="46" t="s">
        <v>2406</v>
      </c>
      <c r="AO245" s="46" t="s">
        <v>2812</v>
      </c>
      <c r="AP245" s="46" t="s">
        <v>1029</v>
      </c>
      <c r="AQ245" s="46" t="s">
        <v>1029</v>
      </c>
      <c r="AR245" s="46" t="s">
        <v>2813</v>
      </c>
      <c r="AT245" s="48" t="s">
        <v>260</v>
      </c>
      <c r="AU245" s="41">
        <v>0.14399999999999999</v>
      </c>
      <c r="AV245" s="41"/>
      <c r="AW245" s="55">
        <v>3.6469999999999998</v>
      </c>
      <c r="AX245" s="50">
        <v>0.17299999999999999</v>
      </c>
      <c r="AY245" s="50">
        <v>0.151</v>
      </c>
      <c r="AZ245" s="50">
        <v>0.186</v>
      </c>
      <c r="BA245" s="43"/>
      <c r="BB245" s="55">
        <v>3.581</v>
      </c>
      <c r="BC245" s="55">
        <v>2.585</v>
      </c>
      <c r="BD245" s="43"/>
      <c r="BE245" s="41">
        <v>300156.5</v>
      </c>
      <c r="BF245" s="41">
        <v>216962</v>
      </c>
      <c r="BG245" s="51">
        <v>1</v>
      </c>
      <c r="BH245" s="51">
        <v>1</v>
      </c>
      <c r="BI245" s="52" t="s">
        <v>3285</v>
      </c>
      <c r="BJ245" s="41"/>
      <c r="BK245" s="41">
        <v>150882</v>
      </c>
      <c r="BL245" s="41">
        <v>102660</v>
      </c>
      <c r="BM245" s="51">
        <v>1</v>
      </c>
      <c r="BN245" s="51">
        <v>1</v>
      </c>
      <c r="BO245" s="52" t="s">
        <v>3285</v>
      </c>
      <c r="BP245" s="52" t="s">
        <v>3285</v>
      </c>
      <c r="BQ245" s="43"/>
      <c r="BR245" s="41">
        <v>1.8786</v>
      </c>
      <c r="BS245" s="41">
        <v>1.9224000000000001</v>
      </c>
      <c r="BT245" s="52" t="s">
        <v>3290</v>
      </c>
      <c r="BU245" s="52" t="s">
        <v>3290</v>
      </c>
      <c r="BV245" s="41"/>
      <c r="BW245" s="55">
        <v>3.5609999999999999</v>
      </c>
      <c r="BX245" s="55">
        <v>3.53</v>
      </c>
      <c r="BY245" s="41"/>
    </row>
    <row r="246" spans="1:77" s="81" customFormat="1" ht="17" thickBot="1">
      <c r="A246" s="149">
        <v>2.39</v>
      </c>
      <c r="B246" s="140" t="s">
        <v>403</v>
      </c>
      <c r="C246" s="120" t="s">
        <v>481</v>
      </c>
      <c r="D246" s="132" t="s">
        <v>261</v>
      </c>
      <c r="E246" s="82" t="s">
        <v>261</v>
      </c>
      <c r="F246" s="81" t="s">
        <v>261</v>
      </c>
      <c r="G246" s="81" t="s">
        <v>550</v>
      </c>
      <c r="H246" s="81" t="s">
        <v>551</v>
      </c>
      <c r="I246" s="81" t="s">
        <v>3377</v>
      </c>
      <c r="J246" s="81" t="s">
        <v>3332</v>
      </c>
      <c r="K246" s="81" t="s">
        <v>261</v>
      </c>
      <c r="L246" s="81">
        <v>2</v>
      </c>
      <c r="N246" s="81" t="s">
        <v>3418</v>
      </c>
      <c r="O246" s="81" t="s">
        <v>261</v>
      </c>
      <c r="P246" s="81">
        <v>1</v>
      </c>
      <c r="R246" s="81" t="s">
        <v>3544</v>
      </c>
      <c r="S246" s="81" t="s">
        <v>261</v>
      </c>
      <c r="T246" s="81">
        <v>1</v>
      </c>
      <c r="V246" s="81" t="s">
        <v>1244</v>
      </c>
      <c r="W246" s="81" t="s">
        <v>1892</v>
      </c>
      <c r="X246" s="81" t="s">
        <v>1428</v>
      </c>
      <c r="Y246" s="81" t="s">
        <v>1893</v>
      </c>
      <c r="Z246" s="81">
        <v>10</v>
      </c>
      <c r="AA246" s="81">
        <v>97.7</v>
      </c>
      <c r="AB246" s="81">
        <v>7</v>
      </c>
      <c r="AC246" s="81" t="s">
        <v>1414</v>
      </c>
      <c r="AD246" s="81" t="s">
        <v>1894</v>
      </c>
      <c r="AE246" s="81" t="s">
        <v>550</v>
      </c>
      <c r="AF246" s="81" t="s">
        <v>550</v>
      </c>
      <c r="AG246" s="81" t="s">
        <v>1895</v>
      </c>
      <c r="AH246" s="81" t="s">
        <v>2499</v>
      </c>
      <c r="AI246" s="81" t="s">
        <v>2433</v>
      </c>
      <c r="AJ246" s="81" t="s">
        <v>2814</v>
      </c>
      <c r="AK246" s="81">
        <v>11</v>
      </c>
      <c r="AL246" s="81">
        <v>98</v>
      </c>
      <c r="AM246" s="81">
        <v>6</v>
      </c>
      <c r="AN246" s="81" t="s">
        <v>2406</v>
      </c>
      <c r="AO246" s="81" t="s">
        <v>2815</v>
      </c>
      <c r="AP246" s="81" t="s">
        <v>551</v>
      </c>
      <c r="AQ246" s="81" t="s">
        <v>551</v>
      </c>
      <c r="AR246" s="81" t="s">
        <v>2816</v>
      </c>
      <c r="AT246" s="83" t="s">
        <v>261</v>
      </c>
      <c r="AU246" s="33">
        <v>0.20979999999999999</v>
      </c>
      <c r="AV246" s="33"/>
      <c r="AW246" s="100">
        <v>3.589</v>
      </c>
      <c r="AX246" s="87">
        <v>0.13900000000000001</v>
      </c>
      <c r="AY246" s="87">
        <v>0.12</v>
      </c>
      <c r="AZ246" s="87">
        <v>0.126</v>
      </c>
      <c r="BA246" s="34"/>
      <c r="BB246" s="100">
        <v>3.532</v>
      </c>
      <c r="BC246" s="100">
        <v>2.4849999999999999</v>
      </c>
      <c r="BD246" s="34"/>
      <c r="BE246" s="33">
        <v>55383</v>
      </c>
      <c r="BF246" s="33">
        <v>2901</v>
      </c>
      <c r="BG246" s="88">
        <v>1</v>
      </c>
      <c r="BH246" s="88">
        <v>0</v>
      </c>
      <c r="BI246" s="89" t="s">
        <v>3285</v>
      </c>
      <c r="BJ246" s="33"/>
      <c r="BK246" s="33">
        <v>7400</v>
      </c>
      <c r="BL246" s="33">
        <v>1817</v>
      </c>
      <c r="BM246" s="88">
        <v>1</v>
      </c>
      <c r="BN246" s="88">
        <v>0</v>
      </c>
      <c r="BO246" s="89" t="s">
        <v>3285</v>
      </c>
      <c r="BP246" s="89" t="s">
        <v>3285</v>
      </c>
      <c r="BQ246" s="34"/>
      <c r="BR246" s="33">
        <v>-0.13100000000000001</v>
      </c>
      <c r="BS246" s="33">
        <v>-9.3399999999999997E-2</v>
      </c>
      <c r="BT246" s="89" t="s">
        <v>3288</v>
      </c>
      <c r="BU246" s="89" t="s">
        <v>3288</v>
      </c>
      <c r="BV246" s="33"/>
      <c r="BW246" s="114">
        <v>2.93</v>
      </c>
      <c r="BX246" s="113">
        <v>2.093</v>
      </c>
      <c r="BY246" s="33"/>
    </row>
    <row r="247" spans="1:77" s="40" customFormat="1" ht="17" thickBot="1">
      <c r="A247" s="148">
        <v>2.4</v>
      </c>
      <c r="B247" s="142" t="s">
        <v>403</v>
      </c>
      <c r="C247" s="121" t="s">
        <v>481</v>
      </c>
      <c r="D247" s="134" t="s">
        <v>262</v>
      </c>
      <c r="E247" s="84" t="s">
        <v>262</v>
      </c>
      <c r="F247" s="40" t="s">
        <v>262</v>
      </c>
      <c r="G247" s="40" t="s">
        <v>986</v>
      </c>
      <c r="H247" s="40" t="s">
        <v>987</v>
      </c>
      <c r="I247" s="40" t="s">
        <v>3377</v>
      </c>
      <c r="J247" s="40" t="s">
        <v>3332</v>
      </c>
      <c r="K247" s="40" t="s">
        <v>262</v>
      </c>
      <c r="L247" s="40">
        <v>2</v>
      </c>
      <c r="N247" s="40" t="s">
        <v>3502</v>
      </c>
      <c r="O247" s="40" t="s">
        <v>262</v>
      </c>
      <c r="P247" s="40">
        <v>1</v>
      </c>
      <c r="R247" s="40" t="s">
        <v>3664</v>
      </c>
      <c r="S247" s="40" t="s">
        <v>262</v>
      </c>
      <c r="T247" s="40">
        <v>1</v>
      </c>
      <c r="V247" s="40" t="s">
        <v>1245</v>
      </c>
      <c r="W247" s="40" t="s">
        <v>1892</v>
      </c>
      <c r="X247" s="40" t="s">
        <v>1428</v>
      </c>
      <c r="Y247" s="40" t="s">
        <v>1896</v>
      </c>
      <c r="Z247" s="40">
        <v>10</v>
      </c>
      <c r="AA247" s="40">
        <v>93</v>
      </c>
      <c r="AB247" s="40">
        <v>21</v>
      </c>
      <c r="AC247" s="40" t="s">
        <v>1551</v>
      </c>
      <c r="AD247" s="40" t="s">
        <v>1897</v>
      </c>
      <c r="AE247" s="40" t="s">
        <v>986</v>
      </c>
      <c r="AF247" s="40" t="s">
        <v>986</v>
      </c>
      <c r="AG247" s="40" t="s">
        <v>1898</v>
      </c>
      <c r="AH247" s="40" t="s">
        <v>2499</v>
      </c>
      <c r="AI247" s="40" t="s">
        <v>2433</v>
      </c>
      <c r="AJ247" s="40" t="s">
        <v>2817</v>
      </c>
      <c r="AK247" s="40">
        <v>12</v>
      </c>
      <c r="AL247" s="40">
        <v>97.3</v>
      </c>
      <c r="AM247" s="40">
        <v>8</v>
      </c>
      <c r="AN247" s="40" t="s">
        <v>2406</v>
      </c>
      <c r="AO247" s="40" t="s">
        <v>2818</v>
      </c>
      <c r="AP247" s="40" t="s">
        <v>987</v>
      </c>
      <c r="AQ247" s="40" t="s">
        <v>987</v>
      </c>
      <c r="AR247" s="40" t="s">
        <v>2819</v>
      </c>
      <c r="AT247" s="85" t="s">
        <v>262</v>
      </c>
      <c r="AU247" s="35">
        <v>1.277E-2</v>
      </c>
      <c r="AV247" s="35"/>
      <c r="AW247" s="90">
        <v>0.11899999999999999</v>
      </c>
      <c r="AX247" s="90">
        <v>0.129</v>
      </c>
      <c r="AY247" s="90">
        <v>0.122</v>
      </c>
      <c r="AZ247" s="90">
        <v>0.13600000000000001</v>
      </c>
      <c r="BA247" s="37"/>
      <c r="BB247" s="90">
        <v>0.126</v>
      </c>
      <c r="BC247" s="90">
        <v>9.4E-2</v>
      </c>
      <c r="BD247" s="37"/>
      <c r="BE247" s="35">
        <v>3083</v>
      </c>
      <c r="BF247" s="35">
        <v>2399</v>
      </c>
      <c r="BG247" s="93">
        <v>0</v>
      </c>
      <c r="BH247" s="93">
        <v>0</v>
      </c>
      <c r="BI247" s="94" t="s">
        <v>3285</v>
      </c>
      <c r="BJ247" s="35"/>
      <c r="BK247" s="35">
        <v>2644</v>
      </c>
      <c r="BL247" s="35">
        <v>6181</v>
      </c>
      <c r="BM247" s="93">
        <v>0</v>
      </c>
      <c r="BN247" s="93">
        <v>1</v>
      </c>
      <c r="BO247" s="94" t="s">
        <v>3286</v>
      </c>
      <c r="BP247" s="94" t="s">
        <v>3287</v>
      </c>
      <c r="BQ247" s="37"/>
      <c r="BR247" s="35">
        <v>-8.1900000000000001E-2</v>
      </c>
      <c r="BS247" s="35">
        <v>-9.9699999999999997E-2</v>
      </c>
      <c r="BT247" s="94" t="s">
        <v>3288</v>
      </c>
      <c r="BU247" s="94" t="s">
        <v>3288</v>
      </c>
      <c r="BV247" s="35"/>
      <c r="BW247" s="90">
        <v>0.11700000000000001</v>
      </c>
      <c r="BX247" s="90">
        <v>0.115</v>
      </c>
      <c r="BY247" s="35"/>
    </row>
    <row r="248" spans="1:77" ht="17" thickBot="1">
      <c r="A248" s="148">
        <v>2.4</v>
      </c>
      <c r="B248" s="141" t="s">
        <v>404</v>
      </c>
      <c r="C248" s="86" t="s">
        <v>482</v>
      </c>
      <c r="D248" s="133" t="s">
        <v>263</v>
      </c>
      <c r="E248" s="80" t="s">
        <v>263</v>
      </c>
      <c r="F248" s="46" t="s">
        <v>263</v>
      </c>
      <c r="G248" s="46" t="s">
        <v>799</v>
      </c>
      <c r="H248" s="46" t="s">
        <v>800</v>
      </c>
      <c r="I248" s="46" t="s">
        <v>3377</v>
      </c>
      <c r="J248" s="46" t="s">
        <v>3366</v>
      </c>
      <c r="K248" s="46" t="s">
        <v>263</v>
      </c>
      <c r="L248" s="46">
        <v>2</v>
      </c>
      <c r="N248" s="46" t="s">
        <v>3467</v>
      </c>
      <c r="O248" s="46" t="s">
        <v>263</v>
      </c>
      <c r="P248" s="46">
        <v>1</v>
      </c>
      <c r="R248" s="46" t="s">
        <v>3467</v>
      </c>
      <c r="S248" s="46" t="s">
        <v>263</v>
      </c>
      <c r="T248" s="46">
        <v>1</v>
      </c>
      <c r="V248" s="46" t="s">
        <v>1246</v>
      </c>
      <c r="W248" s="46" t="s">
        <v>1427</v>
      </c>
      <c r="X248" s="46" t="s">
        <v>1767</v>
      </c>
      <c r="Y248" s="46" t="s">
        <v>1899</v>
      </c>
      <c r="Z248" s="46">
        <v>16</v>
      </c>
      <c r="AA248" s="46">
        <v>93.9</v>
      </c>
      <c r="AB248" s="46">
        <v>18</v>
      </c>
      <c r="AC248" s="46" t="s">
        <v>1449</v>
      </c>
      <c r="AD248" s="46" t="s">
        <v>1900</v>
      </c>
      <c r="AE248" s="46" t="s">
        <v>1901</v>
      </c>
      <c r="AF248" s="46" t="s">
        <v>799</v>
      </c>
      <c r="AG248" s="46" t="s">
        <v>1902</v>
      </c>
      <c r="AH248" s="46" t="s">
        <v>2451</v>
      </c>
      <c r="AI248" s="46" t="s">
        <v>2452</v>
      </c>
      <c r="AJ248" s="46" t="s">
        <v>2820</v>
      </c>
      <c r="AK248" s="46">
        <v>9</v>
      </c>
      <c r="AL248" s="46">
        <v>98.3</v>
      </c>
      <c r="AM248" s="46">
        <v>5</v>
      </c>
      <c r="AN248" s="46" t="s">
        <v>2406</v>
      </c>
      <c r="AO248" s="46" t="s">
        <v>2821</v>
      </c>
      <c r="AP248" s="46" t="s">
        <v>2822</v>
      </c>
      <c r="AQ248" s="46" t="s">
        <v>800</v>
      </c>
      <c r="AR248" s="46" t="s">
        <v>2823</v>
      </c>
      <c r="AT248" s="48" t="s">
        <v>263</v>
      </c>
      <c r="AU248" s="41">
        <v>0.17050000000000001</v>
      </c>
      <c r="AV248" s="41"/>
      <c r="AW248" s="55">
        <v>3.67</v>
      </c>
      <c r="AX248" s="67">
        <v>1.129</v>
      </c>
      <c r="AY248" s="50">
        <v>0.11899999999999999</v>
      </c>
      <c r="AZ248" s="50">
        <v>0.13400000000000001</v>
      </c>
      <c r="BA248" s="43"/>
      <c r="BB248" s="55">
        <v>3.5910000000000002</v>
      </c>
      <c r="BC248" s="55">
        <v>2.488</v>
      </c>
      <c r="BD248" s="43"/>
      <c r="BE248" s="41">
        <v>161877</v>
      </c>
      <c r="BF248" s="41">
        <v>83951</v>
      </c>
      <c r="BG248" s="51">
        <v>1</v>
      </c>
      <c r="BH248" s="51">
        <v>1</v>
      </c>
      <c r="BI248" s="52" t="s">
        <v>3285</v>
      </c>
      <c r="BJ248" s="41"/>
      <c r="BK248" s="41">
        <v>16645</v>
      </c>
      <c r="BL248" s="41">
        <v>5060</v>
      </c>
      <c r="BM248" s="51">
        <v>1</v>
      </c>
      <c r="BN248" s="51">
        <v>1</v>
      </c>
      <c r="BO248" s="52" t="s">
        <v>3285</v>
      </c>
      <c r="BP248" s="52" t="s">
        <v>3285</v>
      </c>
      <c r="BQ248" s="43"/>
      <c r="BR248" s="41">
        <v>1.6776</v>
      </c>
      <c r="BS248" s="41">
        <v>1.276</v>
      </c>
      <c r="BT248" s="52" t="s">
        <v>3290</v>
      </c>
      <c r="BU248" s="52" t="s">
        <v>3290</v>
      </c>
      <c r="BV248" s="41"/>
      <c r="BW248" s="55">
        <v>3.5579999999999998</v>
      </c>
      <c r="BX248" s="65">
        <v>2.2509999999999999</v>
      </c>
      <c r="BY248" s="41"/>
    </row>
    <row r="249" spans="1:77" ht="17" thickBot="1">
      <c r="A249" s="147">
        <v>2.41</v>
      </c>
      <c r="B249" s="141" t="s">
        <v>404</v>
      </c>
      <c r="C249" s="86" t="s">
        <v>482</v>
      </c>
      <c r="D249" s="133" t="s">
        <v>264</v>
      </c>
      <c r="E249" s="80" t="s">
        <v>264</v>
      </c>
      <c r="F249" s="46" t="s">
        <v>264</v>
      </c>
      <c r="G249" s="46" t="s">
        <v>957</v>
      </c>
      <c r="H249" s="46" t="s">
        <v>958</v>
      </c>
      <c r="I249" s="46" t="s">
        <v>3377</v>
      </c>
      <c r="J249" s="46" t="s">
        <v>3366</v>
      </c>
      <c r="K249" s="46" t="s">
        <v>264</v>
      </c>
      <c r="L249" s="46">
        <v>2</v>
      </c>
      <c r="N249" s="46" t="s">
        <v>3482</v>
      </c>
      <c r="O249" s="46" t="s">
        <v>264</v>
      </c>
      <c r="P249" s="46">
        <v>1</v>
      </c>
      <c r="R249" s="46" t="s">
        <v>3625</v>
      </c>
      <c r="S249" s="46" t="s">
        <v>264</v>
      </c>
      <c r="T249" s="46">
        <v>1</v>
      </c>
      <c r="V249" s="46" t="s">
        <v>1247</v>
      </c>
      <c r="W249" s="46" t="s">
        <v>1427</v>
      </c>
      <c r="X249" s="46" t="s">
        <v>1767</v>
      </c>
      <c r="Y249" s="46" t="s">
        <v>1903</v>
      </c>
      <c r="Z249" s="46">
        <v>16</v>
      </c>
      <c r="AA249" s="46">
        <v>96.2</v>
      </c>
      <c r="AB249" s="46">
        <v>11</v>
      </c>
      <c r="AC249" s="46" t="s">
        <v>1617</v>
      </c>
      <c r="AD249" s="46" t="s">
        <v>1904</v>
      </c>
      <c r="AE249" s="46" t="s">
        <v>957</v>
      </c>
      <c r="AF249" s="46" t="s">
        <v>957</v>
      </c>
      <c r="AG249" s="46" t="s">
        <v>1905</v>
      </c>
      <c r="AH249" s="46" t="s">
        <v>2451</v>
      </c>
      <c r="AI249" s="46" t="s">
        <v>2452</v>
      </c>
      <c r="AJ249" s="46" t="s">
        <v>2824</v>
      </c>
      <c r="AK249" s="46">
        <v>10</v>
      </c>
      <c r="AL249" s="46">
        <v>96.9</v>
      </c>
      <c r="AM249" s="46">
        <v>9</v>
      </c>
      <c r="AN249" s="46" t="s">
        <v>2406</v>
      </c>
      <c r="AO249" s="46" t="s">
        <v>2825</v>
      </c>
      <c r="AP249" s="46" t="s">
        <v>958</v>
      </c>
      <c r="AQ249" s="46" t="s">
        <v>958</v>
      </c>
      <c r="AR249" s="46" t="s">
        <v>2826</v>
      </c>
      <c r="AT249" s="48" t="s">
        <v>264</v>
      </c>
      <c r="AU249" s="41">
        <v>0.2009</v>
      </c>
      <c r="AV249" s="41"/>
      <c r="AW249" s="55">
        <v>3.5910000000000002</v>
      </c>
      <c r="AX249" s="54">
        <v>0.54</v>
      </c>
      <c r="AY249" s="50">
        <v>0.11899999999999999</v>
      </c>
      <c r="AZ249" s="50">
        <v>0.11799999999999999</v>
      </c>
      <c r="BA249" s="43"/>
      <c r="BB249" s="55">
        <v>3.5619999999999998</v>
      </c>
      <c r="BC249" s="49">
        <v>2.3570000000000002</v>
      </c>
      <c r="BD249" s="43"/>
      <c r="BE249" s="41">
        <v>140199</v>
      </c>
      <c r="BF249" s="41">
        <v>105318</v>
      </c>
      <c r="BG249" s="51">
        <v>1</v>
      </c>
      <c r="BH249" s="51">
        <v>1</v>
      </c>
      <c r="BI249" s="52" t="s">
        <v>3285</v>
      </c>
      <c r="BJ249" s="41"/>
      <c r="BK249" s="41">
        <v>39072</v>
      </c>
      <c r="BL249" s="41">
        <v>4730</v>
      </c>
      <c r="BM249" s="51">
        <v>1</v>
      </c>
      <c r="BN249" s="51">
        <v>1</v>
      </c>
      <c r="BO249" s="52" t="s">
        <v>3285</v>
      </c>
      <c r="BP249" s="52" t="s">
        <v>3285</v>
      </c>
      <c r="BQ249" s="43"/>
      <c r="BR249" s="41">
        <v>2.0247999999999999</v>
      </c>
      <c r="BS249" s="41">
        <v>1.8759999999999999</v>
      </c>
      <c r="BT249" s="52" t="s">
        <v>3290</v>
      </c>
      <c r="BU249" s="52" t="s">
        <v>3290</v>
      </c>
      <c r="BV249" s="41"/>
      <c r="BW249" s="55">
        <v>3.47</v>
      </c>
      <c r="BX249" s="66">
        <v>1.7909999999999999</v>
      </c>
      <c r="BY249" s="41"/>
    </row>
    <row r="250" spans="1:77" s="81" customFormat="1" ht="17" thickBot="1">
      <c r="A250" s="149">
        <v>2.41</v>
      </c>
      <c r="B250" s="140" t="s">
        <v>393</v>
      </c>
      <c r="C250" s="120" t="s">
        <v>471</v>
      </c>
      <c r="D250" s="132" t="s">
        <v>227</v>
      </c>
      <c r="E250" s="82" t="s">
        <v>227</v>
      </c>
      <c r="F250" s="81" t="s">
        <v>227</v>
      </c>
      <c r="G250" s="81" t="s">
        <v>817</v>
      </c>
      <c r="H250" s="81" t="s">
        <v>818</v>
      </c>
      <c r="I250" s="81" t="s">
        <v>3377</v>
      </c>
      <c r="J250" s="81" t="s">
        <v>3350</v>
      </c>
      <c r="K250" s="81" t="s">
        <v>227</v>
      </c>
      <c r="L250" s="81">
        <v>3</v>
      </c>
      <c r="N250" s="81" t="s">
        <v>3441</v>
      </c>
      <c r="O250" s="81" t="s">
        <v>227</v>
      </c>
      <c r="P250" s="81">
        <v>2</v>
      </c>
      <c r="R250" s="81" t="s">
        <v>3573</v>
      </c>
      <c r="S250" s="81" t="s">
        <v>227</v>
      </c>
      <c r="T250" s="81">
        <v>2</v>
      </c>
      <c r="V250" s="81" t="s">
        <v>1215</v>
      </c>
      <c r="W250" s="81" t="s">
        <v>1427</v>
      </c>
      <c r="X250" s="81" t="s">
        <v>1767</v>
      </c>
      <c r="Y250" s="81" t="s">
        <v>1799</v>
      </c>
      <c r="Z250" s="81">
        <v>18</v>
      </c>
      <c r="AA250" s="81">
        <v>95.3</v>
      </c>
      <c r="AB250" s="81">
        <v>14</v>
      </c>
      <c r="AC250" s="81" t="s">
        <v>1423</v>
      </c>
      <c r="AD250" s="81" t="s">
        <v>1800</v>
      </c>
      <c r="AE250" s="81" t="s">
        <v>1801</v>
      </c>
      <c r="AF250" s="81" t="s">
        <v>817</v>
      </c>
      <c r="AG250" s="81" t="s">
        <v>1802</v>
      </c>
      <c r="AH250" s="81" t="s">
        <v>2451</v>
      </c>
      <c r="AI250" s="81" t="s">
        <v>2411</v>
      </c>
      <c r="AJ250" s="81" t="s">
        <v>2740</v>
      </c>
      <c r="AK250" s="81">
        <v>10</v>
      </c>
      <c r="AL250" s="81">
        <v>98.3</v>
      </c>
      <c r="AM250" s="81">
        <v>5</v>
      </c>
      <c r="AN250" s="81" t="s">
        <v>2406</v>
      </c>
      <c r="AO250" s="81" t="s">
        <v>2741</v>
      </c>
      <c r="AP250" s="81" t="s">
        <v>606</v>
      </c>
      <c r="AQ250" s="81" t="s">
        <v>818</v>
      </c>
      <c r="AR250" s="81" t="s">
        <v>2742</v>
      </c>
      <c r="AT250" s="83" t="s">
        <v>227</v>
      </c>
      <c r="AU250" s="33">
        <v>0.2455</v>
      </c>
      <c r="AV250" s="33"/>
      <c r="AW250" s="100">
        <v>3.5510000000000002</v>
      </c>
      <c r="AX250" s="106">
        <v>1.5940000000000001</v>
      </c>
      <c r="AY250" s="87">
        <v>0.13800000000000001</v>
      </c>
      <c r="AZ250" s="87">
        <v>0.128</v>
      </c>
      <c r="BA250" s="34"/>
      <c r="BB250" s="100">
        <v>3.552</v>
      </c>
      <c r="BC250" s="100">
        <v>2.399</v>
      </c>
      <c r="BD250" s="34"/>
      <c r="BE250" s="33">
        <v>181073</v>
      </c>
      <c r="BF250" s="33">
        <v>72461</v>
      </c>
      <c r="BG250" s="88">
        <v>1</v>
      </c>
      <c r="BH250" s="88">
        <v>1</v>
      </c>
      <c r="BI250" s="89" t="s">
        <v>3285</v>
      </c>
      <c r="BJ250" s="33"/>
      <c r="BK250" s="33">
        <v>26507</v>
      </c>
      <c r="BL250" s="33">
        <v>4022.5</v>
      </c>
      <c r="BM250" s="88">
        <v>1</v>
      </c>
      <c r="BN250" s="88">
        <v>0</v>
      </c>
      <c r="BO250" s="89" t="s">
        <v>3285</v>
      </c>
      <c r="BP250" s="89" t="s">
        <v>3285</v>
      </c>
      <c r="BQ250" s="34"/>
      <c r="BR250" s="33">
        <v>1.5587</v>
      </c>
      <c r="BS250" s="33">
        <v>1.2090000000000001</v>
      </c>
      <c r="BT250" s="89" t="s">
        <v>3290</v>
      </c>
      <c r="BU250" s="89" t="s">
        <v>3290</v>
      </c>
      <c r="BV250" s="33"/>
      <c r="BW250" s="100">
        <v>3.5390000000000001</v>
      </c>
      <c r="BX250" s="101">
        <v>2.85</v>
      </c>
      <c r="BY250" s="33"/>
    </row>
    <row r="251" spans="1:77">
      <c r="A251" s="148">
        <v>2.42</v>
      </c>
      <c r="B251" s="141" t="s">
        <v>393</v>
      </c>
      <c r="C251" s="86" t="s">
        <v>471</v>
      </c>
      <c r="D251" s="133" t="s">
        <v>228</v>
      </c>
      <c r="E251" s="80" t="s">
        <v>228</v>
      </c>
      <c r="F251" s="46" t="s">
        <v>228</v>
      </c>
      <c r="G251" s="46" t="s">
        <v>656</v>
      </c>
      <c r="H251" s="46" t="s">
        <v>657</v>
      </c>
      <c r="I251" s="46" t="s">
        <v>3377</v>
      </c>
      <c r="J251" s="46" t="s">
        <v>3350</v>
      </c>
      <c r="K251" s="46" t="s">
        <v>228</v>
      </c>
      <c r="L251" s="46">
        <v>3</v>
      </c>
      <c r="N251" s="46" t="s">
        <v>3441</v>
      </c>
      <c r="O251" s="46" t="s">
        <v>228</v>
      </c>
      <c r="P251" s="46">
        <v>2</v>
      </c>
      <c r="R251" s="46" t="s">
        <v>3573</v>
      </c>
      <c r="S251" s="46" t="s">
        <v>228</v>
      </c>
      <c r="T251" s="46">
        <v>2</v>
      </c>
      <c r="V251" s="46" t="s">
        <v>1216</v>
      </c>
      <c r="W251" s="46" t="s">
        <v>1427</v>
      </c>
      <c r="X251" s="46" t="s">
        <v>1767</v>
      </c>
      <c r="Y251" s="46" t="s">
        <v>1803</v>
      </c>
      <c r="Z251" s="46">
        <v>18</v>
      </c>
      <c r="AA251" s="46">
        <v>96.6</v>
      </c>
      <c r="AB251" s="46">
        <v>10</v>
      </c>
      <c r="AC251" s="46" t="s">
        <v>1423</v>
      </c>
      <c r="AD251" s="46" t="s">
        <v>1804</v>
      </c>
      <c r="AE251" s="46" t="s">
        <v>656</v>
      </c>
      <c r="AF251" s="46" t="s">
        <v>656</v>
      </c>
      <c r="AG251" s="46" t="s">
        <v>1805</v>
      </c>
      <c r="AH251" s="46" t="s">
        <v>2451</v>
      </c>
      <c r="AI251" s="46" t="s">
        <v>2411</v>
      </c>
      <c r="AJ251" s="46" t="s">
        <v>2743</v>
      </c>
      <c r="AK251" s="46">
        <v>10</v>
      </c>
      <c r="AL251" s="46">
        <v>98.6</v>
      </c>
      <c r="AM251" s="46">
        <v>4</v>
      </c>
      <c r="AN251" s="46" t="s">
        <v>2406</v>
      </c>
      <c r="AO251" s="46" t="s">
        <v>2744</v>
      </c>
      <c r="AP251" s="46" t="s">
        <v>657</v>
      </c>
      <c r="AQ251" s="46" t="s">
        <v>657</v>
      </c>
      <c r="AR251" s="46" t="s">
        <v>2745</v>
      </c>
      <c r="AT251" s="48" t="s">
        <v>228</v>
      </c>
      <c r="AU251" s="41">
        <v>0.15559999999999999</v>
      </c>
      <c r="AV251" s="41"/>
      <c r="AW251" s="61">
        <v>3.58</v>
      </c>
      <c r="AX251" s="64">
        <v>0.60699999999999998</v>
      </c>
      <c r="AY251" s="62">
        <v>0.80100000000000005</v>
      </c>
      <c r="AZ251" s="63">
        <v>0.13</v>
      </c>
      <c r="BA251" s="42"/>
      <c r="BB251" s="55">
        <v>3.5659999999999998</v>
      </c>
      <c r="BC251" s="55">
        <v>2.6269999999999998</v>
      </c>
      <c r="BD251" s="43"/>
      <c r="BE251" s="41">
        <v>122847.5</v>
      </c>
      <c r="BF251" s="41">
        <v>127866</v>
      </c>
      <c r="BG251" s="51">
        <v>1</v>
      </c>
      <c r="BH251" s="51">
        <v>1</v>
      </c>
      <c r="BI251" s="52" t="s">
        <v>3289</v>
      </c>
      <c r="BJ251" s="41"/>
      <c r="BK251" s="41">
        <v>26921.5</v>
      </c>
      <c r="BL251" s="41">
        <v>56228</v>
      </c>
      <c r="BM251" s="51">
        <v>1</v>
      </c>
      <c r="BN251" s="51">
        <v>1</v>
      </c>
      <c r="BO251" s="52" t="s">
        <v>3286</v>
      </c>
      <c r="BP251" s="52" t="s">
        <v>3287</v>
      </c>
      <c r="BQ251" s="43"/>
      <c r="BR251" s="41">
        <v>2.1103000000000001</v>
      </c>
      <c r="BS251" s="41">
        <v>2.2625999999999999</v>
      </c>
      <c r="BT251" s="52" t="s">
        <v>3290</v>
      </c>
      <c r="BU251" s="52" t="s">
        <v>3290</v>
      </c>
      <c r="BV251" s="41"/>
      <c r="BW251" s="55">
        <v>3.5329999999999999</v>
      </c>
      <c r="BX251" s="58">
        <v>2.9159999999999999</v>
      </c>
      <c r="BY251" s="41"/>
    </row>
    <row r="252" spans="1:77" s="40" customFormat="1" ht="17" thickBot="1">
      <c r="A252" s="148">
        <v>2.42</v>
      </c>
      <c r="B252" s="142" t="s">
        <v>393</v>
      </c>
      <c r="C252" s="121" t="s">
        <v>471</v>
      </c>
      <c r="D252" s="134" t="s">
        <v>229</v>
      </c>
      <c r="E252" s="84" t="s">
        <v>229</v>
      </c>
      <c r="F252" s="40" t="s">
        <v>229</v>
      </c>
      <c r="G252" s="40" t="s">
        <v>937</v>
      </c>
      <c r="H252" s="40" t="s">
        <v>938</v>
      </c>
      <c r="I252" s="40" t="s">
        <v>3377</v>
      </c>
      <c r="J252" s="40" t="s">
        <v>3371</v>
      </c>
      <c r="K252" s="40" t="s">
        <v>229</v>
      </c>
      <c r="L252" s="40">
        <v>3</v>
      </c>
      <c r="N252" s="40" t="s">
        <v>3475</v>
      </c>
      <c r="O252" s="40" t="s">
        <v>229</v>
      </c>
      <c r="P252" s="40">
        <v>1</v>
      </c>
      <c r="R252" s="40" t="s">
        <v>3618</v>
      </c>
      <c r="S252" s="40" t="s">
        <v>229</v>
      </c>
      <c r="T252" s="40">
        <v>1</v>
      </c>
      <c r="V252" s="40" t="s">
        <v>1217</v>
      </c>
      <c r="W252" s="40" t="s">
        <v>1427</v>
      </c>
      <c r="X252" s="40" t="s">
        <v>1767</v>
      </c>
      <c r="Y252" s="40" t="s">
        <v>1806</v>
      </c>
      <c r="Z252" s="40">
        <v>18</v>
      </c>
      <c r="AA252" s="40">
        <v>94.3</v>
      </c>
      <c r="AB252" s="40">
        <v>17</v>
      </c>
      <c r="AC252" s="40" t="s">
        <v>1617</v>
      </c>
      <c r="AD252" s="40" t="s">
        <v>1807</v>
      </c>
      <c r="AE252" s="40" t="s">
        <v>937</v>
      </c>
      <c r="AF252" s="40" t="s">
        <v>937</v>
      </c>
      <c r="AG252" s="40" t="s">
        <v>1808</v>
      </c>
      <c r="AH252" s="40" t="s">
        <v>2451</v>
      </c>
      <c r="AI252" s="40" t="s">
        <v>2411</v>
      </c>
      <c r="AJ252" s="40" t="s">
        <v>2746</v>
      </c>
      <c r="AK252" s="40">
        <v>9</v>
      </c>
      <c r="AL252" s="40">
        <v>96.1</v>
      </c>
      <c r="AM252" s="40">
        <v>11</v>
      </c>
      <c r="AN252" s="40" t="s">
        <v>2406</v>
      </c>
      <c r="AO252" s="40" t="s">
        <v>2747</v>
      </c>
      <c r="AP252" s="40" t="s">
        <v>938</v>
      </c>
      <c r="AQ252" s="40" t="s">
        <v>938</v>
      </c>
      <c r="AR252" s="40" t="s">
        <v>2748</v>
      </c>
      <c r="AT252" s="85" t="s">
        <v>229</v>
      </c>
      <c r="AU252" s="35">
        <v>7.3400000000000007E-2</v>
      </c>
      <c r="AV252" s="35"/>
      <c r="AW252" s="102">
        <v>3.5739999999999998</v>
      </c>
      <c r="AX252" s="99">
        <v>0.68700000000000006</v>
      </c>
      <c r="AY252" s="90">
        <v>0.124</v>
      </c>
      <c r="AZ252" s="90">
        <v>0.11899999999999999</v>
      </c>
      <c r="BA252" s="37"/>
      <c r="BB252" s="102">
        <v>3.5619999999999998</v>
      </c>
      <c r="BC252" s="110">
        <v>2.3660000000000001</v>
      </c>
      <c r="BD252" s="37"/>
      <c r="BE252" s="35">
        <v>146638</v>
      </c>
      <c r="BF252" s="35">
        <v>270302</v>
      </c>
      <c r="BG252" s="93">
        <v>1</v>
      </c>
      <c r="BH252" s="93">
        <v>1</v>
      </c>
      <c r="BI252" s="94" t="s">
        <v>3286</v>
      </c>
      <c r="BJ252" s="35"/>
      <c r="BK252" s="35">
        <v>63037</v>
      </c>
      <c r="BL252" s="35">
        <v>5754</v>
      </c>
      <c r="BM252" s="93">
        <v>1</v>
      </c>
      <c r="BN252" s="93">
        <v>1</v>
      </c>
      <c r="BO252" s="94" t="s">
        <v>3285</v>
      </c>
      <c r="BP252" s="94" t="s">
        <v>3287</v>
      </c>
      <c r="BQ252" s="37"/>
      <c r="BR252" s="35">
        <v>2.4148000000000001</v>
      </c>
      <c r="BS252" s="35">
        <v>2.3231999999999999</v>
      </c>
      <c r="BT252" s="94" t="s">
        <v>3290</v>
      </c>
      <c r="BU252" s="94" t="s">
        <v>3290</v>
      </c>
      <c r="BV252" s="35"/>
      <c r="BW252" s="102">
        <v>3.52</v>
      </c>
      <c r="BX252" s="117">
        <v>2.9020000000000001</v>
      </c>
      <c r="BY252" s="35"/>
    </row>
    <row r="253" spans="1:77">
      <c r="A253" s="144">
        <v>2.4300000000000002</v>
      </c>
      <c r="B253" s="141" t="s">
        <v>405</v>
      </c>
      <c r="C253" s="86" t="s">
        <v>483</v>
      </c>
      <c r="D253" s="133" t="s">
        <v>265</v>
      </c>
      <c r="E253" s="80" t="s">
        <v>265</v>
      </c>
      <c r="F253" s="46" t="s">
        <v>265</v>
      </c>
      <c r="G253" s="46" t="s">
        <v>901</v>
      </c>
      <c r="H253" s="46" t="s">
        <v>902</v>
      </c>
      <c r="I253" s="46" t="s">
        <v>3377</v>
      </c>
      <c r="J253" s="46" t="s">
        <v>3308</v>
      </c>
      <c r="K253" s="46" t="s">
        <v>265</v>
      </c>
      <c r="L253" s="46">
        <v>2</v>
      </c>
      <c r="N253" s="46" t="s">
        <v>3388</v>
      </c>
      <c r="O253" s="46" t="s">
        <v>265</v>
      </c>
      <c r="P253" s="46">
        <v>1</v>
      </c>
      <c r="R253" s="46" t="s">
        <v>3512</v>
      </c>
      <c r="S253" s="46" t="s">
        <v>265</v>
      </c>
      <c r="T253" s="46">
        <v>1</v>
      </c>
      <c r="V253" s="46" t="s">
        <v>1248</v>
      </c>
      <c r="W253" s="46" t="s">
        <v>1427</v>
      </c>
      <c r="X253" s="46" t="s">
        <v>1428</v>
      </c>
      <c r="Y253" s="46" t="s">
        <v>1906</v>
      </c>
      <c r="Z253" s="46">
        <v>17</v>
      </c>
      <c r="AA253" s="46">
        <v>96</v>
      </c>
      <c r="AB253" s="46">
        <v>11</v>
      </c>
      <c r="AC253" s="46" t="s">
        <v>1907</v>
      </c>
      <c r="AD253" s="46" t="s">
        <v>1908</v>
      </c>
      <c r="AE253" s="46" t="s">
        <v>1909</v>
      </c>
      <c r="AF253" s="46" t="s">
        <v>901</v>
      </c>
      <c r="AG253" s="46" t="s">
        <v>1910</v>
      </c>
      <c r="AH253" s="46" t="s">
        <v>2479</v>
      </c>
      <c r="AI253" s="46" t="s">
        <v>2480</v>
      </c>
      <c r="AJ253" s="46" t="s">
        <v>2827</v>
      </c>
      <c r="AK253" s="46">
        <v>11</v>
      </c>
      <c r="AL253" s="46">
        <v>98.9</v>
      </c>
      <c r="AM253" s="46">
        <v>3</v>
      </c>
      <c r="AN253" s="46" t="s">
        <v>2406</v>
      </c>
      <c r="AO253" s="46" t="s">
        <v>2828</v>
      </c>
      <c r="AP253" s="46" t="s">
        <v>2829</v>
      </c>
      <c r="AQ253" s="46" t="s">
        <v>902</v>
      </c>
      <c r="AR253" s="46" t="s">
        <v>2830</v>
      </c>
      <c r="AT253" s="48" t="s">
        <v>265</v>
      </c>
      <c r="AU253" s="41">
        <v>6.4369999999999997E-2</v>
      </c>
      <c r="AV253" s="41"/>
      <c r="AW253" s="50">
        <v>0.126</v>
      </c>
      <c r="AX253" s="50">
        <v>0.115</v>
      </c>
      <c r="AY253" s="50">
        <v>0.122</v>
      </c>
      <c r="AZ253" s="50">
        <v>0.12</v>
      </c>
      <c r="BA253" s="43"/>
      <c r="BB253" s="50">
        <v>9.7000000000000003E-2</v>
      </c>
      <c r="BC253" s="50">
        <v>8.7999999999999995E-2</v>
      </c>
      <c r="BD253" s="43"/>
      <c r="BE253" s="41">
        <v>51947</v>
      </c>
      <c r="BF253" s="41">
        <v>1876.5</v>
      </c>
      <c r="BG253" s="51">
        <v>1</v>
      </c>
      <c r="BH253" s="51">
        <v>0</v>
      </c>
      <c r="BI253" s="52" t="s">
        <v>3285</v>
      </c>
      <c r="BJ253" s="41"/>
      <c r="BK253" s="41">
        <v>2390</v>
      </c>
      <c r="BL253" s="41">
        <v>3064</v>
      </c>
      <c r="BM253" s="51">
        <v>0</v>
      </c>
      <c r="BN253" s="51">
        <v>0</v>
      </c>
      <c r="BO253" s="52" t="s">
        <v>3286</v>
      </c>
      <c r="BP253" s="52" t="s">
        <v>3287</v>
      </c>
      <c r="BQ253" s="43"/>
      <c r="BR253" s="41">
        <v>-3.6499999999999998E-2</v>
      </c>
      <c r="BS253" s="41">
        <v>-1.9699999999999999E-2</v>
      </c>
      <c r="BT253" s="52" t="s">
        <v>3288</v>
      </c>
      <c r="BU253" s="52" t="s">
        <v>3288</v>
      </c>
      <c r="BV253" s="41"/>
      <c r="BW253" s="50">
        <v>0.106</v>
      </c>
      <c r="BX253" s="50">
        <v>0.104</v>
      </c>
      <c r="BY253" s="41"/>
    </row>
    <row r="254" spans="1:77" ht="17" thickBot="1">
      <c r="A254" s="146">
        <v>2.4300000000000002</v>
      </c>
      <c r="B254" s="141" t="s">
        <v>405</v>
      </c>
      <c r="C254" s="86" t="s">
        <v>483</v>
      </c>
      <c r="D254" s="133" t="s">
        <v>266</v>
      </c>
      <c r="E254" s="80" t="s">
        <v>266</v>
      </c>
      <c r="F254" s="46" t="s">
        <v>266</v>
      </c>
      <c r="G254" s="46" t="s">
        <v>535</v>
      </c>
      <c r="H254" s="46" t="s">
        <v>536</v>
      </c>
      <c r="I254" s="46" t="s">
        <v>3377</v>
      </c>
      <c r="J254" s="46" t="s">
        <v>3308</v>
      </c>
      <c r="K254" s="46" t="s">
        <v>266</v>
      </c>
      <c r="L254" s="46">
        <v>2</v>
      </c>
      <c r="N254" s="46" t="s">
        <v>3413</v>
      </c>
      <c r="O254" s="46" t="s">
        <v>266</v>
      </c>
      <c r="P254" s="46">
        <v>1</v>
      </c>
      <c r="R254" s="46" t="s">
        <v>3538</v>
      </c>
      <c r="S254" s="46" t="s">
        <v>266</v>
      </c>
      <c r="T254" s="46">
        <v>1</v>
      </c>
      <c r="V254" s="46" t="s">
        <v>1249</v>
      </c>
      <c r="W254" s="46" t="s">
        <v>1427</v>
      </c>
      <c r="X254" s="46" t="s">
        <v>1428</v>
      </c>
      <c r="Y254" s="46" t="s">
        <v>1911</v>
      </c>
      <c r="Z254" s="46">
        <v>17</v>
      </c>
      <c r="AA254" s="46">
        <v>99.7</v>
      </c>
      <c r="AB254" s="46">
        <v>1</v>
      </c>
      <c r="AC254" s="46" t="s">
        <v>1423</v>
      </c>
      <c r="AD254" s="46" t="s">
        <v>1912</v>
      </c>
      <c r="AE254" s="46" t="s">
        <v>535</v>
      </c>
      <c r="AF254" s="46" t="s">
        <v>535</v>
      </c>
      <c r="AG254" s="46" t="s">
        <v>1913</v>
      </c>
      <c r="AH254" s="46" t="s">
        <v>2479</v>
      </c>
      <c r="AI254" s="46" t="s">
        <v>2480</v>
      </c>
      <c r="AJ254" s="46" t="s">
        <v>2831</v>
      </c>
      <c r="AK254" s="46">
        <v>11</v>
      </c>
      <c r="AL254" s="46">
        <v>100</v>
      </c>
      <c r="AM254" s="46">
        <v>0</v>
      </c>
      <c r="AN254" s="46" t="s">
        <v>2406</v>
      </c>
      <c r="AO254" s="46" t="s">
        <v>2832</v>
      </c>
      <c r="AP254" s="46" t="s">
        <v>536</v>
      </c>
      <c r="AQ254" s="46" t="s">
        <v>536</v>
      </c>
      <c r="AR254" s="46" t="s">
        <v>2833</v>
      </c>
      <c r="AT254" s="48" t="s">
        <v>266</v>
      </c>
      <c r="AU254" s="41">
        <v>0.1191</v>
      </c>
      <c r="AV254" s="41"/>
      <c r="AW254" s="50">
        <v>0.12</v>
      </c>
      <c r="AX254" s="50">
        <v>0.11799999999999999</v>
      </c>
      <c r="AY254" s="50">
        <v>0.125</v>
      </c>
      <c r="AZ254" s="50">
        <v>0.123</v>
      </c>
      <c r="BA254" s="43"/>
      <c r="BB254" s="50">
        <v>0.10100000000000001</v>
      </c>
      <c r="BC254" s="50">
        <v>0.09</v>
      </c>
      <c r="BD254" s="43"/>
      <c r="BE254" s="41">
        <v>17700</v>
      </c>
      <c r="BF254" s="41">
        <v>2160</v>
      </c>
      <c r="BG254" s="51">
        <v>1</v>
      </c>
      <c r="BH254" s="51">
        <v>0</v>
      </c>
      <c r="BI254" s="52" t="s">
        <v>3285</v>
      </c>
      <c r="BJ254" s="41"/>
      <c r="BK254" s="41">
        <v>3275</v>
      </c>
      <c r="BL254" s="41">
        <v>1844</v>
      </c>
      <c r="BM254" s="51">
        <v>0</v>
      </c>
      <c r="BN254" s="51">
        <v>0</v>
      </c>
      <c r="BO254" s="52" t="s">
        <v>3285</v>
      </c>
      <c r="BP254" s="52" t="s">
        <v>3285</v>
      </c>
      <c r="BQ254" s="43"/>
      <c r="BR254" s="41">
        <v>-0.1041</v>
      </c>
      <c r="BS254" s="41">
        <v>-9.2200000000000004E-2</v>
      </c>
      <c r="BT254" s="52" t="s">
        <v>3288</v>
      </c>
      <c r="BU254" s="52" t="s">
        <v>3288</v>
      </c>
      <c r="BV254" s="41"/>
      <c r="BW254" s="50">
        <v>0.112</v>
      </c>
      <c r="BX254" s="50">
        <v>0.109</v>
      </c>
      <c r="BY254" s="41"/>
    </row>
    <row r="255" spans="1:77" s="81" customFormat="1">
      <c r="A255" s="147">
        <v>2.44</v>
      </c>
      <c r="B255" s="140" t="s">
        <v>369</v>
      </c>
      <c r="C255" s="120" t="s">
        <v>447</v>
      </c>
      <c r="D255" s="132" t="s">
        <v>112</v>
      </c>
      <c r="E255" s="82" t="s">
        <v>112</v>
      </c>
      <c r="F255" s="81" t="s">
        <v>112</v>
      </c>
      <c r="G255" s="81" t="s">
        <v>895</v>
      </c>
      <c r="H255" s="81" t="s">
        <v>896</v>
      </c>
      <c r="I255" s="81" t="s">
        <v>3377</v>
      </c>
      <c r="J255" s="81" t="s">
        <v>3305</v>
      </c>
      <c r="K255" s="81" t="s">
        <v>112</v>
      </c>
      <c r="L255" s="81">
        <v>2</v>
      </c>
      <c r="N255" s="81" t="s">
        <v>3385</v>
      </c>
      <c r="O255" s="81" t="s">
        <v>112</v>
      </c>
      <c r="P255" s="81">
        <v>2</v>
      </c>
      <c r="R255" s="81" t="s">
        <v>3509</v>
      </c>
      <c r="S255" s="81" t="s">
        <v>112</v>
      </c>
      <c r="T255" s="81">
        <v>2</v>
      </c>
      <c r="V255" s="81" t="s">
        <v>1115</v>
      </c>
      <c r="W255" s="81" t="s">
        <v>1452</v>
      </c>
      <c r="X255" s="81" t="s">
        <v>1413</v>
      </c>
      <c r="Y255" s="81" t="s">
        <v>1453</v>
      </c>
      <c r="Z255" s="81">
        <v>13</v>
      </c>
      <c r="AA255" s="81">
        <v>97.4</v>
      </c>
      <c r="AB255" s="81">
        <v>7</v>
      </c>
      <c r="AC255" s="81" t="s">
        <v>1454</v>
      </c>
      <c r="AD255" s="81" t="s">
        <v>1455</v>
      </c>
      <c r="AE255" s="81" t="s">
        <v>1456</v>
      </c>
      <c r="AF255" s="81" t="s">
        <v>895</v>
      </c>
      <c r="AG255" s="81" t="s">
        <v>1457</v>
      </c>
      <c r="AH255" s="81" t="s">
        <v>2432</v>
      </c>
      <c r="AI255" s="81" t="s">
        <v>2433</v>
      </c>
      <c r="AJ255" s="81" t="s">
        <v>2434</v>
      </c>
      <c r="AK255" s="81">
        <v>11</v>
      </c>
      <c r="AL255" s="81">
        <v>98.9</v>
      </c>
      <c r="AM255" s="81">
        <v>3</v>
      </c>
      <c r="AN255" s="81" t="s">
        <v>2406</v>
      </c>
      <c r="AO255" s="81" t="s">
        <v>2435</v>
      </c>
      <c r="AP255" s="81" t="s">
        <v>2436</v>
      </c>
      <c r="AQ255" s="81" t="s">
        <v>896</v>
      </c>
      <c r="AR255" s="81" t="s">
        <v>2437</v>
      </c>
      <c r="AT255" s="83" t="s">
        <v>112</v>
      </c>
      <c r="AU255" s="33">
        <v>0.4486</v>
      </c>
      <c r="AV255" s="33"/>
      <c r="AW255" s="100">
        <v>3.56</v>
      </c>
      <c r="AX255" s="87">
        <v>0.15</v>
      </c>
      <c r="AY255" s="100">
        <v>3.5129999999999999</v>
      </c>
      <c r="AZ255" s="87">
        <v>0.16</v>
      </c>
      <c r="BA255" s="34"/>
      <c r="BB255" s="100">
        <v>3.617</v>
      </c>
      <c r="BC255" s="105">
        <v>2.3330000000000002</v>
      </c>
      <c r="BD255" s="34"/>
      <c r="BE255" s="33">
        <v>52858</v>
      </c>
      <c r="BF255" s="33">
        <v>5598.5</v>
      </c>
      <c r="BG255" s="88">
        <v>1</v>
      </c>
      <c r="BH255" s="88">
        <v>0</v>
      </c>
      <c r="BI255" s="89" t="s">
        <v>3285</v>
      </c>
      <c r="BJ255" s="33"/>
      <c r="BK255" s="33">
        <v>4678</v>
      </c>
      <c r="BL255" s="33">
        <v>2452</v>
      </c>
      <c r="BM255" s="88">
        <v>1</v>
      </c>
      <c r="BN255" s="88">
        <v>0</v>
      </c>
      <c r="BO255" s="89" t="s">
        <v>3285</v>
      </c>
      <c r="BP255" s="89" t="s">
        <v>3285</v>
      </c>
      <c r="BQ255" s="34"/>
      <c r="BR255" s="33">
        <v>-3.1199999999999999E-2</v>
      </c>
      <c r="BS255" s="33">
        <v>9.4E-2</v>
      </c>
      <c r="BT255" s="89" t="s">
        <v>3288</v>
      </c>
      <c r="BU255" s="89" t="s">
        <v>3288</v>
      </c>
      <c r="BV255" s="33"/>
      <c r="BW255" s="100">
        <v>3.52</v>
      </c>
      <c r="BX255" s="100">
        <v>3.5329999999999999</v>
      </c>
      <c r="BY255" s="33"/>
    </row>
    <row r="256" spans="1:77" s="40" customFormat="1" ht="17" thickBot="1">
      <c r="A256" s="149">
        <v>2.44</v>
      </c>
      <c r="B256" s="142" t="s">
        <v>369</v>
      </c>
      <c r="C256" s="121" t="s">
        <v>447</v>
      </c>
      <c r="D256" s="134" t="s">
        <v>113</v>
      </c>
      <c r="E256" s="84" t="s">
        <v>113</v>
      </c>
      <c r="F256" s="40" t="s">
        <v>113</v>
      </c>
      <c r="G256" s="40" t="s">
        <v>941</v>
      </c>
      <c r="H256" s="40" t="s">
        <v>942</v>
      </c>
      <c r="I256" s="40" t="s">
        <v>3377</v>
      </c>
      <c r="J256" s="40" t="s">
        <v>3305</v>
      </c>
      <c r="K256" s="40" t="s">
        <v>113</v>
      </c>
      <c r="L256" s="40">
        <v>2</v>
      </c>
      <c r="N256" s="40" t="s">
        <v>3385</v>
      </c>
      <c r="O256" s="40" t="s">
        <v>113</v>
      </c>
      <c r="P256" s="40">
        <v>2</v>
      </c>
      <c r="R256" s="40" t="s">
        <v>3509</v>
      </c>
      <c r="S256" s="40" t="s">
        <v>113</v>
      </c>
      <c r="T256" s="40">
        <v>2</v>
      </c>
      <c r="V256" s="40" t="s">
        <v>1116</v>
      </c>
      <c r="W256" s="40" t="s">
        <v>1452</v>
      </c>
      <c r="X256" s="40" t="s">
        <v>1413</v>
      </c>
      <c r="Y256" s="40" t="s">
        <v>1458</v>
      </c>
      <c r="Z256" s="40">
        <v>13</v>
      </c>
      <c r="AA256" s="40">
        <v>95.6</v>
      </c>
      <c r="AB256" s="40">
        <v>13</v>
      </c>
      <c r="AC256" s="40" t="s">
        <v>1454</v>
      </c>
      <c r="AD256" s="40" t="s">
        <v>1459</v>
      </c>
      <c r="AE256" s="40" t="s">
        <v>941</v>
      </c>
      <c r="AF256" s="40" t="s">
        <v>941</v>
      </c>
      <c r="AG256" s="40" t="s">
        <v>1460</v>
      </c>
      <c r="AH256" s="40" t="s">
        <v>2432</v>
      </c>
      <c r="AI256" s="40" t="s">
        <v>2433</v>
      </c>
      <c r="AJ256" s="40" t="s">
        <v>2438</v>
      </c>
      <c r="AK256" s="40">
        <v>11</v>
      </c>
      <c r="AL256" s="40">
        <v>96.6</v>
      </c>
      <c r="AM256" s="40">
        <v>10</v>
      </c>
      <c r="AN256" s="40" t="s">
        <v>2406</v>
      </c>
      <c r="AO256" s="40" t="s">
        <v>2439</v>
      </c>
      <c r="AP256" s="40" t="s">
        <v>942</v>
      </c>
      <c r="AQ256" s="40" t="s">
        <v>942</v>
      </c>
      <c r="AR256" s="40" t="s">
        <v>2440</v>
      </c>
      <c r="AT256" s="85" t="s">
        <v>113</v>
      </c>
      <c r="AU256" s="35">
        <v>0.55359999999999998</v>
      </c>
      <c r="AV256" s="35"/>
      <c r="AW256" s="102">
        <v>3.61</v>
      </c>
      <c r="AX256" s="90">
        <v>0.15</v>
      </c>
      <c r="AY256" s="102">
        <v>3.6259999999999999</v>
      </c>
      <c r="AZ256" s="90">
        <v>0.161</v>
      </c>
      <c r="BA256" s="37"/>
      <c r="BB256" s="102">
        <v>3.5859999999999999</v>
      </c>
      <c r="BC256" s="110">
        <v>2.2669999999999999</v>
      </c>
      <c r="BD256" s="37"/>
      <c r="BE256" s="35">
        <v>24667</v>
      </c>
      <c r="BF256" s="35">
        <v>1728</v>
      </c>
      <c r="BG256" s="93">
        <v>1</v>
      </c>
      <c r="BH256" s="93">
        <v>0</v>
      </c>
      <c r="BI256" s="94" t="s">
        <v>3285</v>
      </c>
      <c r="BJ256" s="35"/>
      <c r="BK256" s="35">
        <v>5809</v>
      </c>
      <c r="BL256" s="35">
        <v>2007</v>
      </c>
      <c r="BM256" s="93">
        <v>1</v>
      </c>
      <c r="BN256" s="93">
        <v>0</v>
      </c>
      <c r="BO256" s="94" t="s">
        <v>3285</v>
      </c>
      <c r="BP256" s="94" t="s">
        <v>3285</v>
      </c>
      <c r="BQ256" s="37"/>
      <c r="BR256" s="35">
        <v>-0.1658</v>
      </c>
      <c r="BS256" s="35">
        <v>-2.5700000000000001E-2</v>
      </c>
      <c r="BT256" s="94" t="s">
        <v>3288</v>
      </c>
      <c r="BU256" s="94" t="s">
        <v>3288</v>
      </c>
      <c r="BV256" s="35"/>
      <c r="BW256" s="102">
        <v>3.5209999999999999</v>
      </c>
      <c r="BX256" s="102">
        <v>3.536</v>
      </c>
      <c r="BY256" s="35"/>
    </row>
    <row r="257" spans="1:77">
      <c r="A257" s="148">
        <v>2.4500000000000002</v>
      </c>
      <c r="B257" s="141" t="s">
        <v>370</v>
      </c>
      <c r="C257" s="86" t="s">
        <v>448</v>
      </c>
      <c r="D257" s="133" t="s">
        <v>114</v>
      </c>
      <c r="E257" s="80" t="s">
        <v>114</v>
      </c>
      <c r="F257" s="46" t="s">
        <v>114</v>
      </c>
      <c r="G257" s="46" t="s">
        <v>837</v>
      </c>
      <c r="H257" s="46" t="s">
        <v>838</v>
      </c>
      <c r="I257" s="46" t="s">
        <v>3377</v>
      </c>
      <c r="J257" s="46" t="s">
        <v>3369</v>
      </c>
      <c r="K257" s="46" t="s">
        <v>114</v>
      </c>
      <c r="L257" s="46">
        <v>2</v>
      </c>
      <c r="N257" s="46" t="s">
        <v>3472</v>
      </c>
      <c r="O257" s="46" t="s">
        <v>114</v>
      </c>
      <c r="P257" s="46">
        <v>2</v>
      </c>
      <c r="R257" s="46" t="s">
        <v>3611</v>
      </c>
      <c r="S257" s="46" t="s">
        <v>114</v>
      </c>
      <c r="T257" s="46">
        <v>1</v>
      </c>
      <c r="V257" s="46" t="s">
        <v>1117</v>
      </c>
      <c r="W257" s="46" t="s">
        <v>1452</v>
      </c>
      <c r="X257" s="46" t="s">
        <v>1413</v>
      </c>
      <c r="Y257" s="46" t="s">
        <v>1461</v>
      </c>
      <c r="Z257" s="46">
        <v>16</v>
      </c>
      <c r="AA257" s="46">
        <v>97.6</v>
      </c>
      <c r="AB257" s="46">
        <v>7</v>
      </c>
      <c r="AC257" s="46" t="s">
        <v>1462</v>
      </c>
      <c r="AD257" s="46" t="s">
        <v>1463</v>
      </c>
      <c r="AE257" s="46" t="s">
        <v>610</v>
      </c>
      <c r="AF257" s="46" t="s">
        <v>837</v>
      </c>
      <c r="AG257" s="46" t="s">
        <v>1464</v>
      </c>
      <c r="AH257" s="46" t="s">
        <v>2441</v>
      </c>
      <c r="AI257" s="46" t="s">
        <v>2433</v>
      </c>
      <c r="AJ257" s="46" t="s">
        <v>2442</v>
      </c>
      <c r="AK257" s="46">
        <v>11</v>
      </c>
      <c r="AL257" s="46">
        <v>99.3</v>
      </c>
      <c r="AM257" s="46">
        <v>2</v>
      </c>
      <c r="AN257" s="46" t="s">
        <v>2406</v>
      </c>
      <c r="AO257" s="46" t="s">
        <v>2443</v>
      </c>
      <c r="AP257" s="46" t="s">
        <v>2444</v>
      </c>
      <c r="AQ257" s="46" t="s">
        <v>838</v>
      </c>
      <c r="AR257" s="46" t="s">
        <v>2445</v>
      </c>
      <c r="AT257" s="48" t="s">
        <v>114</v>
      </c>
      <c r="AU257" s="41">
        <v>5.3679999999999999E-2</v>
      </c>
      <c r="AV257" s="41" t="s">
        <v>3291</v>
      </c>
      <c r="AW257" s="55">
        <v>3.56</v>
      </c>
      <c r="AX257" s="50">
        <v>0.121</v>
      </c>
      <c r="AY257" s="50">
        <v>0.115</v>
      </c>
      <c r="AZ257" s="50">
        <v>0.128</v>
      </c>
      <c r="BA257" s="43"/>
      <c r="BB257" s="50">
        <v>0.126</v>
      </c>
      <c r="BC257" s="50">
        <v>0.09</v>
      </c>
      <c r="BD257" s="43"/>
      <c r="BE257" s="41">
        <v>294603</v>
      </c>
      <c r="BF257" s="41">
        <v>2474</v>
      </c>
      <c r="BG257" s="51">
        <v>1</v>
      </c>
      <c r="BH257" s="51">
        <v>0</v>
      </c>
      <c r="BI257" s="52" t="s">
        <v>3285</v>
      </c>
      <c r="BJ257" s="41"/>
      <c r="BK257" s="41">
        <v>55323</v>
      </c>
      <c r="BL257" s="41">
        <v>3292.5</v>
      </c>
      <c r="BM257" s="51">
        <v>1</v>
      </c>
      <c r="BN257" s="51">
        <v>0</v>
      </c>
      <c r="BO257" s="52" t="s">
        <v>3285</v>
      </c>
      <c r="BP257" s="52" t="s">
        <v>3285</v>
      </c>
      <c r="BQ257" s="43"/>
      <c r="BR257" s="41">
        <v>-2.0799999999999999E-2</v>
      </c>
      <c r="BS257" s="41">
        <v>-1.7899999999999999E-2</v>
      </c>
      <c r="BT257" s="52" t="s">
        <v>3288</v>
      </c>
      <c r="BU257" s="52" t="s">
        <v>3288</v>
      </c>
      <c r="BV257" s="41"/>
      <c r="BW257" s="55">
        <v>3.5449999999999999</v>
      </c>
      <c r="BX257" s="50">
        <v>0.115</v>
      </c>
      <c r="BY257" s="41"/>
    </row>
    <row r="258" spans="1:77" ht="17" thickBot="1">
      <c r="A258" s="148">
        <v>2.4500000000000002</v>
      </c>
      <c r="B258" s="141" t="s">
        <v>370</v>
      </c>
      <c r="C258" s="86" t="s">
        <v>448</v>
      </c>
      <c r="D258" s="133" t="s">
        <v>115</v>
      </c>
      <c r="E258" s="80" t="s">
        <v>115</v>
      </c>
      <c r="F258" s="46" t="s">
        <v>115</v>
      </c>
      <c r="G258" s="46" t="s">
        <v>988</v>
      </c>
      <c r="H258" s="46" t="s">
        <v>989</v>
      </c>
      <c r="I258" s="46" t="s">
        <v>3377</v>
      </c>
      <c r="J258" s="46" t="s">
        <v>3369</v>
      </c>
      <c r="K258" s="46" t="s">
        <v>115</v>
      </c>
      <c r="L258" s="46">
        <v>2</v>
      </c>
      <c r="N258" s="46" t="s">
        <v>3472</v>
      </c>
      <c r="O258" s="46" t="s">
        <v>115</v>
      </c>
      <c r="P258" s="46">
        <v>2</v>
      </c>
      <c r="R258" s="46" t="s">
        <v>3665</v>
      </c>
      <c r="S258" s="46" t="s">
        <v>115</v>
      </c>
      <c r="T258" s="46">
        <v>1</v>
      </c>
      <c r="V258" s="46" t="s">
        <v>1119</v>
      </c>
      <c r="W258" s="46" t="s">
        <v>1452</v>
      </c>
      <c r="X258" s="46" t="s">
        <v>1413</v>
      </c>
      <c r="Y258" s="46" t="s">
        <v>1469</v>
      </c>
      <c r="Z258" s="46">
        <v>16</v>
      </c>
      <c r="AA258" s="46">
        <v>89.5</v>
      </c>
      <c r="AB258" s="46">
        <v>31</v>
      </c>
      <c r="AC258" s="46" t="s">
        <v>1470</v>
      </c>
      <c r="AD258" s="46" t="s">
        <v>1471</v>
      </c>
      <c r="AE258" s="46" t="s">
        <v>988</v>
      </c>
      <c r="AF258" s="46" t="s">
        <v>988</v>
      </c>
      <c r="AG258" s="46" t="s">
        <v>1472</v>
      </c>
      <c r="AH258" s="46" t="s">
        <v>2441</v>
      </c>
      <c r="AI258" s="46" t="s">
        <v>2433</v>
      </c>
      <c r="AJ258" s="46" t="s">
        <v>2448</v>
      </c>
      <c r="AK258" s="46">
        <v>11</v>
      </c>
      <c r="AL258" s="46">
        <v>92.6</v>
      </c>
      <c r="AM258" s="46">
        <v>21</v>
      </c>
      <c r="AN258" s="46" t="s">
        <v>2406</v>
      </c>
      <c r="AO258" s="46" t="s">
        <v>2449</v>
      </c>
      <c r="AP258" s="46" t="s">
        <v>989</v>
      </c>
      <c r="AQ258" s="46" t="s">
        <v>989</v>
      </c>
      <c r="AR258" s="46" t="s">
        <v>2450</v>
      </c>
      <c r="AT258" s="48" t="s">
        <v>115</v>
      </c>
      <c r="AU258" s="41">
        <v>0.31590000000000001</v>
      </c>
      <c r="AV258" s="41"/>
      <c r="AW258" s="55">
        <v>3.5369999999999999</v>
      </c>
      <c r="AX258" s="50">
        <v>0.17</v>
      </c>
      <c r="AY258" s="50">
        <v>0.14000000000000001</v>
      </c>
      <c r="AZ258" s="50">
        <v>0.13</v>
      </c>
      <c r="BA258" s="43"/>
      <c r="BB258" s="50">
        <v>0.11899999999999999</v>
      </c>
      <c r="BC258" s="50">
        <v>8.8999999999999996E-2</v>
      </c>
      <c r="BD258" s="43"/>
      <c r="BE258" s="41">
        <v>117831</v>
      </c>
      <c r="BF258" s="41">
        <v>2416</v>
      </c>
      <c r="BG258" s="51">
        <v>1</v>
      </c>
      <c r="BH258" s="51">
        <v>0</v>
      </c>
      <c r="BI258" s="52" t="s">
        <v>3285</v>
      </c>
      <c r="BJ258" s="41"/>
      <c r="BK258" s="41">
        <v>52309.5</v>
      </c>
      <c r="BL258" s="41">
        <v>3883</v>
      </c>
      <c r="BM258" s="51">
        <v>1</v>
      </c>
      <c r="BN258" s="51">
        <v>0</v>
      </c>
      <c r="BO258" s="52" t="s">
        <v>3285</v>
      </c>
      <c r="BP258" s="52" t="s">
        <v>3285</v>
      </c>
      <c r="BQ258" s="43"/>
      <c r="BR258" s="41">
        <v>-9.2100000000000001E-2</v>
      </c>
      <c r="BS258" s="41">
        <v>-7.6200000000000004E-2</v>
      </c>
      <c r="BT258" s="52" t="s">
        <v>3288</v>
      </c>
      <c r="BU258" s="52" t="s">
        <v>3288</v>
      </c>
      <c r="BV258" s="41"/>
      <c r="BW258" s="55">
        <v>3.4580000000000002</v>
      </c>
      <c r="BX258" s="50">
        <v>0.123</v>
      </c>
      <c r="BY258" s="41"/>
    </row>
    <row r="259" spans="1:77" s="81" customFormat="1">
      <c r="A259" s="147">
        <v>2.46</v>
      </c>
      <c r="B259" s="140" t="s">
        <v>371</v>
      </c>
      <c r="C259" s="120" t="s">
        <v>449</v>
      </c>
      <c r="D259" s="132" t="s">
        <v>116</v>
      </c>
      <c r="E259" s="82" t="s">
        <v>116</v>
      </c>
      <c r="F259" s="81" t="s">
        <v>116</v>
      </c>
      <c r="G259" s="81" t="s">
        <v>747</v>
      </c>
      <c r="H259" s="81" t="s">
        <v>748</v>
      </c>
      <c r="I259" s="81" t="s">
        <v>3377</v>
      </c>
      <c r="J259" s="81" t="s">
        <v>3360</v>
      </c>
      <c r="K259" s="81" t="s">
        <v>116</v>
      </c>
      <c r="L259" s="81">
        <v>2</v>
      </c>
      <c r="N259" s="81" t="s">
        <v>3459</v>
      </c>
      <c r="O259" s="81" t="s">
        <v>116</v>
      </c>
      <c r="P259" s="81">
        <v>2</v>
      </c>
      <c r="R259" s="81" t="s">
        <v>3594</v>
      </c>
      <c r="S259" s="81" t="s">
        <v>116</v>
      </c>
      <c r="T259" s="81">
        <v>2</v>
      </c>
      <c r="V259" s="81" t="s">
        <v>1120</v>
      </c>
      <c r="W259" s="81" t="s">
        <v>1452</v>
      </c>
      <c r="X259" s="81" t="s">
        <v>1421</v>
      </c>
      <c r="Y259" s="81" t="s">
        <v>1473</v>
      </c>
      <c r="Z259" s="81">
        <v>14</v>
      </c>
      <c r="AA259" s="81">
        <v>90.5</v>
      </c>
      <c r="AB259" s="81">
        <v>28</v>
      </c>
      <c r="AC259" s="81" t="s">
        <v>1474</v>
      </c>
      <c r="AD259" s="81" t="s">
        <v>1475</v>
      </c>
      <c r="AE259" s="81" t="s">
        <v>1476</v>
      </c>
      <c r="AF259" s="81" t="s">
        <v>747</v>
      </c>
      <c r="AG259" s="81" t="s">
        <v>1477</v>
      </c>
      <c r="AH259" s="81" t="s">
        <v>2451</v>
      </c>
      <c r="AI259" s="81" t="s">
        <v>2452</v>
      </c>
      <c r="AJ259" s="81" t="s">
        <v>2453</v>
      </c>
      <c r="AK259" s="81">
        <v>10</v>
      </c>
      <c r="AL259" s="81">
        <v>97.6</v>
      </c>
      <c r="AM259" s="81">
        <v>7</v>
      </c>
      <c r="AN259" s="81" t="s">
        <v>2406</v>
      </c>
      <c r="AO259" s="81" t="s">
        <v>2454</v>
      </c>
      <c r="AP259" s="81" t="s">
        <v>2455</v>
      </c>
      <c r="AQ259" s="81" t="s">
        <v>748</v>
      </c>
      <c r="AR259" s="81" t="s">
        <v>2456</v>
      </c>
      <c r="AT259" s="83" t="s">
        <v>116</v>
      </c>
      <c r="AU259" s="33">
        <v>0.22509999999999999</v>
      </c>
      <c r="AV259" s="33"/>
      <c r="AW259" s="100">
        <v>3.605</v>
      </c>
      <c r="AX259" s="100">
        <v>3.5649999999999999</v>
      </c>
      <c r="AY259" s="100">
        <v>3.5030000000000001</v>
      </c>
      <c r="AZ259" s="87">
        <v>0.14299999999999999</v>
      </c>
      <c r="BA259" s="34"/>
      <c r="BB259" s="100">
        <v>3.552</v>
      </c>
      <c r="BC259" s="105">
        <v>2.2050000000000001</v>
      </c>
      <c r="BD259" s="34"/>
      <c r="BE259" s="33">
        <v>32550</v>
      </c>
      <c r="BF259" s="33">
        <v>94206</v>
      </c>
      <c r="BG259" s="88">
        <v>1</v>
      </c>
      <c r="BH259" s="88">
        <v>1</v>
      </c>
      <c r="BI259" s="89" t="s">
        <v>3286</v>
      </c>
      <c r="BJ259" s="33"/>
      <c r="BK259" s="33">
        <v>3655.5</v>
      </c>
      <c r="BL259" s="33">
        <v>19012.5</v>
      </c>
      <c r="BM259" s="88">
        <v>0</v>
      </c>
      <c r="BN259" s="88">
        <v>1</v>
      </c>
      <c r="BO259" s="89" t="s">
        <v>3286</v>
      </c>
      <c r="BP259" s="89" t="s">
        <v>3286</v>
      </c>
      <c r="BQ259" s="34"/>
      <c r="BR259" s="33">
        <v>9.0999999999999998E-2</v>
      </c>
      <c r="BS259" s="33">
        <v>3.3599999999999998E-2</v>
      </c>
      <c r="BT259" s="89" t="s">
        <v>3288</v>
      </c>
      <c r="BU259" s="89" t="s">
        <v>3288</v>
      </c>
      <c r="BV259" s="33"/>
      <c r="BW259" s="105">
        <v>3.3079999999999998</v>
      </c>
      <c r="BX259" s="100">
        <v>3.5449999999999999</v>
      </c>
      <c r="BY259" s="33"/>
    </row>
    <row r="260" spans="1:77" s="40" customFormat="1" ht="17" thickBot="1">
      <c r="A260" s="149">
        <v>2.46</v>
      </c>
      <c r="B260" s="142" t="s">
        <v>371</v>
      </c>
      <c r="C260" s="121" t="s">
        <v>449</v>
      </c>
      <c r="D260" s="134" t="s">
        <v>117</v>
      </c>
      <c r="E260" s="84" t="s">
        <v>118</v>
      </c>
      <c r="F260" s="40" t="s">
        <v>117</v>
      </c>
      <c r="G260" s="40" t="s">
        <v>1057</v>
      </c>
      <c r="H260" s="40" t="s">
        <v>1058</v>
      </c>
      <c r="I260" s="40" t="s">
        <v>3377</v>
      </c>
      <c r="J260" s="40" t="s">
        <v>3360</v>
      </c>
      <c r="K260" s="40" t="s">
        <v>117</v>
      </c>
      <c r="L260" s="40">
        <v>2</v>
      </c>
      <c r="N260" s="40" t="s">
        <v>3459</v>
      </c>
      <c r="O260" s="40" t="s">
        <v>117</v>
      </c>
      <c r="P260" s="40">
        <v>2</v>
      </c>
      <c r="R260" s="40" t="s">
        <v>3594</v>
      </c>
      <c r="S260" s="40" t="s">
        <v>117</v>
      </c>
      <c r="T260" s="40">
        <v>2</v>
      </c>
      <c r="V260" s="40" t="s">
        <v>1121</v>
      </c>
      <c r="W260" s="40" t="s">
        <v>1452</v>
      </c>
      <c r="X260" s="40" t="s">
        <v>1421</v>
      </c>
      <c r="Y260" s="40" t="s">
        <v>1478</v>
      </c>
      <c r="Z260" s="40">
        <v>14</v>
      </c>
      <c r="AA260" s="40">
        <v>96.3</v>
      </c>
      <c r="AB260" s="40">
        <v>11</v>
      </c>
      <c r="AC260" s="40" t="s">
        <v>1474</v>
      </c>
      <c r="AD260" s="40" t="s">
        <v>1479</v>
      </c>
      <c r="AE260" s="40" t="s">
        <v>1057</v>
      </c>
      <c r="AF260" s="40" t="s">
        <v>1057</v>
      </c>
      <c r="AG260" s="40" t="s">
        <v>1480</v>
      </c>
      <c r="AH260" s="40" t="s">
        <v>2451</v>
      </c>
      <c r="AI260" s="40" t="s">
        <v>2452</v>
      </c>
      <c r="AJ260" s="40" t="s">
        <v>2457</v>
      </c>
      <c r="AK260" s="40">
        <v>10</v>
      </c>
      <c r="AL260" s="40">
        <v>99</v>
      </c>
      <c r="AM260" s="40">
        <v>3</v>
      </c>
      <c r="AN260" s="40" t="s">
        <v>2406</v>
      </c>
      <c r="AO260" s="40" t="s">
        <v>2458</v>
      </c>
      <c r="AP260" s="40" t="s">
        <v>1058</v>
      </c>
      <c r="AQ260" s="40" t="s">
        <v>1058</v>
      </c>
      <c r="AR260" s="40" t="s">
        <v>2459</v>
      </c>
      <c r="AT260" s="85" t="s">
        <v>118</v>
      </c>
      <c r="AU260" s="35">
        <v>0.31879999999999997</v>
      </c>
      <c r="AV260" s="35"/>
      <c r="AW260" s="102">
        <v>3.56</v>
      </c>
      <c r="AX260" s="110">
        <v>3.4079999999999999</v>
      </c>
      <c r="AY260" s="102">
        <v>3.5920000000000001</v>
      </c>
      <c r="AZ260" s="90">
        <v>0.159</v>
      </c>
      <c r="BA260" s="37"/>
      <c r="BB260" s="102">
        <v>3.5409999999999999</v>
      </c>
      <c r="BC260" s="110">
        <v>2.3980000000000001</v>
      </c>
      <c r="BD260" s="37"/>
      <c r="BE260" s="35">
        <v>21851</v>
      </c>
      <c r="BF260" s="35">
        <v>75270</v>
      </c>
      <c r="BG260" s="93">
        <v>1</v>
      </c>
      <c r="BH260" s="93">
        <v>1</v>
      </c>
      <c r="BI260" s="94" t="s">
        <v>3286</v>
      </c>
      <c r="BJ260" s="35"/>
      <c r="BK260" s="35">
        <v>3197</v>
      </c>
      <c r="BL260" s="35">
        <v>83143</v>
      </c>
      <c r="BM260" s="93">
        <v>0</v>
      </c>
      <c r="BN260" s="93">
        <v>1</v>
      </c>
      <c r="BO260" s="94" t="s">
        <v>3286</v>
      </c>
      <c r="BP260" s="94" t="s">
        <v>3286</v>
      </c>
      <c r="BQ260" s="37"/>
      <c r="BR260" s="35">
        <v>9.8799999999999999E-2</v>
      </c>
      <c r="BS260" s="35">
        <v>0.2253</v>
      </c>
      <c r="BT260" s="94" t="s">
        <v>3288</v>
      </c>
      <c r="BU260" s="94" t="s">
        <v>3290</v>
      </c>
      <c r="BV260" s="35"/>
      <c r="BW260" s="102">
        <v>3.431</v>
      </c>
      <c r="BX260" s="102">
        <v>3.5249999999999999</v>
      </c>
      <c r="BY260" s="35"/>
    </row>
    <row r="261" spans="1:77">
      <c r="A261" s="148">
        <v>2.4700000000000002</v>
      </c>
      <c r="B261" s="141" t="s">
        <v>406</v>
      </c>
      <c r="C261" s="86" t="s">
        <v>484</v>
      </c>
      <c r="D261" s="133" t="s">
        <v>267</v>
      </c>
      <c r="E261" s="80" t="s">
        <v>267</v>
      </c>
      <c r="F261" s="46" t="s">
        <v>267</v>
      </c>
      <c r="G261" s="46" t="s">
        <v>631</v>
      </c>
      <c r="H261" s="46" t="s">
        <v>632</v>
      </c>
      <c r="I261" s="46" t="s">
        <v>3377</v>
      </c>
      <c r="J261" s="46" t="s">
        <v>3345</v>
      </c>
      <c r="K261" s="46" t="s">
        <v>267</v>
      </c>
      <c r="L261" s="46">
        <v>2</v>
      </c>
      <c r="N261" s="46" t="s">
        <v>3435</v>
      </c>
      <c r="O261" s="46" t="s">
        <v>267</v>
      </c>
      <c r="P261" s="46">
        <v>1</v>
      </c>
      <c r="R261" s="46" t="s">
        <v>3565</v>
      </c>
      <c r="S261" s="46" t="s">
        <v>267</v>
      </c>
      <c r="T261" s="46">
        <v>1</v>
      </c>
      <c r="V261" s="46" t="s">
        <v>1250</v>
      </c>
      <c r="W261" s="46" t="s">
        <v>1452</v>
      </c>
      <c r="X261" s="46" t="s">
        <v>1428</v>
      </c>
      <c r="Y261" s="46" t="s">
        <v>1914</v>
      </c>
      <c r="Z261" s="46">
        <v>14</v>
      </c>
      <c r="AA261" s="46">
        <v>89.2</v>
      </c>
      <c r="AB261" s="46">
        <v>32</v>
      </c>
      <c r="AC261" s="46" t="s">
        <v>1445</v>
      </c>
      <c r="AD261" s="46" t="s">
        <v>1915</v>
      </c>
      <c r="AE261" s="46" t="s">
        <v>631</v>
      </c>
      <c r="AF261" s="46" t="s">
        <v>631</v>
      </c>
      <c r="AG261" s="46" t="s">
        <v>1916</v>
      </c>
      <c r="AH261" s="46" t="s">
        <v>2719</v>
      </c>
      <c r="AI261" s="46" t="s">
        <v>2480</v>
      </c>
      <c r="AJ261" s="46" t="s">
        <v>2834</v>
      </c>
      <c r="AK261" s="46">
        <v>11</v>
      </c>
      <c r="AL261" s="46">
        <v>89.8</v>
      </c>
      <c r="AM261" s="46">
        <v>30</v>
      </c>
      <c r="AN261" s="46" t="s">
        <v>2406</v>
      </c>
      <c r="AO261" s="46" t="s">
        <v>2835</v>
      </c>
      <c r="AP261" s="46" t="s">
        <v>2836</v>
      </c>
      <c r="AQ261" s="46" t="s">
        <v>632</v>
      </c>
      <c r="AR261" s="46" t="s">
        <v>2837</v>
      </c>
      <c r="AT261" s="48" t="s">
        <v>267</v>
      </c>
      <c r="AU261" s="41">
        <v>0.33310000000000001</v>
      </c>
      <c r="AV261" s="41"/>
      <c r="AW261" s="55">
        <v>3.6339999999999999</v>
      </c>
      <c r="AX261" s="55">
        <v>3.6</v>
      </c>
      <c r="AY261" s="55">
        <v>3.6110000000000002</v>
      </c>
      <c r="AZ261" s="50">
        <v>0.159</v>
      </c>
      <c r="BA261" s="43"/>
      <c r="BB261" s="55">
        <v>3.5939999999999999</v>
      </c>
      <c r="BC261" s="49">
        <v>2.38</v>
      </c>
      <c r="BD261" s="43"/>
      <c r="BE261" s="41">
        <v>48231</v>
      </c>
      <c r="BF261" s="41">
        <v>86235.5</v>
      </c>
      <c r="BG261" s="51">
        <v>1</v>
      </c>
      <c r="BH261" s="51">
        <v>1</v>
      </c>
      <c r="BI261" s="52" t="s">
        <v>3286</v>
      </c>
      <c r="BJ261" s="41"/>
      <c r="BK261" s="41">
        <v>26058.5</v>
      </c>
      <c r="BL261" s="41">
        <v>38436.5</v>
      </c>
      <c r="BM261" s="51">
        <v>1</v>
      </c>
      <c r="BN261" s="51">
        <v>1</v>
      </c>
      <c r="BO261" s="52" t="s">
        <v>3286</v>
      </c>
      <c r="BP261" s="52" t="s">
        <v>3286</v>
      </c>
      <c r="BQ261" s="43"/>
      <c r="BR261" s="41">
        <v>-9.9900000000000003E-2</v>
      </c>
      <c r="BS261" s="41">
        <v>-3.95E-2</v>
      </c>
      <c r="BT261" s="52" t="s">
        <v>3288</v>
      </c>
      <c r="BU261" s="52" t="s">
        <v>3288</v>
      </c>
      <c r="BV261" s="41"/>
      <c r="BW261" s="55">
        <v>3.5710000000000002</v>
      </c>
      <c r="BX261" s="55">
        <v>3.589</v>
      </c>
      <c r="BY261" s="41"/>
    </row>
    <row r="262" spans="1:77" ht="17" thickBot="1">
      <c r="A262" s="148">
        <v>2.4700000000000002</v>
      </c>
      <c r="B262" s="141" t="s">
        <v>406</v>
      </c>
      <c r="C262" s="86" t="s">
        <v>484</v>
      </c>
      <c r="D262" s="133" t="s">
        <v>268</v>
      </c>
      <c r="E262" s="80" t="s">
        <v>269</v>
      </c>
      <c r="F262" s="46" t="s">
        <v>268</v>
      </c>
      <c r="G262" s="46" t="s">
        <v>1103</v>
      </c>
      <c r="H262" s="46" t="s">
        <v>1104</v>
      </c>
      <c r="I262" s="46" t="s">
        <v>3377</v>
      </c>
      <c r="J262" s="46" t="s">
        <v>3345</v>
      </c>
      <c r="K262" s="46" t="s">
        <v>268</v>
      </c>
      <c r="L262" s="46">
        <v>2</v>
      </c>
      <c r="N262" s="46" t="s">
        <v>3500</v>
      </c>
      <c r="O262" s="46" t="s">
        <v>268</v>
      </c>
      <c r="P262" s="46">
        <v>1</v>
      </c>
      <c r="R262" s="46" t="s">
        <v>3662</v>
      </c>
      <c r="S262" s="46" t="s">
        <v>268</v>
      </c>
      <c r="T262" s="46">
        <v>1</v>
      </c>
      <c r="V262" s="46" t="s">
        <v>1251</v>
      </c>
      <c r="W262" s="46" t="s">
        <v>1452</v>
      </c>
      <c r="X262" s="46" t="s">
        <v>1428</v>
      </c>
      <c r="Y262" s="46" t="s">
        <v>1917</v>
      </c>
      <c r="Z262" s="46">
        <v>14</v>
      </c>
      <c r="AA262" s="46">
        <v>97</v>
      </c>
      <c r="AB262" s="46">
        <v>9</v>
      </c>
      <c r="AC262" s="46" t="s">
        <v>1763</v>
      </c>
      <c r="AD262" s="46" t="s">
        <v>1918</v>
      </c>
      <c r="AE262" s="46" t="s">
        <v>1103</v>
      </c>
      <c r="AF262" s="46" t="s">
        <v>1103</v>
      </c>
      <c r="AG262" s="46" t="s">
        <v>1919</v>
      </c>
      <c r="AH262" s="46" t="s">
        <v>2719</v>
      </c>
      <c r="AI262" s="46" t="s">
        <v>2480</v>
      </c>
      <c r="AJ262" s="46" t="s">
        <v>2838</v>
      </c>
      <c r="AK262" s="46">
        <v>11</v>
      </c>
      <c r="AL262" s="46">
        <v>96.9</v>
      </c>
      <c r="AM262" s="46">
        <v>9</v>
      </c>
      <c r="AN262" s="46" t="s">
        <v>2406</v>
      </c>
      <c r="AO262" s="46" t="s">
        <v>2839</v>
      </c>
      <c r="AP262" s="46" t="s">
        <v>1104</v>
      </c>
      <c r="AQ262" s="46" t="s">
        <v>1104</v>
      </c>
      <c r="AR262" s="46" t="s">
        <v>2840</v>
      </c>
      <c r="AT262" s="48" t="s">
        <v>269</v>
      </c>
      <c r="AU262" s="41">
        <v>0.31519999999999998</v>
      </c>
      <c r="AV262" s="41"/>
      <c r="AW262" s="55">
        <v>3.5249999999999999</v>
      </c>
      <c r="AX262" s="50">
        <v>0.14299999999999999</v>
      </c>
      <c r="AY262" s="50">
        <v>0.127</v>
      </c>
      <c r="AZ262" s="50">
        <v>0.13400000000000001</v>
      </c>
      <c r="BA262" s="43"/>
      <c r="BB262" s="50">
        <v>0.14499999999999999</v>
      </c>
      <c r="BC262" s="50">
        <v>9.0999999999999998E-2</v>
      </c>
      <c r="BD262" s="43"/>
      <c r="BE262" s="41">
        <v>46572</v>
      </c>
      <c r="BF262" s="41">
        <v>113425.5</v>
      </c>
      <c r="BG262" s="51">
        <v>1</v>
      </c>
      <c r="BH262" s="51">
        <v>1</v>
      </c>
      <c r="BI262" s="52" t="s">
        <v>3286</v>
      </c>
      <c r="BJ262" s="41"/>
      <c r="BK262" s="41">
        <v>9888</v>
      </c>
      <c r="BL262" s="41">
        <v>39346</v>
      </c>
      <c r="BM262" s="51">
        <v>1</v>
      </c>
      <c r="BN262" s="51">
        <v>1</v>
      </c>
      <c r="BO262" s="52" t="s">
        <v>3286</v>
      </c>
      <c r="BP262" s="52" t="s">
        <v>3286</v>
      </c>
      <c r="BQ262" s="43"/>
      <c r="BR262" s="41">
        <v>2.3006000000000002</v>
      </c>
      <c r="BS262" s="41">
        <v>1.9320999999999999</v>
      </c>
      <c r="BT262" s="52" t="s">
        <v>3290</v>
      </c>
      <c r="BU262" s="52" t="s">
        <v>3290</v>
      </c>
      <c r="BV262" s="41"/>
      <c r="BW262" s="58">
        <v>3.0859999999999999</v>
      </c>
      <c r="BX262" s="57">
        <v>0.80500000000000005</v>
      </c>
      <c r="BY262" s="41"/>
    </row>
    <row r="263" spans="1:77" s="81" customFormat="1">
      <c r="A263" s="147">
        <v>2.48</v>
      </c>
      <c r="B263" s="140" t="s">
        <v>408</v>
      </c>
      <c r="C263" s="120" t="s">
        <v>486</v>
      </c>
      <c r="D263" s="132" t="s">
        <v>272</v>
      </c>
      <c r="E263" s="82" t="s">
        <v>272</v>
      </c>
      <c r="F263" s="81" t="s">
        <v>272</v>
      </c>
      <c r="G263" s="81" t="s">
        <v>909</v>
      </c>
      <c r="H263" s="81" t="s">
        <v>910</v>
      </c>
      <c r="I263" s="81" t="s">
        <v>3377</v>
      </c>
      <c r="J263" s="81" t="s">
        <v>3312</v>
      </c>
      <c r="K263" s="81" t="s">
        <v>272</v>
      </c>
      <c r="L263" s="81">
        <v>2</v>
      </c>
      <c r="N263" s="81" t="s">
        <v>3392</v>
      </c>
      <c r="O263" s="81" t="s">
        <v>272</v>
      </c>
      <c r="P263" s="81">
        <v>2</v>
      </c>
      <c r="R263" s="81" t="s">
        <v>3516</v>
      </c>
      <c r="S263" s="81" t="s">
        <v>272</v>
      </c>
      <c r="T263" s="81">
        <v>1</v>
      </c>
      <c r="V263" s="81" t="s">
        <v>1255</v>
      </c>
      <c r="W263" s="81" t="s">
        <v>1481</v>
      </c>
      <c r="X263" s="81" t="s">
        <v>1413</v>
      </c>
      <c r="Y263" s="81" t="s">
        <v>1929</v>
      </c>
      <c r="Z263" s="81">
        <v>15</v>
      </c>
      <c r="AA263" s="81">
        <v>98.9</v>
      </c>
      <c r="AB263" s="81">
        <v>3</v>
      </c>
      <c r="AC263" s="81" t="s">
        <v>1563</v>
      </c>
      <c r="AD263" s="81" t="s">
        <v>1930</v>
      </c>
      <c r="AE263" s="81" t="s">
        <v>1931</v>
      </c>
      <c r="AF263" s="81" t="s">
        <v>909</v>
      </c>
      <c r="AG263" s="81" t="s">
        <v>1932</v>
      </c>
      <c r="AH263" s="81" t="s">
        <v>2451</v>
      </c>
      <c r="AI263" s="81" t="s">
        <v>2411</v>
      </c>
      <c r="AJ263" s="81" t="s">
        <v>2849</v>
      </c>
      <c r="AK263" s="81">
        <v>10</v>
      </c>
      <c r="AL263" s="81">
        <v>98.9</v>
      </c>
      <c r="AM263" s="81">
        <v>3</v>
      </c>
      <c r="AN263" s="81" t="s">
        <v>2406</v>
      </c>
      <c r="AO263" s="81" t="s">
        <v>2850</v>
      </c>
      <c r="AP263" s="81" t="s">
        <v>2851</v>
      </c>
      <c r="AQ263" s="81" t="s">
        <v>910</v>
      </c>
      <c r="AR263" s="81" t="s">
        <v>2852</v>
      </c>
      <c r="AT263" s="83" t="s">
        <v>272</v>
      </c>
      <c r="AU263" s="33">
        <v>0.33079999999999998</v>
      </c>
      <c r="AV263" s="33"/>
      <c r="AW263" s="119">
        <v>2.3010000000000002</v>
      </c>
      <c r="AX263" s="115">
        <v>2.5070000000000001</v>
      </c>
      <c r="AY263" s="105">
        <v>3.3809999999999998</v>
      </c>
      <c r="AZ263" s="87">
        <v>0.151</v>
      </c>
      <c r="BA263" s="34"/>
      <c r="BB263" s="87">
        <v>0.11899999999999999</v>
      </c>
      <c r="BC263" s="87">
        <v>8.5999999999999993E-2</v>
      </c>
      <c r="BD263" s="34"/>
      <c r="BE263" s="33">
        <v>55198.5</v>
      </c>
      <c r="BF263" s="33">
        <v>2050</v>
      </c>
      <c r="BG263" s="88">
        <v>1</v>
      </c>
      <c r="BH263" s="88">
        <v>0</v>
      </c>
      <c r="BI263" s="89" t="s">
        <v>3285</v>
      </c>
      <c r="BJ263" s="33"/>
      <c r="BK263" s="33">
        <v>2865.5</v>
      </c>
      <c r="BL263" s="33">
        <v>2630.5</v>
      </c>
      <c r="BM263" s="88">
        <v>0</v>
      </c>
      <c r="BN263" s="88">
        <v>0</v>
      </c>
      <c r="BO263" s="89" t="s">
        <v>3289</v>
      </c>
      <c r="BP263" s="89" t="s">
        <v>3287</v>
      </c>
      <c r="BQ263" s="34"/>
      <c r="BR263" s="33">
        <v>-3.4200000000000001E-2</v>
      </c>
      <c r="BS263" s="33">
        <v>-1.23E-2</v>
      </c>
      <c r="BT263" s="89" t="s">
        <v>3288</v>
      </c>
      <c r="BU263" s="89" t="s">
        <v>3288</v>
      </c>
      <c r="BV263" s="33"/>
      <c r="BW263" s="106">
        <v>1.452</v>
      </c>
      <c r="BX263" s="104">
        <v>0.376</v>
      </c>
      <c r="BY263" s="33"/>
    </row>
    <row r="264" spans="1:77" s="40" customFormat="1" ht="17" thickBot="1">
      <c r="A264" s="149">
        <v>2.48</v>
      </c>
      <c r="B264" s="142" t="s">
        <v>408</v>
      </c>
      <c r="C264" s="121" t="s">
        <v>486</v>
      </c>
      <c r="D264" s="134" t="s">
        <v>273</v>
      </c>
      <c r="E264" s="84" t="s">
        <v>273</v>
      </c>
      <c r="F264" s="40" t="s">
        <v>273</v>
      </c>
      <c r="G264" s="40" t="s">
        <v>644</v>
      </c>
      <c r="H264" s="40" t="s">
        <v>645</v>
      </c>
      <c r="I264" s="40" t="s">
        <v>3377</v>
      </c>
      <c r="J264" s="40" t="s">
        <v>3312</v>
      </c>
      <c r="K264" s="40" t="s">
        <v>273</v>
      </c>
      <c r="L264" s="40">
        <v>2</v>
      </c>
      <c r="N264" s="40" t="s">
        <v>3392</v>
      </c>
      <c r="O264" s="40" t="s">
        <v>273</v>
      </c>
      <c r="P264" s="40">
        <v>2</v>
      </c>
      <c r="R264" s="40" t="s">
        <v>3570</v>
      </c>
      <c r="S264" s="40" t="s">
        <v>273</v>
      </c>
      <c r="T264" s="40">
        <v>1</v>
      </c>
      <c r="V264" s="40" t="s">
        <v>1256</v>
      </c>
      <c r="W264" s="40" t="s">
        <v>1481</v>
      </c>
      <c r="X264" s="40" t="s">
        <v>1413</v>
      </c>
      <c r="Y264" s="40" t="s">
        <v>1933</v>
      </c>
      <c r="Z264" s="40">
        <v>15</v>
      </c>
      <c r="AA264" s="40">
        <v>94.6</v>
      </c>
      <c r="AB264" s="40">
        <v>16</v>
      </c>
      <c r="AC264" s="40" t="s">
        <v>1454</v>
      </c>
      <c r="AD264" s="40" t="s">
        <v>1934</v>
      </c>
      <c r="AE264" s="40" t="s">
        <v>644</v>
      </c>
      <c r="AF264" s="40" t="s">
        <v>644</v>
      </c>
      <c r="AG264" s="40" t="s">
        <v>1935</v>
      </c>
      <c r="AH264" s="40" t="s">
        <v>2451</v>
      </c>
      <c r="AI264" s="40" t="s">
        <v>2411</v>
      </c>
      <c r="AJ264" s="40" t="s">
        <v>2849</v>
      </c>
      <c r="AK264" s="40">
        <v>10</v>
      </c>
      <c r="AL264" s="40">
        <v>99</v>
      </c>
      <c r="AM264" s="40">
        <v>3</v>
      </c>
      <c r="AN264" s="40" t="s">
        <v>2406</v>
      </c>
      <c r="AO264" s="40" t="s">
        <v>2850</v>
      </c>
      <c r="AP264" s="40" t="s">
        <v>645</v>
      </c>
      <c r="AQ264" s="40" t="s">
        <v>645</v>
      </c>
      <c r="AR264" s="40" t="s">
        <v>2853</v>
      </c>
      <c r="AT264" s="85" t="s">
        <v>273</v>
      </c>
      <c r="AU264" s="35">
        <v>0.2984</v>
      </c>
      <c r="AV264" s="35"/>
      <c r="AW264" s="108">
        <v>3.609</v>
      </c>
      <c r="AX264" s="108">
        <v>3.6110000000000002</v>
      </c>
      <c r="AY264" s="108">
        <v>3.669</v>
      </c>
      <c r="AZ264" s="109">
        <v>0.20699999999999999</v>
      </c>
      <c r="BA264" s="36"/>
      <c r="BB264" s="90">
        <v>0.112</v>
      </c>
      <c r="BC264" s="90">
        <v>9.1999999999999998E-2</v>
      </c>
      <c r="BD264" s="37"/>
      <c r="BE264" s="35">
        <v>27326</v>
      </c>
      <c r="BF264" s="35">
        <v>1815</v>
      </c>
      <c r="BG264" s="93">
        <v>1</v>
      </c>
      <c r="BH264" s="93">
        <v>0</v>
      </c>
      <c r="BI264" s="94" t="s">
        <v>3285</v>
      </c>
      <c r="BJ264" s="35"/>
      <c r="BK264" s="35">
        <v>3660.5</v>
      </c>
      <c r="BL264" s="35">
        <v>119864.5</v>
      </c>
      <c r="BM264" s="93">
        <v>0</v>
      </c>
      <c r="BN264" s="93">
        <v>1</v>
      </c>
      <c r="BO264" s="94" t="s">
        <v>3286</v>
      </c>
      <c r="BP264" s="94" t="s">
        <v>3287</v>
      </c>
      <c r="BQ264" s="37"/>
      <c r="BR264" s="35">
        <v>-0.13250000000000001</v>
      </c>
      <c r="BS264" s="35">
        <v>-7.5200000000000003E-2</v>
      </c>
      <c r="BT264" s="94" t="s">
        <v>3288</v>
      </c>
      <c r="BU264" s="94" t="s">
        <v>3288</v>
      </c>
      <c r="BV264" s="35"/>
      <c r="BW264" s="107">
        <v>2.5569999999999999</v>
      </c>
      <c r="BX264" s="95">
        <v>0.91100000000000003</v>
      </c>
      <c r="BY264" s="35"/>
    </row>
    <row r="265" spans="1:77">
      <c r="A265" s="148">
        <v>2.4900000000000002</v>
      </c>
      <c r="B265" s="141" t="s">
        <v>407</v>
      </c>
      <c r="C265" s="86" t="s">
        <v>485</v>
      </c>
      <c r="D265" s="133" t="s">
        <v>270</v>
      </c>
      <c r="E265" s="80" t="s">
        <v>270</v>
      </c>
      <c r="F265" s="46" t="s">
        <v>270</v>
      </c>
      <c r="G265" s="46" t="s">
        <v>787</v>
      </c>
      <c r="H265" s="46" t="s">
        <v>788</v>
      </c>
      <c r="I265" s="46" t="s">
        <v>3377</v>
      </c>
      <c r="J265" s="46" t="s">
        <v>3365</v>
      </c>
      <c r="K265" s="46" t="s">
        <v>270</v>
      </c>
      <c r="L265" s="46">
        <v>2</v>
      </c>
      <c r="N265" s="46" t="s">
        <v>3465</v>
      </c>
      <c r="O265" s="46" t="s">
        <v>270</v>
      </c>
      <c r="P265" s="46">
        <v>1</v>
      </c>
      <c r="R265" s="46" t="s">
        <v>3603</v>
      </c>
      <c r="S265" s="46" t="s">
        <v>270</v>
      </c>
      <c r="T265" s="46">
        <v>1</v>
      </c>
      <c r="V265" s="46" t="s">
        <v>1252</v>
      </c>
      <c r="W265" s="46" t="s">
        <v>1481</v>
      </c>
      <c r="X265" s="46" t="s">
        <v>1413</v>
      </c>
      <c r="Y265" s="46" t="s">
        <v>1920</v>
      </c>
      <c r="Z265" s="46">
        <v>15</v>
      </c>
      <c r="AA265" s="46">
        <v>95.9</v>
      </c>
      <c r="AB265" s="46">
        <v>12</v>
      </c>
      <c r="AC265" s="46" t="s">
        <v>1679</v>
      </c>
      <c r="AD265" s="46" t="s">
        <v>1921</v>
      </c>
      <c r="AE265" s="46" t="s">
        <v>1922</v>
      </c>
      <c r="AF265" s="46" t="s">
        <v>787</v>
      </c>
      <c r="AG265" s="46" t="s">
        <v>1923</v>
      </c>
      <c r="AH265" s="46" t="s">
        <v>2841</v>
      </c>
      <c r="AI265" s="46" t="s">
        <v>2773</v>
      </c>
      <c r="AJ265" s="46" t="s">
        <v>2842</v>
      </c>
      <c r="AK265" s="46">
        <v>9</v>
      </c>
      <c r="AL265" s="46">
        <v>97.9</v>
      </c>
      <c r="AM265" s="46">
        <v>6</v>
      </c>
      <c r="AN265" s="46" t="s">
        <v>2406</v>
      </c>
      <c r="AO265" s="46" t="s">
        <v>2843</v>
      </c>
      <c r="AP265" s="46" t="s">
        <v>599</v>
      </c>
      <c r="AQ265" s="46" t="s">
        <v>788</v>
      </c>
      <c r="AR265" s="46" t="s">
        <v>2844</v>
      </c>
      <c r="AT265" s="48" t="s">
        <v>270</v>
      </c>
      <c r="AU265" s="41">
        <v>0.2671</v>
      </c>
      <c r="AV265" s="41"/>
      <c r="AW265" s="53">
        <v>2.1</v>
      </c>
      <c r="AX265" s="53">
        <v>1.978</v>
      </c>
      <c r="AY265" s="50">
        <v>0.13300000000000001</v>
      </c>
      <c r="AZ265" s="50">
        <v>0.15</v>
      </c>
      <c r="BA265" s="43"/>
      <c r="BB265" s="50">
        <v>0.105</v>
      </c>
      <c r="BC265" s="50">
        <v>8.5999999999999993E-2</v>
      </c>
      <c r="BD265" s="43"/>
      <c r="BE265" s="41">
        <v>59267.5</v>
      </c>
      <c r="BF265" s="41">
        <v>66890</v>
      </c>
      <c r="BG265" s="51">
        <v>1</v>
      </c>
      <c r="BH265" s="51">
        <v>1</v>
      </c>
      <c r="BI265" s="52" t="s">
        <v>3289</v>
      </c>
      <c r="BJ265" s="41"/>
      <c r="BK265" s="41">
        <v>5206.5</v>
      </c>
      <c r="BL265" s="41">
        <v>30054.5</v>
      </c>
      <c r="BM265" s="51">
        <v>1</v>
      </c>
      <c r="BN265" s="51">
        <v>1</v>
      </c>
      <c r="BO265" s="52" t="s">
        <v>3286</v>
      </c>
      <c r="BP265" s="52" t="s">
        <v>3287</v>
      </c>
      <c r="BQ265" s="43"/>
      <c r="BR265" s="41">
        <v>0.90149999999999997</v>
      </c>
      <c r="BS265" s="41">
        <v>-2.0000000000000001E-4</v>
      </c>
      <c r="BT265" s="52" t="s">
        <v>3290</v>
      </c>
      <c r="BU265" s="52" t="s">
        <v>3288</v>
      </c>
      <c r="BV265" s="41"/>
      <c r="BW265" s="59">
        <v>1.085</v>
      </c>
      <c r="BX265" s="50">
        <v>0.114</v>
      </c>
      <c r="BY265" s="41"/>
    </row>
    <row r="266" spans="1:77" ht="17" thickBot="1">
      <c r="A266" s="148">
        <v>2.4900000000000002</v>
      </c>
      <c r="B266" s="141" t="s">
        <v>407</v>
      </c>
      <c r="C266" s="86" t="s">
        <v>485</v>
      </c>
      <c r="D266" s="133" t="s">
        <v>271</v>
      </c>
      <c r="E266" s="80" t="s">
        <v>271</v>
      </c>
      <c r="F266" s="46" t="s">
        <v>271</v>
      </c>
      <c r="G266" s="46" t="s">
        <v>945</v>
      </c>
      <c r="H266" s="46" t="s">
        <v>946</v>
      </c>
      <c r="I266" s="46" t="s">
        <v>3377</v>
      </c>
      <c r="J266" s="46" t="s">
        <v>3365</v>
      </c>
      <c r="K266" s="46" t="s">
        <v>271</v>
      </c>
      <c r="L266" s="46">
        <v>2</v>
      </c>
      <c r="N266" s="46" t="s">
        <v>3478</v>
      </c>
      <c r="O266" s="46" t="s">
        <v>271</v>
      </c>
      <c r="P266" s="46">
        <v>1</v>
      </c>
      <c r="R266" s="46" t="s">
        <v>3621</v>
      </c>
      <c r="S266" s="46" t="s">
        <v>271</v>
      </c>
      <c r="T266" s="46">
        <v>1</v>
      </c>
      <c r="V266" s="46" t="s">
        <v>1254</v>
      </c>
      <c r="W266" s="46" t="s">
        <v>1481</v>
      </c>
      <c r="X266" s="46" t="s">
        <v>1413</v>
      </c>
      <c r="Y266" s="46" t="s">
        <v>1926</v>
      </c>
      <c r="Z266" s="46">
        <v>15</v>
      </c>
      <c r="AA266" s="46">
        <v>99.7</v>
      </c>
      <c r="AB266" s="46">
        <v>1</v>
      </c>
      <c r="AC266" s="46" t="s">
        <v>1763</v>
      </c>
      <c r="AD266" s="46" t="s">
        <v>1927</v>
      </c>
      <c r="AE266" s="46" t="s">
        <v>945</v>
      </c>
      <c r="AF266" s="46" t="s">
        <v>945</v>
      </c>
      <c r="AG266" s="46" t="s">
        <v>1928</v>
      </c>
      <c r="AH266" s="46" t="s">
        <v>2841</v>
      </c>
      <c r="AI266" s="46" t="s">
        <v>2773</v>
      </c>
      <c r="AJ266" s="46" t="s">
        <v>2846</v>
      </c>
      <c r="AK266" s="46">
        <v>9</v>
      </c>
      <c r="AL266" s="46">
        <v>99.7</v>
      </c>
      <c r="AM266" s="46">
        <v>1</v>
      </c>
      <c r="AN266" s="46" t="s">
        <v>2406</v>
      </c>
      <c r="AO266" s="46" t="s">
        <v>2847</v>
      </c>
      <c r="AP266" s="46" t="s">
        <v>946</v>
      </c>
      <c r="AQ266" s="46" t="s">
        <v>946</v>
      </c>
      <c r="AR266" s="46" t="s">
        <v>2848</v>
      </c>
      <c r="AT266" s="48" t="s">
        <v>271</v>
      </c>
      <c r="AU266" s="41">
        <v>0.106</v>
      </c>
      <c r="AV266" s="41"/>
      <c r="AW266" s="50">
        <v>0.13800000000000001</v>
      </c>
      <c r="AX266" s="50">
        <v>0.183</v>
      </c>
      <c r="AY266" s="50">
        <v>0.123</v>
      </c>
      <c r="AZ266" s="50">
        <v>0.11700000000000001</v>
      </c>
      <c r="BA266" s="43"/>
      <c r="BB266" s="50">
        <v>0.11799999999999999</v>
      </c>
      <c r="BC266" s="50">
        <v>9.5000000000000001E-2</v>
      </c>
      <c r="BD266" s="43"/>
      <c r="BE266" s="41">
        <v>76721</v>
      </c>
      <c r="BF266" s="41">
        <v>137241</v>
      </c>
      <c r="BG266" s="51">
        <v>1</v>
      </c>
      <c r="BH266" s="51">
        <v>1</v>
      </c>
      <c r="BI266" s="52" t="s">
        <v>3286</v>
      </c>
      <c r="BJ266" s="41"/>
      <c r="BK266" s="41">
        <v>15591.5</v>
      </c>
      <c r="BL266" s="41">
        <v>49370</v>
      </c>
      <c r="BM266" s="51">
        <v>1</v>
      </c>
      <c r="BN266" s="51">
        <v>1</v>
      </c>
      <c r="BO266" s="52" t="s">
        <v>3286</v>
      </c>
      <c r="BP266" s="52" t="s">
        <v>3286</v>
      </c>
      <c r="BQ266" s="43"/>
      <c r="BR266" s="41">
        <v>-0.1099</v>
      </c>
      <c r="BS266" s="41">
        <v>-7.8100000000000003E-2</v>
      </c>
      <c r="BT266" s="52" t="s">
        <v>3288</v>
      </c>
      <c r="BU266" s="52" t="s">
        <v>3288</v>
      </c>
      <c r="BV266" s="41"/>
      <c r="BW266" s="50">
        <v>0.126</v>
      </c>
      <c r="BX266" s="50">
        <v>0.128</v>
      </c>
      <c r="BY266" s="41"/>
    </row>
    <row r="267" spans="1:77" s="81" customFormat="1">
      <c r="A267" s="147">
        <v>2.5</v>
      </c>
      <c r="B267" s="140" t="s">
        <v>373</v>
      </c>
      <c r="C267" s="120" t="s">
        <v>451</v>
      </c>
      <c r="D267" s="132" t="s">
        <v>122</v>
      </c>
      <c r="E267" s="82" t="s">
        <v>122</v>
      </c>
      <c r="F267" s="81" t="s">
        <v>122</v>
      </c>
      <c r="G267" s="81" t="s">
        <v>921</v>
      </c>
      <c r="H267" s="81" t="s">
        <v>922</v>
      </c>
      <c r="I267" s="81" t="s">
        <v>3377</v>
      </c>
      <c r="J267" s="81" t="s">
        <v>3317</v>
      </c>
      <c r="K267" s="81" t="s">
        <v>122</v>
      </c>
      <c r="L267" s="81">
        <v>2</v>
      </c>
      <c r="N267" s="81" t="s">
        <v>3397</v>
      </c>
      <c r="O267" s="81" t="s">
        <v>122</v>
      </c>
      <c r="P267" s="81">
        <v>2</v>
      </c>
      <c r="R267" s="81" t="s">
        <v>3520</v>
      </c>
      <c r="S267" s="81" t="s">
        <v>122</v>
      </c>
      <c r="T267" s="81">
        <v>1</v>
      </c>
      <c r="V267" s="81" t="s">
        <v>1125</v>
      </c>
      <c r="W267" s="81" t="s">
        <v>1494</v>
      </c>
      <c r="X267" s="81" t="s">
        <v>1413</v>
      </c>
      <c r="Y267" s="81" t="s">
        <v>1495</v>
      </c>
      <c r="Z267" s="81">
        <v>16</v>
      </c>
      <c r="AA267" s="81">
        <v>97.8</v>
      </c>
      <c r="AB267" s="81">
        <v>6</v>
      </c>
      <c r="AC267" s="81" t="s">
        <v>1470</v>
      </c>
      <c r="AD267" s="81" t="s">
        <v>1496</v>
      </c>
      <c r="AE267" s="81" t="s">
        <v>1497</v>
      </c>
      <c r="AF267" s="81" t="s">
        <v>921</v>
      </c>
      <c r="AG267" s="81" t="s">
        <v>1498</v>
      </c>
      <c r="AH267" s="81" t="s">
        <v>2451</v>
      </c>
      <c r="AI267" s="81" t="s">
        <v>2404</v>
      </c>
      <c r="AJ267" s="81" t="s">
        <v>2470</v>
      </c>
      <c r="AK267" s="81">
        <v>10</v>
      </c>
      <c r="AL267" s="81">
        <v>98.1</v>
      </c>
      <c r="AM267" s="81">
        <v>5</v>
      </c>
      <c r="AN267" s="81" t="s">
        <v>2406</v>
      </c>
      <c r="AO267" s="81" t="s">
        <v>2471</v>
      </c>
      <c r="AP267" s="81" t="s">
        <v>2472</v>
      </c>
      <c r="AQ267" s="81" t="s">
        <v>922</v>
      </c>
      <c r="AR267" s="81" t="s">
        <v>2473</v>
      </c>
      <c r="AT267" s="83" t="s">
        <v>122</v>
      </c>
      <c r="AU267" s="33">
        <v>5.654E-2</v>
      </c>
      <c r="AV267" s="33"/>
      <c r="AW267" s="113">
        <v>2.1240000000000001</v>
      </c>
      <c r="AX267" s="106">
        <v>1.4670000000000001</v>
      </c>
      <c r="AY267" s="123">
        <v>1.3149999999999999</v>
      </c>
      <c r="AZ267" s="87">
        <v>0.13300000000000001</v>
      </c>
      <c r="BA267" s="34"/>
      <c r="BB267" s="119">
        <v>2.306</v>
      </c>
      <c r="BC267" s="98">
        <v>1.1339999999999999</v>
      </c>
      <c r="BD267" s="34"/>
      <c r="BE267" s="33">
        <v>15401</v>
      </c>
      <c r="BF267" s="33">
        <v>163947</v>
      </c>
      <c r="BG267" s="88">
        <v>1</v>
      </c>
      <c r="BH267" s="88">
        <v>1</v>
      </c>
      <c r="BI267" s="89" t="s">
        <v>3286</v>
      </c>
      <c r="BJ267" s="33"/>
      <c r="BK267" s="33">
        <v>3513</v>
      </c>
      <c r="BL267" s="33">
        <v>140136</v>
      </c>
      <c r="BM267" s="88">
        <v>0</v>
      </c>
      <c r="BN267" s="88">
        <v>1</v>
      </c>
      <c r="BO267" s="89" t="s">
        <v>3286</v>
      </c>
      <c r="BP267" s="89" t="s">
        <v>3286</v>
      </c>
      <c r="BQ267" s="34"/>
      <c r="BR267" s="33">
        <v>-1.8599999999999998E-2</v>
      </c>
      <c r="BS267" s="33">
        <v>-9.2999999999999992E-3</v>
      </c>
      <c r="BT267" s="89" t="s">
        <v>3288</v>
      </c>
      <c r="BU267" s="89" t="s">
        <v>3288</v>
      </c>
      <c r="BV267" s="33"/>
      <c r="BW267" s="97">
        <v>0.95099999999999996</v>
      </c>
      <c r="BX267" s="114">
        <v>2.9279999999999999</v>
      </c>
      <c r="BY267" s="33"/>
    </row>
    <row r="268" spans="1:77" s="40" customFormat="1" ht="17" thickBot="1">
      <c r="A268" s="149">
        <v>2.5</v>
      </c>
      <c r="B268" s="142" t="s">
        <v>373</v>
      </c>
      <c r="C268" s="121" t="s">
        <v>451</v>
      </c>
      <c r="D268" s="134" t="s">
        <v>123</v>
      </c>
      <c r="E268" s="84" t="s">
        <v>123</v>
      </c>
      <c r="F268" s="40" t="s">
        <v>123</v>
      </c>
      <c r="G268" s="40" t="s">
        <v>980</v>
      </c>
      <c r="H268" s="40" t="s">
        <v>981</v>
      </c>
      <c r="I268" s="40" t="s">
        <v>3377</v>
      </c>
      <c r="J268" s="40" t="s">
        <v>3317</v>
      </c>
      <c r="K268" s="40" t="s">
        <v>123</v>
      </c>
      <c r="L268" s="40">
        <v>2</v>
      </c>
      <c r="N268" s="40" t="s">
        <v>3397</v>
      </c>
      <c r="O268" s="40" t="s">
        <v>123</v>
      </c>
      <c r="P268" s="40">
        <v>2</v>
      </c>
      <c r="R268" s="40" t="s">
        <v>3630</v>
      </c>
      <c r="S268" s="40" t="s">
        <v>123</v>
      </c>
      <c r="T268" s="40">
        <v>1</v>
      </c>
      <c r="V268" s="40" t="s">
        <v>1126</v>
      </c>
      <c r="W268" s="40" t="s">
        <v>1494</v>
      </c>
      <c r="X268" s="40" t="s">
        <v>1413</v>
      </c>
      <c r="Y268" s="40" t="s">
        <v>1499</v>
      </c>
      <c r="Z268" s="40">
        <v>16</v>
      </c>
      <c r="AA268" s="40">
        <v>95.9</v>
      </c>
      <c r="AB268" s="40">
        <v>12</v>
      </c>
      <c r="AC268" s="40" t="s">
        <v>1470</v>
      </c>
      <c r="AD268" s="40" t="s">
        <v>1500</v>
      </c>
      <c r="AE268" s="40" t="s">
        <v>980</v>
      </c>
      <c r="AF268" s="40" t="s">
        <v>980</v>
      </c>
      <c r="AG268" s="40" t="s">
        <v>1501</v>
      </c>
      <c r="AH268" s="40" t="s">
        <v>2451</v>
      </c>
      <c r="AI268" s="40" t="s">
        <v>2404</v>
      </c>
      <c r="AJ268" s="40" t="s">
        <v>2470</v>
      </c>
      <c r="AK268" s="40">
        <v>10</v>
      </c>
      <c r="AL268" s="40">
        <v>96.5</v>
      </c>
      <c r="AM268" s="40">
        <v>10</v>
      </c>
      <c r="AN268" s="40" t="s">
        <v>2406</v>
      </c>
      <c r="AO268" s="40" t="s">
        <v>2471</v>
      </c>
      <c r="AP268" s="40" t="s">
        <v>981</v>
      </c>
      <c r="AQ268" s="40" t="s">
        <v>981</v>
      </c>
      <c r="AR268" s="40" t="s">
        <v>2474</v>
      </c>
      <c r="AT268" s="85" t="s">
        <v>123</v>
      </c>
      <c r="AU268" s="35">
        <v>3.236E-2</v>
      </c>
      <c r="AV268" s="35"/>
      <c r="AW268" s="124">
        <v>2.0680000000000001</v>
      </c>
      <c r="AX268" s="95">
        <v>1.0429999999999999</v>
      </c>
      <c r="AY268" s="90">
        <v>0.112</v>
      </c>
      <c r="AZ268" s="90">
        <v>0.11600000000000001</v>
      </c>
      <c r="BA268" s="37"/>
      <c r="BB268" s="117">
        <v>2.871</v>
      </c>
      <c r="BC268" s="125">
        <v>1.1619999999999999</v>
      </c>
      <c r="BD268" s="37"/>
      <c r="BE268" s="35">
        <v>4963</v>
      </c>
      <c r="BF268" s="35">
        <v>132395</v>
      </c>
      <c r="BG268" s="93">
        <v>0</v>
      </c>
      <c r="BH268" s="93">
        <v>1</v>
      </c>
      <c r="BI268" s="94" t="s">
        <v>3286</v>
      </c>
      <c r="BJ268" s="35"/>
      <c r="BK268" s="35">
        <v>3455.5</v>
      </c>
      <c r="BL268" s="35">
        <v>175386</v>
      </c>
      <c r="BM268" s="93">
        <v>0</v>
      </c>
      <c r="BN268" s="93">
        <v>1</v>
      </c>
      <c r="BO268" s="94" t="s">
        <v>3286</v>
      </c>
      <c r="BP268" s="94" t="s">
        <v>3286</v>
      </c>
      <c r="BQ268" s="37"/>
      <c r="BR268" s="35">
        <v>-0.2641</v>
      </c>
      <c r="BS268" s="35">
        <v>-7.2800000000000004E-2</v>
      </c>
      <c r="BT268" s="94" t="s">
        <v>3288</v>
      </c>
      <c r="BU268" s="94" t="s">
        <v>3288</v>
      </c>
      <c r="BV268" s="35"/>
      <c r="BW268" s="99">
        <v>0.755</v>
      </c>
      <c r="BX268" s="102">
        <v>3.415</v>
      </c>
      <c r="BY268" s="35"/>
    </row>
    <row r="269" spans="1:77">
      <c r="A269" s="148">
        <v>2.5099999999999998</v>
      </c>
      <c r="B269" s="141" t="s">
        <v>409</v>
      </c>
      <c r="C269" s="86" t="s">
        <v>487</v>
      </c>
      <c r="D269" s="133" t="s">
        <v>274</v>
      </c>
      <c r="E269" s="80" t="s">
        <v>274</v>
      </c>
      <c r="F269" s="46" t="s">
        <v>274</v>
      </c>
      <c r="G269" s="46" t="s">
        <v>767</v>
      </c>
      <c r="H269" s="46" t="s">
        <v>768</v>
      </c>
      <c r="I269" s="46" t="s">
        <v>3377</v>
      </c>
      <c r="J269" s="46" t="s">
        <v>3364</v>
      </c>
      <c r="K269" s="46" t="s">
        <v>274</v>
      </c>
      <c r="L269" s="46">
        <v>2</v>
      </c>
      <c r="N269" s="46" t="s">
        <v>3464</v>
      </c>
      <c r="O269" s="46" t="s">
        <v>274</v>
      </c>
      <c r="P269" s="46">
        <v>1</v>
      </c>
      <c r="R269" s="46" t="s">
        <v>3600</v>
      </c>
      <c r="S269" s="46" t="s">
        <v>274</v>
      </c>
      <c r="T269" s="46">
        <v>1</v>
      </c>
      <c r="V269" s="46" t="s">
        <v>1257</v>
      </c>
      <c r="W269" s="46" t="s">
        <v>1502</v>
      </c>
      <c r="X269" s="46" t="s">
        <v>1413</v>
      </c>
      <c r="Y269" s="46" t="s">
        <v>1936</v>
      </c>
      <c r="Z269" s="46">
        <v>17</v>
      </c>
      <c r="AA269" s="46">
        <v>96</v>
      </c>
      <c r="AB269" s="46">
        <v>12</v>
      </c>
      <c r="AC269" s="46" t="s">
        <v>1454</v>
      </c>
      <c r="AD269" s="46" t="s">
        <v>1937</v>
      </c>
      <c r="AE269" s="46" t="s">
        <v>1938</v>
      </c>
      <c r="AF269" s="46" t="s">
        <v>767</v>
      </c>
      <c r="AG269" s="46" t="s">
        <v>1939</v>
      </c>
      <c r="AH269" s="46" t="s">
        <v>2451</v>
      </c>
      <c r="AI269" s="46" t="s">
        <v>2404</v>
      </c>
      <c r="AJ269" s="46" t="s">
        <v>2766</v>
      </c>
      <c r="AK269" s="46">
        <v>10</v>
      </c>
      <c r="AL269" s="46">
        <v>98.3</v>
      </c>
      <c r="AM269" s="46">
        <v>5</v>
      </c>
      <c r="AN269" s="46" t="s">
        <v>2406</v>
      </c>
      <c r="AO269" s="46" t="s">
        <v>2769</v>
      </c>
      <c r="AP269" s="46" t="s">
        <v>2854</v>
      </c>
      <c r="AQ269" s="46" t="s">
        <v>768</v>
      </c>
      <c r="AR269" s="46" t="s">
        <v>2855</v>
      </c>
      <c r="AT269" s="48" t="s">
        <v>274</v>
      </c>
      <c r="AU269" s="41">
        <v>0.20549999999999999</v>
      </c>
      <c r="AV269" s="41"/>
      <c r="AW269" s="55">
        <v>3.6339999999999999</v>
      </c>
      <c r="AX269" s="50">
        <v>0.14399999999999999</v>
      </c>
      <c r="AY269" s="54">
        <v>0.54</v>
      </c>
      <c r="AZ269" s="50">
        <v>0.13900000000000001</v>
      </c>
      <c r="BA269" s="43"/>
      <c r="BB269" s="55">
        <v>3.59</v>
      </c>
      <c r="BC269" s="49">
        <v>2.2080000000000002</v>
      </c>
      <c r="BD269" s="43"/>
      <c r="BE269" s="41">
        <v>27046</v>
      </c>
      <c r="BF269" s="41">
        <v>62379</v>
      </c>
      <c r="BG269" s="51">
        <v>1</v>
      </c>
      <c r="BH269" s="51">
        <v>1</v>
      </c>
      <c r="BI269" s="52" t="s">
        <v>3286</v>
      </c>
      <c r="BJ269" s="41"/>
      <c r="BK269" s="41">
        <v>3470.5</v>
      </c>
      <c r="BL269" s="41">
        <v>35603</v>
      </c>
      <c r="BM269" s="51">
        <v>0</v>
      </c>
      <c r="BN269" s="51">
        <v>1</v>
      </c>
      <c r="BO269" s="52" t="s">
        <v>3286</v>
      </c>
      <c r="BP269" s="52" t="s">
        <v>3286</v>
      </c>
      <c r="BQ269" s="43"/>
      <c r="BR269" s="41">
        <v>3.8E-3</v>
      </c>
      <c r="BS269" s="41">
        <v>-7.4000000000000003E-3</v>
      </c>
      <c r="BT269" s="52" t="s">
        <v>3288</v>
      </c>
      <c r="BU269" s="52" t="s">
        <v>3288</v>
      </c>
      <c r="BV269" s="41"/>
      <c r="BW269" s="58">
        <v>3.0569999999999999</v>
      </c>
      <c r="BX269" s="55">
        <v>3.544</v>
      </c>
      <c r="BY269" s="41"/>
    </row>
    <row r="270" spans="1:77" ht="17" thickBot="1">
      <c r="A270" s="148">
        <v>2.5099999999999998</v>
      </c>
      <c r="B270" s="141" t="s">
        <v>409</v>
      </c>
      <c r="C270" s="86" t="s">
        <v>487</v>
      </c>
      <c r="D270" s="133" t="s">
        <v>275</v>
      </c>
      <c r="E270" s="80" t="s">
        <v>276</v>
      </c>
      <c r="F270" s="46" t="s">
        <v>275</v>
      </c>
      <c r="G270" s="46" t="s">
        <v>1073</v>
      </c>
      <c r="H270" s="46" t="s">
        <v>1074</v>
      </c>
      <c r="I270" s="46" t="s">
        <v>3377</v>
      </c>
      <c r="J270" s="46" t="s">
        <v>3364</v>
      </c>
      <c r="K270" s="46" t="s">
        <v>275</v>
      </c>
      <c r="L270" s="46">
        <v>2</v>
      </c>
      <c r="N270" s="46" t="s">
        <v>3495</v>
      </c>
      <c r="O270" s="46" t="s">
        <v>275</v>
      </c>
      <c r="P270" s="46">
        <v>1</v>
      </c>
      <c r="R270" s="46" t="s">
        <v>3651</v>
      </c>
      <c r="S270" s="46" t="s">
        <v>275</v>
      </c>
      <c r="T270" s="46">
        <v>1</v>
      </c>
      <c r="V270" s="46" t="s">
        <v>1258</v>
      </c>
      <c r="W270" s="46" t="s">
        <v>1502</v>
      </c>
      <c r="X270" s="46" t="s">
        <v>1413</v>
      </c>
      <c r="Y270" s="46" t="s">
        <v>1940</v>
      </c>
      <c r="Z270" s="46">
        <v>17</v>
      </c>
      <c r="AA270" s="46">
        <v>98.3</v>
      </c>
      <c r="AB270" s="46">
        <v>5</v>
      </c>
      <c r="AC270" s="46" t="s">
        <v>1454</v>
      </c>
      <c r="AD270" s="46" t="s">
        <v>1941</v>
      </c>
      <c r="AE270" s="46" t="s">
        <v>1073</v>
      </c>
      <c r="AF270" s="46" t="s">
        <v>1073</v>
      </c>
      <c r="AG270" s="46" t="s">
        <v>1942</v>
      </c>
      <c r="AH270" s="46" t="s">
        <v>2451</v>
      </c>
      <c r="AI270" s="46" t="s">
        <v>2404</v>
      </c>
      <c r="AJ270" s="46" t="s">
        <v>2766</v>
      </c>
      <c r="AK270" s="46">
        <v>10</v>
      </c>
      <c r="AL270" s="46">
        <v>99.3</v>
      </c>
      <c r="AM270" s="46">
        <v>2</v>
      </c>
      <c r="AN270" s="46" t="s">
        <v>2406</v>
      </c>
      <c r="AO270" s="46" t="s">
        <v>2769</v>
      </c>
      <c r="AP270" s="46" t="s">
        <v>1074</v>
      </c>
      <c r="AQ270" s="46" t="s">
        <v>1074</v>
      </c>
      <c r="AR270" s="46" t="s">
        <v>2856</v>
      </c>
      <c r="AT270" s="48" t="s">
        <v>276</v>
      </c>
      <c r="AU270" s="41">
        <v>0.25140000000000001</v>
      </c>
      <c r="AV270" s="41"/>
      <c r="AW270" s="57">
        <v>0.625</v>
      </c>
      <c r="AX270" s="50">
        <v>0.14199999999999999</v>
      </c>
      <c r="AY270" s="50">
        <v>0.11899999999999999</v>
      </c>
      <c r="AZ270" s="50">
        <v>0.13800000000000001</v>
      </c>
      <c r="BA270" s="43"/>
      <c r="BB270" s="55">
        <v>3.3690000000000002</v>
      </c>
      <c r="BC270" s="60">
        <v>1.86</v>
      </c>
      <c r="BD270" s="43"/>
      <c r="BE270" s="41">
        <v>10867</v>
      </c>
      <c r="BF270" s="41">
        <v>76847</v>
      </c>
      <c r="BG270" s="51">
        <v>1</v>
      </c>
      <c r="BH270" s="51">
        <v>1</v>
      </c>
      <c r="BI270" s="52" t="s">
        <v>3286</v>
      </c>
      <c r="BJ270" s="41"/>
      <c r="BK270" s="41">
        <v>2753</v>
      </c>
      <c r="BL270" s="41">
        <v>51721</v>
      </c>
      <c r="BM270" s="51">
        <v>0</v>
      </c>
      <c r="BN270" s="51">
        <v>1</v>
      </c>
      <c r="BO270" s="52" t="s">
        <v>3286</v>
      </c>
      <c r="BP270" s="52" t="s">
        <v>3286</v>
      </c>
      <c r="BQ270" s="43"/>
      <c r="BR270" s="41">
        <v>-0.04</v>
      </c>
      <c r="BS270" s="41">
        <v>-1.23E-2</v>
      </c>
      <c r="BT270" s="52" t="s">
        <v>3288</v>
      </c>
      <c r="BU270" s="52" t="s">
        <v>3288</v>
      </c>
      <c r="BV270" s="41"/>
      <c r="BW270" s="57">
        <v>0.80700000000000005</v>
      </c>
      <c r="BX270" s="49">
        <v>3.2989999999999999</v>
      </c>
      <c r="BY270" s="41"/>
    </row>
    <row r="271" spans="1:77" s="81" customFormat="1">
      <c r="A271" s="147">
        <v>2.52</v>
      </c>
      <c r="B271" s="140" t="s">
        <v>410</v>
      </c>
      <c r="C271" s="120" t="s">
        <v>488</v>
      </c>
      <c r="D271" s="132" t="s">
        <v>277</v>
      </c>
      <c r="E271" s="82" t="s">
        <v>277</v>
      </c>
      <c r="F271" s="81" t="s">
        <v>277</v>
      </c>
      <c r="G271" s="81" t="s">
        <v>729</v>
      </c>
      <c r="H271" s="81" t="s">
        <v>730</v>
      </c>
      <c r="I271" s="81" t="s">
        <v>3377</v>
      </c>
      <c r="J271" s="81" t="s">
        <v>3358</v>
      </c>
      <c r="K271" s="81" t="s">
        <v>277</v>
      </c>
      <c r="L271" s="81">
        <v>2</v>
      </c>
      <c r="N271" s="81" t="s">
        <v>3456</v>
      </c>
      <c r="O271" s="81" t="s">
        <v>277</v>
      </c>
      <c r="P271" s="81">
        <v>1</v>
      </c>
      <c r="R271" s="81" t="s">
        <v>3590</v>
      </c>
      <c r="S271" s="81" t="s">
        <v>277</v>
      </c>
      <c r="T271" s="81">
        <v>1</v>
      </c>
      <c r="V271" s="81" t="s">
        <v>1259</v>
      </c>
      <c r="W271" s="81" t="s">
        <v>1529</v>
      </c>
      <c r="X271" s="81" t="s">
        <v>1413</v>
      </c>
      <c r="Y271" s="81" t="s">
        <v>1943</v>
      </c>
      <c r="Z271" s="81">
        <v>12</v>
      </c>
      <c r="AA271" s="81">
        <v>99</v>
      </c>
      <c r="AB271" s="81">
        <v>3</v>
      </c>
      <c r="AC271" s="81" t="s">
        <v>1744</v>
      </c>
      <c r="AD271" s="81" t="s">
        <v>1944</v>
      </c>
      <c r="AE271" s="81" t="s">
        <v>1945</v>
      </c>
      <c r="AF271" s="81" t="s">
        <v>729</v>
      </c>
      <c r="AG271" s="81" t="s">
        <v>1946</v>
      </c>
      <c r="AH271" s="81" t="s">
        <v>2528</v>
      </c>
      <c r="AI271" s="81" t="s">
        <v>2480</v>
      </c>
      <c r="AJ271" s="81" t="s">
        <v>2857</v>
      </c>
      <c r="AK271" s="81">
        <v>10</v>
      </c>
      <c r="AL271" s="81">
        <v>99.7</v>
      </c>
      <c r="AM271" s="81">
        <v>1</v>
      </c>
      <c r="AN271" s="81" t="s">
        <v>2406</v>
      </c>
      <c r="AO271" s="81" t="s">
        <v>2858</v>
      </c>
      <c r="AP271" s="81" t="s">
        <v>2859</v>
      </c>
      <c r="AQ271" s="81" t="s">
        <v>730</v>
      </c>
      <c r="AR271" s="81" t="s">
        <v>2860</v>
      </c>
      <c r="AT271" s="83" t="s">
        <v>277</v>
      </c>
      <c r="AU271" s="33">
        <v>0.39379999999999998</v>
      </c>
      <c r="AV271" s="33"/>
      <c r="AW271" s="115">
        <v>2.65</v>
      </c>
      <c r="AX271" s="114">
        <v>2.94</v>
      </c>
      <c r="AY271" s="87">
        <v>0.13300000000000001</v>
      </c>
      <c r="AZ271" s="87">
        <v>0.155</v>
      </c>
      <c r="BA271" s="34"/>
      <c r="BB271" s="87">
        <v>0.14399999999999999</v>
      </c>
      <c r="BC271" s="87">
        <v>8.3000000000000004E-2</v>
      </c>
      <c r="BD271" s="34"/>
      <c r="BE271" s="33">
        <v>25787.5</v>
      </c>
      <c r="BF271" s="33">
        <v>2695</v>
      </c>
      <c r="BG271" s="88">
        <v>1</v>
      </c>
      <c r="BH271" s="88">
        <v>0</v>
      </c>
      <c r="BI271" s="89" t="s">
        <v>3285</v>
      </c>
      <c r="BJ271" s="33"/>
      <c r="BK271" s="33">
        <v>3007</v>
      </c>
      <c r="BL271" s="33">
        <v>4176</v>
      </c>
      <c r="BM271" s="88">
        <v>0</v>
      </c>
      <c r="BN271" s="88">
        <v>0</v>
      </c>
      <c r="BO271" s="89" t="s">
        <v>3286</v>
      </c>
      <c r="BP271" s="89" t="s">
        <v>3287</v>
      </c>
      <c r="BQ271" s="34"/>
      <c r="BR271" s="33">
        <v>-2.9100000000000001E-2</v>
      </c>
      <c r="BS271" s="33">
        <v>3.7699999999999997E-2</v>
      </c>
      <c r="BT271" s="89" t="s">
        <v>3288</v>
      </c>
      <c r="BU271" s="89" t="s">
        <v>3288</v>
      </c>
      <c r="BV271" s="33"/>
      <c r="BW271" s="98">
        <v>1.7050000000000001</v>
      </c>
      <c r="BX271" s="104">
        <v>0.46800000000000003</v>
      </c>
      <c r="BY271" s="33"/>
    </row>
    <row r="272" spans="1:77" s="40" customFormat="1" ht="17" thickBot="1">
      <c r="A272" s="149">
        <v>2.52</v>
      </c>
      <c r="B272" s="142" t="s">
        <v>410</v>
      </c>
      <c r="C272" s="121" t="s">
        <v>488</v>
      </c>
      <c r="D272" s="134" t="s">
        <v>278</v>
      </c>
      <c r="E272" s="84" t="s">
        <v>279</v>
      </c>
      <c r="F272" s="40" t="s">
        <v>278</v>
      </c>
      <c r="G272" s="40" t="s">
        <v>1083</v>
      </c>
      <c r="H272" s="40" t="s">
        <v>1084</v>
      </c>
      <c r="I272" s="40" t="s">
        <v>3377</v>
      </c>
      <c r="J272" s="40" t="s">
        <v>3358</v>
      </c>
      <c r="K272" s="40" t="s">
        <v>278</v>
      </c>
      <c r="L272" s="40">
        <v>2</v>
      </c>
      <c r="N272" s="40" t="s">
        <v>3498</v>
      </c>
      <c r="O272" s="40" t="s">
        <v>278</v>
      </c>
      <c r="P272" s="40">
        <v>1</v>
      </c>
      <c r="R272" s="40" t="s">
        <v>3656</v>
      </c>
      <c r="S272" s="40" t="s">
        <v>278</v>
      </c>
      <c r="T272" s="40">
        <v>1</v>
      </c>
      <c r="V272" s="40" t="s">
        <v>1260</v>
      </c>
      <c r="W272" s="40" t="s">
        <v>1529</v>
      </c>
      <c r="X272" s="40" t="s">
        <v>1413</v>
      </c>
      <c r="Y272" s="40" t="s">
        <v>1947</v>
      </c>
      <c r="Z272" s="40">
        <v>12</v>
      </c>
      <c r="AA272" s="40">
        <v>92.9</v>
      </c>
      <c r="AB272" s="40">
        <v>21</v>
      </c>
      <c r="AC272" s="40" t="s">
        <v>1416</v>
      </c>
      <c r="AD272" s="40" t="s">
        <v>1948</v>
      </c>
      <c r="AE272" s="40" t="s">
        <v>1083</v>
      </c>
      <c r="AF272" s="40" t="s">
        <v>1083</v>
      </c>
      <c r="AG272" s="40" t="s">
        <v>1949</v>
      </c>
      <c r="AH272" s="40" t="s">
        <v>2528</v>
      </c>
      <c r="AI272" s="40" t="s">
        <v>2480</v>
      </c>
      <c r="AJ272" s="40" t="s">
        <v>2861</v>
      </c>
      <c r="AK272" s="40">
        <v>11</v>
      </c>
      <c r="AL272" s="40">
        <v>97.3</v>
      </c>
      <c r="AM272" s="40">
        <v>8</v>
      </c>
      <c r="AN272" s="40" t="s">
        <v>2406</v>
      </c>
      <c r="AO272" s="40" t="s">
        <v>2862</v>
      </c>
      <c r="AP272" s="40" t="s">
        <v>1084</v>
      </c>
      <c r="AQ272" s="40" t="s">
        <v>1084</v>
      </c>
      <c r="AR272" s="40" t="s">
        <v>2863</v>
      </c>
      <c r="AT272" s="85" t="s">
        <v>279</v>
      </c>
      <c r="AU272" s="35">
        <v>0.13389999999999999</v>
      </c>
      <c r="AV272" s="35"/>
      <c r="AW272" s="102">
        <v>3.5990000000000002</v>
      </c>
      <c r="AX272" s="102">
        <v>3.581</v>
      </c>
      <c r="AY272" s="90">
        <v>0.127</v>
      </c>
      <c r="AZ272" s="90">
        <v>0.126</v>
      </c>
      <c r="BA272" s="37"/>
      <c r="BB272" s="90">
        <v>0.113</v>
      </c>
      <c r="BC272" s="90">
        <v>8.1000000000000003E-2</v>
      </c>
      <c r="BD272" s="37"/>
      <c r="BE272" s="35">
        <v>35012.5</v>
      </c>
      <c r="BF272" s="35">
        <v>2324</v>
      </c>
      <c r="BG272" s="93">
        <v>1</v>
      </c>
      <c r="BH272" s="93">
        <v>0</v>
      </c>
      <c r="BI272" s="94" t="s">
        <v>3285</v>
      </c>
      <c r="BJ272" s="35"/>
      <c r="BK272" s="35">
        <v>6184</v>
      </c>
      <c r="BL272" s="35">
        <v>3550</v>
      </c>
      <c r="BM272" s="93">
        <v>1</v>
      </c>
      <c r="BN272" s="93">
        <v>0</v>
      </c>
      <c r="BO272" s="94" t="s">
        <v>3285</v>
      </c>
      <c r="BP272" s="94" t="s">
        <v>3285</v>
      </c>
      <c r="BQ272" s="37"/>
      <c r="BR272" s="35">
        <v>-9.4600000000000004E-2</v>
      </c>
      <c r="BS272" s="35">
        <v>-9.8000000000000004E-2</v>
      </c>
      <c r="BT272" s="94" t="s">
        <v>3288</v>
      </c>
      <c r="BU272" s="94" t="s">
        <v>3288</v>
      </c>
      <c r="BV272" s="35"/>
      <c r="BW272" s="117">
        <v>3.0310000000000001</v>
      </c>
      <c r="BX272" s="99">
        <v>0.81899999999999995</v>
      </c>
      <c r="BY272" s="35"/>
    </row>
    <row r="273" spans="1:77">
      <c r="A273" s="148">
        <v>2.5299999999999998</v>
      </c>
      <c r="B273" s="141" t="s">
        <v>411</v>
      </c>
      <c r="C273" s="86" t="s">
        <v>489</v>
      </c>
      <c r="D273" s="133" t="s">
        <v>280</v>
      </c>
      <c r="E273" s="80" t="s">
        <v>280</v>
      </c>
      <c r="F273" s="46" t="s">
        <v>280</v>
      </c>
      <c r="G273" s="46" t="s">
        <v>891</v>
      </c>
      <c r="H273" s="46" t="s">
        <v>892</v>
      </c>
      <c r="I273" s="46" t="s">
        <v>3377</v>
      </c>
      <c r="J273" s="46" t="s">
        <v>3303</v>
      </c>
      <c r="K273" s="46" t="s">
        <v>280</v>
      </c>
      <c r="L273" s="46">
        <v>2</v>
      </c>
      <c r="N273" s="46" t="s">
        <v>3383</v>
      </c>
      <c r="O273" s="46" t="s">
        <v>280</v>
      </c>
      <c r="P273" s="46">
        <v>2</v>
      </c>
      <c r="R273" s="46" t="s">
        <v>3507</v>
      </c>
      <c r="S273" s="46" t="s">
        <v>280</v>
      </c>
      <c r="T273" s="46">
        <v>2</v>
      </c>
      <c r="V273" s="46" t="s">
        <v>1261</v>
      </c>
      <c r="W273" s="46" t="s">
        <v>1529</v>
      </c>
      <c r="X273" s="46" t="s">
        <v>1413</v>
      </c>
      <c r="Y273" s="46" t="s">
        <v>1950</v>
      </c>
      <c r="Z273" s="46">
        <v>17</v>
      </c>
      <c r="AA273" s="46">
        <v>97.1</v>
      </c>
      <c r="AB273" s="46">
        <v>8</v>
      </c>
      <c r="AC273" s="46" t="s">
        <v>1445</v>
      </c>
      <c r="AD273" s="46" t="s">
        <v>1951</v>
      </c>
      <c r="AE273" s="46" t="s">
        <v>1952</v>
      </c>
      <c r="AF273" s="46" t="s">
        <v>891</v>
      </c>
      <c r="AG273" s="46" t="s">
        <v>1953</v>
      </c>
      <c r="AH273" s="46" t="s">
        <v>2499</v>
      </c>
      <c r="AI273" s="46" t="s">
        <v>2433</v>
      </c>
      <c r="AJ273" s="46" t="s">
        <v>2864</v>
      </c>
      <c r="AK273" s="46">
        <v>12</v>
      </c>
      <c r="AL273" s="46">
        <v>99.6</v>
      </c>
      <c r="AM273" s="46">
        <v>1</v>
      </c>
      <c r="AN273" s="46" t="s">
        <v>2406</v>
      </c>
      <c r="AO273" s="46" t="s">
        <v>2865</v>
      </c>
      <c r="AP273" s="46" t="s">
        <v>2866</v>
      </c>
      <c r="AQ273" s="46" t="s">
        <v>892</v>
      </c>
      <c r="AR273" s="46" t="s">
        <v>2867</v>
      </c>
      <c r="AT273" s="48" t="s">
        <v>280</v>
      </c>
      <c r="AU273" s="41">
        <v>0.29139999999999999</v>
      </c>
      <c r="AV273" s="41"/>
      <c r="AW273" s="58">
        <v>3.1179999999999999</v>
      </c>
      <c r="AX273" s="50">
        <v>0.17499999999999999</v>
      </c>
      <c r="AY273" s="50">
        <v>0.189</v>
      </c>
      <c r="AZ273" s="50">
        <v>0.124</v>
      </c>
      <c r="BA273" s="43"/>
      <c r="BB273" s="55">
        <v>3.4790000000000001</v>
      </c>
      <c r="BC273" s="58">
        <v>2.161</v>
      </c>
      <c r="BD273" s="43"/>
      <c r="BE273" s="41">
        <v>15757</v>
      </c>
      <c r="BF273" s="41">
        <v>70087</v>
      </c>
      <c r="BG273" s="51">
        <v>1</v>
      </c>
      <c r="BH273" s="51">
        <v>1</v>
      </c>
      <c r="BI273" s="52" t="s">
        <v>3286</v>
      </c>
      <c r="BJ273" s="41"/>
      <c r="BK273" s="41">
        <v>2713</v>
      </c>
      <c r="BL273" s="41">
        <v>41509</v>
      </c>
      <c r="BM273" s="51">
        <v>0</v>
      </c>
      <c r="BN273" s="51">
        <v>1</v>
      </c>
      <c r="BO273" s="52" t="s">
        <v>3286</v>
      </c>
      <c r="BP273" s="52" t="s">
        <v>3286</v>
      </c>
      <c r="BQ273" s="43"/>
      <c r="BR273" s="41">
        <v>-2.0799999999999999E-2</v>
      </c>
      <c r="BS273" s="41">
        <v>-1.2699999999999999E-2</v>
      </c>
      <c r="BT273" s="52" t="s">
        <v>3288</v>
      </c>
      <c r="BU273" s="52" t="s">
        <v>3288</v>
      </c>
      <c r="BV273" s="41"/>
      <c r="BW273" s="68">
        <v>1.4570000000000001</v>
      </c>
      <c r="BX273" s="49">
        <v>3.32</v>
      </c>
      <c r="BY273" s="41"/>
    </row>
    <row r="274" spans="1:77" ht="17" thickBot="1">
      <c r="A274" s="148">
        <v>2.5299999999999998</v>
      </c>
      <c r="B274" s="141" t="s">
        <v>411</v>
      </c>
      <c r="C274" s="86" t="s">
        <v>489</v>
      </c>
      <c r="D274" s="133" t="s">
        <v>281</v>
      </c>
      <c r="E274" s="80" t="s">
        <v>281</v>
      </c>
      <c r="F274" s="46" t="s">
        <v>281</v>
      </c>
      <c r="G274" s="46" t="s">
        <v>855</v>
      </c>
      <c r="H274" s="46" t="s">
        <v>856</v>
      </c>
      <c r="I274" s="46" t="s">
        <v>3377</v>
      </c>
      <c r="J274" s="46" t="s">
        <v>3303</v>
      </c>
      <c r="K274" s="46" t="s">
        <v>281</v>
      </c>
      <c r="L274" s="46">
        <v>2</v>
      </c>
      <c r="N274" s="46" t="s">
        <v>3383</v>
      </c>
      <c r="O274" s="46" t="s">
        <v>281</v>
      </c>
      <c r="P274" s="46">
        <v>2</v>
      </c>
      <c r="R274" s="46" t="s">
        <v>3507</v>
      </c>
      <c r="S274" s="46" t="s">
        <v>281</v>
      </c>
      <c r="T274" s="46">
        <v>2</v>
      </c>
      <c r="V274" s="46" t="s">
        <v>1262</v>
      </c>
      <c r="W274" s="46" t="s">
        <v>1529</v>
      </c>
      <c r="X274" s="46" t="s">
        <v>1413</v>
      </c>
      <c r="Y274" s="46" t="s">
        <v>1954</v>
      </c>
      <c r="Z274" s="46">
        <v>17</v>
      </c>
      <c r="AA274" s="46">
        <v>94.2</v>
      </c>
      <c r="AB274" s="46">
        <v>17</v>
      </c>
      <c r="AC274" s="46" t="s">
        <v>1445</v>
      </c>
      <c r="AD274" s="46" t="s">
        <v>1955</v>
      </c>
      <c r="AE274" s="46" t="s">
        <v>1956</v>
      </c>
      <c r="AF274" s="46" t="s">
        <v>855</v>
      </c>
      <c r="AG274" s="46" t="s">
        <v>1957</v>
      </c>
      <c r="AH274" s="46" t="s">
        <v>2499</v>
      </c>
      <c r="AI274" s="46" t="s">
        <v>2433</v>
      </c>
      <c r="AJ274" s="46" t="s">
        <v>2868</v>
      </c>
      <c r="AK274" s="46">
        <v>10</v>
      </c>
      <c r="AL274" s="46">
        <v>96.6</v>
      </c>
      <c r="AM274" s="46">
        <v>10</v>
      </c>
      <c r="AN274" s="46" t="s">
        <v>2406</v>
      </c>
      <c r="AO274" s="46" t="s">
        <v>2869</v>
      </c>
      <c r="AP274" s="46" t="s">
        <v>2870</v>
      </c>
      <c r="AQ274" s="46" t="s">
        <v>856</v>
      </c>
      <c r="AR274" s="46" t="s">
        <v>2871</v>
      </c>
      <c r="AT274" s="48" t="s">
        <v>281</v>
      </c>
      <c r="AU274" s="41">
        <v>0.21099999999999999</v>
      </c>
      <c r="AV274" s="41"/>
      <c r="AW274" s="55">
        <v>3.5750000000000002</v>
      </c>
      <c r="AX274" s="65">
        <v>2.2349999999999999</v>
      </c>
      <c r="AY274" s="59">
        <v>1.0609999999999999</v>
      </c>
      <c r="AZ274" s="50">
        <v>0.13300000000000001</v>
      </c>
      <c r="BA274" s="43"/>
      <c r="BB274" s="55">
        <v>3.4820000000000002</v>
      </c>
      <c r="BC274" s="58">
        <v>2.0379999999999998</v>
      </c>
      <c r="BD274" s="43"/>
      <c r="BE274" s="41">
        <v>14936.5</v>
      </c>
      <c r="BF274" s="41">
        <v>50898</v>
      </c>
      <c r="BG274" s="51">
        <v>1</v>
      </c>
      <c r="BH274" s="51">
        <v>1</v>
      </c>
      <c r="BI274" s="52" t="s">
        <v>3286</v>
      </c>
      <c r="BJ274" s="41"/>
      <c r="BK274" s="41">
        <v>3568</v>
      </c>
      <c r="BL274" s="41">
        <v>68290.5</v>
      </c>
      <c r="BM274" s="51">
        <v>0</v>
      </c>
      <c r="BN274" s="51">
        <v>1</v>
      </c>
      <c r="BO274" s="52" t="s">
        <v>3286</v>
      </c>
      <c r="BP274" s="52" t="s">
        <v>3286</v>
      </c>
      <c r="BQ274" s="43"/>
      <c r="BR274" s="41">
        <v>5.0000000000000001E-4</v>
      </c>
      <c r="BS274" s="41">
        <v>-4.7999999999999996E-3</v>
      </c>
      <c r="BT274" s="52" t="s">
        <v>3288</v>
      </c>
      <c r="BU274" s="52" t="s">
        <v>3288</v>
      </c>
      <c r="BV274" s="41"/>
      <c r="BW274" s="56">
        <v>2.7050000000000001</v>
      </c>
      <c r="BX274" s="55">
        <v>3.5329999999999999</v>
      </c>
      <c r="BY274" s="41"/>
    </row>
    <row r="275" spans="1:77" s="81" customFormat="1">
      <c r="A275" s="147">
        <v>2.54</v>
      </c>
      <c r="B275" s="140" t="s">
        <v>375</v>
      </c>
      <c r="C275" s="120" t="s">
        <v>453</v>
      </c>
      <c r="D275" s="132" t="s">
        <v>136</v>
      </c>
      <c r="E275" s="82" t="s">
        <v>136</v>
      </c>
      <c r="F275" s="81" t="s">
        <v>136</v>
      </c>
      <c r="G275" s="81" t="s">
        <v>907</v>
      </c>
      <c r="H275" s="81" t="s">
        <v>908</v>
      </c>
      <c r="I275" s="81" t="s">
        <v>3377</v>
      </c>
      <c r="J275" s="81" t="s">
        <v>3311</v>
      </c>
      <c r="K275" s="81" t="s">
        <v>136</v>
      </c>
      <c r="L275" s="81">
        <v>2</v>
      </c>
      <c r="N275" s="81" t="s">
        <v>3391</v>
      </c>
      <c r="O275" s="81" t="s">
        <v>136</v>
      </c>
      <c r="P275" s="81">
        <v>2</v>
      </c>
      <c r="R275" s="81" t="s">
        <v>3515</v>
      </c>
      <c r="S275" s="81" t="s">
        <v>136</v>
      </c>
      <c r="T275" s="81">
        <v>1</v>
      </c>
      <c r="V275" s="81" t="s">
        <v>1134</v>
      </c>
      <c r="W275" s="81" t="s">
        <v>1529</v>
      </c>
      <c r="X275" s="81" t="s">
        <v>1413</v>
      </c>
      <c r="Y275" s="81" t="s">
        <v>1530</v>
      </c>
      <c r="Z275" s="81">
        <v>17</v>
      </c>
      <c r="AA275" s="81">
        <v>95.6</v>
      </c>
      <c r="AB275" s="81">
        <v>12</v>
      </c>
      <c r="AC275" s="81" t="s">
        <v>1445</v>
      </c>
      <c r="AD275" s="81" t="s">
        <v>1531</v>
      </c>
      <c r="AE275" s="81" t="s">
        <v>1532</v>
      </c>
      <c r="AF275" s="81" t="s">
        <v>907</v>
      </c>
      <c r="AG275" s="81" t="s">
        <v>1533</v>
      </c>
      <c r="AH275" s="81" t="s">
        <v>2499</v>
      </c>
      <c r="AI275" s="81" t="s">
        <v>2480</v>
      </c>
      <c r="AJ275" s="81" t="s">
        <v>2500</v>
      </c>
      <c r="AK275" s="81">
        <v>11</v>
      </c>
      <c r="AL275" s="81">
        <v>98.2</v>
      </c>
      <c r="AM275" s="81">
        <v>5</v>
      </c>
      <c r="AN275" s="81" t="s">
        <v>2406</v>
      </c>
      <c r="AO275" s="81" t="s">
        <v>2501</v>
      </c>
      <c r="AP275" s="81" t="s">
        <v>2502</v>
      </c>
      <c r="AQ275" s="81" t="s">
        <v>908</v>
      </c>
      <c r="AR275" s="81" t="s">
        <v>2503</v>
      </c>
      <c r="AT275" s="83" t="s">
        <v>136</v>
      </c>
      <c r="AU275" s="33">
        <v>0.33660000000000001</v>
      </c>
      <c r="AV275" s="33"/>
      <c r="AW275" s="100">
        <v>3.4809999999999999</v>
      </c>
      <c r="AX275" s="87">
        <v>0.20300000000000001</v>
      </c>
      <c r="AY275" s="87">
        <v>0.14699999999999999</v>
      </c>
      <c r="AZ275" s="87">
        <v>0.13200000000000001</v>
      </c>
      <c r="BA275" s="34"/>
      <c r="BB275" s="100">
        <v>3.5030000000000001</v>
      </c>
      <c r="BC275" s="105">
        <v>2.1989999999999998</v>
      </c>
      <c r="BD275" s="34"/>
      <c r="BE275" s="33">
        <v>19934</v>
      </c>
      <c r="BF275" s="33">
        <v>53343</v>
      </c>
      <c r="BG275" s="88">
        <v>1</v>
      </c>
      <c r="BH275" s="88">
        <v>1</v>
      </c>
      <c r="BI275" s="89" t="s">
        <v>3286</v>
      </c>
      <c r="BJ275" s="33"/>
      <c r="BK275" s="33">
        <v>2722</v>
      </c>
      <c r="BL275" s="33">
        <v>42400</v>
      </c>
      <c r="BM275" s="88">
        <v>0</v>
      </c>
      <c r="BN275" s="88">
        <v>1</v>
      </c>
      <c r="BO275" s="89" t="s">
        <v>3286</v>
      </c>
      <c r="BP275" s="89" t="s">
        <v>3286</v>
      </c>
      <c r="BQ275" s="34"/>
      <c r="BR275" s="33">
        <v>-1.35E-2</v>
      </c>
      <c r="BS275" s="33">
        <v>3.8699999999999998E-2</v>
      </c>
      <c r="BT275" s="89" t="s">
        <v>3288</v>
      </c>
      <c r="BU275" s="89" t="s">
        <v>3288</v>
      </c>
      <c r="BV275" s="33"/>
      <c r="BW275" s="98">
        <v>1.7150000000000001</v>
      </c>
      <c r="BX275" s="105">
        <v>3.3460000000000001</v>
      </c>
      <c r="BY275" s="33"/>
    </row>
    <row r="276" spans="1:77" s="40" customFormat="1" ht="17" thickBot="1">
      <c r="A276" s="149">
        <v>2.54</v>
      </c>
      <c r="B276" s="142" t="s">
        <v>375</v>
      </c>
      <c r="C276" s="121" t="s">
        <v>453</v>
      </c>
      <c r="D276" s="134" t="s">
        <v>137</v>
      </c>
      <c r="E276" s="84" t="s">
        <v>137</v>
      </c>
      <c r="F276" s="40" t="s">
        <v>137</v>
      </c>
      <c r="G276" s="40" t="s">
        <v>588</v>
      </c>
      <c r="H276" s="40" t="s">
        <v>589</v>
      </c>
      <c r="I276" s="40" t="s">
        <v>3377</v>
      </c>
      <c r="J276" s="40" t="s">
        <v>3311</v>
      </c>
      <c r="K276" s="40" t="s">
        <v>137</v>
      </c>
      <c r="L276" s="40">
        <v>2</v>
      </c>
      <c r="N276" s="40" t="s">
        <v>3391</v>
      </c>
      <c r="O276" s="40" t="s">
        <v>137</v>
      </c>
      <c r="P276" s="40">
        <v>2</v>
      </c>
      <c r="R276" s="40" t="s">
        <v>3553</v>
      </c>
      <c r="S276" s="40" t="s">
        <v>137</v>
      </c>
      <c r="T276" s="40">
        <v>1</v>
      </c>
      <c r="V276" s="40" t="s">
        <v>1135</v>
      </c>
      <c r="W276" s="40" t="s">
        <v>1529</v>
      </c>
      <c r="X276" s="40" t="s">
        <v>1413</v>
      </c>
      <c r="Y276" s="40" t="s">
        <v>1534</v>
      </c>
      <c r="Z276" s="40">
        <v>17</v>
      </c>
      <c r="AA276" s="40">
        <v>96.3</v>
      </c>
      <c r="AB276" s="40">
        <v>11</v>
      </c>
      <c r="AC276" s="40" t="s">
        <v>1445</v>
      </c>
      <c r="AD276" s="40" t="s">
        <v>1535</v>
      </c>
      <c r="AE276" s="40" t="s">
        <v>588</v>
      </c>
      <c r="AF276" s="40" t="s">
        <v>588</v>
      </c>
      <c r="AG276" s="40" t="s">
        <v>1536</v>
      </c>
      <c r="AH276" s="40" t="s">
        <v>2499</v>
      </c>
      <c r="AI276" s="40" t="s">
        <v>2480</v>
      </c>
      <c r="AJ276" s="40" t="s">
        <v>2504</v>
      </c>
      <c r="AK276" s="40">
        <v>11</v>
      </c>
      <c r="AL276" s="40">
        <v>98</v>
      </c>
      <c r="AM276" s="40">
        <v>6</v>
      </c>
      <c r="AN276" s="40" t="s">
        <v>2406</v>
      </c>
      <c r="AO276" s="40" t="s">
        <v>2505</v>
      </c>
      <c r="AP276" s="40" t="s">
        <v>589</v>
      </c>
      <c r="AQ276" s="40" t="s">
        <v>589</v>
      </c>
      <c r="AR276" s="40" t="s">
        <v>2506</v>
      </c>
      <c r="AT276" s="85" t="s">
        <v>137</v>
      </c>
      <c r="AU276" s="35">
        <v>0.19359999999999999</v>
      </c>
      <c r="AV276" s="35"/>
      <c r="AW276" s="102">
        <v>3.609</v>
      </c>
      <c r="AX276" s="95">
        <v>1.012</v>
      </c>
      <c r="AY276" s="90">
        <v>0.217</v>
      </c>
      <c r="AZ276" s="90">
        <v>0.115</v>
      </c>
      <c r="BA276" s="37"/>
      <c r="BB276" s="102">
        <v>3.4830000000000001</v>
      </c>
      <c r="BC276" s="103">
        <v>2.0409999999999999</v>
      </c>
      <c r="BD276" s="37"/>
      <c r="BE276" s="35">
        <v>11751</v>
      </c>
      <c r="BF276" s="35">
        <v>85878</v>
      </c>
      <c r="BG276" s="93">
        <v>1</v>
      </c>
      <c r="BH276" s="93">
        <v>1</v>
      </c>
      <c r="BI276" s="94" t="s">
        <v>3286</v>
      </c>
      <c r="BJ276" s="35"/>
      <c r="BK276" s="35">
        <v>2617</v>
      </c>
      <c r="BL276" s="35">
        <v>97137</v>
      </c>
      <c r="BM276" s="93">
        <v>0</v>
      </c>
      <c r="BN276" s="93">
        <v>1</v>
      </c>
      <c r="BO276" s="94" t="s">
        <v>3286</v>
      </c>
      <c r="BP276" s="94" t="s">
        <v>3286</v>
      </c>
      <c r="BQ276" s="37"/>
      <c r="BR276" s="35">
        <v>-0.11</v>
      </c>
      <c r="BS276" s="35">
        <v>0.64670000000000005</v>
      </c>
      <c r="BT276" s="94" t="s">
        <v>3288</v>
      </c>
      <c r="BU276" s="94" t="s">
        <v>3290</v>
      </c>
      <c r="BV276" s="35"/>
      <c r="BW276" s="124">
        <v>2.0680000000000001</v>
      </c>
      <c r="BX276" s="102">
        <v>3.484</v>
      </c>
      <c r="BY276" s="35"/>
    </row>
    <row r="277" spans="1:77">
      <c r="A277" s="148">
        <v>2.5499999999999998</v>
      </c>
      <c r="B277" s="141" t="s">
        <v>412</v>
      </c>
      <c r="C277" s="86" t="s">
        <v>490</v>
      </c>
      <c r="D277" s="133" t="s">
        <v>282</v>
      </c>
      <c r="E277" s="80" t="s">
        <v>282</v>
      </c>
      <c r="F277" s="46" t="s">
        <v>282</v>
      </c>
      <c r="G277" s="46" t="s">
        <v>712</v>
      </c>
      <c r="H277" s="46" t="s">
        <v>713</v>
      </c>
      <c r="I277" s="46" t="s">
        <v>3377</v>
      </c>
      <c r="J277" s="46" t="s">
        <v>3357</v>
      </c>
      <c r="K277" s="46" t="s">
        <v>282</v>
      </c>
      <c r="L277" s="46">
        <v>2</v>
      </c>
      <c r="N277" s="46" t="s">
        <v>3452</v>
      </c>
      <c r="O277" s="46" t="s">
        <v>282</v>
      </c>
      <c r="P277" s="46">
        <v>1</v>
      </c>
      <c r="R277" s="46" t="s">
        <v>3584</v>
      </c>
      <c r="S277" s="46" t="s">
        <v>282</v>
      </c>
      <c r="T277" s="46">
        <v>1</v>
      </c>
      <c r="V277" s="46" t="s">
        <v>1264</v>
      </c>
      <c r="W277" s="46" t="s">
        <v>1959</v>
      </c>
      <c r="X277" s="46" t="s">
        <v>1428</v>
      </c>
      <c r="Y277" s="46" t="s">
        <v>1960</v>
      </c>
      <c r="Z277" s="46">
        <v>24</v>
      </c>
      <c r="AA277" s="46">
        <v>97.7</v>
      </c>
      <c r="AB277" s="46">
        <v>7</v>
      </c>
      <c r="AC277" s="46" t="s">
        <v>1449</v>
      </c>
      <c r="AD277" s="46" t="s">
        <v>1961</v>
      </c>
      <c r="AE277" s="46" t="s">
        <v>712</v>
      </c>
      <c r="AF277" s="46" t="s">
        <v>712</v>
      </c>
      <c r="AG277" s="46" t="s">
        <v>1962</v>
      </c>
      <c r="AH277" s="46" t="s">
        <v>2528</v>
      </c>
      <c r="AI277" s="46" t="s">
        <v>2508</v>
      </c>
      <c r="AJ277" s="46" t="s">
        <v>2873</v>
      </c>
      <c r="AK277" s="46">
        <v>10</v>
      </c>
      <c r="AL277" s="46">
        <v>98.3</v>
      </c>
      <c r="AM277" s="46">
        <v>5</v>
      </c>
      <c r="AN277" s="46" t="s">
        <v>2406</v>
      </c>
      <c r="AO277" s="46" t="s">
        <v>2874</v>
      </c>
      <c r="AP277" s="46" t="s">
        <v>713</v>
      </c>
      <c r="AQ277" s="46" t="s">
        <v>713</v>
      </c>
      <c r="AR277" s="46" t="s">
        <v>2875</v>
      </c>
      <c r="AT277" s="48" t="s">
        <v>282</v>
      </c>
      <c r="AU277" s="41">
        <v>0.2064</v>
      </c>
      <c r="AV277" s="41"/>
      <c r="AW277" s="55">
        <v>3.5609999999999999</v>
      </c>
      <c r="AX277" s="55">
        <v>3.6219999999999999</v>
      </c>
      <c r="AY277" s="54">
        <v>0.36499999999999999</v>
      </c>
      <c r="AZ277" s="50">
        <v>0.15</v>
      </c>
      <c r="BA277" s="43"/>
      <c r="BB277" s="55">
        <v>3.5680000000000001</v>
      </c>
      <c r="BC277" s="58">
        <v>2.1030000000000002</v>
      </c>
      <c r="BD277" s="43"/>
      <c r="BE277" s="41">
        <v>15890</v>
      </c>
      <c r="BF277" s="41">
        <v>89484</v>
      </c>
      <c r="BG277" s="51">
        <v>1</v>
      </c>
      <c r="BH277" s="51">
        <v>1</v>
      </c>
      <c r="BI277" s="52" t="s">
        <v>3286</v>
      </c>
      <c r="BJ277" s="41"/>
      <c r="BK277" s="41">
        <v>3117</v>
      </c>
      <c r="BL277" s="41">
        <v>53629.5</v>
      </c>
      <c r="BM277" s="51">
        <v>0</v>
      </c>
      <c r="BN277" s="51">
        <v>1</v>
      </c>
      <c r="BO277" s="52" t="s">
        <v>3286</v>
      </c>
      <c r="BP277" s="52" t="s">
        <v>3286</v>
      </c>
      <c r="BQ277" s="43"/>
      <c r="BR277" s="41">
        <v>-6.0299999999999999E-2</v>
      </c>
      <c r="BS277" s="41">
        <v>-0.08</v>
      </c>
      <c r="BT277" s="52" t="s">
        <v>3288</v>
      </c>
      <c r="BU277" s="52" t="s">
        <v>3288</v>
      </c>
      <c r="BV277" s="41"/>
      <c r="BW277" s="68">
        <v>1.5149999999999999</v>
      </c>
      <c r="BX277" s="55">
        <v>3.512</v>
      </c>
      <c r="BY277" s="41"/>
    </row>
    <row r="278" spans="1:77" ht="17" thickBot="1">
      <c r="A278" s="148">
        <v>2.5499999999999998</v>
      </c>
      <c r="B278" s="141" t="s">
        <v>412</v>
      </c>
      <c r="C278" s="86" t="s">
        <v>490</v>
      </c>
      <c r="D278" s="133" t="s">
        <v>283</v>
      </c>
      <c r="E278" s="80" t="s">
        <v>284</v>
      </c>
      <c r="F278" s="46" t="s">
        <v>283</v>
      </c>
      <c r="G278" s="46" t="s">
        <v>1081</v>
      </c>
      <c r="H278" s="46" t="s">
        <v>1082</v>
      </c>
      <c r="I278" s="46" t="s">
        <v>3377</v>
      </c>
      <c r="J278" s="46" t="s">
        <v>3357</v>
      </c>
      <c r="K278" s="46" t="s">
        <v>283</v>
      </c>
      <c r="L278" s="46">
        <v>2</v>
      </c>
      <c r="N278" s="46" t="s">
        <v>3497</v>
      </c>
      <c r="O278" s="46" t="s">
        <v>283</v>
      </c>
      <c r="P278" s="46">
        <v>1</v>
      </c>
      <c r="R278" s="46" t="s">
        <v>3655</v>
      </c>
      <c r="S278" s="46" t="s">
        <v>283</v>
      </c>
      <c r="T278" s="46">
        <v>1</v>
      </c>
      <c r="V278" s="46" t="s">
        <v>1265</v>
      </c>
      <c r="W278" s="46" t="s">
        <v>1959</v>
      </c>
      <c r="X278" s="46" t="s">
        <v>1428</v>
      </c>
      <c r="Y278" s="46" t="s">
        <v>1963</v>
      </c>
      <c r="Z278" s="46">
        <v>24</v>
      </c>
      <c r="AA278" s="46">
        <v>97</v>
      </c>
      <c r="AB278" s="46">
        <v>9</v>
      </c>
      <c r="AC278" s="46" t="s">
        <v>1445</v>
      </c>
      <c r="AD278" s="46" t="s">
        <v>1964</v>
      </c>
      <c r="AE278" s="46" t="s">
        <v>1081</v>
      </c>
      <c r="AF278" s="46" t="s">
        <v>1081</v>
      </c>
      <c r="AG278" s="46" t="s">
        <v>1965</v>
      </c>
      <c r="AH278" s="46" t="s">
        <v>2528</v>
      </c>
      <c r="AI278" s="46" t="s">
        <v>2508</v>
      </c>
      <c r="AJ278" s="46" t="s">
        <v>2876</v>
      </c>
      <c r="AK278" s="46">
        <v>10</v>
      </c>
      <c r="AL278" s="46">
        <v>95.3</v>
      </c>
      <c r="AM278" s="46">
        <v>14</v>
      </c>
      <c r="AN278" s="46" t="s">
        <v>2406</v>
      </c>
      <c r="AO278" s="46" t="s">
        <v>2877</v>
      </c>
      <c r="AP278" s="46" t="s">
        <v>1082</v>
      </c>
      <c r="AQ278" s="46" t="s">
        <v>1082</v>
      </c>
      <c r="AR278" s="46" t="s">
        <v>2878</v>
      </c>
      <c r="AT278" s="48" t="s">
        <v>284</v>
      </c>
      <c r="AU278" s="41">
        <v>0.26860000000000001</v>
      </c>
      <c r="AV278" s="41"/>
      <c r="AW278" s="55">
        <v>3.6360000000000001</v>
      </c>
      <c r="AX278" s="55">
        <v>3.605</v>
      </c>
      <c r="AY278" s="49">
        <v>3.2029999999999998</v>
      </c>
      <c r="AZ278" s="50">
        <v>0.13600000000000001</v>
      </c>
      <c r="BA278" s="43"/>
      <c r="BB278" s="55">
        <v>3.5630000000000002</v>
      </c>
      <c r="BC278" s="58">
        <v>2.1509999999999998</v>
      </c>
      <c r="BD278" s="43"/>
      <c r="BE278" s="41">
        <v>12878</v>
      </c>
      <c r="BF278" s="41">
        <v>72418</v>
      </c>
      <c r="BG278" s="51">
        <v>1</v>
      </c>
      <c r="BH278" s="51">
        <v>1</v>
      </c>
      <c r="BI278" s="52" t="s">
        <v>3286</v>
      </c>
      <c r="BJ278" s="41"/>
      <c r="BK278" s="41">
        <v>2589</v>
      </c>
      <c r="BL278" s="41">
        <v>112266</v>
      </c>
      <c r="BM278" s="51">
        <v>0</v>
      </c>
      <c r="BN278" s="51">
        <v>1</v>
      </c>
      <c r="BO278" s="52" t="s">
        <v>3286</v>
      </c>
      <c r="BP278" s="52" t="s">
        <v>3286</v>
      </c>
      <c r="BQ278" s="43"/>
      <c r="BR278" s="41">
        <v>-8.0699999999999994E-2</v>
      </c>
      <c r="BS278" s="41">
        <v>0.68520000000000003</v>
      </c>
      <c r="BT278" s="52" t="s">
        <v>3288</v>
      </c>
      <c r="BU278" s="52" t="s">
        <v>3290</v>
      </c>
      <c r="BV278" s="41"/>
      <c r="BW278" s="49">
        <v>3.2010000000000001</v>
      </c>
      <c r="BX278" s="55">
        <v>3.5670000000000002</v>
      </c>
      <c r="BY278" s="41"/>
    </row>
    <row r="279" spans="1:77" s="81" customFormat="1">
      <c r="A279" s="147">
        <v>2.56</v>
      </c>
      <c r="B279" s="140" t="s">
        <v>413</v>
      </c>
      <c r="C279" s="120" t="s">
        <v>491</v>
      </c>
      <c r="D279" s="132" t="s">
        <v>285</v>
      </c>
      <c r="E279" s="82" t="s">
        <v>285</v>
      </c>
      <c r="F279" s="81" t="s">
        <v>285</v>
      </c>
      <c r="G279" s="81" t="s">
        <v>813</v>
      </c>
      <c r="H279" s="81" t="s">
        <v>814</v>
      </c>
      <c r="I279" s="81" t="s">
        <v>3377</v>
      </c>
      <c r="J279" s="81" t="s">
        <v>3368</v>
      </c>
      <c r="K279" s="81" t="s">
        <v>285</v>
      </c>
      <c r="L279" s="81">
        <v>2</v>
      </c>
      <c r="N279" s="81" t="s">
        <v>3470</v>
      </c>
      <c r="O279" s="81" t="s">
        <v>285</v>
      </c>
      <c r="P279" s="81">
        <v>1</v>
      </c>
      <c r="R279" s="81" t="s">
        <v>3608</v>
      </c>
      <c r="S279" s="81" t="s">
        <v>285</v>
      </c>
      <c r="T279" s="81">
        <v>1</v>
      </c>
      <c r="V279" s="81" t="s">
        <v>1266</v>
      </c>
      <c r="W279" s="81" t="s">
        <v>1602</v>
      </c>
      <c r="X279" s="81" t="s">
        <v>1428</v>
      </c>
      <c r="Y279" s="81" t="s">
        <v>1966</v>
      </c>
      <c r="Z279" s="81">
        <v>16</v>
      </c>
      <c r="AA279" s="81">
        <v>96.6</v>
      </c>
      <c r="AB279" s="81">
        <v>10</v>
      </c>
      <c r="AC279" s="81" t="s">
        <v>1449</v>
      </c>
      <c r="AD279" s="81" t="s">
        <v>1967</v>
      </c>
      <c r="AE279" s="81" t="s">
        <v>1968</v>
      </c>
      <c r="AF279" s="81" t="s">
        <v>813</v>
      </c>
      <c r="AG279" s="81" t="s">
        <v>1969</v>
      </c>
      <c r="AH279" s="81" t="s">
        <v>2451</v>
      </c>
      <c r="AI279" s="81" t="s">
        <v>2411</v>
      </c>
      <c r="AJ279" s="81" t="s">
        <v>2879</v>
      </c>
      <c r="AK279" s="81">
        <v>10</v>
      </c>
      <c r="AL279" s="81">
        <v>96.2</v>
      </c>
      <c r="AM279" s="81">
        <v>11</v>
      </c>
      <c r="AN279" s="81" t="s">
        <v>2406</v>
      </c>
      <c r="AO279" s="81" t="s">
        <v>2880</v>
      </c>
      <c r="AP279" s="81" t="s">
        <v>603</v>
      </c>
      <c r="AQ279" s="81" t="s">
        <v>814</v>
      </c>
      <c r="AR279" s="81" t="s">
        <v>2881</v>
      </c>
      <c r="AT279" s="83" t="s">
        <v>285</v>
      </c>
      <c r="AU279" s="33">
        <v>0.17710000000000001</v>
      </c>
      <c r="AV279" s="33"/>
      <c r="AW279" s="100">
        <v>3.528</v>
      </c>
      <c r="AX279" s="105">
        <v>3.21</v>
      </c>
      <c r="AY279" s="100">
        <v>3.4809999999999999</v>
      </c>
      <c r="AZ279" s="87">
        <v>0.126</v>
      </c>
      <c r="BA279" s="34"/>
      <c r="BB279" s="100">
        <v>3.4569999999999999</v>
      </c>
      <c r="BC279" s="114">
        <v>2.0720000000000001</v>
      </c>
      <c r="BD279" s="34"/>
      <c r="BE279" s="33">
        <v>22321</v>
      </c>
      <c r="BF279" s="33">
        <v>67624</v>
      </c>
      <c r="BG279" s="88">
        <v>1</v>
      </c>
      <c r="BH279" s="88">
        <v>1</v>
      </c>
      <c r="BI279" s="89" t="s">
        <v>3286</v>
      </c>
      <c r="BJ279" s="33"/>
      <c r="BK279" s="33">
        <v>3201</v>
      </c>
      <c r="BL279" s="33">
        <v>73306</v>
      </c>
      <c r="BM279" s="88">
        <v>0</v>
      </c>
      <c r="BN279" s="88">
        <v>1</v>
      </c>
      <c r="BO279" s="89" t="s">
        <v>3286</v>
      </c>
      <c r="BP279" s="89" t="s">
        <v>3286</v>
      </c>
      <c r="BQ279" s="34"/>
      <c r="BR279" s="33">
        <v>1.1126</v>
      </c>
      <c r="BS279" s="33">
        <v>-1.11E-2</v>
      </c>
      <c r="BT279" s="89" t="s">
        <v>3290</v>
      </c>
      <c r="BU279" s="89" t="s">
        <v>3288</v>
      </c>
      <c r="BV279" s="33"/>
      <c r="BW279" s="115">
        <v>2.4039999999999999</v>
      </c>
      <c r="BX279" s="100">
        <v>3.5790000000000002</v>
      </c>
      <c r="BY279" s="33"/>
    </row>
    <row r="280" spans="1:77" s="40" customFormat="1" ht="17" thickBot="1">
      <c r="A280" s="149">
        <v>2.56</v>
      </c>
      <c r="B280" s="142" t="s">
        <v>413</v>
      </c>
      <c r="C280" s="121" t="s">
        <v>491</v>
      </c>
      <c r="D280" s="134" t="s">
        <v>286</v>
      </c>
      <c r="E280" s="84" t="s">
        <v>287</v>
      </c>
      <c r="F280" s="40" t="s">
        <v>286</v>
      </c>
      <c r="G280" s="40" t="s">
        <v>1085</v>
      </c>
      <c r="H280" s="40" t="s">
        <v>1086</v>
      </c>
      <c r="I280" s="40" t="s">
        <v>3377</v>
      </c>
      <c r="J280" s="40" t="s">
        <v>3368</v>
      </c>
      <c r="K280" s="40" t="s">
        <v>286</v>
      </c>
      <c r="L280" s="40">
        <v>2</v>
      </c>
      <c r="N280" s="40" t="s">
        <v>3499</v>
      </c>
      <c r="O280" s="40" t="s">
        <v>286</v>
      </c>
      <c r="P280" s="40">
        <v>1</v>
      </c>
      <c r="R280" s="40" t="s">
        <v>3657</v>
      </c>
      <c r="S280" s="40" t="s">
        <v>286</v>
      </c>
      <c r="T280" s="40">
        <v>1</v>
      </c>
      <c r="V280" s="40" t="s">
        <v>1267</v>
      </c>
      <c r="W280" s="40" t="s">
        <v>1602</v>
      </c>
      <c r="X280" s="40" t="s">
        <v>1428</v>
      </c>
      <c r="Y280" s="40" t="s">
        <v>1970</v>
      </c>
      <c r="Z280" s="40">
        <v>16</v>
      </c>
      <c r="AA280" s="40">
        <v>98.6</v>
      </c>
      <c r="AB280" s="40">
        <v>4</v>
      </c>
      <c r="AC280" s="40" t="s">
        <v>1617</v>
      </c>
      <c r="AD280" s="40" t="s">
        <v>1971</v>
      </c>
      <c r="AE280" s="40" t="s">
        <v>1085</v>
      </c>
      <c r="AF280" s="40" t="s">
        <v>1085</v>
      </c>
      <c r="AG280" s="40" t="s">
        <v>1972</v>
      </c>
      <c r="AH280" s="40" t="s">
        <v>2451</v>
      </c>
      <c r="AI280" s="40" t="s">
        <v>2411</v>
      </c>
      <c r="AJ280" s="40" t="s">
        <v>2882</v>
      </c>
      <c r="AK280" s="40">
        <v>10</v>
      </c>
      <c r="AL280" s="40">
        <v>98.2</v>
      </c>
      <c r="AM280" s="40">
        <v>5</v>
      </c>
      <c r="AN280" s="40" t="s">
        <v>2406</v>
      </c>
      <c r="AO280" s="40" t="s">
        <v>2883</v>
      </c>
      <c r="AP280" s="40" t="s">
        <v>1086</v>
      </c>
      <c r="AQ280" s="40" t="s">
        <v>1086</v>
      </c>
      <c r="AR280" s="40" t="s">
        <v>2884</v>
      </c>
      <c r="AT280" s="85" t="s">
        <v>287</v>
      </c>
      <c r="AU280" s="35">
        <v>0.26719999999999999</v>
      </c>
      <c r="AV280" s="35"/>
      <c r="AW280" s="102">
        <v>3.5249999999999999</v>
      </c>
      <c r="AX280" s="102">
        <v>3.54</v>
      </c>
      <c r="AY280" s="102">
        <v>3.492</v>
      </c>
      <c r="AZ280" s="90">
        <v>0.157</v>
      </c>
      <c r="BA280" s="37"/>
      <c r="BB280" s="102">
        <v>3.4929999999999999</v>
      </c>
      <c r="BC280" s="110">
        <v>2.3149999999999999</v>
      </c>
      <c r="BD280" s="37"/>
      <c r="BE280" s="35">
        <v>13723</v>
      </c>
      <c r="BF280" s="35">
        <v>70347</v>
      </c>
      <c r="BG280" s="93">
        <v>1</v>
      </c>
      <c r="BH280" s="93">
        <v>1</v>
      </c>
      <c r="BI280" s="94" t="s">
        <v>3286</v>
      </c>
      <c r="BJ280" s="35"/>
      <c r="BK280" s="35">
        <v>5401</v>
      </c>
      <c r="BL280" s="35">
        <v>67435</v>
      </c>
      <c r="BM280" s="93">
        <v>1</v>
      </c>
      <c r="BN280" s="93">
        <v>1</v>
      </c>
      <c r="BO280" s="94" t="s">
        <v>3286</v>
      </c>
      <c r="BP280" s="94" t="s">
        <v>3286</v>
      </c>
      <c r="BQ280" s="37"/>
      <c r="BR280" s="35">
        <v>0.58209999999999995</v>
      </c>
      <c r="BS280" s="35">
        <v>0.11940000000000001</v>
      </c>
      <c r="BT280" s="94" t="s">
        <v>3290</v>
      </c>
      <c r="BU280" s="94" t="s">
        <v>3288</v>
      </c>
      <c r="BV280" s="35"/>
      <c r="BW280" s="110">
        <v>3.1869999999999998</v>
      </c>
      <c r="BX280" s="102">
        <v>3.5059999999999998</v>
      </c>
      <c r="BY280" s="35"/>
    </row>
    <row r="281" spans="1:77">
      <c r="A281" s="148">
        <v>2.57</v>
      </c>
      <c r="B281" s="141" t="s">
        <v>414</v>
      </c>
      <c r="C281" s="86" t="s">
        <v>492</v>
      </c>
      <c r="D281" s="133" t="s">
        <v>288</v>
      </c>
      <c r="E281" s="80" t="s">
        <v>288</v>
      </c>
      <c r="F281" s="46" t="s">
        <v>288</v>
      </c>
      <c r="G281" s="46" t="s">
        <v>640</v>
      </c>
      <c r="H281" s="46" t="s">
        <v>641</v>
      </c>
      <c r="I281" s="46" t="s">
        <v>3377</v>
      </c>
      <c r="J281" s="46" t="s">
        <v>3347</v>
      </c>
      <c r="K281" s="46" t="s">
        <v>288</v>
      </c>
      <c r="L281" s="46">
        <v>2</v>
      </c>
      <c r="N281" s="46" t="s">
        <v>3438</v>
      </c>
      <c r="O281" s="46" t="s">
        <v>288</v>
      </c>
      <c r="P281" s="46">
        <v>2</v>
      </c>
      <c r="R281" s="46" t="s">
        <v>3569</v>
      </c>
      <c r="S281" s="46" t="s">
        <v>288</v>
      </c>
      <c r="T281" s="46">
        <v>1</v>
      </c>
      <c r="V281" s="46" t="s">
        <v>1268</v>
      </c>
      <c r="W281" s="46" t="s">
        <v>1602</v>
      </c>
      <c r="X281" s="46" t="s">
        <v>1428</v>
      </c>
      <c r="Y281" s="46" t="s">
        <v>1973</v>
      </c>
      <c r="Z281" s="46">
        <v>18</v>
      </c>
      <c r="AA281" s="46">
        <v>96.3</v>
      </c>
      <c r="AB281" s="46">
        <v>11</v>
      </c>
      <c r="AC281" s="46" t="s">
        <v>1627</v>
      </c>
      <c r="AD281" s="46" t="s">
        <v>1974</v>
      </c>
      <c r="AE281" s="46" t="s">
        <v>640</v>
      </c>
      <c r="AF281" s="46" t="s">
        <v>640</v>
      </c>
      <c r="AG281" s="46" t="s">
        <v>1975</v>
      </c>
      <c r="AH281" s="46" t="s">
        <v>2885</v>
      </c>
      <c r="AI281" s="46" t="s">
        <v>2404</v>
      </c>
      <c r="AJ281" s="46" t="s">
        <v>2632</v>
      </c>
      <c r="AK281" s="46">
        <v>10</v>
      </c>
      <c r="AL281" s="46">
        <v>93.7</v>
      </c>
      <c r="AM281" s="46">
        <v>18</v>
      </c>
      <c r="AN281" s="46" t="s">
        <v>2406</v>
      </c>
      <c r="AO281" s="46" t="s">
        <v>2886</v>
      </c>
      <c r="AP281" s="46" t="s">
        <v>641</v>
      </c>
      <c r="AQ281" s="46" t="s">
        <v>641</v>
      </c>
      <c r="AR281" s="46" t="s">
        <v>2887</v>
      </c>
      <c r="AT281" s="48" t="s">
        <v>288</v>
      </c>
      <c r="AU281" s="41">
        <v>0.20050000000000001</v>
      </c>
      <c r="AV281" s="41"/>
      <c r="AW281" s="61">
        <v>3.585</v>
      </c>
      <c r="AX281" s="61">
        <v>3.5579999999999998</v>
      </c>
      <c r="AY281" s="78">
        <v>1.1870000000000001</v>
      </c>
      <c r="AZ281" s="63">
        <v>0.154</v>
      </c>
      <c r="BA281" s="42"/>
      <c r="BB281" s="55">
        <v>3.5150000000000001</v>
      </c>
      <c r="BC281" s="49">
        <v>2.5139999999999998</v>
      </c>
      <c r="BD281" s="43"/>
      <c r="BE281" s="41">
        <v>10938</v>
      </c>
      <c r="BF281" s="41">
        <v>105639</v>
      </c>
      <c r="BG281" s="51">
        <v>1</v>
      </c>
      <c r="BH281" s="51">
        <v>1</v>
      </c>
      <c r="BI281" s="52" t="s">
        <v>3286</v>
      </c>
      <c r="BJ281" s="41"/>
      <c r="BK281" s="41">
        <v>3577</v>
      </c>
      <c r="BL281" s="41">
        <v>88976.5</v>
      </c>
      <c r="BM281" s="51">
        <v>0</v>
      </c>
      <c r="BN281" s="51">
        <v>1</v>
      </c>
      <c r="BO281" s="52" t="s">
        <v>3286</v>
      </c>
      <c r="BP281" s="52" t="s">
        <v>3286</v>
      </c>
      <c r="BQ281" s="43"/>
      <c r="BR281" s="41">
        <v>-0.21929999999999999</v>
      </c>
      <c r="BS281" s="41">
        <v>-5.4300000000000001E-2</v>
      </c>
      <c r="BT281" s="52" t="s">
        <v>3288</v>
      </c>
      <c r="BU281" s="52" t="s">
        <v>3288</v>
      </c>
      <c r="BV281" s="41"/>
      <c r="BW281" s="55">
        <v>3.4529999999999998</v>
      </c>
      <c r="BX281" s="55">
        <v>3.496</v>
      </c>
      <c r="BY281" s="41"/>
    </row>
    <row r="282" spans="1:77" ht="17" thickBot="1">
      <c r="A282" s="148">
        <v>2.57</v>
      </c>
      <c r="B282" s="141" t="s">
        <v>414</v>
      </c>
      <c r="C282" s="86" t="s">
        <v>492</v>
      </c>
      <c r="D282" s="133" t="s">
        <v>289</v>
      </c>
      <c r="E282" s="80" t="s">
        <v>290</v>
      </c>
      <c r="F282" s="46" t="s">
        <v>289</v>
      </c>
      <c r="G282" s="46" t="s">
        <v>1018</v>
      </c>
      <c r="H282" s="46" t="s">
        <v>1019</v>
      </c>
      <c r="I282" s="46" t="s">
        <v>3377</v>
      </c>
      <c r="J282" s="46" t="s">
        <v>3347</v>
      </c>
      <c r="K282" s="46" t="s">
        <v>289</v>
      </c>
      <c r="L282" s="46">
        <v>2</v>
      </c>
      <c r="N282" s="46" t="s">
        <v>3438</v>
      </c>
      <c r="O282" s="46" t="s">
        <v>289</v>
      </c>
      <c r="P282" s="46">
        <v>2</v>
      </c>
      <c r="R282" s="46" t="s">
        <v>3631</v>
      </c>
      <c r="S282" s="46" t="s">
        <v>289</v>
      </c>
      <c r="T282" s="46">
        <v>1</v>
      </c>
      <c r="V282" s="46" t="s">
        <v>1269</v>
      </c>
      <c r="W282" s="46" t="s">
        <v>1602</v>
      </c>
      <c r="X282" s="46" t="s">
        <v>1428</v>
      </c>
      <c r="Y282" s="46" t="s">
        <v>1976</v>
      </c>
      <c r="Z282" s="46">
        <v>18</v>
      </c>
      <c r="AA282" s="46">
        <v>100</v>
      </c>
      <c r="AB282" s="46">
        <v>0</v>
      </c>
      <c r="AC282" s="46" t="s">
        <v>1627</v>
      </c>
      <c r="AD282" s="46" t="s">
        <v>1977</v>
      </c>
      <c r="AE282" s="46" t="s">
        <v>1018</v>
      </c>
      <c r="AF282" s="46" t="s">
        <v>1018</v>
      </c>
      <c r="AG282" s="46" t="s">
        <v>1978</v>
      </c>
      <c r="AH282" s="46" t="s">
        <v>2885</v>
      </c>
      <c r="AI282" s="46" t="s">
        <v>2404</v>
      </c>
      <c r="AJ282" s="46" t="s">
        <v>2766</v>
      </c>
      <c r="AK282" s="46">
        <v>10</v>
      </c>
      <c r="AL282" s="46">
        <v>100</v>
      </c>
      <c r="AM282" s="46">
        <v>0</v>
      </c>
      <c r="AN282" s="46" t="s">
        <v>2406</v>
      </c>
      <c r="AO282" s="46" t="s">
        <v>2769</v>
      </c>
      <c r="AP282" s="46" t="s">
        <v>1019</v>
      </c>
      <c r="AQ282" s="46" t="s">
        <v>1019</v>
      </c>
      <c r="AR282" s="46" t="s">
        <v>2888</v>
      </c>
      <c r="AT282" s="48" t="s">
        <v>290</v>
      </c>
      <c r="AU282" s="41">
        <v>0.20749999999999999</v>
      </c>
      <c r="AV282" s="41"/>
      <c r="AW282" s="50">
        <v>0.13300000000000001</v>
      </c>
      <c r="AX282" s="50">
        <v>0.14799999999999999</v>
      </c>
      <c r="AY282" s="50">
        <v>0.121</v>
      </c>
      <c r="AZ282" s="50">
        <v>0.14299999999999999</v>
      </c>
      <c r="BA282" s="43"/>
      <c r="BB282" s="50">
        <v>0.127</v>
      </c>
      <c r="BC282" s="50">
        <v>0.10299999999999999</v>
      </c>
      <c r="BD282" s="43"/>
      <c r="BE282" s="41">
        <v>26328</v>
      </c>
      <c r="BF282" s="41">
        <v>26841</v>
      </c>
      <c r="BG282" s="51">
        <v>1</v>
      </c>
      <c r="BH282" s="51">
        <v>1</v>
      </c>
      <c r="BI282" s="52" t="s">
        <v>3289</v>
      </c>
      <c r="BJ282" s="41"/>
      <c r="BK282" s="41">
        <v>3159</v>
      </c>
      <c r="BL282" s="41">
        <v>29314.5</v>
      </c>
      <c r="BM282" s="51">
        <v>0</v>
      </c>
      <c r="BN282" s="51">
        <v>1</v>
      </c>
      <c r="BO282" s="52" t="s">
        <v>3286</v>
      </c>
      <c r="BP282" s="52" t="s">
        <v>3287</v>
      </c>
      <c r="BQ282" s="43"/>
      <c r="BR282" s="41">
        <v>-9.1700000000000004E-2</v>
      </c>
      <c r="BS282" s="41">
        <v>-6.4299999999999996E-2</v>
      </c>
      <c r="BT282" s="52" t="s">
        <v>3288</v>
      </c>
      <c r="BU282" s="52" t="s">
        <v>3288</v>
      </c>
      <c r="BV282" s="41"/>
      <c r="BW282" s="50">
        <v>0.127</v>
      </c>
      <c r="BX282" s="50">
        <v>0.11799999999999999</v>
      </c>
      <c r="BY282" s="41"/>
    </row>
    <row r="283" spans="1:77" s="81" customFormat="1">
      <c r="A283" s="147">
        <v>2.58</v>
      </c>
      <c r="B283" s="140" t="s">
        <v>376</v>
      </c>
      <c r="C283" s="120" t="s">
        <v>454</v>
      </c>
      <c r="D283" s="132" t="s">
        <v>138</v>
      </c>
      <c r="E283" s="82" t="s">
        <v>138</v>
      </c>
      <c r="F283" s="81" t="s">
        <v>138</v>
      </c>
      <c r="G283" s="81" t="s">
        <v>984</v>
      </c>
      <c r="H283" s="81" t="s">
        <v>985</v>
      </c>
      <c r="I283" s="81" t="s">
        <v>3377</v>
      </c>
      <c r="J283" s="81" t="s">
        <v>3373</v>
      </c>
      <c r="K283" s="81" t="s">
        <v>138</v>
      </c>
      <c r="L283" s="81">
        <v>2</v>
      </c>
      <c r="N283" s="81" t="s">
        <v>3501</v>
      </c>
      <c r="O283" s="81" t="s">
        <v>138</v>
      </c>
      <c r="P283" s="81">
        <v>2</v>
      </c>
      <c r="R283" s="81" t="s">
        <v>3663</v>
      </c>
      <c r="S283" s="81" t="s">
        <v>138</v>
      </c>
      <c r="T283" s="81">
        <v>2</v>
      </c>
      <c r="V283" s="81" t="s">
        <v>1136</v>
      </c>
      <c r="W283" s="81" t="s">
        <v>1537</v>
      </c>
      <c r="X283" s="81" t="s">
        <v>1413</v>
      </c>
      <c r="Y283" s="81" t="s">
        <v>1538</v>
      </c>
      <c r="Z283" s="81">
        <v>10</v>
      </c>
      <c r="AA283" s="81">
        <v>94.2</v>
      </c>
      <c r="AB283" s="81">
        <v>17</v>
      </c>
      <c r="AC283" s="81" t="s">
        <v>1430</v>
      </c>
      <c r="AD283" s="81" t="s">
        <v>1539</v>
      </c>
      <c r="AE283" s="81" t="s">
        <v>984</v>
      </c>
      <c r="AF283" s="81" t="s">
        <v>984</v>
      </c>
      <c r="AG283" s="81" t="s">
        <v>1540</v>
      </c>
      <c r="AH283" s="81" t="s">
        <v>2507</v>
      </c>
      <c r="AI283" s="81" t="s">
        <v>2508</v>
      </c>
      <c r="AJ283" s="81" t="s">
        <v>2509</v>
      </c>
      <c r="AK283" s="81">
        <v>10</v>
      </c>
      <c r="AL283" s="81">
        <v>96.9</v>
      </c>
      <c r="AM283" s="81">
        <v>9</v>
      </c>
      <c r="AN283" s="81" t="s">
        <v>2406</v>
      </c>
      <c r="AO283" s="81" t="s">
        <v>2510</v>
      </c>
      <c r="AP283" s="81" t="s">
        <v>985</v>
      </c>
      <c r="AQ283" s="81" t="s">
        <v>985</v>
      </c>
      <c r="AR283" s="81" t="s">
        <v>2511</v>
      </c>
      <c r="AT283" s="83" t="s">
        <v>138</v>
      </c>
      <c r="AU283" s="33">
        <v>0.2082</v>
      </c>
      <c r="AV283" s="33"/>
      <c r="AW283" s="87">
        <v>0.123</v>
      </c>
      <c r="AX283" s="87">
        <v>0.13400000000000001</v>
      </c>
      <c r="AY283" s="87">
        <v>0.124</v>
      </c>
      <c r="AZ283" s="87">
        <v>0.151</v>
      </c>
      <c r="BA283" s="34"/>
      <c r="BB283" s="87">
        <v>0.11600000000000001</v>
      </c>
      <c r="BC283" s="87">
        <v>8.5999999999999993E-2</v>
      </c>
      <c r="BD283" s="34"/>
      <c r="BE283" s="33">
        <v>13968.5</v>
      </c>
      <c r="BF283" s="33">
        <v>1907.5</v>
      </c>
      <c r="BG283" s="88">
        <v>1</v>
      </c>
      <c r="BH283" s="88">
        <v>0</v>
      </c>
      <c r="BI283" s="89" t="s">
        <v>3285</v>
      </c>
      <c r="BJ283" s="33"/>
      <c r="BK283" s="33">
        <v>2836</v>
      </c>
      <c r="BL283" s="33">
        <v>2701</v>
      </c>
      <c r="BM283" s="88">
        <v>0</v>
      </c>
      <c r="BN283" s="88">
        <v>0</v>
      </c>
      <c r="BO283" s="89" t="s">
        <v>3289</v>
      </c>
      <c r="BP283" s="89" t="s">
        <v>3287</v>
      </c>
      <c r="BQ283" s="34"/>
      <c r="BR283" s="33">
        <v>-8.77E-2</v>
      </c>
      <c r="BS283" s="33">
        <v>-8.1600000000000006E-2</v>
      </c>
      <c r="BT283" s="89" t="s">
        <v>3288</v>
      </c>
      <c r="BU283" s="89" t="s">
        <v>3288</v>
      </c>
      <c r="BV283" s="33"/>
      <c r="BW283" s="87">
        <v>0.126</v>
      </c>
      <c r="BX283" s="87">
        <v>0.112</v>
      </c>
      <c r="BY283" s="33"/>
    </row>
    <row r="284" spans="1:77" s="40" customFormat="1" ht="17" thickBot="1">
      <c r="A284" s="149">
        <v>2.58</v>
      </c>
      <c r="B284" s="142" t="s">
        <v>376</v>
      </c>
      <c r="C284" s="121" t="s">
        <v>454</v>
      </c>
      <c r="D284" s="134" t="s">
        <v>139</v>
      </c>
      <c r="E284" s="84" t="s">
        <v>139</v>
      </c>
      <c r="F284" s="40" t="s">
        <v>139</v>
      </c>
      <c r="G284" s="40" t="s">
        <v>1006</v>
      </c>
      <c r="H284" s="40" t="s">
        <v>1007</v>
      </c>
      <c r="I284" s="40" t="s">
        <v>3377</v>
      </c>
      <c r="J284" s="40" t="s">
        <v>3373</v>
      </c>
      <c r="K284" s="40" t="s">
        <v>139</v>
      </c>
      <c r="L284" s="40">
        <v>2</v>
      </c>
      <c r="N284" s="40" t="s">
        <v>3501</v>
      </c>
      <c r="O284" s="40" t="s">
        <v>139</v>
      </c>
      <c r="P284" s="40">
        <v>2</v>
      </c>
      <c r="R284" s="40" t="s">
        <v>3663</v>
      </c>
      <c r="S284" s="40" t="s">
        <v>139</v>
      </c>
      <c r="T284" s="40">
        <v>2</v>
      </c>
      <c r="V284" s="40" t="s">
        <v>1137</v>
      </c>
      <c r="W284" s="40" t="s">
        <v>1537</v>
      </c>
      <c r="X284" s="40" t="s">
        <v>1413</v>
      </c>
      <c r="Y284" s="40" t="s">
        <v>1541</v>
      </c>
      <c r="Z284" s="40">
        <v>10</v>
      </c>
      <c r="AA284" s="40">
        <v>91.2</v>
      </c>
      <c r="AB284" s="40">
        <v>26</v>
      </c>
      <c r="AC284" s="40" t="s">
        <v>1423</v>
      </c>
      <c r="AD284" s="40" t="s">
        <v>1542</v>
      </c>
      <c r="AE284" s="40" t="s">
        <v>1006</v>
      </c>
      <c r="AF284" s="40" t="s">
        <v>1006</v>
      </c>
      <c r="AG284" s="40" t="s">
        <v>1543</v>
      </c>
      <c r="AH284" s="40" t="s">
        <v>2507</v>
      </c>
      <c r="AI284" s="40" t="s">
        <v>2508</v>
      </c>
      <c r="AJ284" s="40" t="s">
        <v>2512</v>
      </c>
      <c r="AK284" s="40">
        <v>10</v>
      </c>
      <c r="AL284" s="40">
        <v>96.6</v>
      </c>
      <c r="AM284" s="40">
        <v>10</v>
      </c>
      <c r="AN284" s="40" t="s">
        <v>2406</v>
      </c>
      <c r="AO284" s="40" t="s">
        <v>2513</v>
      </c>
      <c r="AP284" s="40" t="s">
        <v>1007</v>
      </c>
      <c r="AQ284" s="40" t="s">
        <v>1007</v>
      </c>
      <c r="AR284" s="40" t="s">
        <v>2514</v>
      </c>
      <c r="AT284" s="85" t="s">
        <v>139</v>
      </c>
      <c r="AU284" s="35">
        <v>3.8190000000000002E-2</v>
      </c>
      <c r="AV284" s="35"/>
      <c r="AW284" s="90">
        <v>0.124</v>
      </c>
      <c r="AX284" s="90">
        <v>0.112</v>
      </c>
      <c r="AY284" s="90">
        <v>0.12</v>
      </c>
      <c r="AZ284" s="90">
        <v>0.123</v>
      </c>
      <c r="BA284" s="37"/>
      <c r="BB284" s="90">
        <v>0.11700000000000001</v>
      </c>
      <c r="BC284" s="90">
        <v>8.7999999999999995E-2</v>
      </c>
      <c r="BD284" s="37"/>
      <c r="BE284" s="35">
        <v>18964</v>
      </c>
      <c r="BF284" s="35">
        <v>1646</v>
      </c>
      <c r="BG284" s="93">
        <v>1</v>
      </c>
      <c r="BH284" s="93">
        <v>0</v>
      </c>
      <c r="BI284" s="94" t="s">
        <v>3285</v>
      </c>
      <c r="BJ284" s="35"/>
      <c r="BK284" s="35">
        <v>3496</v>
      </c>
      <c r="BL284" s="35">
        <v>2021</v>
      </c>
      <c r="BM284" s="93">
        <v>0</v>
      </c>
      <c r="BN284" s="93">
        <v>0</v>
      </c>
      <c r="BO284" s="94" t="s">
        <v>3285</v>
      </c>
      <c r="BP284" s="94" t="s">
        <v>3285</v>
      </c>
      <c r="BQ284" s="37"/>
      <c r="BR284" s="35">
        <v>-0.1164</v>
      </c>
      <c r="BS284" s="35">
        <v>-8.5099999999999995E-2</v>
      </c>
      <c r="BT284" s="94" t="s">
        <v>3288</v>
      </c>
      <c r="BU284" s="94" t="s">
        <v>3288</v>
      </c>
      <c r="BV284" s="35"/>
      <c r="BW284" s="90">
        <v>0.11899999999999999</v>
      </c>
      <c r="BX284" s="90">
        <v>0.11799999999999999</v>
      </c>
      <c r="BY284" s="35"/>
    </row>
    <row r="285" spans="1:77">
      <c r="A285" s="148">
        <v>2.59</v>
      </c>
      <c r="B285" s="141" t="s">
        <v>416</v>
      </c>
      <c r="C285" s="86" t="s">
        <v>454</v>
      </c>
      <c r="D285" s="133" t="s">
        <v>138</v>
      </c>
      <c r="E285" s="80" t="s">
        <v>138</v>
      </c>
      <c r="F285" s="46" t="s">
        <v>138</v>
      </c>
      <c r="G285" s="46" t="s">
        <v>984</v>
      </c>
      <c r="H285" s="46" t="s">
        <v>985</v>
      </c>
      <c r="I285" s="46" t="s">
        <v>3377</v>
      </c>
      <c r="J285" s="46" t="s">
        <v>3373</v>
      </c>
      <c r="K285" s="46" t="s">
        <v>138</v>
      </c>
      <c r="L285" s="46">
        <v>2</v>
      </c>
      <c r="N285" s="46" t="s">
        <v>3501</v>
      </c>
      <c r="O285" s="46" t="s">
        <v>138</v>
      </c>
      <c r="P285" s="46">
        <v>2</v>
      </c>
      <c r="R285" s="46" t="s">
        <v>3663</v>
      </c>
      <c r="S285" s="46" t="s">
        <v>3673</v>
      </c>
      <c r="T285" s="46">
        <v>2</v>
      </c>
      <c r="V285" s="46" t="s">
        <v>1271</v>
      </c>
      <c r="W285" s="46" t="s">
        <v>1537</v>
      </c>
      <c r="X285" s="46" t="s">
        <v>1413</v>
      </c>
      <c r="Y285" s="46" t="s">
        <v>1538</v>
      </c>
      <c r="Z285" s="46">
        <v>10</v>
      </c>
      <c r="AA285" s="46">
        <v>94.2</v>
      </c>
      <c r="AB285" s="46">
        <v>17</v>
      </c>
      <c r="AC285" s="46" t="s">
        <v>1430</v>
      </c>
      <c r="AD285" s="46" t="s">
        <v>1539</v>
      </c>
      <c r="AE285" s="46" t="s">
        <v>984</v>
      </c>
      <c r="AF285" s="46" t="s">
        <v>984</v>
      </c>
      <c r="AG285" s="46" t="s">
        <v>1540</v>
      </c>
      <c r="AH285" s="46" t="s">
        <v>2507</v>
      </c>
      <c r="AI285" s="46" t="s">
        <v>2508</v>
      </c>
      <c r="AJ285" s="46" t="s">
        <v>2509</v>
      </c>
      <c r="AK285" s="46">
        <v>10</v>
      </c>
      <c r="AL285" s="46">
        <v>96.9</v>
      </c>
      <c r="AM285" s="46">
        <v>9</v>
      </c>
      <c r="AN285" s="46" t="s">
        <v>2406</v>
      </c>
      <c r="AO285" s="46" t="s">
        <v>2510</v>
      </c>
      <c r="AP285" s="46" t="s">
        <v>985</v>
      </c>
      <c r="AQ285" s="46" t="s">
        <v>985</v>
      </c>
      <c r="AR285" s="46" t="s">
        <v>2511</v>
      </c>
      <c r="AT285" s="48" t="s">
        <v>138</v>
      </c>
      <c r="AU285" s="41">
        <v>0.2082</v>
      </c>
      <c r="AV285" s="41"/>
      <c r="AW285" s="50">
        <v>0.123</v>
      </c>
      <c r="AX285" s="50">
        <v>0.13400000000000001</v>
      </c>
      <c r="AY285" s="50">
        <v>0.124</v>
      </c>
      <c r="AZ285" s="50">
        <v>0.151</v>
      </c>
      <c r="BA285" s="43"/>
      <c r="BB285" s="50">
        <v>0.11600000000000001</v>
      </c>
      <c r="BC285" s="50">
        <v>8.5999999999999993E-2</v>
      </c>
      <c r="BD285" s="43"/>
      <c r="BE285" s="41">
        <v>13968.5</v>
      </c>
      <c r="BF285" s="41">
        <v>1907.5</v>
      </c>
      <c r="BG285" s="51">
        <v>1</v>
      </c>
      <c r="BH285" s="51">
        <v>0</v>
      </c>
      <c r="BI285" s="52" t="s">
        <v>3285</v>
      </c>
      <c r="BJ285" s="41"/>
      <c r="BK285" s="41">
        <v>2836</v>
      </c>
      <c r="BL285" s="41">
        <v>2701</v>
      </c>
      <c r="BM285" s="51">
        <v>0</v>
      </c>
      <c r="BN285" s="51">
        <v>0</v>
      </c>
      <c r="BO285" s="52" t="s">
        <v>3289</v>
      </c>
      <c r="BP285" s="52" t="s">
        <v>3287</v>
      </c>
      <c r="BQ285" s="43"/>
      <c r="BR285" s="41">
        <v>-8.77E-2</v>
      </c>
      <c r="BS285" s="41">
        <v>-8.1600000000000006E-2</v>
      </c>
      <c r="BT285" s="52" t="s">
        <v>3288</v>
      </c>
      <c r="BU285" s="52" t="s">
        <v>3288</v>
      </c>
      <c r="BV285" s="41"/>
      <c r="BW285" s="50">
        <v>0.126</v>
      </c>
      <c r="BX285" s="50">
        <v>0.112</v>
      </c>
      <c r="BY285" s="41"/>
    </row>
    <row r="286" spans="1:77" ht="17" thickBot="1">
      <c r="A286" s="148">
        <v>2.59</v>
      </c>
      <c r="B286" s="141" t="s">
        <v>416</v>
      </c>
      <c r="C286" s="86" t="s">
        <v>454</v>
      </c>
      <c r="D286" s="133" t="s">
        <v>139</v>
      </c>
      <c r="E286" s="80" t="s">
        <v>139</v>
      </c>
      <c r="F286" s="46" t="s">
        <v>139</v>
      </c>
      <c r="G286" s="46" t="s">
        <v>1006</v>
      </c>
      <c r="H286" s="46" t="s">
        <v>1007</v>
      </c>
      <c r="I286" s="46" t="s">
        <v>3377</v>
      </c>
      <c r="J286" s="46" t="s">
        <v>3373</v>
      </c>
      <c r="K286" s="46" t="s">
        <v>139</v>
      </c>
      <c r="L286" s="46">
        <v>2</v>
      </c>
      <c r="N286" s="46" t="s">
        <v>3501</v>
      </c>
      <c r="O286" s="46" t="s">
        <v>139</v>
      </c>
      <c r="P286" s="46">
        <v>2</v>
      </c>
      <c r="R286" s="46" t="s">
        <v>3663</v>
      </c>
      <c r="S286" s="46" t="s">
        <v>3674</v>
      </c>
      <c r="T286" s="46">
        <v>2</v>
      </c>
      <c r="V286" s="46" t="s">
        <v>1272</v>
      </c>
      <c r="W286" s="46" t="s">
        <v>1537</v>
      </c>
      <c r="X286" s="46" t="s">
        <v>1413</v>
      </c>
      <c r="Y286" s="46" t="s">
        <v>1541</v>
      </c>
      <c r="Z286" s="46">
        <v>10</v>
      </c>
      <c r="AA286" s="46">
        <v>91.2</v>
      </c>
      <c r="AB286" s="46">
        <v>26</v>
      </c>
      <c r="AC286" s="46" t="s">
        <v>1423</v>
      </c>
      <c r="AD286" s="46" t="s">
        <v>1542</v>
      </c>
      <c r="AE286" s="46" t="s">
        <v>1006</v>
      </c>
      <c r="AF286" s="46" t="s">
        <v>1006</v>
      </c>
      <c r="AG286" s="46" t="s">
        <v>1543</v>
      </c>
      <c r="AH286" s="46" t="s">
        <v>2507</v>
      </c>
      <c r="AI286" s="46" t="s">
        <v>2508</v>
      </c>
      <c r="AJ286" s="46" t="s">
        <v>2512</v>
      </c>
      <c r="AK286" s="46">
        <v>10</v>
      </c>
      <c r="AL286" s="46">
        <v>96.6</v>
      </c>
      <c r="AM286" s="46">
        <v>10</v>
      </c>
      <c r="AN286" s="46" t="s">
        <v>2406</v>
      </c>
      <c r="AO286" s="46" t="s">
        <v>2513</v>
      </c>
      <c r="AP286" s="46" t="s">
        <v>1007</v>
      </c>
      <c r="AQ286" s="46" t="s">
        <v>1007</v>
      </c>
      <c r="AR286" s="46" t="s">
        <v>2514</v>
      </c>
      <c r="AT286" s="48" t="s">
        <v>139</v>
      </c>
      <c r="AU286" s="41">
        <v>3.8190000000000002E-2</v>
      </c>
      <c r="AV286" s="41"/>
      <c r="AW286" s="50">
        <v>0.124</v>
      </c>
      <c r="AX286" s="50">
        <v>0.112</v>
      </c>
      <c r="AY286" s="50">
        <v>0.12</v>
      </c>
      <c r="AZ286" s="50">
        <v>0.123</v>
      </c>
      <c r="BA286" s="43"/>
      <c r="BB286" s="50">
        <v>0.11700000000000001</v>
      </c>
      <c r="BC286" s="50">
        <v>8.7999999999999995E-2</v>
      </c>
      <c r="BD286" s="43"/>
      <c r="BE286" s="41">
        <v>18964</v>
      </c>
      <c r="BF286" s="41">
        <v>1646</v>
      </c>
      <c r="BG286" s="51">
        <v>1</v>
      </c>
      <c r="BH286" s="51">
        <v>0</v>
      </c>
      <c r="BI286" s="52" t="s">
        <v>3285</v>
      </c>
      <c r="BJ286" s="41"/>
      <c r="BK286" s="41">
        <v>3496</v>
      </c>
      <c r="BL286" s="41">
        <v>2021</v>
      </c>
      <c r="BM286" s="51">
        <v>0</v>
      </c>
      <c r="BN286" s="51">
        <v>0</v>
      </c>
      <c r="BO286" s="52" t="s">
        <v>3285</v>
      </c>
      <c r="BP286" s="52" t="s">
        <v>3285</v>
      </c>
      <c r="BQ286" s="43"/>
      <c r="BR286" s="41">
        <v>-0.1164</v>
      </c>
      <c r="BS286" s="41">
        <v>-8.5099999999999995E-2</v>
      </c>
      <c r="BT286" s="52" t="s">
        <v>3288</v>
      </c>
      <c r="BU286" s="52" t="s">
        <v>3288</v>
      </c>
      <c r="BV286" s="41"/>
      <c r="BW286" s="50">
        <v>0.11899999999999999</v>
      </c>
      <c r="BX286" s="50">
        <v>0.11799999999999999</v>
      </c>
      <c r="BY286" s="41"/>
    </row>
    <row r="287" spans="1:77" s="81" customFormat="1">
      <c r="A287" s="147">
        <v>2.6</v>
      </c>
      <c r="B287" s="140" t="s">
        <v>417</v>
      </c>
      <c r="C287" s="120" t="s">
        <v>493</v>
      </c>
      <c r="D287" s="132" t="s">
        <v>291</v>
      </c>
      <c r="E287" s="82" t="s">
        <v>291</v>
      </c>
      <c r="F287" s="81" t="s">
        <v>291</v>
      </c>
      <c r="G287" s="81" t="s">
        <v>584</v>
      </c>
      <c r="H287" s="81" t="s">
        <v>585</v>
      </c>
      <c r="I287" s="81" t="s">
        <v>3377</v>
      </c>
      <c r="J287" s="81" t="s">
        <v>3336</v>
      </c>
      <c r="K287" s="81" t="s">
        <v>291</v>
      </c>
      <c r="L287" s="81">
        <v>2</v>
      </c>
      <c r="N287" s="81" t="s">
        <v>3424</v>
      </c>
      <c r="O287" s="81" t="s">
        <v>291</v>
      </c>
      <c r="P287" s="81">
        <v>2</v>
      </c>
      <c r="R287" s="81" t="s">
        <v>3552</v>
      </c>
      <c r="S287" s="81" t="s">
        <v>291</v>
      </c>
      <c r="T287" s="81">
        <v>1</v>
      </c>
      <c r="V287" s="81" t="s">
        <v>1273</v>
      </c>
      <c r="W287" s="81" t="s">
        <v>1982</v>
      </c>
      <c r="X287" s="81" t="s">
        <v>1428</v>
      </c>
      <c r="Y287" s="81" t="s">
        <v>1983</v>
      </c>
      <c r="Z287" s="81">
        <v>20</v>
      </c>
      <c r="AA287" s="81">
        <v>93</v>
      </c>
      <c r="AB287" s="81">
        <v>21</v>
      </c>
      <c r="AC287" s="81" t="s">
        <v>1449</v>
      </c>
      <c r="AD287" s="81" t="s">
        <v>1984</v>
      </c>
      <c r="AE287" s="81" t="s">
        <v>584</v>
      </c>
      <c r="AF287" s="81" t="s">
        <v>584</v>
      </c>
      <c r="AG287" s="81" t="s">
        <v>1985</v>
      </c>
      <c r="AH287" s="81" t="s">
        <v>2892</v>
      </c>
      <c r="AI287" s="81" t="s">
        <v>2433</v>
      </c>
      <c r="AJ287" s="81" t="s">
        <v>2893</v>
      </c>
      <c r="AK287" s="81">
        <v>10</v>
      </c>
      <c r="AL287" s="81">
        <v>96.6</v>
      </c>
      <c r="AM287" s="81">
        <v>10</v>
      </c>
      <c r="AN287" s="81" t="s">
        <v>2406</v>
      </c>
      <c r="AO287" s="81" t="s">
        <v>2894</v>
      </c>
      <c r="AP287" s="81" t="s">
        <v>585</v>
      </c>
      <c r="AQ287" s="81" t="s">
        <v>585</v>
      </c>
      <c r="AR287" s="81" t="s">
        <v>2895</v>
      </c>
      <c r="AT287" s="83" t="s">
        <v>291</v>
      </c>
      <c r="AU287" s="33">
        <v>0.4551</v>
      </c>
      <c r="AV287" s="33"/>
      <c r="AW287" s="100">
        <v>3.6789999999999998</v>
      </c>
      <c r="AX287" s="100">
        <v>3.62</v>
      </c>
      <c r="AY287" s="100">
        <v>3.6070000000000002</v>
      </c>
      <c r="AZ287" s="87">
        <v>0.29599999999999999</v>
      </c>
      <c r="BA287" s="34"/>
      <c r="BB287" s="100">
        <v>3.621</v>
      </c>
      <c r="BC287" s="105">
        <v>2.306</v>
      </c>
      <c r="BD287" s="34"/>
      <c r="BE287" s="33">
        <v>6076</v>
      </c>
      <c r="BF287" s="33">
        <v>27532</v>
      </c>
      <c r="BG287" s="88">
        <v>0</v>
      </c>
      <c r="BH287" s="88">
        <v>1</v>
      </c>
      <c r="BI287" s="89" t="s">
        <v>3286</v>
      </c>
      <c r="BJ287" s="33"/>
      <c r="BK287" s="33">
        <v>3082</v>
      </c>
      <c r="BL287" s="33">
        <v>37525.5</v>
      </c>
      <c r="BM287" s="88">
        <v>0</v>
      </c>
      <c r="BN287" s="88">
        <v>1</v>
      </c>
      <c r="BO287" s="89" t="s">
        <v>3286</v>
      </c>
      <c r="BP287" s="89" t="s">
        <v>3286</v>
      </c>
      <c r="BQ287" s="34"/>
      <c r="BR287" s="33">
        <v>5.4999999999999997E-3</v>
      </c>
      <c r="BS287" s="33">
        <v>-9.98E-2</v>
      </c>
      <c r="BT287" s="89" t="s">
        <v>3288</v>
      </c>
      <c r="BU287" s="89" t="s">
        <v>3288</v>
      </c>
      <c r="BV287" s="33"/>
      <c r="BW287" s="105">
        <v>3.2730000000000001</v>
      </c>
      <c r="BX287" s="100">
        <v>3.6150000000000002</v>
      </c>
      <c r="BY287" s="33"/>
    </row>
    <row r="288" spans="1:77" s="40" customFormat="1" ht="17" thickBot="1">
      <c r="A288" s="149">
        <v>2.6</v>
      </c>
      <c r="B288" s="142" t="s">
        <v>417</v>
      </c>
      <c r="C288" s="121" t="s">
        <v>493</v>
      </c>
      <c r="D288" s="134" t="s">
        <v>292</v>
      </c>
      <c r="E288" s="84" t="s">
        <v>293</v>
      </c>
      <c r="F288" s="40" t="s">
        <v>292</v>
      </c>
      <c r="G288" s="40" t="s">
        <v>1077</v>
      </c>
      <c r="H288" s="40" t="s">
        <v>1078</v>
      </c>
      <c r="I288" s="40" t="s">
        <v>3377</v>
      </c>
      <c r="J288" s="40" t="s">
        <v>3336</v>
      </c>
      <c r="K288" s="40" t="s">
        <v>292</v>
      </c>
      <c r="L288" s="40">
        <v>2</v>
      </c>
      <c r="N288" s="40" t="s">
        <v>3424</v>
      </c>
      <c r="O288" s="40" t="s">
        <v>292</v>
      </c>
      <c r="P288" s="40">
        <v>2</v>
      </c>
      <c r="R288" s="40" t="s">
        <v>3653</v>
      </c>
      <c r="S288" s="40" t="s">
        <v>292</v>
      </c>
      <c r="T288" s="40">
        <v>1</v>
      </c>
      <c r="V288" s="40" t="s">
        <v>1274</v>
      </c>
      <c r="W288" s="40" t="s">
        <v>1982</v>
      </c>
      <c r="X288" s="40" t="s">
        <v>1428</v>
      </c>
      <c r="Y288" s="40" t="s">
        <v>1986</v>
      </c>
      <c r="Z288" s="40">
        <v>20</v>
      </c>
      <c r="AA288" s="40">
        <v>97.3</v>
      </c>
      <c r="AB288" s="40">
        <v>8</v>
      </c>
      <c r="AC288" s="40" t="s">
        <v>1449</v>
      </c>
      <c r="AD288" s="40" t="s">
        <v>1987</v>
      </c>
      <c r="AE288" s="40" t="s">
        <v>1077</v>
      </c>
      <c r="AF288" s="40" t="s">
        <v>1077</v>
      </c>
      <c r="AG288" s="40" t="s">
        <v>1988</v>
      </c>
      <c r="AH288" s="40" t="s">
        <v>2892</v>
      </c>
      <c r="AI288" s="40" t="s">
        <v>2433</v>
      </c>
      <c r="AJ288" s="40" t="s">
        <v>2896</v>
      </c>
      <c r="AK288" s="40">
        <v>9</v>
      </c>
      <c r="AL288" s="40">
        <v>96.5</v>
      </c>
      <c r="AM288" s="40">
        <v>10</v>
      </c>
      <c r="AN288" s="40" t="s">
        <v>2406</v>
      </c>
      <c r="AO288" s="40" t="s">
        <v>2897</v>
      </c>
      <c r="AP288" s="40" t="s">
        <v>1078</v>
      </c>
      <c r="AQ288" s="40" t="s">
        <v>1078</v>
      </c>
      <c r="AR288" s="40" t="s">
        <v>2898</v>
      </c>
      <c r="AT288" s="85" t="s">
        <v>293</v>
      </c>
      <c r="AU288" s="35">
        <v>0.24729999999999999</v>
      </c>
      <c r="AV288" s="35"/>
      <c r="AW288" s="102">
        <v>3.5950000000000002</v>
      </c>
      <c r="AX288" s="102">
        <v>3.544</v>
      </c>
      <c r="AY288" s="102">
        <v>3.5910000000000002</v>
      </c>
      <c r="AZ288" s="90">
        <v>0.22800000000000001</v>
      </c>
      <c r="BA288" s="37"/>
      <c r="BB288" s="102">
        <v>3.52</v>
      </c>
      <c r="BC288" s="103">
        <v>1.9910000000000001</v>
      </c>
      <c r="BD288" s="37"/>
      <c r="BE288" s="35">
        <v>12528</v>
      </c>
      <c r="BF288" s="35">
        <v>74786.5</v>
      </c>
      <c r="BG288" s="93">
        <v>1</v>
      </c>
      <c r="BH288" s="93">
        <v>1</v>
      </c>
      <c r="BI288" s="94" t="s">
        <v>3286</v>
      </c>
      <c r="BJ288" s="35"/>
      <c r="BK288" s="35">
        <v>2501</v>
      </c>
      <c r="BL288" s="35">
        <v>49205.5</v>
      </c>
      <c r="BM288" s="93">
        <v>0</v>
      </c>
      <c r="BN288" s="93">
        <v>1</v>
      </c>
      <c r="BO288" s="94" t="s">
        <v>3286</v>
      </c>
      <c r="BP288" s="94" t="s">
        <v>3286</v>
      </c>
      <c r="BQ288" s="37"/>
      <c r="BR288" s="35">
        <v>-0.1036</v>
      </c>
      <c r="BS288" s="35">
        <v>5.1999999999999998E-3</v>
      </c>
      <c r="BT288" s="94" t="s">
        <v>3288</v>
      </c>
      <c r="BU288" s="94" t="s">
        <v>3288</v>
      </c>
      <c r="BV288" s="35"/>
      <c r="BW288" s="103">
        <v>2.78</v>
      </c>
      <c r="BX288" s="102">
        <v>3.5019999999999998</v>
      </c>
      <c r="BY288" s="35"/>
    </row>
    <row r="289" spans="1:77">
      <c r="A289" s="148">
        <v>2.61</v>
      </c>
      <c r="B289" s="141" t="s">
        <v>418</v>
      </c>
      <c r="C289" s="86" t="s">
        <v>494</v>
      </c>
      <c r="D289" s="133" t="s">
        <v>294</v>
      </c>
      <c r="E289" s="80" t="s">
        <v>294</v>
      </c>
      <c r="F289" s="46" t="s">
        <v>294</v>
      </c>
      <c r="G289" s="46" t="s">
        <v>801</v>
      </c>
      <c r="H289" s="46" t="s">
        <v>802</v>
      </c>
      <c r="I289" s="46" t="s">
        <v>3377</v>
      </c>
      <c r="J289" s="46" t="s">
        <v>3367</v>
      </c>
      <c r="K289" s="46" t="s">
        <v>294</v>
      </c>
      <c r="L289" s="46">
        <v>2</v>
      </c>
      <c r="N289" s="46" t="s">
        <v>3468</v>
      </c>
      <c r="O289" s="46" t="s">
        <v>294</v>
      </c>
      <c r="P289" s="46">
        <v>1</v>
      </c>
      <c r="R289" s="46" t="s">
        <v>3605</v>
      </c>
      <c r="S289" s="46" t="s">
        <v>294</v>
      </c>
      <c r="T289" s="46">
        <v>1</v>
      </c>
      <c r="V289" s="46" t="s">
        <v>1275</v>
      </c>
      <c r="W289" s="46" t="s">
        <v>1579</v>
      </c>
      <c r="X289" s="46" t="s">
        <v>1421</v>
      </c>
      <c r="Y289" s="46" t="s">
        <v>1989</v>
      </c>
      <c r="Z289" s="46">
        <v>19</v>
      </c>
      <c r="AA289" s="46">
        <v>94.5</v>
      </c>
      <c r="AB289" s="46">
        <v>16</v>
      </c>
      <c r="AC289" s="46" t="s">
        <v>1454</v>
      </c>
      <c r="AD289" s="46" t="s">
        <v>1990</v>
      </c>
      <c r="AE289" s="46" t="s">
        <v>1991</v>
      </c>
      <c r="AF289" s="46" t="s">
        <v>801</v>
      </c>
      <c r="AG289" s="46" t="s">
        <v>1992</v>
      </c>
      <c r="AH289" s="46" t="s">
        <v>2603</v>
      </c>
      <c r="AI289" s="46" t="s">
        <v>2452</v>
      </c>
      <c r="AJ289" s="46" t="s">
        <v>2899</v>
      </c>
      <c r="AK289" s="46">
        <v>9</v>
      </c>
      <c r="AL289" s="46">
        <v>95.5</v>
      </c>
      <c r="AM289" s="46">
        <v>13</v>
      </c>
      <c r="AN289" s="46" t="s">
        <v>2406</v>
      </c>
      <c r="AO289" s="46" t="s">
        <v>2900</v>
      </c>
      <c r="AP289" s="46" t="s">
        <v>2901</v>
      </c>
      <c r="AQ289" s="46" t="s">
        <v>802</v>
      </c>
      <c r="AR289" s="46" t="s">
        <v>2902</v>
      </c>
      <c r="AT289" s="48" t="s">
        <v>294</v>
      </c>
      <c r="AU289" s="41">
        <v>0.19939999999999999</v>
      </c>
      <c r="AV289" s="41"/>
      <c r="AW289" s="55">
        <v>3.5139999999999998</v>
      </c>
      <c r="AX289" s="55">
        <v>3.536</v>
      </c>
      <c r="AY289" s="49">
        <v>3.3559999999999999</v>
      </c>
      <c r="AZ289" s="50">
        <v>0.14599999999999999</v>
      </c>
      <c r="BA289" s="43"/>
      <c r="BB289" s="55">
        <v>3.5550000000000002</v>
      </c>
      <c r="BC289" s="55">
        <v>2.4220000000000002</v>
      </c>
      <c r="BD289" s="43"/>
      <c r="BE289" s="41">
        <v>196064</v>
      </c>
      <c r="BF289" s="41">
        <v>83311.5</v>
      </c>
      <c r="BG289" s="51">
        <v>1</v>
      </c>
      <c r="BH289" s="51">
        <v>1</v>
      </c>
      <c r="BI289" s="52" t="s">
        <v>3285</v>
      </c>
      <c r="BJ289" s="41"/>
      <c r="BK289" s="41">
        <v>21387.5</v>
      </c>
      <c r="BL289" s="41">
        <v>4133</v>
      </c>
      <c r="BM289" s="51">
        <v>1</v>
      </c>
      <c r="BN289" s="51">
        <v>0</v>
      </c>
      <c r="BO289" s="52" t="s">
        <v>3285</v>
      </c>
      <c r="BP289" s="52" t="s">
        <v>3285</v>
      </c>
      <c r="BQ289" s="43"/>
      <c r="BR289" s="41">
        <v>1.3701000000000001</v>
      </c>
      <c r="BS289" s="41">
        <v>1.1698</v>
      </c>
      <c r="BT289" s="52" t="s">
        <v>3290</v>
      </c>
      <c r="BU289" s="52" t="s">
        <v>3290</v>
      </c>
      <c r="BV289" s="41"/>
      <c r="BW289" s="55">
        <v>3.4609999999999999</v>
      </c>
      <c r="BX289" s="56">
        <v>2.88</v>
      </c>
      <c r="BY289" s="41"/>
    </row>
    <row r="290" spans="1:77" ht="17" thickBot="1">
      <c r="A290" s="148">
        <v>2.61</v>
      </c>
      <c r="B290" s="141" t="s">
        <v>418</v>
      </c>
      <c r="C290" s="86" t="s">
        <v>494</v>
      </c>
      <c r="D290" s="133" t="s">
        <v>295</v>
      </c>
      <c r="E290" s="80" t="s">
        <v>295</v>
      </c>
      <c r="F290" s="46" t="s">
        <v>295</v>
      </c>
      <c r="G290" s="46" t="s">
        <v>951</v>
      </c>
      <c r="H290" s="46" t="s">
        <v>952</v>
      </c>
      <c r="I290" s="46" t="s">
        <v>3377</v>
      </c>
      <c r="J290" s="46" t="s">
        <v>3367</v>
      </c>
      <c r="K290" s="46" t="s">
        <v>295</v>
      </c>
      <c r="L290" s="46">
        <v>2</v>
      </c>
      <c r="N290" s="46" t="s">
        <v>3479</v>
      </c>
      <c r="O290" s="46" t="s">
        <v>295</v>
      </c>
      <c r="P290" s="46">
        <v>1</v>
      </c>
      <c r="R290" s="46" t="s">
        <v>3622</v>
      </c>
      <c r="S290" s="46" t="s">
        <v>295</v>
      </c>
      <c r="T290" s="46">
        <v>1</v>
      </c>
      <c r="V290" s="46" t="s">
        <v>1276</v>
      </c>
      <c r="W290" s="46" t="s">
        <v>1579</v>
      </c>
      <c r="X290" s="46" t="s">
        <v>1421</v>
      </c>
      <c r="Y290" s="46" t="s">
        <v>1993</v>
      </c>
      <c r="Z290" s="46">
        <v>19</v>
      </c>
      <c r="AA290" s="46">
        <v>98</v>
      </c>
      <c r="AB290" s="46">
        <v>6</v>
      </c>
      <c r="AC290" s="46" t="s">
        <v>1470</v>
      </c>
      <c r="AD290" s="46" t="s">
        <v>1994</v>
      </c>
      <c r="AE290" s="46" t="s">
        <v>951</v>
      </c>
      <c r="AF290" s="46" t="s">
        <v>951</v>
      </c>
      <c r="AG290" s="46" t="s">
        <v>1995</v>
      </c>
      <c r="AH290" s="46" t="s">
        <v>2603</v>
      </c>
      <c r="AI290" s="46" t="s">
        <v>2452</v>
      </c>
      <c r="AJ290" s="46" t="s">
        <v>2903</v>
      </c>
      <c r="AK290" s="46">
        <v>9</v>
      </c>
      <c r="AL290" s="46">
        <v>96.2</v>
      </c>
      <c r="AM290" s="46">
        <v>11</v>
      </c>
      <c r="AN290" s="46" t="s">
        <v>2406</v>
      </c>
      <c r="AO290" s="46" t="s">
        <v>2904</v>
      </c>
      <c r="AP290" s="46" t="s">
        <v>952</v>
      </c>
      <c r="AQ290" s="46" t="s">
        <v>952</v>
      </c>
      <c r="AR290" s="46" t="s">
        <v>2905</v>
      </c>
      <c r="AT290" s="48" t="s">
        <v>295</v>
      </c>
      <c r="AU290" s="41">
        <v>0.3866</v>
      </c>
      <c r="AV290" s="41"/>
      <c r="AW290" s="55">
        <v>3.6309999999999998</v>
      </c>
      <c r="AX290" s="55">
        <v>3.5619999999999998</v>
      </c>
      <c r="AY290" s="49">
        <v>3.3210000000000002</v>
      </c>
      <c r="AZ290" s="50">
        <v>0.13400000000000001</v>
      </c>
      <c r="BA290" s="43"/>
      <c r="BB290" s="55">
        <v>3.5049999999999999</v>
      </c>
      <c r="BC290" s="55">
        <v>2.5840000000000001</v>
      </c>
      <c r="BD290" s="43"/>
      <c r="BE290" s="41">
        <v>122270.5</v>
      </c>
      <c r="BF290" s="41">
        <v>171154</v>
      </c>
      <c r="BG290" s="51">
        <v>1</v>
      </c>
      <c r="BH290" s="51">
        <v>1</v>
      </c>
      <c r="BI290" s="52" t="s">
        <v>3286</v>
      </c>
      <c r="BJ290" s="41"/>
      <c r="BK290" s="41">
        <v>25913.5</v>
      </c>
      <c r="BL290" s="41">
        <v>3798</v>
      </c>
      <c r="BM290" s="51">
        <v>1</v>
      </c>
      <c r="BN290" s="51">
        <v>0</v>
      </c>
      <c r="BO290" s="52" t="s">
        <v>3285</v>
      </c>
      <c r="BP290" s="52" t="s">
        <v>3287</v>
      </c>
      <c r="BQ290" s="43"/>
      <c r="BR290" s="41">
        <v>0.68989999999999996</v>
      </c>
      <c r="BS290" s="41">
        <v>0.77</v>
      </c>
      <c r="BT290" s="52" t="s">
        <v>3290</v>
      </c>
      <c r="BU290" s="52" t="s">
        <v>3290</v>
      </c>
      <c r="BV290" s="41"/>
      <c r="BW290" s="55">
        <v>3.4550000000000001</v>
      </c>
      <c r="BX290" s="56">
        <v>2.8410000000000002</v>
      </c>
      <c r="BY290" s="41"/>
    </row>
    <row r="291" spans="1:77" s="81" customFormat="1">
      <c r="A291" s="147">
        <v>2.62</v>
      </c>
      <c r="B291" s="140" t="s">
        <v>419</v>
      </c>
      <c r="C291" s="120" t="s">
        <v>495</v>
      </c>
      <c r="D291" s="132" t="s">
        <v>296</v>
      </c>
      <c r="E291" s="82" t="s">
        <v>296</v>
      </c>
      <c r="F291" s="81" t="s">
        <v>296</v>
      </c>
      <c r="G291" s="81" t="s">
        <v>564</v>
      </c>
      <c r="H291" s="81" t="s">
        <v>565</v>
      </c>
      <c r="I291" s="81" t="s">
        <v>3377</v>
      </c>
      <c r="J291" s="81" t="s">
        <v>3335</v>
      </c>
      <c r="K291" s="81" t="s">
        <v>296</v>
      </c>
      <c r="L291" s="81">
        <v>2</v>
      </c>
      <c r="N291" s="81" t="s">
        <v>3421</v>
      </c>
      <c r="O291" s="81" t="s">
        <v>296</v>
      </c>
      <c r="P291" s="81">
        <v>1</v>
      </c>
      <c r="R291" s="81" t="s">
        <v>3547</v>
      </c>
      <c r="S291" s="81" t="s">
        <v>296</v>
      </c>
      <c r="T291" s="81">
        <v>1</v>
      </c>
      <c r="V291" s="81" t="s">
        <v>1277</v>
      </c>
      <c r="W291" s="81" t="s">
        <v>1844</v>
      </c>
      <c r="X291" s="81" t="s">
        <v>1421</v>
      </c>
      <c r="Y291" s="81" t="s">
        <v>1996</v>
      </c>
      <c r="Z291" s="81">
        <v>16</v>
      </c>
      <c r="AA291" s="81">
        <v>94.3</v>
      </c>
      <c r="AB291" s="81">
        <v>17</v>
      </c>
      <c r="AC291" s="81" t="s">
        <v>1445</v>
      </c>
      <c r="AD291" s="81" t="s">
        <v>1997</v>
      </c>
      <c r="AE291" s="81" t="s">
        <v>564</v>
      </c>
      <c r="AF291" s="81" t="s">
        <v>564</v>
      </c>
      <c r="AG291" s="81" t="s">
        <v>1998</v>
      </c>
      <c r="AH291" s="81" t="s">
        <v>2475</v>
      </c>
      <c r="AI291" s="81" t="s">
        <v>2411</v>
      </c>
      <c r="AJ291" s="81" t="s">
        <v>2906</v>
      </c>
      <c r="AK291" s="81">
        <v>9</v>
      </c>
      <c r="AL291" s="81">
        <v>97.5</v>
      </c>
      <c r="AM291" s="81">
        <v>7</v>
      </c>
      <c r="AN291" s="81" t="s">
        <v>2406</v>
      </c>
      <c r="AO291" s="81" t="s">
        <v>2907</v>
      </c>
      <c r="AP291" s="81" t="s">
        <v>565</v>
      </c>
      <c r="AQ291" s="81" t="s">
        <v>565</v>
      </c>
      <c r="AR291" s="81" t="s">
        <v>2908</v>
      </c>
      <c r="AT291" s="83" t="s">
        <v>296</v>
      </c>
      <c r="AU291" s="33">
        <v>0.53069999999999995</v>
      </c>
      <c r="AV291" s="33" t="s">
        <v>3291</v>
      </c>
      <c r="AW291" s="100">
        <v>3.5659999999999998</v>
      </c>
      <c r="AX291" s="100">
        <v>3.5510000000000002</v>
      </c>
      <c r="AY291" s="100">
        <v>3.6110000000000002</v>
      </c>
      <c r="AZ291" s="87">
        <v>0.19600000000000001</v>
      </c>
      <c r="BA291" s="34"/>
      <c r="BB291" s="100">
        <v>3.577</v>
      </c>
      <c r="BC291" s="114">
        <v>2.1150000000000002</v>
      </c>
      <c r="BD291" s="34"/>
      <c r="BE291" s="33">
        <v>7045.5</v>
      </c>
      <c r="BF291" s="33">
        <v>41996</v>
      </c>
      <c r="BG291" s="88">
        <v>0</v>
      </c>
      <c r="BH291" s="88">
        <v>1</v>
      </c>
      <c r="BI291" s="89" t="s">
        <v>3286</v>
      </c>
      <c r="BJ291" s="33"/>
      <c r="BK291" s="33">
        <v>89689</v>
      </c>
      <c r="BL291" s="33">
        <v>2490</v>
      </c>
      <c r="BM291" s="88">
        <v>1</v>
      </c>
      <c r="BN291" s="88">
        <v>0</v>
      </c>
      <c r="BO291" s="89" t="s">
        <v>3285</v>
      </c>
      <c r="BP291" s="89" t="s">
        <v>3287</v>
      </c>
      <c r="BQ291" s="34"/>
      <c r="BR291" s="33">
        <v>0.1396</v>
      </c>
      <c r="BS291" s="33">
        <v>5.3199999999999997E-2</v>
      </c>
      <c r="BT291" s="89" t="s">
        <v>3288</v>
      </c>
      <c r="BU291" s="89" t="s">
        <v>3288</v>
      </c>
      <c r="BV291" s="33"/>
      <c r="BW291" s="100">
        <v>3.452</v>
      </c>
      <c r="BX291" s="100">
        <v>3.5760000000000001</v>
      </c>
      <c r="BY291" s="33"/>
    </row>
    <row r="292" spans="1:77" s="40" customFormat="1" ht="17" thickBot="1">
      <c r="A292" s="149">
        <v>2.62</v>
      </c>
      <c r="B292" s="142" t="s">
        <v>419</v>
      </c>
      <c r="C292" s="121" t="s">
        <v>495</v>
      </c>
      <c r="D292" s="134" t="s">
        <v>297</v>
      </c>
      <c r="E292" s="84" t="s">
        <v>298</v>
      </c>
      <c r="F292" s="40" t="s">
        <v>297</v>
      </c>
      <c r="G292" s="40" t="s">
        <v>1071</v>
      </c>
      <c r="H292" s="40" t="s">
        <v>1072</v>
      </c>
      <c r="I292" s="40" t="s">
        <v>3377</v>
      </c>
      <c r="J292" s="40" t="s">
        <v>3335</v>
      </c>
      <c r="K292" s="40" t="s">
        <v>297</v>
      </c>
      <c r="L292" s="40">
        <v>2</v>
      </c>
      <c r="N292" s="40" t="s">
        <v>3494</v>
      </c>
      <c r="O292" s="40" t="s">
        <v>297</v>
      </c>
      <c r="P292" s="40">
        <v>1</v>
      </c>
      <c r="R292" s="40" t="s">
        <v>3650</v>
      </c>
      <c r="S292" s="40" t="s">
        <v>297</v>
      </c>
      <c r="T292" s="40">
        <v>1</v>
      </c>
      <c r="V292" s="40" t="s">
        <v>1278</v>
      </c>
      <c r="W292" s="40" t="s">
        <v>1844</v>
      </c>
      <c r="X292" s="40" t="s">
        <v>1421</v>
      </c>
      <c r="Y292" s="40" t="s">
        <v>1999</v>
      </c>
      <c r="Z292" s="40">
        <v>16</v>
      </c>
      <c r="AA292" s="40">
        <v>94.6</v>
      </c>
      <c r="AB292" s="40">
        <v>16</v>
      </c>
      <c r="AC292" s="40" t="s">
        <v>1430</v>
      </c>
      <c r="AD292" s="40" t="s">
        <v>2000</v>
      </c>
      <c r="AE292" s="40" t="s">
        <v>1071</v>
      </c>
      <c r="AF292" s="40" t="s">
        <v>1071</v>
      </c>
      <c r="AG292" s="40" t="s">
        <v>2001</v>
      </c>
      <c r="AH292" s="40" t="s">
        <v>2475</v>
      </c>
      <c r="AI292" s="40" t="s">
        <v>2411</v>
      </c>
      <c r="AJ292" s="40" t="s">
        <v>2909</v>
      </c>
      <c r="AK292" s="40">
        <v>10</v>
      </c>
      <c r="AL292" s="40">
        <v>96.8</v>
      </c>
      <c r="AM292" s="40">
        <v>9</v>
      </c>
      <c r="AN292" s="40" t="s">
        <v>2406</v>
      </c>
      <c r="AO292" s="40" t="s">
        <v>2910</v>
      </c>
      <c r="AP292" s="40" t="s">
        <v>1072</v>
      </c>
      <c r="AQ292" s="40" t="s">
        <v>1072</v>
      </c>
      <c r="AR292" s="40" t="s">
        <v>2911</v>
      </c>
      <c r="AT292" s="85" t="s">
        <v>298</v>
      </c>
      <c r="AU292" s="35">
        <v>0.59850000000000003</v>
      </c>
      <c r="AV292" s="35"/>
      <c r="AW292" s="102">
        <v>3.6320000000000001</v>
      </c>
      <c r="AX292" s="102">
        <v>3.5779999999999998</v>
      </c>
      <c r="AY292" s="92">
        <v>0.54100000000000004</v>
      </c>
      <c r="AZ292" s="90">
        <v>0.154</v>
      </c>
      <c r="BA292" s="37"/>
      <c r="BB292" s="102">
        <v>3.5960000000000001</v>
      </c>
      <c r="BC292" s="110">
        <v>2.4500000000000002</v>
      </c>
      <c r="BD292" s="37"/>
      <c r="BE292" s="35">
        <v>8136</v>
      </c>
      <c r="BF292" s="35">
        <v>34343</v>
      </c>
      <c r="BG292" s="93">
        <v>1</v>
      </c>
      <c r="BH292" s="93">
        <v>1</v>
      </c>
      <c r="BI292" s="94" t="s">
        <v>3286</v>
      </c>
      <c r="BJ292" s="35"/>
      <c r="BK292" s="35">
        <v>2733.5</v>
      </c>
      <c r="BL292" s="35">
        <v>35384</v>
      </c>
      <c r="BM292" s="93">
        <v>0</v>
      </c>
      <c r="BN292" s="93">
        <v>1</v>
      </c>
      <c r="BO292" s="94" t="s">
        <v>3286</v>
      </c>
      <c r="BP292" s="94" t="s">
        <v>3286</v>
      </c>
      <c r="BQ292" s="37"/>
      <c r="BR292" s="35">
        <v>-4.82E-2</v>
      </c>
      <c r="BS292" s="35">
        <v>9.64E-2</v>
      </c>
      <c r="BT292" s="94" t="s">
        <v>3288</v>
      </c>
      <c r="BU292" s="94" t="s">
        <v>3288</v>
      </c>
      <c r="BV292" s="35"/>
      <c r="BW292" s="110">
        <v>3.2559999999999998</v>
      </c>
      <c r="BX292" s="102">
        <v>3.589</v>
      </c>
      <c r="BY292" s="35"/>
    </row>
    <row r="293" spans="1:77">
      <c r="A293" s="148">
        <v>2.63</v>
      </c>
      <c r="B293" s="141" t="s">
        <v>378</v>
      </c>
      <c r="C293" s="86" t="s">
        <v>456</v>
      </c>
      <c r="D293" s="133" t="s">
        <v>144</v>
      </c>
      <c r="E293" s="80" t="s">
        <v>144</v>
      </c>
      <c r="F293" s="46" t="s">
        <v>144</v>
      </c>
      <c r="G293" s="46" t="s">
        <v>1004</v>
      </c>
      <c r="H293" s="46" t="s">
        <v>1005</v>
      </c>
      <c r="I293" s="46" t="s">
        <v>3377</v>
      </c>
      <c r="J293" s="46" t="s">
        <v>3374</v>
      </c>
      <c r="K293" s="46" t="s">
        <v>144</v>
      </c>
      <c r="L293" s="46">
        <v>2</v>
      </c>
      <c r="N293" s="46" t="s">
        <v>3503</v>
      </c>
      <c r="O293" s="46" t="s">
        <v>144</v>
      </c>
      <c r="P293" s="46">
        <v>1</v>
      </c>
      <c r="R293" s="46" t="s">
        <v>3670</v>
      </c>
      <c r="S293" s="46" t="s">
        <v>144</v>
      </c>
      <c r="T293" s="46">
        <v>1</v>
      </c>
      <c r="V293" s="46" t="s">
        <v>1142</v>
      </c>
      <c r="W293" s="46" t="s">
        <v>1558</v>
      </c>
      <c r="X293" s="46" t="s">
        <v>1413</v>
      </c>
      <c r="Y293" s="46" t="s">
        <v>1559</v>
      </c>
      <c r="Z293" s="46">
        <v>10</v>
      </c>
      <c r="AA293" s="46">
        <v>92.8</v>
      </c>
      <c r="AB293" s="46">
        <v>21</v>
      </c>
      <c r="AC293" s="46" t="s">
        <v>1445</v>
      </c>
      <c r="AD293" s="46" t="s">
        <v>1560</v>
      </c>
      <c r="AE293" s="46" t="s">
        <v>1004</v>
      </c>
      <c r="AF293" s="46" t="s">
        <v>1004</v>
      </c>
      <c r="AG293" s="46" t="s">
        <v>1561</v>
      </c>
      <c r="AH293" s="46" t="s">
        <v>2528</v>
      </c>
      <c r="AI293" s="46" t="s">
        <v>2433</v>
      </c>
      <c r="AJ293" s="46" t="s">
        <v>2529</v>
      </c>
      <c r="AK293" s="46">
        <v>11</v>
      </c>
      <c r="AL293" s="46">
        <v>96.3</v>
      </c>
      <c r="AM293" s="46">
        <v>11</v>
      </c>
      <c r="AN293" s="46" t="s">
        <v>2406</v>
      </c>
      <c r="AO293" s="46" t="s">
        <v>2530</v>
      </c>
      <c r="AP293" s="46" t="s">
        <v>1005</v>
      </c>
      <c r="AQ293" s="46" t="s">
        <v>1005</v>
      </c>
      <c r="AR293" s="46" t="s">
        <v>2531</v>
      </c>
      <c r="AT293" s="48" t="s">
        <v>144</v>
      </c>
      <c r="AU293" s="41">
        <v>0.20280000000000001</v>
      </c>
      <c r="AV293" s="41"/>
      <c r="AW293" s="55">
        <v>3.6509999999999998</v>
      </c>
      <c r="AX293" s="50">
        <v>0.155</v>
      </c>
      <c r="AY293" s="55">
        <v>3.6259999999999999</v>
      </c>
      <c r="AZ293" s="50">
        <v>0.13</v>
      </c>
      <c r="BA293" s="43"/>
      <c r="BB293" s="55">
        <v>3.6309999999999998</v>
      </c>
      <c r="BC293" s="55">
        <v>2.528</v>
      </c>
      <c r="BD293" s="43"/>
      <c r="BE293" s="41">
        <v>250531</v>
      </c>
      <c r="BF293" s="41">
        <v>285199</v>
      </c>
      <c r="BG293" s="51">
        <v>1</v>
      </c>
      <c r="BH293" s="51">
        <v>1</v>
      </c>
      <c r="BI293" s="52" t="s">
        <v>3289</v>
      </c>
      <c r="BJ293" s="41"/>
      <c r="BK293" s="41">
        <v>88812</v>
      </c>
      <c r="BL293" s="41">
        <v>99850.5</v>
      </c>
      <c r="BM293" s="51">
        <v>1</v>
      </c>
      <c r="BN293" s="51">
        <v>1</v>
      </c>
      <c r="BO293" s="52" t="s">
        <v>3289</v>
      </c>
      <c r="BP293" s="52" t="s">
        <v>3289</v>
      </c>
      <c r="BQ293" s="43"/>
      <c r="BR293" s="41">
        <v>1.8756999999999999</v>
      </c>
      <c r="BS293" s="41">
        <v>1.5754999999999999</v>
      </c>
      <c r="BT293" s="52" t="s">
        <v>3290</v>
      </c>
      <c r="BU293" s="52" t="s">
        <v>3290</v>
      </c>
      <c r="BV293" s="41"/>
      <c r="BW293" s="55">
        <v>3.641</v>
      </c>
      <c r="BX293" s="55">
        <v>3.62</v>
      </c>
      <c r="BY293" s="41"/>
    </row>
    <row r="294" spans="1:77" ht="17" thickBot="1">
      <c r="A294" s="148">
        <v>2.63</v>
      </c>
      <c r="B294" s="141" t="s">
        <v>378</v>
      </c>
      <c r="C294" s="86" t="s">
        <v>456</v>
      </c>
      <c r="D294" s="133" t="s">
        <v>145</v>
      </c>
      <c r="E294" s="80" t="s">
        <v>145</v>
      </c>
      <c r="F294" s="46" t="s">
        <v>145</v>
      </c>
      <c r="G294" s="46" t="s">
        <v>1010</v>
      </c>
      <c r="H294" s="46" t="s">
        <v>1011</v>
      </c>
      <c r="I294" s="46" t="s">
        <v>3377</v>
      </c>
      <c r="J294" s="46" t="s">
        <v>3374</v>
      </c>
      <c r="K294" s="46" t="s">
        <v>145</v>
      </c>
      <c r="L294" s="46">
        <v>2</v>
      </c>
      <c r="N294" s="46" t="s">
        <v>3504</v>
      </c>
      <c r="O294" s="46" t="s">
        <v>145</v>
      </c>
      <c r="P294" s="46">
        <v>1</v>
      </c>
      <c r="R294" s="46" t="s">
        <v>3671</v>
      </c>
      <c r="S294" s="46" t="s">
        <v>145</v>
      </c>
      <c r="T294" s="46">
        <v>1</v>
      </c>
      <c r="V294" s="46" t="s">
        <v>1143</v>
      </c>
      <c r="W294" s="46" t="s">
        <v>1558</v>
      </c>
      <c r="X294" s="46" t="s">
        <v>1413</v>
      </c>
      <c r="Y294" s="46" t="s">
        <v>1562</v>
      </c>
      <c r="Z294" s="46">
        <v>10</v>
      </c>
      <c r="AA294" s="46">
        <v>93.8</v>
      </c>
      <c r="AB294" s="46">
        <v>18</v>
      </c>
      <c r="AC294" s="46" t="s">
        <v>1563</v>
      </c>
      <c r="AD294" s="46" t="s">
        <v>1564</v>
      </c>
      <c r="AE294" s="46" t="s">
        <v>1010</v>
      </c>
      <c r="AF294" s="46" t="s">
        <v>1010</v>
      </c>
      <c r="AG294" s="46" t="s">
        <v>1565</v>
      </c>
      <c r="AH294" s="46" t="s">
        <v>2528</v>
      </c>
      <c r="AI294" s="46" t="s">
        <v>2433</v>
      </c>
      <c r="AJ294" s="46" t="s">
        <v>2532</v>
      </c>
      <c r="AK294" s="46">
        <v>11</v>
      </c>
      <c r="AL294" s="46">
        <v>96.2</v>
      </c>
      <c r="AM294" s="46">
        <v>11</v>
      </c>
      <c r="AN294" s="46" t="s">
        <v>2406</v>
      </c>
      <c r="AO294" s="46" t="s">
        <v>2533</v>
      </c>
      <c r="AP294" s="46" t="s">
        <v>1011</v>
      </c>
      <c r="AQ294" s="46" t="s">
        <v>1011</v>
      </c>
      <c r="AR294" s="46" t="s">
        <v>2534</v>
      </c>
      <c r="AT294" s="48" t="s">
        <v>145</v>
      </c>
      <c r="AU294" s="41">
        <v>0.45650000000000002</v>
      </c>
      <c r="AV294" s="41"/>
      <c r="AW294" s="55">
        <v>3.5720000000000001</v>
      </c>
      <c r="AX294" s="50">
        <v>0.19700000000000001</v>
      </c>
      <c r="AY294" s="60">
        <v>2.5920000000000001</v>
      </c>
      <c r="AZ294" s="50">
        <v>0.19500000000000001</v>
      </c>
      <c r="BA294" s="43"/>
      <c r="BB294" s="55">
        <v>3.581</v>
      </c>
      <c r="BC294" s="49">
        <v>2.39</v>
      </c>
      <c r="BD294" s="43"/>
      <c r="BE294" s="41">
        <v>142703</v>
      </c>
      <c r="BF294" s="41">
        <v>227610</v>
      </c>
      <c r="BG294" s="51">
        <v>1</v>
      </c>
      <c r="BH294" s="51">
        <v>1</v>
      </c>
      <c r="BI294" s="52" t="s">
        <v>3286</v>
      </c>
      <c r="BJ294" s="41"/>
      <c r="BK294" s="41">
        <v>55216</v>
      </c>
      <c r="BL294" s="41">
        <v>56837</v>
      </c>
      <c r="BM294" s="51">
        <v>1</v>
      </c>
      <c r="BN294" s="51">
        <v>1</v>
      </c>
      <c r="BO294" s="52" t="s">
        <v>3289</v>
      </c>
      <c r="BP294" s="52" t="s">
        <v>3287</v>
      </c>
      <c r="BQ294" s="43"/>
      <c r="BR294" s="41">
        <v>-8.1699999999999995E-2</v>
      </c>
      <c r="BS294" s="41">
        <v>0.91090000000000004</v>
      </c>
      <c r="BT294" s="52" t="s">
        <v>3288</v>
      </c>
      <c r="BU294" s="52" t="s">
        <v>3290</v>
      </c>
      <c r="BV294" s="41"/>
      <c r="BW294" s="55">
        <v>3.5209999999999999</v>
      </c>
      <c r="BX294" s="55">
        <v>3.6120000000000001</v>
      </c>
      <c r="BY294" s="41"/>
    </row>
    <row r="295" spans="1:77" s="81" customFormat="1">
      <c r="A295" s="147">
        <v>2.64</v>
      </c>
      <c r="B295" s="140" t="s">
        <v>421</v>
      </c>
      <c r="C295" s="120" t="s">
        <v>496</v>
      </c>
      <c r="D295" s="132" t="s">
        <v>299</v>
      </c>
      <c r="E295" s="82" t="s">
        <v>299</v>
      </c>
      <c r="F295" s="81" t="s">
        <v>299</v>
      </c>
      <c r="G295" s="81" t="s">
        <v>660</v>
      </c>
      <c r="H295" s="81" t="s">
        <v>661</v>
      </c>
      <c r="I295" s="81" t="s">
        <v>3377</v>
      </c>
      <c r="J295" s="81" t="s">
        <v>3351</v>
      </c>
      <c r="K295" s="81" t="s">
        <v>299</v>
      </c>
      <c r="L295" s="81">
        <v>2</v>
      </c>
      <c r="N295" s="81" t="s">
        <v>3442</v>
      </c>
      <c r="O295" s="81" t="s">
        <v>299</v>
      </c>
      <c r="P295" s="81">
        <v>2</v>
      </c>
      <c r="R295" s="81" t="s">
        <v>3574</v>
      </c>
      <c r="S295" s="81" t="s">
        <v>299</v>
      </c>
      <c r="T295" s="81">
        <v>1</v>
      </c>
      <c r="V295" s="81" t="s">
        <v>1280</v>
      </c>
      <c r="W295" s="81" t="s">
        <v>1558</v>
      </c>
      <c r="X295" s="81" t="s">
        <v>1421</v>
      </c>
      <c r="Y295" s="81" t="s">
        <v>2005</v>
      </c>
      <c r="Z295" s="81">
        <v>19</v>
      </c>
      <c r="AA295" s="81">
        <v>92.8</v>
      </c>
      <c r="AB295" s="81">
        <v>21</v>
      </c>
      <c r="AC295" s="81" t="s">
        <v>2006</v>
      </c>
      <c r="AD295" s="81" t="s">
        <v>2007</v>
      </c>
      <c r="AE295" s="81" t="s">
        <v>660</v>
      </c>
      <c r="AF295" s="81" t="s">
        <v>660</v>
      </c>
      <c r="AG295" s="81" t="s">
        <v>2008</v>
      </c>
      <c r="AH295" s="81" t="s">
        <v>2475</v>
      </c>
      <c r="AI295" s="81" t="s">
        <v>2411</v>
      </c>
      <c r="AJ295" s="81" t="s">
        <v>2913</v>
      </c>
      <c r="AK295" s="81">
        <v>9</v>
      </c>
      <c r="AL295" s="81">
        <v>94.3</v>
      </c>
      <c r="AM295" s="81">
        <v>16</v>
      </c>
      <c r="AN295" s="81" t="s">
        <v>2406</v>
      </c>
      <c r="AO295" s="81" t="s">
        <v>2914</v>
      </c>
      <c r="AP295" s="81" t="s">
        <v>661</v>
      </c>
      <c r="AQ295" s="81" t="s">
        <v>661</v>
      </c>
      <c r="AR295" s="81" t="s">
        <v>2915</v>
      </c>
      <c r="AT295" s="83" t="s">
        <v>299</v>
      </c>
      <c r="AU295" s="33">
        <v>0.1128</v>
      </c>
      <c r="AV295" s="33"/>
      <c r="AW295" s="111">
        <v>3.6840000000000002</v>
      </c>
      <c r="AX295" s="112">
        <v>0.154</v>
      </c>
      <c r="AY295" s="111">
        <v>3.6960000000000002</v>
      </c>
      <c r="AZ295" s="112">
        <v>0.13900000000000001</v>
      </c>
      <c r="BA295" s="39"/>
      <c r="BB295" s="100">
        <v>3.5960000000000001</v>
      </c>
      <c r="BC295" s="105">
        <v>2.5009999999999999</v>
      </c>
      <c r="BD295" s="34"/>
      <c r="BE295" s="33">
        <v>2310.5</v>
      </c>
      <c r="BF295" s="33">
        <v>1498.5</v>
      </c>
      <c r="BG295" s="88">
        <v>0</v>
      </c>
      <c r="BH295" s="88">
        <v>0</v>
      </c>
      <c r="BI295" s="89" t="s">
        <v>3285</v>
      </c>
      <c r="BJ295" s="33"/>
      <c r="BK295" s="33">
        <v>2185</v>
      </c>
      <c r="BL295" s="33">
        <v>25714.5</v>
      </c>
      <c r="BM295" s="88">
        <v>0</v>
      </c>
      <c r="BN295" s="88">
        <v>1</v>
      </c>
      <c r="BO295" s="89" t="s">
        <v>3286</v>
      </c>
      <c r="BP295" s="89" t="s">
        <v>3287</v>
      </c>
      <c r="BQ295" s="34"/>
      <c r="BR295" s="33">
        <v>-0.12</v>
      </c>
      <c r="BS295" s="33">
        <v>-8.9200000000000002E-2</v>
      </c>
      <c r="BT295" s="89" t="s">
        <v>3288</v>
      </c>
      <c r="BU295" s="89" t="s">
        <v>3288</v>
      </c>
      <c r="BV295" s="33"/>
      <c r="BW295" s="100">
        <v>3.508</v>
      </c>
      <c r="BX295" s="100">
        <v>3.5179999999999998</v>
      </c>
      <c r="BY295" s="33"/>
    </row>
    <row r="296" spans="1:77" s="40" customFormat="1" ht="17" thickBot="1">
      <c r="A296" s="149">
        <v>2.64</v>
      </c>
      <c r="B296" s="142" t="s">
        <v>421</v>
      </c>
      <c r="C296" s="121" t="s">
        <v>496</v>
      </c>
      <c r="D296" s="134" t="s">
        <v>300</v>
      </c>
      <c r="E296" s="84" t="s">
        <v>300</v>
      </c>
      <c r="F296" s="40" t="s">
        <v>300</v>
      </c>
      <c r="G296" s="40" t="s">
        <v>961</v>
      </c>
      <c r="H296" s="40" t="s">
        <v>962</v>
      </c>
      <c r="I296" s="40" t="s">
        <v>3377</v>
      </c>
      <c r="J296" s="40" t="s">
        <v>3351</v>
      </c>
      <c r="K296" s="40" t="s">
        <v>300</v>
      </c>
      <c r="L296" s="40">
        <v>2</v>
      </c>
      <c r="N296" s="40" t="s">
        <v>3442</v>
      </c>
      <c r="O296" s="40" t="s">
        <v>300</v>
      </c>
      <c r="P296" s="40">
        <v>2</v>
      </c>
      <c r="R296" s="40" t="s">
        <v>3626</v>
      </c>
      <c r="S296" s="40" t="s">
        <v>300</v>
      </c>
      <c r="T296" s="40">
        <v>1</v>
      </c>
      <c r="V296" s="40" t="s">
        <v>1281</v>
      </c>
      <c r="W296" s="40" t="s">
        <v>1558</v>
      </c>
      <c r="X296" s="40" t="s">
        <v>1421</v>
      </c>
      <c r="Y296" s="40" t="s">
        <v>2009</v>
      </c>
      <c r="Z296" s="40">
        <v>19</v>
      </c>
      <c r="AA296" s="40">
        <v>97.6</v>
      </c>
      <c r="AB296" s="40">
        <v>7</v>
      </c>
      <c r="AC296" s="40" t="s">
        <v>1454</v>
      </c>
      <c r="AD296" s="40" t="s">
        <v>2010</v>
      </c>
      <c r="AE296" s="40" t="s">
        <v>961</v>
      </c>
      <c r="AF296" s="40" t="s">
        <v>961</v>
      </c>
      <c r="AG296" s="40" t="s">
        <v>2011</v>
      </c>
      <c r="AH296" s="40" t="s">
        <v>2475</v>
      </c>
      <c r="AI296" s="40" t="s">
        <v>2411</v>
      </c>
      <c r="AJ296" s="40" t="s">
        <v>2916</v>
      </c>
      <c r="AK296" s="40">
        <v>9</v>
      </c>
      <c r="AL296" s="40">
        <v>94.3</v>
      </c>
      <c r="AM296" s="40">
        <v>16</v>
      </c>
      <c r="AN296" s="40" t="s">
        <v>2406</v>
      </c>
      <c r="AO296" s="40" t="s">
        <v>2917</v>
      </c>
      <c r="AP296" s="40" t="s">
        <v>962</v>
      </c>
      <c r="AQ296" s="40" t="s">
        <v>962</v>
      </c>
      <c r="AR296" s="40" t="s">
        <v>2918</v>
      </c>
      <c r="AT296" s="85" t="s">
        <v>300</v>
      </c>
      <c r="AU296" s="35">
        <v>0.4551</v>
      </c>
      <c r="AV296" s="35"/>
      <c r="AW296" s="102">
        <v>3.5760000000000001</v>
      </c>
      <c r="AX296" s="95">
        <v>1.042</v>
      </c>
      <c r="AY296" s="102">
        <v>3.5720000000000001</v>
      </c>
      <c r="AZ296" s="90">
        <v>0.14699999999999999</v>
      </c>
      <c r="BA296" s="37"/>
      <c r="BB296" s="102">
        <v>3.4889999999999999</v>
      </c>
      <c r="BC296" s="110">
        <v>2.3639999999999999</v>
      </c>
      <c r="BD296" s="37"/>
      <c r="BE296" s="35">
        <v>17632.5</v>
      </c>
      <c r="BF296" s="35">
        <v>1671</v>
      </c>
      <c r="BG296" s="93">
        <v>1</v>
      </c>
      <c r="BH296" s="93">
        <v>0</v>
      </c>
      <c r="BI296" s="94" t="s">
        <v>3285</v>
      </c>
      <c r="BJ296" s="35"/>
      <c r="BK296" s="35">
        <v>3149</v>
      </c>
      <c r="BL296" s="35">
        <v>2188</v>
      </c>
      <c r="BM296" s="93">
        <v>0</v>
      </c>
      <c r="BN296" s="93">
        <v>0</v>
      </c>
      <c r="BO296" s="94" t="s">
        <v>3285</v>
      </c>
      <c r="BP296" s="94" t="s">
        <v>3285</v>
      </c>
      <c r="BQ296" s="37"/>
      <c r="BR296" s="35">
        <v>-7.9000000000000001E-2</v>
      </c>
      <c r="BS296" s="35">
        <v>-4.9000000000000002E-2</v>
      </c>
      <c r="BT296" s="94" t="s">
        <v>3288</v>
      </c>
      <c r="BU296" s="94" t="s">
        <v>3288</v>
      </c>
      <c r="BV296" s="35"/>
      <c r="BW296" s="110">
        <v>3.246</v>
      </c>
      <c r="BX296" s="102">
        <v>3.3780000000000001</v>
      </c>
      <c r="BY296" s="35"/>
    </row>
    <row r="297" spans="1:77">
      <c r="A297" s="148">
        <v>2.65</v>
      </c>
      <c r="B297" s="141" t="s">
        <v>379</v>
      </c>
      <c r="C297" s="86" t="s">
        <v>457</v>
      </c>
      <c r="D297" s="133" t="s">
        <v>146</v>
      </c>
      <c r="E297" s="80" t="s">
        <v>146</v>
      </c>
      <c r="F297" s="46" t="s">
        <v>146</v>
      </c>
      <c r="G297" s="46" t="s">
        <v>607</v>
      </c>
      <c r="H297" s="46" t="s">
        <v>608</v>
      </c>
      <c r="I297" s="46" t="s">
        <v>3377</v>
      </c>
      <c r="J297" s="46" t="s">
        <v>3341</v>
      </c>
      <c r="K297" s="46" t="s">
        <v>146</v>
      </c>
      <c r="L297" s="46">
        <v>2</v>
      </c>
      <c r="N297" s="46" t="s">
        <v>3429</v>
      </c>
      <c r="O297" s="46" t="s">
        <v>146</v>
      </c>
      <c r="P297" s="46">
        <v>1</v>
      </c>
      <c r="R297" s="46" t="s">
        <v>3557</v>
      </c>
      <c r="S297" s="46" t="s">
        <v>146</v>
      </c>
      <c r="T297" s="46">
        <v>1</v>
      </c>
      <c r="V297" s="46" t="s">
        <v>1144</v>
      </c>
      <c r="W297" s="46" t="s">
        <v>1558</v>
      </c>
      <c r="X297" s="46" t="s">
        <v>1428</v>
      </c>
      <c r="Y297" s="46" t="s">
        <v>1566</v>
      </c>
      <c r="Z297" s="46">
        <v>19</v>
      </c>
      <c r="AA297" s="46">
        <v>94.8</v>
      </c>
      <c r="AB297" s="46">
        <v>15</v>
      </c>
      <c r="AC297" s="46" t="s">
        <v>1567</v>
      </c>
      <c r="AD297" s="46" t="s">
        <v>1568</v>
      </c>
      <c r="AE297" s="46" t="s">
        <v>607</v>
      </c>
      <c r="AF297" s="46" t="s">
        <v>607</v>
      </c>
      <c r="AG297" s="46" t="s">
        <v>1569</v>
      </c>
      <c r="AH297" s="46" t="s">
        <v>2515</v>
      </c>
      <c r="AI297" s="46" t="s">
        <v>2433</v>
      </c>
      <c r="AJ297" s="46" t="s">
        <v>2535</v>
      </c>
      <c r="AK297" s="46">
        <v>11</v>
      </c>
      <c r="AL297" s="46">
        <v>95.2</v>
      </c>
      <c r="AM297" s="46">
        <v>14</v>
      </c>
      <c r="AN297" s="46" t="s">
        <v>2406</v>
      </c>
      <c r="AO297" s="46" t="s">
        <v>2536</v>
      </c>
      <c r="AP297" s="46" t="s">
        <v>608</v>
      </c>
      <c r="AQ297" s="46" t="s">
        <v>608</v>
      </c>
      <c r="AR297" s="46" t="s">
        <v>2537</v>
      </c>
      <c r="AT297" s="48" t="s">
        <v>146</v>
      </c>
      <c r="AU297" s="41">
        <v>0.34770000000000001</v>
      </c>
      <c r="AV297" s="41"/>
      <c r="AW297" s="55">
        <v>3.665</v>
      </c>
      <c r="AX297" s="55">
        <v>3.6589999999999998</v>
      </c>
      <c r="AY297" s="55">
        <v>3.6560000000000001</v>
      </c>
      <c r="AZ297" s="50">
        <v>0.16200000000000001</v>
      </c>
      <c r="BA297" s="43"/>
      <c r="BB297" s="55">
        <v>3.5910000000000002</v>
      </c>
      <c r="BC297" s="58">
        <v>2.2109999999999999</v>
      </c>
      <c r="BD297" s="43"/>
      <c r="BE297" s="41">
        <v>8300</v>
      </c>
      <c r="BF297" s="41">
        <v>90925</v>
      </c>
      <c r="BG297" s="51">
        <v>1</v>
      </c>
      <c r="BH297" s="51">
        <v>1</v>
      </c>
      <c r="BI297" s="52" t="s">
        <v>3286</v>
      </c>
      <c r="BJ297" s="41"/>
      <c r="BK297" s="41">
        <v>2904.5</v>
      </c>
      <c r="BL297" s="41">
        <v>48810</v>
      </c>
      <c r="BM297" s="51">
        <v>0</v>
      </c>
      <c r="BN297" s="51">
        <v>1</v>
      </c>
      <c r="BO297" s="52" t="s">
        <v>3286</v>
      </c>
      <c r="BP297" s="52" t="s">
        <v>3286</v>
      </c>
      <c r="BQ297" s="43"/>
      <c r="BR297" s="41">
        <v>-0.11269999999999999</v>
      </c>
      <c r="BS297" s="41">
        <v>-6.7599999999999993E-2</v>
      </c>
      <c r="BT297" s="52" t="s">
        <v>3288</v>
      </c>
      <c r="BU297" s="52" t="s">
        <v>3288</v>
      </c>
      <c r="BV297" s="41"/>
      <c r="BW297" s="55">
        <v>3.5</v>
      </c>
      <c r="BX297" s="55">
        <v>3.5680000000000001</v>
      </c>
      <c r="BY297" s="41"/>
    </row>
    <row r="298" spans="1:77" ht="17" thickBot="1">
      <c r="A298" s="148">
        <v>2.65</v>
      </c>
      <c r="B298" s="141" t="s">
        <v>379</v>
      </c>
      <c r="C298" s="86" t="s">
        <v>457</v>
      </c>
      <c r="D298" s="133" t="s">
        <v>147</v>
      </c>
      <c r="E298" s="80" t="s">
        <v>148</v>
      </c>
      <c r="F298" s="46" t="s">
        <v>147</v>
      </c>
      <c r="G298" s="46" t="s">
        <v>1055</v>
      </c>
      <c r="H298" s="46" t="s">
        <v>1056</v>
      </c>
      <c r="I298" s="46" t="s">
        <v>3377</v>
      </c>
      <c r="J298" s="46" t="s">
        <v>3341</v>
      </c>
      <c r="K298" s="46" t="s">
        <v>147</v>
      </c>
      <c r="L298" s="46">
        <v>2</v>
      </c>
      <c r="N298" s="46" t="s">
        <v>3493</v>
      </c>
      <c r="O298" s="46" t="s">
        <v>147</v>
      </c>
      <c r="P298" s="46">
        <v>1</v>
      </c>
      <c r="R298" s="46" t="s">
        <v>3644</v>
      </c>
      <c r="S298" s="46" t="s">
        <v>147</v>
      </c>
      <c r="T298" s="46">
        <v>1</v>
      </c>
      <c r="V298" s="46" t="s">
        <v>1145</v>
      </c>
      <c r="W298" s="46" t="s">
        <v>1558</v>
      </c>
      <c r="X298" s="46" t="s">
        <v>1428</v>
      </c>
      <c r="Y298" s="46" t="s">
        <v>1570</v>
      </c>
      <c r="Z298" s="46">
        <v>19</v>
      </c>
      <c r="AA298" s="46">
        <v>97.9</v>
      </c>
      <c r="AB298" s="46">
        <v>6</v>
      </c>
      <c r="AC298" s="46" t="s">
        <v>1449</v>
      </c>
      <c r="AD298" s="46" t="s">
        <v>1571</v>
      </c>
      <c r="AE298" s="46" t="s">
        <v>1055</v>
      </c>
      <c r="AF298" s="46" t="s">
        <v>1055</v>
      </c>
      <c r="AG298" s="46" t="s">
        <v>1572</v>
      </c>
      <c r="AH298" s="46" t="s">
        <v>2515</v>
      </c>
      <c r="AI298" s="46" t="s">
        <v>2433</v>
      </c>
      <c r="AJ298" s="46" t="s">
        <v>2538</v>
      </c>
      <c r="AK298" s="46">
        <v>11</v>
      </c>
      <c r="AL298" s="46">
        <v>95.2</v>
      </c>
      <c r="AM298" s="46">
        <v>14</v>
      </c>
      <c r="AN298" s="46" t="s">
        <v>2406</v>
      </c>
      <c r="AO298" s="46" t="s">
        <v>2539</v>
      </c>
      <c r="AP298" s="46" t="s">
        <v>1056</v>
      </c>
      <c r="AQ298" s="46" t="s">
        <v>1056</v>
      </c>
      <c r="AR298" s="46" t="s">
        <v>2540</v>
      </c>
      <c r="AT298" s="48" t="s">
        <v>148</v>
      </c>
      <c r="AU298" s="41">
        <v>0.24249999999999999</v>
      </c>
      <c r="AV298" s="41"/>
      <c r="AW298" s="55">
        <v>3.6539999999999999</v>
      </c>
      <c r="AX298" s="55">
        <v>3.5950000000000002</v>
      </c>
      <c r="AY298" s="55">
        <v>3.585</v>
      </c>
      <c r="AZ298" s="50">
        <v>0.14899999999999999</v>
      </c>
      <c r="BA298" s="43"/>
      <c r="BB298" s="55">
        <v>3.6070000000000002</v>
      </c>
      <c r="BC298" s="49">
        <v>2.3180000000000001</v>
      </c>
      <c r="BD298" s="43"/>
      <c r="BE298" s="41">
        <v>12180</v>
      </c>
      <c r="BF298" s="41">
        <v>101510.5</v>
      </c>
      <c r="BG298" s="51">
        <v>1</v>
      </c>
      <c r="BH298" s="51">
        <v>1</v>
      </c>
      <c r="BI298" s="52" t="s">
        <v>3286</v>
      </c>
      <c r="BJ298" s="41"/>
      <c r="BK298" s="41">
        <v>3071.5</v>
      </c>
      <c r="BL298" s="41">
        <v>65108.5</v>
      </c>
      <c r="BM298" s="51">
        <v>0</v>
      </c>
      <c r="BN298" s="51">
        <v>1</v>
      </c>
      <c r="BO298" s="52" t="s">
        <v>3286</v>
      </c>
      <c r="BP298" s="52" t="s">
        <v>3286</v>
      </c>
      <c r="BQ298" s="43"/>
      <c r="BR298" s="41">
        <v>-6.8199999999999997E-2</v>
      </c>
      <c r="BS298" s="41">
        <v>-6.4500000000000002E-2</v>
      </c>
      <c r="BT298" s="52" t="s">
        <v>3288</v>
      </c>
      <c r="BU298" s="52" t="s">
        <v>3288</v>
      </c>
      <c r="BV298" s="41"/>
      <c r="BW298" s="55">
        <v>3.5289999999999999</v>
      </c>
      <c r="BX298" s="55">
        <v>3.605</v>
      </c>
      <c r="BY298" s="41"/>
    </row>
    <row r="299" spans="1:77" s="81" customFormat="1">
      <c r="A299" s="147">
        <v>2.66</v>
      </c>
      <c r="B299" s="140" t="s">
        <v>380</v>
      </c>
      <c r="C299" s="120" t="s">
        <v>458</v>
      </c>
      <c r="D299" s="132" t="s">
        <v>149</v>
      </c>
      <c r="E299" s="82" t="s">
        <v>149</v>
      </c>
      <c r="F299" s="81" t="s">
        <v>149</v>
      </c>
      <c r="G299" s="81" t="s">
        <v>597</v>
      </c>
      <c r="H299" s="81" t="s">
        <v>598</v>
      </c>
      <c r="I299" s="81" t="s">
        <v>3377</v>
      </c>
      <c r="J299" s="81" t="s">
        <v>3339</v>
      </c>
      <c r="K299" s="81" t="s">
        <v>149</v>
      </c>
      <c r="L299" s="81">
        <v>2</v>
      </c>
      <c r="N299" s="81" t="s">
        <v>3427</v>
      </c>
      <c r="O299" s="81" t="s">
        <v>149</v>
      </c>
      <c r="P299" s="81">
        <v>2</v>
      </c>
      <c r="R299" s="81" t="s">
        <v>3556</v>
      </c>
      <c r="S299" s="81" t="s">
        <v>149</v>
      </c>
      <c r="T299" s="81">
        <v>2</v>
      </c>
      <c r="V299" s="81" t="s">
        <v>1146</v>
      </c>
      <c r="W299" s="81" t="s">
        <v>1558</v>
      </c>
      <c r="X299" s="81" t="s">
        <v>1428</v>
      </c>
      <c r="Y299" s="81" t="s">
        <v>1573</v>
      </c>
      <c r="Z299" s="81">
        <v>22</v>
      </c>
      <c r="AA299" s="81">
        <v>94.5</v>
      </c>
      <c r="AB299" s="81">
        <v>16</v>
      </c>
      <c r="AC299" s="81" t="s">
        <v>1449</v>
      </c>
      <c r="AD299" s="81" t="s">
        <v>1574</v>
      </c>
      <c r="AE299" s="81" t="s">
        <v>597</v>
      </c>
      <c r="AF299" s="81" t="s">
        <v>597</v>
      </c>
      <c r="AG299" s="81" t="s">
        <v>1575</v>
      </c>
      <c r="AH299" s="81" t="s">
        <v>2515</v>
      </c>
      <c r="AI299" s="81" t="s">
        <v>2433</v>
      </c>
      <c r="AJ299" s="81" t="s">
        <v>2541</v>
      </c>
      <c r="AK299" s="81">
        <v>11</v>
      </c>
      <c r="AL299" s="81">
        <v>96.5</v>
      </c>
      <c r="AM299" s="81">
        <v>10</v>
      </c>
      <c r="AN299" s="81" t="s">
        <v>2406</v>
      </c>
      <c r="AO299" s="81" t="s">
        <v>2542</v>
      </c>
      <c r="AP299" s="81" t="s">
        <v>598</v>
      </c>
      <c r="AQ299" s="81" t="s">
        <v>598</v>
      </c>
      <c r="AR299" s="81" t="s">
        <v>2543</v>
      </c>
      <c r="AT299" s="83" t="s">
        <v>149</v>
      </c>
      <c r="AU299" s="33">
        <v>0.35160000000000002</v>
      </c>
      <c r="AV299" s="33"/>
      <c r="AW299" s="100">
        <v>3.6259999999999999</v>
      </c>
      <c r="AX299" s="100">
        <v>3.5350000000000001</v>
      </c>
      <c r="AY299" s="100">
        <v>3.4620000000000002</v>
      </c>
      <c r="AZ299" s="87">
        <v>0.14899999999999999</v>
      </c>
      <c r="BA299" s="34"/>
      <c r="BB299" s="100">
        <v>3.524</v>
      </c>
      <c r="BC299" s="114">
        <v>2.1859999999999999</v>
      </c>
      <c r="BD299" s="34"/>
      <c r="BE299" s="33">
        <v>7776</v>
      </c>
      <c r="BF299" s="33">
        <v>55129</v>
      </c>
      <c r="BG299" s="88">
        <v>0</v>
      </c>
      <c r="BH299" s="88">
        <v>1</v>
      </c>
      <c r="BI299" s="89" t="s">
        <v>3286</v>
      </c>
      <c r="BJ299" s="33"/>
      <c r="BK299" s="33">
        <v>2766</v>
      </c>
      <c r="BL299" s="33">
        <v>46203</v>
      </c>
      <c r="BM299" s="88">
        <v>0</v>
      </c>
      <c r="BN299" s="88">
        <v>1</v>
      </c>
      <c r="BO299" s="89" t="s">
        <v>3286</v>
      </c>
      <c r="BP299" s="89" t="s">
        <v>3286</v>
      </c>
      <c r="BQ299" s="34"/>
      <c r="BR299" s="33">
        <v>-9.0899999999999995E-2</v>
      </c>
      <c r="BS299" s="33">
        <v>-7.4499999999999997E-2</v>
      </c>
      <c r="BT299" s="89" t="s">
        <v>3288</v>
      </c>
      <c r="BU299" s="89" t="s">
        <v>3288</v>
      </c>
      <c r="BV299" s="33"/>
      <c r="BW299" s="100">
        <v>3.4060000000000001</v>
      </c>
      <c r="BX299" s="100">
        <v>3.5430000000000001</v>
      </c>
      <c r="BY299" s="33"/>
    </row>
    <row r="300" spans="1:77" s="40" customFormat="1" ht="17" thickBot="1">
      <c r="A300" s="149">
        <v>2.66</v>
      </c>
      <c r="B300" s="142" t="s">
        <v>380</v>
      </c>
      <c r="C300" s="121" t="s">
        <v>458</v>
      </c>
      <c r="D300" s="134" t="s">
        <v>150</v>
      </c>
      <c r="E300" s="84" t="s">
        <v>151</v>
      </c>
      <c r="F300" s="40" t="s">
        <v>150</v>
      </c>
      <c r="G300" s="40" t="s">
        <v>1091</v>
      </c>
      <c r="H300" s="40" t="s">
        <v>1092</v>
      </c>
      <c r="I300" s="40" t="s">
        <v>3377</v>
      </c>
      <c r="J300" s="40" t="s">
        <v>3339</v>
      </c>
      <c r="K300" s="40" t="s">
        <v>150</v>
      </c>
      <c r="L300" s="40">
        <v>2</v>
      </c>
      <c r="N300" s="40" t="s">
        <v>3427</v>
      </c>
      <c r="O300" s="40" t="s">
        <v>150</v>
      </c>
      <c r="P300" s="40">
        <v>2</v>
      </c>
      <c r="R300" s="40" t="s">
        <v>3556</v>
      </c>
      <c r="S300" s="40" t="s">
        <v>150</v>
      </c>
      <c r="T300" s="40">
        <v>2</v>
      </c>
      <c r="V300" s="40" t="s">
        <v>1147</v>
      </c>
      <c r="W300" s="40" t="s">
        <v>1558</v>
      </c>
      <c r="X300" s="40" t="s">
        <v>1428</v>
      </c>
      <c r="Y300" s="40" t="s">
        <v>1576</v>
      </c>
      <c r="Z300" s="40">
        <v>22</v>
      </c>
      <c r="AA300" s="40">
        <v>99.3</v>
      </c>
      <c r="AB300" s="40">
        <v>2</v>
      </c>
      <c r="AC300" s="40" t="s">
        <v>1449</v>
      </c>
      <c r="AD300" s="40" t="s">
        <v>1577</v>
      </c>
      <c r="AE300" s="40" t="s">
        <v>1091</v>
      </c>
      <c r="AF300" s="40" t="s">
        <v>1091</v>
      </c>
      <c r="AG300" s="40" t="s">
        <v>1578</v>
      </c>
      <c r="AH300" s="40" t="s">
        <v>2515</v>
      </c>
      <c r="AI300" s="40" t="s">
        <v>2433</v>
      </c>
      <c r="AJ300" s="40" t="s">
        <v>2544</v>
      </c>
      <c r="AK300" s="40">
        <v>11</v>
      </c>
      <c r="AL300" s="40">
        <v>98.6</v>
      </c>
      <c r="AM300" s="40">
        <v>4</v>
      </c>
      <c r="AN300" s="40" t="s">
        <v>2406</v>
      </c>
      <c r="AO300" s="40" t="s">
        <v>2545</v>
      </c>
      <c r="AP300" s="40" t="s">
        <v>1092</v>
      </c>
      <c r="AQ300" s="40" t="s">
        <v>1092</v>
      </c>
      <c r="AR300" s="40" t="s">
        <v>2546</v>
      </c>
      <c r="AT300" s="85" t="s">
        <v>151</v>
      </c>
      <c r="AU300" s="35">
        <v>0.12559999999999999</v>
      </c>
      <c r="AV300" s="35"/>
      <c r="AW300" s="102">
        <v>3.6869999999999998</v>
      </c>
      <c r="AX300" s="117">
        <v>3.0790000000000002</v>
      </c>
      <c r="AY300" s="90">
        <v>0.254</v>
      </c>
      <c r="AZ300" s="90">
        <v>0.14000000000000001</v>
      </c>
      <c r="BA300" s="37"/>
      <c r="BB300" s="102">
        <v>3.5779999999999998</v>
      </c>
      <c r="BC300" s="117">
        <v>2.1360000000000001</v>
      </c>
      <c r="BD300" s="37"/>
      <c r="BE300" s="35">
        <v>8045</v>
      </c>
      <c r="BF300" s="35">
        <v>100075.5</v>
      </c>
      <c r="BG300" s="93">
        <v>0</v>
      </c>
      <c r="BH300" s="93">
        <v>1</v>
      </c>
      <c r="BI300" s="94" t="s">
        <v>3286</v>
      </c>
      <c r="BJ300" s="35"/>
      <c r="BK300" s="35">
        <v>2764</v>
      </c>
      <c r="BL300" s="35">
        <v>99265</v>
      </c>
      <c r="BM300" s="93">
        <v>0</v>
      </c>
      <c r="BN300" s="93">
        <v>1</v>
      </c>
      <c r="BO300" s="94" t="s">
        <v>3286</v>
      </c>
      <c r="BP300" s="94" t="s">
        <v>3286</v>
      </c>
      <c r="BQ300" s="37"/>
      <c r="BR300" s="35">
        <v>-7.4200000000000002E-2</v>
      </c>
      <c r="BS300" s="35">
        <v>-0.09</v>
      </c>
      <c r="BT300" s="94" t="s">
        <v>3288</v>
      </c>
      <c r="BU300" s="94" t="s">
        <v>3288</v>
      </c>
      <c r="BV300" s="35"/>
      <c r="BW300" s="103">
        <v>2.87</v>
      </c>
      <c r="BX300" s="102">
        <v>3.54</v>
      </c>
      <c r="BY300" s="35"/>
    </row>
    <row r="301" spans="1:77">
      <c r="A301" s="148"/>
    </row>
    <row r="302" spans="1:77">
      <c r="A302" s="148"/>
    </row>
  </sheetData>
  <sortState xmlns:xlrd2="http://schemas.microsoft.com/office/spreadsheetml/2017/richdata2" ref="B2:BY355">
    <sortCondition descending="1" ref="L57:L355"/>
    <sortCondition ref="J57:J355"/>
    <sortCondition descending="1" ref="P57:P355"/>
    <sortCondition descending="1" ref="T57:T355"/>
  </sortState>
  <conditionalFormatting sqref="BG118:BG124">
    <cfRule type="colorScale" priority="584">
      <colorScale>
        <cfvo type="min"/>
        <cfvo type="max"/>
        <color rgb="FFFFFFFF"/>
        <color rgb="FFBDD7EE"/>
      </colorScale>
    </cfRule>
    <cfRule type="colorScale" priority="585">
      <colorScale>
        <cfvo type="min"/>
        <cfvo type="max"/>
        <color rgb="FFE7E6E6"/>
        <color rgb="FFBDD7EE"/>
      </colorScale>
    </cfRule>
    <cfRule type="colorScale" priority="586">
      <colorScale>
        <cfvo type="min"/>
        <cfvo type="max"/>
        <color rgb="FFE7E6E6"/>
        <color rgb="FFC6E0B4"/>
      </colorScale>
    </cfRule>
  </conditionalFormatting>
  <conditionalFormatting sqref="BH118:BH124">
    <cfRule type="colorScale" priority="581">
      <colorScale>
        <cfvo type="min"/>
        <cfvo type="max"/>
        <color rgb="FFFFFFFF"/>
        <color rgb="FFBDD7EE"/>
      </colorScale>
    </cfRule>
    <cfRule type="colorScale" priority="582">
      <colorScale>
        <cfvo type="min"/>
        <cfvo type="max"/>
        <color rgb="FFE7E6E6"/>
        <color rgb="FFBDD7EE"/>
      </colorScale>
    </cfRule>
    <cfRule type="colorScale" priority="583">
      <colorScale>
        <cfvo type="min"/>
        <cfvo type="max"/>
        <color rgb="FFE7E6E6"/>
        <color rgb="FFC6E0B4"/>
      </colorScale>
    </cfRule>
  </conditionalFormatting>
  <conditionalFormatting sqref="BM118:BM124">
    <cfRule type="colorScale" priority="578">
      <colorScale>
        <cfvo type="min"/>
        <cfvo type="max"/>
        <color rgb="FFFFFFFF"/>
        <color rgb="FFBDD7EE"/>
      </colorScale>
    </cfRule>
    <cfRule type="colorScale" priority="579">
      <colorScale>
        <cfvo type="min"/>
        <cfvo type="max"/>
        <color rgb="FFE7E6E6"/>
        <color rgb="FFBDD7EE"/>
      </colorScale>
    </cfRule>
    <cfRule type="colorScale" priority="580">
      <colorScale>
        <cfvo type="min"/>
        <cfvo type="max"/>
        <color rgb="FFE7E6E6"/>
        <color rgb="FFC6E0B4"/>
      </colorScale>
    </cfRule>
  </conditionalFormatting>
  <conditionalFormatting sqref="BN118:BN124">
    <cfRule type="colorScale" priority="575">
      <colorScale>
        <cfvo type="min"/>
        <cfvo type="max"/>
        <color rgb="FFFFFFFF"/>
        <color rgb="FFBDD7EE"/>
      </colorScale>
    </cfRule>
    <cfRule type="colorScale" priority="576">
      <colorScale>
        <cfvo type="min"/>
        <cfvo type="max"/>
        <color rgb="FFE7E6E6"/>
        <color rgb="FFBDD7EE"/>
      </colorScale>
    </cfRule>
    <cfRule type="colorScale" priority="577">
      <colorScale>
        <cfvo type="min"/>
        <cfvo type="max"/>
        <color rgb="FFE7E6E6"/>
        <color rgb="FFC6E0B4"/>
      </colorScale>
    </cfRule>
  </conditionalFormatting>
  <conditionalFormatting sqref="BG125:BG128 BG9:BG11">
    <cfRule type="colorScale" priority="599">
      <colorScale>
        <cfvo type="min"/>
        <cfvo type="max"/>
        <color rgb="FFFFFFFF"/>
        <color rgb="FFBDD7EE"/>
      </colorScale>
    </cfRule>
    <cfRule type="colorScale" priority="600">
      <colorScale>
        <cfvo type="min"/>
        <cfvo type="max"/>
        <color rgb="FFE7E6E6"/>
        <color rgb="FFBDD7EE"/>
      </colorScale>
    </cfRule>
    <cfRule type="colorScale" priority="601">
      <colorScale>
        <cfvo type="min"/>
        <cfvo type="max"/>
        <color rgb="FFE7E6E6"/>
        <color rgb="FFC6E0B4"/>
      </colorScale>
    </cfRule>
  </conditionalFormatting>
  <conditionalFormatting sqref="BH125:BH128 BH9:BH11">
    <cfRule type="colorScale" priority="602">
      <colorScale>
        <cfvo type="min"/>
        <cfvo type="max"/>
        <color rgb="FFFFFFFF"/>
        <color rgb="FFBDD7EE"/>
      </colorScale>
    </cfRule>
    <cfRule type="colorScale" priority="603">
      <colorScale>
        <cfvo type="min"/>
        <cfvo type="max"/>
        <color rgb="FFE7E6E6"/>
        <color rgb="FFBDD7EE"/>
      </colorScale>
    </cfRule>
    <cfRule type="colorScale" priority="604">
      <colorScale>
        <cfvo type="min"/>
        <cfvo type="max"/>
        <color rgb="FFE7E6E6"/>
        <color rgb="FFC6E0B4"/>
      </colorScale>
    </cfRule>
  </conditionalFormatting>
  <conditionalFormatting sqref="BM125:BM128 BM9:BM11">
    <cfRule type="colorScale" priority="605">
      <colorScale>
        <cfvo type="min"/>
        <cfvo type="max"/>
        <color rgb="FFFFFFFF"/>
        <color rgb="FFBDD7EE"/>
      </colorScale>
    </cfRule>
    <cfRule type="colorScale" priority="606">
      <colorScale>
        <cfvo type="min"/>
        <cfvo type="max"/>
        <color rgb="FFE7E6E6"/>
        <color rgb="FFBDD7EE"/>
      </colorScale>
    </cfRule>
    <cfRule type="colorScale" priority="607">
      <colorScale>
        <cfvo type="min"/>
        <cfvo type="max"/>
        <color rgb="FFE7E6E6"/>
        <color rgb="FFC6E0B4"/>
      </colorScale>
    </cfRule>
  </conditionalFormatting>
  <conditionalFormatting sqref="BN125:BN128 BN9:BN11">
    <cfRule type="colorScale" priority="608">
      <colorScale>
        <cfvo type="min"/>
        <cfvo type="max"/>
        <color rgb="FFFFFFFF"/>
        <color rgb="FFBDD7EE"/>
      </colorScale>
    </cfRule>
    <cfRule type="colorScale" priority="609">
      <colorScale>
        <cfvo type="min"/>
        <cfvo type="max"/>
        <color rgb="FFE7E6E6"/>
        <color rgb="FFBDD7EE"/>
      </colorScale>
    </cfRule>
    <cfRule type="colorScale" priority="610">
      <colorScale>
        <cfvo type="min"/>
        <cfvo type="max"/>
        <color rgb="FFE7E6E6"/>
        <color rgb="FFC6E0B4"/>
      </colorScale>
    </cfRule>
  </conditionalFormatting>
  <conditionalFormatting sqref="BG130:BG132">
    <cfRule type="colorScale" priority="572">
      <colorScale>
        <cfvo type="min"/>
        <cfvo type="max"/>
        <color rgb="FFFFFFFF"/>
        <color rgb="FFBDD7EE"/>
      </colorScale>
    </cfRule>
    <cfRule type="colorScale" priority="573">
      <colorScale>
        <cfvo type="min"/>
        <cfvo type="max"/>
        <color rgb="FFE7E6E6"/>
        <color rgb="FFBDD7EE"/>
      </colorScale>
    </cfRule>
    <cfRule type="colorScale" priority="574">
      <colorScale>
        <cfvo type="min"/>
        <cfvo type="max"/>
        <color rgb="FFE7E6E6"/>
        <color rgb="FFC6E0B4"/>
      </colorScale>
    </cfRule>
  </conditionalFormatting>
  <conditionalFormatting sqref="BH130:BH132">
    <cfRule type="colorScale" priority="569">
      <colorScale>
        <cfvo type="min"/>
        <cfvo type="max"/>
        <color rgb="FFFFFFFF"/>
        <color rgb="FFBDD7EE"/>
      </colorScale>
    </cfRule>
    <cfRule type="colorScale" priority="570">
      <colorScale>
        <cfvo type="min"/>
        <cfvo type="max"/>
        <color rgb="FFE7E6E6"/>
        <color rgb="FFBDD7EE"/>
      </colorScale>
    </cfRule>
    <cfRule type="colorScale" priority="571">
      <colorScale>
        <cfvo type="min"/>
        <cfvo type="max"/>
        <color rgb="FFE7E6E6"/>
        <color rgb="FFC6E0B4"/>
      </colorScale>
    </cfRule>
  </conditionalFormatting>
  <conditionalFormatting sqref="BM130:BM132">
    <cfRule type="colorScale" priority="566">
      <colorScale>
        <cfvo type="min"/>
        <cfvo type="max"/>
        <color rgb="FFFFFFFF"/>
        <color rgb="FFBDD7EE"/>
      </colorScale>
    </cfRule>
    <cfRule type="colorScale" priority="567">
      <colorScale>
        <cfvo type="min"/>
        <cfvo type="max"/>
        <color rgb="FFE7E6E6"/>
        <color rgb="FFBDD7EE"/>
      </colorScale>
    </cfRule>
    <cfRule type="colorScale" priority="568">
      <colorScale>
        <cfvo type="min"/>
        <cfvo type="max"/>
        <color rgb="FFE7E6E6"/>
        <color rgb="FFC6E0B4"/>
      </colorScale>
    </cfRule>
  </conditionalFormatting>
  <conditionalFormatting sqref="BN130:BN132">
    <cfRule type="colorScale" priority="563">
      <colorScale>
        <cfvo type="min"/>
        <cfvo type="max"/>
        <color rgb="FFFFFFFF"/>
        <color rgb="FFBDD7EE"/>
      </colorScale>
    </cfRule>
    <cfRule type="colorScale" priority="564">
      <colorScale>
        <cfvo type="min"/>
        <cfvo type="max"/>
        <color rgb="FFE7E6E6"/>
        <color rgb="FFBDD7EE"/>
      </colorScale>
    </cfRule>
    <cfRule type="colorScale" priority="565">
      <colorScale>
        <cfvo type="min"/>
        <cfvo type="max"/>
        <color rgb="FFE7E6E6"/>
        <color rgb="FFC6E0B4"/>
      </colorScale>
    </cfRule>
  </conditionalFormatting>
  <conditionalFormatting sqref="BG133">
    <cfRule type="colorScale" priority="560">
      <colorScale>
        <cfvo type="min"/>
        <cfvo type="max"/>
        <color rgb="FFFFFFFF"/>
        <color rgb="FFBDD7EE"/>
      </colorScale>
    </cfRule>
    <cfRule type="colorScale" priority="561">
      <colorScale>
        <cfvo type="min"/>
        <cfvo type="max"/>
        <color rgb="FFE7E6E6"/>
        <color rgb="FFBDD7EE"/>
      </colorScale>
    </cfRule>
    <cfRule type="colorScale" priority="562">
      <colorScale>
        <cfvo type="min"/>
        <cfvo type="max"/>
        <color rgb="FFE7E6E6"/>
        <color rgb="FFC6E0B4"/>
      </colorScale>
    </cfRule>
  </conditionalFormatting>
  <conditionalFormatting sqref="BH133">
    <cfRule type="colorScale" priority="557">
      <colorScale>
        <cfvo type="min"/>
        <cfvo type="max"/>
        <color rgb="FFFFFFFF"/>
        <color rgb="FFBDD7EE"/>
      </colorScale>
    </cfRule>
    <cfRule type="colorScale" priority="558">
      <colorScale>
        <cfvo type="min"/>
        <cfvo type="max"/>
        <color rgb="FFE7E6E6"/>
        <color rgb="FFBDD7EE"/>
      </colorScale>
    </cfRule>
    <cfRule type="colorScale" priority="559">
      <colorScale>
        <cfvo type="min"/>
        <cfvo type="max"/>
        <color rgb="FFE7E6E6"/>
        <color rgb="FFC6E0B4"/>
      </colorScale>
    </cfRule>
  </conditionalFormatting>
  <conditionalFormatting sqref="BM133">
    <cfRule type="colorScale" priority="554">
      <colorScale>
        <cfvo type="min"/>
        <cfvo type="max"/>
        <color rgb="FFFFFFFF"/>
        <color rgb="FFBDD7EE"/>
      </colorScale>
    </cfRule>
    <cfRule type="colorScale" priority="555">
      <colorScale>
        <cfvo type="min"/>
        <cfvo type="max"/>
        <color rgb="FFE7E6E6"/>
        <color rgb="FFBDD7EE"/>
      </colorScale>
    </cfRule>
    <cfRule type="colorScale" priority="556">
      <colorScale>
        <cfvo type="min"/>
        <cfvo type="max"/>
        <color rgb="FFE7E6E6"/>
        <color rgb="FFC6E0B4"/>
      </colorScale>
    </cfRule>
  </conditionalFormatting>
  <conditionalFormatting sqref="BN133">
    <cfRule type="colorScale" priority="551">
      <colorScale>
        <cfvo type="min"/>
        <cfvo type="max"/>
        <color rgb="FFFFFFFF"/>
        <color rgb="FFBDD7EE"/>
      </colorScale>
    </cfRule>
    <cfRule type="colorScale" priority="552">
      <colorScale>
        <cfvo type="min"/>
        <cfvo type="max"/>
        <color rgb="FFE7E6E6"/>
        <color rgb="FFBDD7EE"/>
      </colorScale>
    </cfRule>
    <cfRule type="colorScale" priority="553">
      <colorScale>
        <cfvo type="min"/>
        <cfvo type="max"/>
        <color rgb="FFE7E6E6"/>
        <color rgb="FFC6E0B4"/>
      </colorScale>
    </cfRule>
  </conditionalFormatting>
  <conditionalFormatting sqref="BG134:BG138 BG3 BG140:BG150 BG5:BG7">
    <cfRule type="colorScale" priority="623">
      <colorScale>
        <cfvo type="min"/>
        <cfvo type="max"/>
        <color rgb="FFFFFFFF"/>
        <color rgb="FFBDD7EE"/>
      </colorScale>
    </cfRule>
    <cfRule type="colorScale" priority="624">
      <colorScale>
        <cfvo type="min"/>
        <cfvo type="max"/>
        <color rgb="FFE7E6E6"/>
        <color rgb="FFBDD7EE"/>
      </colorScale>
    </cfRule>
    <cfRule type="colorScale" priority="625">
      <colorScale>
        <cfvo type="min"/>
        <cfvo type="max"/>
        <color rgb="FFE7E6E6"/>
        <color rgb="FFC6E0B4"/>
      </colorScale>
    </cfRule>
  </conditionalFormatting>
  <conditionalFormatting sqref="BH134:BH138 BH3 BH140:BH150 BH5:BH7">
    <cfRule type="colorScale" priority="626">
      <colorScale>
        <cfvo type="min"/>
        <cfvo type="max"/>
        <color rgb="FFFFFFFF"/>
        <color rgb="FFBDD7EE"/>
      </colorScale>
    </cfRule>
    <cfRule type="colorScale" priority="627">
      <colorScale>
        <cfvo type="min"/>
        <cfvo type="max"/>
        <color rgb="FFE7E6E6"/>
        <color rgb="FFBDD7EE"/>
      </colorScale>
    </cfRule>
    <cfRule type="colorScale" priority="628">
      <colorScale>
        <cfvo type="min"/>
        <cfvo type="max"/>
        <color rgb="FFE7E6E6"/>
        <color rgb="FFC6E0B4"/>
      </colorScale>
    </cfRule>
  </conditionalFormatting>
  <conditionalFormatting sqref="BM134:BM138 BM3 BM140:BM150 BM5:BM7">
    <cfRule type="colorScale" priority="629">
      <colorScale>
        <cfvo type="min"/>
        <cfvo type="max"/>
        <color rgb="FFFFFFFF"/>
        <color rgb="FFBDD7EE"/>
      </colorScale>
    </cfRule>
    <cfRule type="colorScale" priority="630">
      <colorScale>
        <cfvo type="min"/>
        <cfvo type="max"/>
        <color rgb="FFE7E6E6"/>
        <color rgb="FFBDD7EE"/>
      </colorScale>
    </cfRule>
    <cfRule type="colorScale" priority="631">
      <colorScale>
        <cfvo type="min"/>
        <cfvo type="max"/>
        <color rgb="FFE7E6E6"/>
        <color rgb="FFC6E0B4"/>
      </colorScale>
    </cfRule>
  </conditionalFormatting>
  <conditionalFormatting sqref="BN134:BN138 BN3 BN140:BN150 BN5:BN7">
    <cfRule type="colorScale" priority="632">
      <colorScale>
        <cfvo type="min"/>
        <cfvo type="max"/>
        <color rgb="FFFFFFFF"/>
        <color rgb="FFBDD7EE"/>
      </colorScale>
    </cfRule>
    <cfRule type="colorScale" priority="633">
      <colorScale>
        <cfvo type="min"/>
        <cfvo type="max"/>
        <color rgb="FFE7E6E6"/>
        <color rgb="FFBDD7EE"/>
      </colorScale>
    </cfRule>
    <cfRule type="colorScale" priority="634">
      <colorScale>
        <cfvo type="min"/>
        <cfvo type="max"/>
        <color rgb="FFE7E6E6"/>
        <color rgb="FFC6E0B4"/>
      </colorScale>
    </cfRule>
  </conditionalFormatting>
  <conditionalFormatting sqref="BG164:BG165">
    <cfRule type="colorScale" priority="548">
      <colorScale>
        <cfvo type="min"/>
        <cfvo type="max"/>
        <color rgb="FFFFFFFF"/>
        <color rgb="FFBDD7EE"/>
      </colorScale>
    </cfRule>
    <cfRule type="colorScale" priority="549">
      <colorScale>
        <cfvo type="min"/>
        <cfvo type="max"/>
        <color rgb="FFE7E6E6"/>
        <color rgb="FFBDD7EE"/>
      </colorScale>
    </cfRule>
    <cfRule type="colorScale" priority="550">
      <colorScale>
        <cfvo type="min"/>
        <cfvo type="max"/>
        <color rgb="FFE7E6E6"/>
        <color rgb="FFC6E0B4"/>
      </colorScale>
    </cfRule>
  </conditionalFormatting>
  <conditionalFormatting sqref="BH164:BH165">
    <cfRule type="colorScale" priority="545">
      <colorScale>
        <cfvo type="min"/>
        <cfvo type="max"/>
        <color rgb="FFFFFFFF"/>
        <color rgb="FFBDD7EE"/>
      </colorScale>
    </cfRule>
    <cfRule type="colorScale" priority="546">
      <colorScale>
        <cfvo type="min"/>
        <cfvo type="max"/>
        <color rgb="FFE7E6E6"/>
        <color rgb="FFBDD7EE"/>
      </colorScale>
    </cfRule>
    <cfRule type="colorScale" priority="547">
      <colorScale>
        <cfvo type="min"/>
        <cfvo type="max"/>
        <color rgb="FFE7E6E6"/>
        <color rgb="FFC6E0B4"/>
      </colorScale>
    </cfRule>
  </conditionalFormatting>
  <conditionalFormatting sqref="BM164:BM165">
    <cfRule type="colorScale" priority="542">
      <colorScale>
        <cfvo type="min"/>
        <cfvo type="max"/>
        <color rgb="FFFFFFFF"/>
        <color rgb="FFBDD7EE"/>
      </colorScale>
    </cfRule>
    <cfRule type="colorScale" priority="543">
      <colorScale>
        <cfvo type="min"/>
        <cfvo type="max"/>
        <color rgb="FFE7E6E6"/>
        <color rgb="FFBDD7EE"/>
      </colorScale>
    </cfRule>
    <cfRule type="colorScale" priority="544">
      <colorScale>
        <cfvo type="min"/>
        <cfvo type="max"/>
        <color rgb="FFE7E6E6"/>
        <color rgb="FFC6E0B4"/>
      </colorScale>
    </cfRule>
  </conditionalFormatting>
  <conditionalFormatting sqref="BN164:BN165">
    <cfRule type="colorScale" priority="539">
      <colorScale>
        <cfvo type="min"/>
        <cfvo type="max"/>
        <color rgb="FFFFFFFF"/>
        <color rgb="FFBDD7EE"/>
      </colorScale>
    </cfRule>
    <cfRule type="colorScale" priority="540">
      <colorScale>
        <cfvo type="min"/>
        <cfvo type="max"/>
        <color rgb="FFE7E6E6"/>
        <color rgb="FFBDD7EE"/>
      </colorScale>
    </cfRule>
    <cfRule type="colorScale" priority="541">
      <colorScale>
        <cfvo type="min"/>
        <cfvo type="max"/>
        <color rgb="FFE7E6E6"/>
        <color rgb="FFC6E0B4"/>
      </colorScale>
    </cfRule>
  </conditionalFormatting>
  <conditionalFormatting sqref="BG166">
    <cfRule type="colorScale" priority="536">
      <colorScale>
        <cfvo type="min"/>
        <cfvo type="max"/>
        <color rgb="FFFFFFFF"/>
        <color rgb="FFBDD7EE"/>
      </colorScale>
    </cfRule>
    <cfRule type="colorScale" priority="537">
      <colorScale>
        <cfvo type="min"/>
        <cfvo type="max"/>
        <color rgb="FFE7E6E6"/>
        <color rgb="FFBDD7EE"/>
      </colorScale>
    </cfRule>
    <cfRule type="colorScale" priority="538">
      <colorScale>
        <cfvo type="min"/>
        <cfvo type="max"/>
        <color rgb="FFE7E6E6"/>
        <color rgb="FFC6E0B4"/>
      </colorScale>
    </cfRule>
  </conditionalFormatting>
  <conditionalFormatting sqref="BH166">
    <cfRule type="colorScale" priority="533">
      <colorScale>
        <cfvo type="min"/>
        <cfvo type="max"/>
        <color rgb="FFFFFFFF"/>
        <color rgb="FFBDD7EE"/>
      </colorScale>
    </cfRule>
    <cfRule type="colorScale" priority="534">
      <colorScale>
        <cfvo type="min"/>
        <cfvo type="max"/>
        <color rgb="FFE7E6E6"/>
        <color rgb="FFBDD7EE"/>
      </colorScale>
    </cfRule>
    <cfRule type="colorScale" priority="535">
      <colorScale>
        <cfvo type="min"/>
        <cfvo type="max"/>
        <color rgb="FFE7E6E6"/>
        <color rgb="FFC6E0B4"/>
      </colorScale>
    </cfRule>
  </conditionalFormatting>
  <conditionalFormatting sqref="BM166">
    <cfRule type="colorScale" priority="530">
      <colorScale>
        <cfvo type="min"/>
        <cfvo type="max"/>
        <color rgb="FFFFFFFF"/>
        <color rgb="FFBDD7EE"/>
      </colorScale>
    </cfRule>
    <cfRule type="colorScale" priority="531">
      <colorScale>
        <cfvo type="min"/>
        <cfvo type="max"/>
        <color rgb="FFE7E6E6"/>
        <color rgb="FFBDD7EE"/>
      </colorScale>
    </cfRule>
    <cfRule type="colorScale" priority="532">
      <colorScale>
        <cfvo type="min"/>
        <cfvo type="max"/>
        <color rgb="FFE7E6E6"/>
        <color rgb="FFC6E0B4"/>
      </colorScale>
    </cfRule>
  </conditionalFormatting>
  <conditionalFormatting sqref="BN166">
    <cfRule type="colorScale" priority="527">
      <colorScale>
        <cfvo type="min"/>
        <cfvo type="max"/>
        <color rgb="FFFFFFFF"/>
        <color rgb="FFBDD7EE"/>
      </colorScale>
    </cfRule>
    <cfRule type="colorScale" priority="528">
      <colorScale>
        <cfvo type="min"/>
        <cfvo type="max"/>
        <color rgb="FFE7E6E6"/>
        <color rgb="FFBDD7EE"/>
      </colorScale>
    </cfRule>
    <cfRule type="colorScale" priority="529">
      <colorScale>
        <cfvo type="min"/>
        <cfvo type="max"/>
        <color rgb="FFE7E6E6"/>
        <color rgb="FFC6E0B4"/>
      </colorScale>
    </cfRule>
  </conditionalFormatting>
  <conditionalFormatting sqref="BG167">
    <cfRule type="colorScale" priority="524">
      <colorScale>
        <cfvo type="min"/>
        <cfvo type="max"/>
        <color rgb="FFFFFFFF"/>
        <color rgb="FFBDD7EE"/>
      </colorScale>
    </cfRule>
    <cfRule type="colorScale" priority="525">
      <colorScale>
        <cfvo type="min"/>
        <cfvo type="max"/>
        <color rgb="FFE7E6E6"/>
        <color rgb="FFBDD7EE"/>
      </colorScale>
    </cfRule>
    <cfRule type="colorScale" priority="526">
      <colorScale>
        <cfvo type="min"/>
        <cfvo type="max"/>
        <color rgb="FFE7E6E6"/>
        <color rgb="FFC6E0B4"/>
      </colorScale>
    </cfRule>
  </conditionalFormatting>
  <conditionalFormatting sqref="BH167">
    <cfRule type="colorScale" priority="521">
      <colorScale>
        <cfvo type="min"/>
        <cfvo type="max"/>
        <color rgb="FFFFFFFF"/>
        <color rgb="FFBDD7EE"/>
      </colorScale>
    </cfRule>
    <cfRule type="colorScale" priority="522">
      <colorScale>
        <cfvo type="min"/>
        <cfvo type="max"/>
        <color rgb="FFE7E6E6"/>
        <color rgb="FFBDD7EE"/>
      </colorScale>
    </cfRule>
    <cfRule type="colorScale" priority="523">
      <colorScale>
        <cfvo type="min"/>
        <cfvo type="max"/>
        <color rgb="FFE7E6E6"/>
        <color rgb="FFC6E0B4"/>
      </colorScale>
    </cfRule>
  </conditionalFormatting>
  <conditionalFormatting sqref="BM167">
    <cfRule type="colorScale" priority="518">
      <colorScale>
        <cfvo type="min"/>
        <cfvo type="max"/>
        <color rgb="FFFFFFFF"/>
        <color rgb="FFBDD7EE"/>
      </colorScale>
    </cfRule>
    <cfRule type="colorScale" priority="519">
      <colorScale>
        <cfvo type="min"/>
        <cfvo type="max"/>
        <color rgb="FFE7E6E6"/>
        <color rgb="FFBDD7EE"/>
      </colorScale>
    </cfRule>
    <cfRule type="colorScale" priority="520">
      <colorScale>
        <cfvo type="min"/>
        <cfvo type="max"/>
        <color rgb="FFE7E6E6"/>
        <color rgb="FFC6E0B4"/>
      </colorScale>
    </cfRule>
  </conditionalFormatting>
  <conditionalFormatting sqref="BN167">
    <cfRule type="colorScale" priority="515">
      <colorScale>
        <cfvo type="min"/>
        <cfvo type="max"/>
        <color rgb="FFFFFFFF"/>
        <color rgb="FFBDD7EE"/>
      </colorScale>
    </cfRule>
    <cfRule type="colorScale" priority="516">
      <colorScale>
        <cfvo type="min"/>
        <cfvo type="max"/>
        <color rgb="FFE7E6E6"/>
        <color rgb="FFBDD7EE"/>
      </colorScale>
    </cfRule>
    <cfRule type="colorScale" priority="517">
      <colorScale>
        <cfvo type="min"/>
        <cfvo type="max"/>
        <color rgb="FFE7E6E6"/>
        <color rgb="FFC6E0B4"/>
      </colorScale>
    </cfRule>
  </conditionalFormatting>
  <conditionalFormatting sqref="BG168">
    <cfRule type="colorScale" priority="512">
      <colorScale>
        <cfvo type="min"/>
        <cfvo type="max"/>
        <color rgb="FFFFFFFF"/>
        <color rgb="FFBDD7EE"/>
      </colorScale>
    </cfRule>
    <cfRule type="colorScale" priority="513">
      <colorScale>
        <cfvo type="min"/>
        <cfvo type="max"/>
        <color rgb="FFE7E6E6"/>
        <color rgb="FFBDD7EE"/>
      </colorScale>
    </cfRule>
    <cfRule type="colorScale" priority="514">
      <colorScale>
        <cfvo type="min"/>
        <cfvo type="max"/>
        <color rgb="FFE7E6E6"/>
        <color rgb="FFC6E0B4"/>
      </colorScale>
    </cfRule>
  </conditionalFormatting>
  <conditionalFormatting sqref="BH168">
    <cfRule type="colorScale" priority="509">
      <colorScale>
        <cfvo type="min"/>
        <cfvo type="max"/>
        <color rgb="FFFFFFFF"/>
        <color rgb="FFBDD7EE"/>
      </colorScale>
    </cfRule>
    <cfRule type="colorScale" priority="510">
      <colorScale>
        <cfvo type="min"/>
        <cfvo type="max"/>
        <color rgb="FFE7E6E6"/>
        <color rgb="FFBDD7EE"/>
      </colorScale>
    </cfRule>
    <cfRule type="colorScale" priority="511">
      <colorScale>
        <cfvo type="min"/>
        <cfvo type="max"/>
        <color rgb="FFE7E6E6"/>
        <color rgb="FFC6E0B4"/>
      </colorScale>
    </cfRule>
  </conditionalFormatting>
  <conditionalFormatting sqref="BM168">
    <cfRule type="colorScale" priority="506">
      <colorScale>
        <cfvo type="min"/>
        <cfvo type="max"/>
        <color rgb="FFFFFFFF"/>
        <color rgb="FFBDD7EE"/>
      </colorScale>
    </cfRule>
    <cfRule type="colorScale" priority="507">
      <colorScale>
        <cfvo type="min"/>
        <cfvo type="max"/>
        <color rgb="FFE7E6E6"/>
        <color rgb="FFBDD7EE"/>
      </colorScale>
    </cfRule>
    <cfRule type="colorScale" priority="508">
      <colorScale>
        <cfvo type="min"/>
        <cfvo type="max"/>
        <color rgb="FFE7E6E6"/>
        <color rgb="FFC6E0B4"/>
      </colorScale>
    </cfRule>
  </conditionalFormatting>
  <conditionalFormatting sqref="BN168">
    <cfRule type="colorScale" priority="503">
      <colorScale>
        <cfvo type="min"/>
        <cfvo type="max"/>
        <color rgb="FFFFFFFF"/>
        <color rgb="FFBDD7EE"/>
      </colorScale>
    </cfRule>
    <cfRule type="colorScale" priority="504">
      <colorScale>
        <cfvo type="min"/>
        <cfvo type="max"/>
        <color rgb="FFE7E6E6"/>
        <color rgb="FFBDD7EE"/>
      </colorScale>
    </cfRule>
    <cfRule type="colorScale" priority="505">
      <colorScale>
        <cfvo type="min"/>
        <cfvo type="max"/>
        <color rgb="FFE7E6E6"/>
        <color rgb="FFC6E0B4"/>
      </colorScale>
    </cfRule>
  </conditionalFormatting>
  <conditionalFormatting sqref="BG170:BG171">
    <cfRule type="colorScale" priority="500">
      <colorScale>
        <cfvo type="min"/>
        <cfvo type="max"/>
        <color rgb="FFFFFFFF"/>
        <color rgb="FFBDD7EE"/>
      </colorScale>
    </cfRule>
    <cfRule type="colorScale" priority="501">
      <colorScale>
        <cfvo type="min"/>
        <cfvo type="max"/>
        <color rgb="FFE7E6E6"/>
        <color rgb="FFBDD7EE"/>
      </colorScale>
    </cfRule>
    <cfRule type="colorScale" priority="502">
      <colorScale>
        <cfvo type="min"/>
        <cfvo type="max"/>
        <color rgb="FFE7E6E6"/>
        <color rgb="FFC6E0B4"/>
      </colorScale>
    </cfRule>
  </conditionalFormatting>
  <conditionalFormatting sqref="BH170:BH171">
    <cfRule type="colorScale" priority="497">
      <colorScale>
        <cfvo type="min"/>
        <cfvo type="max"/>
        <color rgb="FFFFFFFF"/>
        <color rgb="FFBDD7EE"/>
      </colorScale>
    </cfRule>
    <cfRule type="colorScale" priority="498">
      <colorScale>
        <cfvo type="min"/>
        <cfvo type="max"/>
        <color rgb="FFE7E6E6"/>
        <color rgb="FFBDD7EE"/>
      </colorScale>
    </cfRule>
    <cfRule type="colorScale" priority="499">
      <colorScale>
        <cfvo type="min"/>
        <cfvo type="max"/>
        <color rgb="FFE7E6E6"/>
        <color rgb="FFC6E0B4"/>
      </colorScale>
    </cfRule>
  </conditionalFormatting>
  <conditionalFormatting sqref="BM170:BM171">
    <cfRule type="colorScale" priority="494">
      <colorScale>
        <cfvo type="min"/>
        <cfvo type="max"/>
        <color rgb="FFFFFFFF"/>
        <color rgb="FFBDD7EE"/>
      </colorScale>
    </cfRule>
    <cfRule type="colorScale" priority="495">
      <colorScale>
        <cfvo type="min"/>
        <cfvo type="max"/>
        <color rgb="FFE7E6E6"/>
        <color rgb="FFBDD7EE"/>
      </colorScale>
    </cfRule>
    <cfRule type="colorScale" priority="496">
      <colorScale>
        <cfvo type="min"/>
        <cfvo type="max"/>
        <color rgb="FFE7E6E6"/>
        <color rgb="FFC6E0B4"/>
      </colorScale>
    </cfRule>
  </conditionalFormatting>
  <conditionalFormatting sqref="BN170:BN171">
    <cfRule type="colorScale" priority="491">
      <colorScale>
        <cfvo type="min"/>
        <cfvo type="max"/>
        <color rgb="FFFFFFFF"/>
        <color rgb="FFBDD7EE"/>
      </colorScale>
    </cfRule>
    <cfRule type="colorScale" priority="492">
      <colorScale>
        <cfvo type="min"/>
        <cfvo type="max"/>
        <color rgb="FFE7E6E6"/>
        <color rgb="FFBDD7EE"/>
      </colorScale>
    </cfRule>
    <cfRule type="colorScale" priority="493">
      <colorScale>
        <cfvo type="min"/>
        <cfvo type="max"/>
        <color rgb="FFE7E6E6"/>
        <color rgb="FFC6E0B4"/>
      </colorScale>
    </cfRule>
  </conditionalFormatting>
  <conditionalFormatting sqref="BG172:BG174">
    <cfRule type="colorScale" priority="488">
      <colorScale>
        <cfvo type="min"/>
        <cfvo type="max"/>
        <color rgb="FFFFFFFF"/>
        <color rgb="FFBDD7EE"/>
      </colorScale>
    </cfRule>
    <cfRule type="colorScale" priority="489">
      <colorScale>
        <cfvo type="min"/>
        <cfvo type="max"/>
        <color rgb="FFE7E6E6"/>
        <color rgb="FFBDD7EE"/>
      </colorScale>
    </cfRule>
    <cfRule type="colorScale" priority="490">
      <colorScale>
        <cfvo type="min"/>
        <cfvo type="max"/>
        <color rgb="FFE7E6E6"/>
        <color rgb="FFC6E0B4"/>
      </colorScale>
    </cfRule>
  </conditionalFormatting>
  <conditionalFormatting sqref="BH172:BH174">
    <cfRule type="colorScale" priority="485">
      <colorScale>
        <cfvo type="min"/>
        <cfvo type="max"/>
        <color rgb="FFFFFFFF"/>
        <color rgb="FFBDD7EE"/>
      </colorScale>
    </cfRule>
    <cfRule type="colorScale" priority="486">
      <colorScale>
        <cfvo type="min"/>
        <cfvo type="max"/>
        <color rgb="FFE7E6E6"/>
        <color rgb="FFBDD7EE"/>
      </colorScale>
    </cfRule>
    <cfRule type="colorScale" priority="487">
      <colorScale>
        <cfvo type="min"/>
        <cfvo type="max"/>
        <color rgb="FFE7E6E6"/>
        <color rgb="FFC6E0B4"/>
      </colorScale>
    </cfRule>
  </conditionalFormatting>
  <conditionalFormatting sqref="BM172:BM174">
    <cfRule type="colorScale" priority="482">
      <colorScale>
        <cfvo type="min"/>
        <cfvo type="max"/>
        <color rgb="FFFFFFFF"/>
        <color rgb="FFBDD7EE"/>
      </colorScale>
    </cfRule>
    <cfRule type="colorScale" priority="483">
      <colorScale>
        <cfvo type="min"/>
        <cfvo type="max"/>
        <color rgb="FFE7E6E6"/>
        <color rgb="FFBDD7EE"/>
      </colorScale>
    </cfRule>
    <cfRule type="colorScale" priority="484">
      <colorScale>
        <cfvo type="min"/>
        <cfvo type="max"/>
        <color rgb="FFE7E6E6"/>
        <color rgb="FFC6E0B4"/>
      </colorScale>
    </cfRule>
  </conditionalFormatting>
  <conditionalFormatting sqref="BN172:BN174">
    <cfRule type="colorScale" priority="479">
      <colorScale>
        <cfvo type="min"/>
        <cfvo type="max"/>
        <color rgb="FFFFFFFF"/>
        <color rgb="FFBDD7EE"/>
      </colorScale>
    </cfRule>
    <cfRule type="colorScale" priority="480">
      <colorScale>
        <cfvo type="min"/>
        <cfvo type="max"/>
        <color rgb="FFE7E6E6"/>
        <color rgb="FFBDD7EE"/>
      </colorScale>
    </cfRule>
    <cfRule type="colorScale" priority="481">
      <colorScale>
        <cfvo type="min"/>
        <cfvo type="max"/>
        <color rgb="FFE7E6E6"/>
        <color rgb="FFC6E0B4"/>
      </colorScale>
    </cfRule>
  </conditionalFormatting>
  <conditionalFormatting sqref="BG175:BG180">
    <cfRule type="colorScale" priority="476">
      <colorScale>
        <cfvo type="min"/>
        <cfvo type="max"/>
        <color rgb="FFFFFFFF"/>
        <color rgb="FFBDD7EE"/>
      </colorScale>
    </cfRule>
    <cfRule type="colorScale" priority="477">
      <colorScale>
        <cfvo type="min"/>
        <cfvo type="max"/>
        <color rgb="FFE7E6E6"/>
        <color rgb="FFBDD7EE"/>
      </colorScale>
    </cfRule>
    <cfRule type="colorScale" priority="478">
      <colorScale>
        <cfvo type="min"/>
        <cfvo type="max"/>
        <color rgb="FFE7E6E6"/>
        <color rgb="FFC6E0B4"/>
      </colorScale>
    </cfRule>
  </conditionalFormatting>
  <conditionalFormatting sqref="BH175:BH180">
    <cfRule type="colorScale" priority="473">
      <colorScale>
        <cfvo type="min"/>
        <cfvo type="max"/>
        <color rgb="FFFFFFFF"/>
        <color rgb="FFBDD7EE"/>
      </colorScale>
    </cfRule>
    <cfRule type="colorScale" priority="474">
      <colorScale>
        <cfvo type="min"/>
        <cfvo type="max"/>
        <color rgb="FFE7E6E6"/>
        <color rgb="FFBDD7EE"/>
      </colorScale>
    </cfRule>
    <cfRule type="colorScale" priority="475">
      <colorScale>
        <cfvo type="min"/>
        <cfvo type="max"/>
        <color rgb="FFE7E6E6"/>
        <color rgb="FFC6E0B4"/>
      </colorScale>
    </cfRule>
  </conditionalFormatting>
  <conditionalFormatting sqref="BM175:BM180">
    <cfRule type="colorScale" priority="470">
      <colorScale>
        <cfvo type="min"/>
        <cfvo type="max"/>
        <color rgb="FFFFFFFF"/>
        <color rgb="FFBDD7EE"/>
      </colorScale>
    </cfRule>
    <cfRule type="colorScale" priority="471">
      <colorScale>
        <cfvo type="min"/>
        <cfvo type="max"/>
        <color rgb="FFE7E6E6"/>
        <color rgb="FFBDD7EE"/>
      </colorScale>
    </cfRule>
    <cfRule type="colorScale" priority="472">
      <colorScale>
        <cfvo type="min"/>
        <cfvo type="max"/>
        <color rgb="FFE7E6E6"/>
        <color rgb="FFC6E0B4"/>
      </colorScale>
    </cfRule>
  </conditionalFormatting>
  <conditionalFormatting sqref="BN175:BN180">
    <cfRule type="colorScale" priority="467">
      <colorScale>
        <cfvo type="min"/>
        <cfvo type="max"/>
        <color rgb="FFFFFFFF"/>
        <color rgb="FFBDD7EE"/>
      </colorScale>
    </cfRule>
    <cfRule type="colorScale" priority="468">
      <colorScale>
        <cfvo type="min"/>
        <cfvo type="max"/>
        <color rgb="FFE7E6E6"/>
        <color rgb="FFBDD7EE"/>
      </colorScale>
    </cfRule>
    <cfRule type="colorScale" priority="469">
      <colorScale>
        <cfvo type="min"/>
        <cfvo type="max"/>
        <color rgb="FFE7E6E6"/>
        <color rgb="FFC6E0B4"/>
      </colorScale>
    </cfRule>
  </conditionalFormatting>
  <conditionalFormatting sqref="BG19:BG20 BG181">
    <cfRule type="colorScale" priority="464">
      <colorScale>
        <cfvo type="min"/>
        <cfvo type="max"/>
        <color rgb="FFFFFFFF"/>
        <color rgb="FFBDD7EE"/>
      </colorScale>
    </cfRule>
    <cfRule type="colorScale" priority="465">
      <colorScale>
        <cfvo type="min"/>
        <cfvo type="max"/>
        <color rgb="FFE7E6E6"/>
        <color rgb="FFBDD7EE"/>
      </colorScale>
    </cfRule>
    <cfRule type="colorScale" priority="466">
      <colorScale>
        <cfvo type="min"/>
        <cfvo type="max"/>
        <color rgb="FFE7E6E6"/>
        <color rgb="FFC6E0B4"/>
      </colorScale>
    </cfRule>
  </conditionalFormatting>
  <conditionalFormatting sqref="BH19:BH20 BH181">
    <cfRule type="colorScale" priority="461">
      <colorScale>
        <cfvo type="min"/>
        <cfvo type="max"/>
        <color rgb="FFFFFFFF"/>
        <color rgb="FFBDD7EE"/>
      </colorScale>
    </cfRule>
    <cfRule type="colorScale" priority="462">
      <colorScale>
        <cfvo type="min"/>
        <cfvo type="max"/>
        <color rgb="FFE7E6E6"/>
        <color rgb="FFBDD7EE"/>
      </colorScale>
    </cfRule>
    <cfRule type="colorScale" priority="463">
      <colorScale>
        <cfvo type="min"/>
        <cfvo type="max"/>
        <color rgb="FFE7E6E6"/>
        <color rgb="FFC6E0B4"/>
      </colorScale>
    </cfRule>
  </conditionalFormatting>
  <conditionalFormatting sqref="BM19:BM20 BM181">
    <cfRule type="colorScale" priority="458">
      <colorScale>
        <cfvo type="min"/>
        <cfvo type="max"/>
        <color rgb="FFFFFFFF"/>
        <color rgb="FFBDD7EE"/>
      </colorScale>
    </cfRule>
    <cfRule type="colorScale" priority="459">
      <colorScale>
        <cfvo type="min"/>
        <cfvo type="max"/>
        <color rgb="FFE7E6E6"/>
        <color rgb="FFBDD7EE"/>
      </colorScale>
    </cfRule>
    <cfRule type="colorScale" priority="460">
      <colorScale>
        <cfvo type="min"/>
        <cfvo type="max"/>
        <color rgb="FFE7E6E6"/>
        <color rgb="FFC6E0B4"/>
      </colorScale>
    </cfRule>
  </conditionalFormatting>
  <conditionalFormatting sqref="BN19:BN20 BN181">
    <cfRule type="colorScale" priority="455">
      <colorScale>
        <cfvo type="min"/>
        <cfvo type="max"/>
        <color rgb="FFFFFFFF"/>
        <color rgb="FFBDD7EE"/>
      </colorScale>
    </cfRule>
    <cfRule type="colorScale" priority="456">
      <colorScale>
        <cfvo type="min"/>
        <cfvo type="max"/>
        <color rgb="FFE7E6E6"/>
        <color rgb="FFBDD7EE"/>
      </colorScale>
    </cfRule>
    <cfRule type="colorScale" priority="457">
      <colorScale>
        <cfvo type="min"/>
        <cfvo type="max"/>
        <color rgb="FFE7E6E6"/>
        <color rgb="FFC6E0B4"/>
      </colorScale>
    </cfRule>
  </conditionalFormatting>
  <conditionalFormatting sqref="BG21">
    <cfRule type="colorScale" priority="452">
      <colorScale>
        <cfvo type="min"/>
        <cfvo type="max"/>
        <color rgb="FFFFFFFF"/>
        <color rgb="FFBDD7EE"/>
      </colorScale>
    </cfRule>
    <cfRule type="colorScale" priority="453">
      <colorScale>
        <cfvo type="min"/>
        <cfvo type="max"/>
        <color rgb="FFE7E6E6"/>
        <color rgb="FFBDD7EE"/>
      </colorScale>
    </cfRule>
    <cfRule type="colorScale" priority="454">
      <colorScale>
        <cfvo type="min"/>
        <cfvo type="max"/>
        <color rgb="FFE7E6E6"/>
        <color rgb="FFC6E0B4"/>
      </colorScale>
    </cfRule>
  </conditionalFormatting>
  <conditionalFormatting sqref="BH21">
    <cfRule type="colorScale" priority="449">
      <colorScale>
        <cfvo type="min"/>
        <cfvo type="max"/>
        <color rgb="FFFFFFFF"/>
        <color rgb="FFBDD7EE"/>
      </colorScale>
    </cfRule>
    <cfRule type="colorScale" priority="450">
      <colorScale>
        <cfvo type="min"/>
        <cfvo type="max"/>
        <color rgb="FFE7E6E6"/>
        <color rgb="FFBDD7EE"/>
      </colorScale>
    </cfRule>
    <cfRule type="colorScale" priority="451">
      <colorScale>
        <cfvo type="min"/>
        <cfvo type="max"/>
        <color rgb="FFE7E6E6"/>
        <color rgb="FFC6E0B4"/>
      </colorScale>
    </cfRule>
  </conditionalFormatting>
  <conditionalFormatting sqref="BM21">
    <cfRule type="colorScale" priority="446">
      <colorScale>
        <cfvo type="min"/>
        <cfvo type="max"/>
        <color rgb="FFFFFFFF"/>
        <color rgb="FFBDD7EE"/>
      </colorScale>
    </cfRule>
    <cfRule type="colorScale" priority="447">
      <colorScale>
        <cfvo type="min"/>
        <cfvo type="max"/>
        <color rgb="FFE7E6E6"/>
        <color rgb="FFBDD7EE"/>
      </colorScale>
    </cfRule>
    <cfRule type="colorScale" priority="448">
      <colorScale>
        <cfvo type="min"/>
        <cfvo type="max"/>
        <color rgb="FFE7E6E6"/>
        <color rgb="FFC6E0B4"/>
      </colorScale>
    </cfRule>
  </conditionalFormatting>
  <conditionalFormatting sqref="BN21">
    <cfRule type="colorScale" priority="443">
      <colorScale>
        <cfvo type="min"/>
        <cfvo type="max"/>
        <color rgb="FFFFFFFF"/>
        <color rgb="FFBDD7EE"/>
      </colorScale>
    </cfRule>
    <cfRule type="colorScale" priority="444">
      <colorScale>
        <cfvo type="min"/>
        <cfvo type="max"/>
        <color rgb="FFE7E6E6"/>
        <color rgb="FFBDD7EE"/>
      </colorScale>
    </cfRule>
    <cfRule type="colorScale" priority="445">
      <colorScale>
        <cfvo type="min"/>
        <cfvo type="max"/>
        <color rgb="FFE7E6E6"/>
        <color rgb="FFC6E0B4"/>
      </colorScale>
    </cfRule>
  </conditionalFormatting>
  <conditionalFormatting sqref="BG44">
    <cfRule type="colorScale" priority="407">
      <colorScale>
        <cfvo type="min"/>
        <cfvo type="max"/>
        <color rgb="FFFFFFFF"/>
        <color rgb="FFBDD7EE"/>
      </colorScale>
    </cfRule>
    <cfRule type="colorScale" priority="408">
      <colorScale>
        <cfvo type="min"/>
        <cfvo type="max"/>
        <color rgb="FFE7E6E6"/>
        <color rgb="FFBDD7EE"/>
      </colorScale>
    </cfRule>
    <cfRule type="colorScale" priority="409">
      <colorScale>
        <cfvo type="min"/>
        <cfvo type="max"/>
        <color rgb="FFE7E6E6"/>
        <color rgb="FFC6E0B4"/>
      </colorScale>
    </cfRule>
  </conditionalFormatting>
  <conditionalFormatting sqref="BH44">
    <cfRule type="colorScale" priority="410">
      <colorScale>
        <cfvo type="min"/>
        <cfvo type="max"/>
        <color rgb="FFFFFFFF"/>
        <color rgb="FFBDD7EE"/>
      </colorScale>
    </cfRule>
    <cfRule type="colorScale" priority="411">
      <colorScale>
        <cfvo type="min"/>
        <cfvo type="max"/>
        <color rgb="FFE7E6E6"/>
        <color rgb="FFBDD7EE"/>
      </colorScale>
    </cfRule>
    <cfRule type="colorScale" priority="412">
      <colorScale>
        <cfvo type="min"/>
        <cfvo type="max"/>
        <color rgb="FFE7E6E6"/>
        <color rgb="FFC6E0B4"/>
      </colorScale>
    </cfRule>
  </conditionalFormatting>
  <conditionalFormatting sqref="BM44">
    <cfRule type="colorScale" priority="413">
      <colorScale>
        <cfvo type="min"/>
        <cfvo type="max"/>
        <color rgb="FFFFFFFF"/>
        <color rgb="FFBDD7EE"/>
      </colorScale>
    </cfRule>
    <cfRule type="colorScale" priority="414">
      <colorScale>
        <cfvo type="min"/>
        <cfvo type="max"/>
        <color rgb="FFE7E6E6"/>
        <color rgb="FFBDD7EE"/>
      </colorScale>
    </cfRule>
    <cfRule type="colorScale" priority="415">
      <colorScale>
        <cfvo type="min"/>
        <cfvo type="max"/>
        <color rgb="FFE7E6E6"/>
        <color rgb="FFC6E0B4"/>
      </colorScale>
    </cfRule>
  </conditionalFormatting>
  <conditionalFormatting sqref="BN44">
    <cfRule type="colorScale" priority="416">
      <colorScale>
        <cfvo type="min"/>
        <cfvo type="max"/>
        <color rgb="FFFFFFFF"/>
        <color rgb="FFBDD7EE"/>
      </colorScale>
    </cfRule>
    <cfRule type="colorScale" priority="417">
      <colorScale>
        <cfvo type="min"/>
        <cfvo type="max"/>
        <color rgb="FFE7E6E6"/>
        <color rgb="FFBDD7EE"/>
      </colorScale>
    </cfRule>
    <cfRule type="colorScale" priority="418">
      <colorScale>
        <cfvo type="min"/>
        <cfvo type="max"/>
        <color rgb="FFE7E6E6"/>
        <color rgb="FFC6E0B4"/>
      </colorScale>
    </cfRule>
  </conditionalFormatting>
  <conditionalFormatting sqref="BG46">
    <cfRule type="colorScale" priority="395">
      <colorScale>
        <cfvo type="min"/>
        <cfvo type="max"/>
        <color rgb="FFFFFFFF"/>
        <color rgb="FFBDD7EE"/>
      </colorScale>
    </cfRule>
    <cfRule type="colorScale" priority="396">
      <colorScale>
        <cfvo type="min"/>
        <cfvo type="max"/>
        <color rgb="FFE7E6E6"/>
        <color rgb="FFBDD7EE"/>
      </colorScale>
    </cfRule>
    <cfRule type="colorScale" priority="397">
      <colorScale>
        <cfvo type="min"/>
        <cfvo type="max"/>
        <color rgb="FFE7E6E6"/>
        <color rgb="FFC6E0B4"/>
      </colorScale>
    </cfRule>
  </conditionalFormatting>
  <conditionalFormatting sqref="BH46">
    <cfRule type="colorScale" priority="398">
      <colorScale>
        <cfvo type="min"/>
        <cfvo type="max"/>
        <color rgb="FFFFFFFF"/>
        <color rgb="FFBDD7EE"/>
      </colorScale>
    </cfRule>
    <cfRule type="colorScale" priority="399">
      <colorScale>
        <cfvo type="min"/>
        <cfvo type="max"/>
        <color rgb="FFE7E6E6"/>
        <color rgb="FFBDD7EE"/>
      </colorScale>
    </cfRule>
    <cfRule type="colorScale" priority="400">
      <colorScale>
        <cfvo type="min"/>
        <cfvo type="max"/>
        <color rgb="FFE7E6E6"/>
        <color rgb="FFC6E0B4"/>
      </colorScale>
    </cfRule>
  </conditionalFormatting>
  <conditionalFormatting sqref="BM46">
    <cfRule type="colorScale" priority="401">
      <colorScale>
        <cfvo type="min"/>
        <cfvo type="max"/>
        <color rgb="FFFFFFFF"/>
        <color rgb="FFBDD7EE"/>
      </colorScale>
    </cfRule>
    <cfRule type="colorScale" priority="402">
      <colorScale>
        <cfvo type="min"/>
        <cfvo type="max"/>
        <color rgb="FFE7E6E6"/>
        <color rgb="FFBDD7EE"/>
      </colorScale>
    </cfRule>
    <cfRule type="colorScale" priority="403">
      <colorScale>
        <cfvo type="min"/>
        <cfvo type="max"/>
        <color rgb="FFE7E6E6"/>
        <color rgb="FFC6E0B4"/>
      </colorScale>
    </cfRule>
  </conditionalFormatting>
  <conditionalFormatting sqref="BN46">
    <cfRule type="colorScale" priority="404">
      <colorScale>
        <cfvo type="min"/>
        <cfvo type="max"/>
        <color rgb="FFFFFFFF"/>
        <color rgb="FFBDD7EE"/>
      </colorScale>
    </cfRule>
    <cfRule type="colorScale" priority="405">
      <colorScale>
        <cfvo type="min"/>
        <cfvo type="max"/>
        <color rgb="FFE7E6E6"/>
        <color rgb="FFBDD7EE"/>
      </colorScale>
    </cfRule>
    <cfRule type="colorScale" priority="406">
      <colorScale>
        <cfvo type="min"/>
        <cfvo type="max"/>
        <color rgb="FFE7E6E6"/>
        <color rgb="FFC6E0B4"/>
      </colorScale>
    </cfRule>
  </conditionalFormatting>
  <conditionalFormatting sqref="BG26">
    <cfRule type="colorScale" priority="383">
      <colorScale>
        <cfvo type="min"/>
        <cfvo type="max"/>
        <color rgb="FFFFFFFF"/>
        <color rgb="FFBDD7EE"/>
      </colorScale>
    </cfRule>
    <cfRule type="colorScale" priority="384">
      <colorScale>
        <cfvo type="min"/>
        <cfvo type="max"/>
        <color rgb="FFE7E6E6"/>
        <color rgb="FFBDD7EE"/>
      </colorScale>
    </cfRule>
    <cfRule type="colorScale" priority="385">
      <colorScale>
        <cfvo type="min"/>
        <cfvo type="max"/>
        <color rgb="FFE7E6E6"/>
        <color rgb="FFC6E0B4"/>
      </colorScale>
    </cfRule>
  </conditionalFormatting>
  <conditionalFormatting sqref="BH26">
    <cfRule type="colorScale" priority="386">
      <colorScale>
        <cfvo type="min"/>
        <cfvo type="max"/>
        <color rgb="FFFFFFFF"/>
        <color rgb="FFBDD7EE"/>
      </colorScale>
    </cfRule>
    <cfRule type="colorScale" priority="387">
      <colorScale>
        <cfvo type="min"/>
        <cfvo type="max"/>
        <color rgb="FFE7E6E6"/>
        <color rgb="FFBDD7EE"/>
      </colorScale>
    </cfRule>
    <cfRule type="colorScale" priority="388">
      <colorScale>
        <cfvo type="min"/>
        <cfvo type="max"/>
        <color rgb="FFE7E6E6"/>
        <color rgb="FFC6E0B4"/>
      </colorScale>
    </cfRule>
  </conditionalFormatting>
  <conditionalFormatting sqref="BM26">
    <cfRule type="colorScale" priority="389">
      <colorScale>
        <cfvo type="min"/>
        <cfvo type="max"/>
        <color rgb="FFFFFFFF"/>
        <color rgb="FFBDD7EE"/>
      </colorScale>
    </cfRule>
    <cfRule type="colorScale" priority="390">
      <colorScale>
        <cfvo type="min"/>
        <cfvo type="max"/>
        <color rgb="FFE7E6E6"/>
        <color rgb="FFBDD7EE"/>
      </colorScale>
    </cfRule>
    <cfRule type="colorScale" priority="391">
      <colorScale>
        <cfvo type="min"/>
        <cfvo type="max"/>
        <color rgb="FFE7E6E6"/>
        <color rgb="FFC6E0B4"/>
      </colorScale>
    </cfRule>
  </conditionalFormatting>
  <conditionalFormatting sqref="BN26">
    <cfRule type="colorScale" priority="392">
      <colorScale>
        <cfvo type="min"/>
        <cfvo type="max"/>
        <color rgb="FFFFFFFF"/>
        <color rgb="FFBDD7EE"/>
      </colorScale>
    </cfRule>
    <cfRule type="colorScale" priority="393">
      <colorScale>
        <cfvo type="min"/>
        <cfvo type="max"/>
        <color rgb="FFE7E6E6"/>
        <color rgb="FFBDD7EE"/>
      </colorScale>
    </cfRule>
    <cfRule type="colorScale" priority="394">
      <colorScale>
        <cfvo type="min"/>
        <cfvo type="max"/>
        <color rgb="FFE7E6E6"/>
        <color rgb="FFC6E0B4"/>
      </colorScale>
    </cfRule>
  </conditionalFormatting>
  <conditionalFormatting sqref="BG182">
    <cfRule type="colorScale" priority="368">
      <colorScale>
        <cfvo type="min"/>
        <cfvo type="max"/>
        <color rgb="FFFFFFFF"/>
        <color rgb="FFBDD7EE"/>
      </colorScale>
    </cfRule>
    <cfRule type="colorScale" priority="369">
      <colorScale>
        <cfvo type="min"/>
        <cfvo type="max"/>
        <color rgb="FFE7E6E6"/>
        <color rgb="FFBDD7EE"/>
      </colorScale>
    </cfRule>
    <cfRule type="colorScale" priority="370">
      <colorScale>
        <cfvo type="min"/>
        <cfvo type="max"/>
        <color rgb="FFE7E6E6"/>
        <color rgb="FFC6E0B4"/>
      </colorScale>
    </cfRule>
  </conditionalFormatting>
  <conditionalFormatting sqref="BH182">
    <cfRule type="colorScale" priority="365">
      <colorScale>
        <cfvo type="min"/>
        <cfvo type="max"/>
        <color rgb="FFFFFFFF"/>
        <color rgb="FFBDD7EE"/>
      </colorScale>
    </cfRule>
    <cfRule type="colorScale" priority="366">
      <colorScale>
        <cfvo type="min"/>
        <cfvo type="max"/>
        <color rgb="FFE7E6E6"/>
        <color rgb="FFBDD7EE"/>
      </colorScale>
    </cfRule>
    <cfRule type="colorScale" priority="367">
      <colorScale>
        <cfvo type="min"/>
        <cfvo type="max"/>
        <color rgb="FFE7E6E6"/>
        <color rgb="FFC6E0B4"/>
      </colorScale>
    </cfRule>
  </conditionalFormatting>
  <conditionalFormatting sqref="BM182">
    <cfRule type="colorScale" priority="362">
      <colorScale>
        <cfvo type="min"/>
        <cfvo type="max"/>
        <color rgb="FFFFFFFF"/>
        <color rgb="FFBDD7EE"/>
      </colorScale>
    </cfRule>
    <cfRule type="colorScale" priority="363">
      <colorScale>
        <cfvo type="min"/>
        <cfvo type="max"/>
        <color rgb="FFE7E6E6"/>
        <color rgb="FFBDD7EE"/>
      </colorScale>
    </cfRule>
    <cfRule type="colorScale" priority="364">
      <colorScale>
        <cfvo type="min"/>
        <cfvo type="max"/>
        <color rgb="FFE7E6E6"/>
        <color rgb="FFC6E0B4"/>
      </colorScale>
    </cfRule>
  </conditionalFormatting>
  <conditionalFormatting sqref="BN182">
    <cfRule type="colorScale" priority="359">
      <colorScale>
        <cfvo type="min"/>
        <cfvo type="max"/>
        <color rgb="FFFFFFFF"/>
        <color rgb="FFBDD7EE"/>
      </colorScale>
    </cfRule>
    <cfRule type="colorScale" priority="360">
      <colorScale>
        <cfvo type="min"/>
        <cfvo type="max"/>
        <color rgb="FFE7E6E6"/>
        <color rgb="FFBDD7EE"/>
      </colorScale>
    </cfRule>
    <cfRule type="colorScale" priority="361">
      <colorScale>
        <cfvo type="min"/>
        <cfvo type="max"/>
        <color rgb="FFE7E6E6"/>
        <color rgb="FFC6E0B4"/>
      </colorScale>
    </cfRule>
  </conditionalFormatting>
  <conditionalFormatting sqref="BG183:BG184">
    <cfRule type="colorScale" priority="356">
      <colorScale>
        <cfvo type="min"/>
        <cfvo type="max"/>
        <color rgb="FFFFFFFF"/>
        <color rgb="FFBDD7EE"/>
      </colorScale>
    </cfRule>
    <cfRule type="colorScale" priority="357">
      <colorScale>
        <cfvo type="min"/>
        <cfvo type="max"/>
        <color rgb="FFE7E6E6"/>
        <color rgb="FFBDD7EE"/>
      </colorScale>
    </cfRule>
    <cfRule type="colorScale" priority="358">
      <colorScale>
        <cfvo type="min"/>
        <cfvo type="max"/>
        <color rgb="FFE7E6E6"/>
        <color rgb="FFC6E0B4"/>
      </colorScale>
    </cfRule>
  </conditionalFormatting>
  <conditionalFormatting sqref="BH183:BH184">
    <cfRule type="colorScale" priority="353">
      <colorScale>
        <cfvo type="min"/>
        <cfvo type="max"/>
        <color rgb="FFFFFFFF"/>
        <color rgb="FFBDD7EE"/>
      </colorScale>
    </cfRule>
    <cfRule type="colorScale" priority="354">
      <colorScale>
        <cfvo type="min"/>
        <cfvo type="max"/>
        <color rgb="FFE7E6E6"/>
        <color rgb="FFBDD7EE"/>
      </colorScale>
    </cfRule>
    <cfRule type="colorScale" priority="355">
      <colorScale>
        <cfvo type="min"/>
        <cfvo type="max"/>
        <color rgb="FFE7E6E6"/>
        <color rgb="FFC6E0B4"/>
      </colorScale>
    </cfRule>
  </conditionalFormatting>
  <conditionalFormatting sqref="BM183:BM184">
    <cfRule type="colorScale" priority="350">
      <colorScale>
        <cfvo type="min"/>
        <cfvo type="max"/>
        <color rgb="FFFFFFFF"/>
        <color rgb="FFBDD7EE"/>
      </colorScale>
    </cfRule>
    <cfRule type="colorScale" priority="351">
      <colorScale>
        <cfvo type="min"/>
        <cfvo type="max"/>
        <color rgb="FFE7E6E6"/>
        <color rgb="FFBDD7EE"/>
      </colorScale>
    </cfRule>
    <cfRule type="colorScale" priority="352">
      <colorScale>
        <cfvo type="min"/>
        <cfvo type="max"/>
        <color rgb="FFE7E6E6"/>
        <color rgb="FFC6E0B4"/>
      </colorScale>
    </cfRule>
  </conditionalFormatting>
  <conditionalFormatting sqref="BN183:BN184">
    <cfRule type="colorScale" priority="347">
      <colorScale>
        <cfvo type="min"/>
        <cfvo type="max"/>
        <color rgb="FFFFFFFF"/>
        <color rgb="FFBDD7EE"/>
      </colorScale>
    </cfRule>
    <cfRule type="colorScale" priority="348">
      <colorScale>
        <cfvo type="min"/>
        <cfvo type="max"/>
        <color rgb="FFE7E6E6"/>
        <color rgb="FFBDD7EE"/>
      </colorScale>
    </cfRule>
    <cfRule type="colorScale" priority="349">
      <colorScale>
        <cfvo type="min"/>
        <cfvo type="max"/>
        <color rgb="FFE7E6E6"/>
        <color rgb="FFC6E0B4"/>
      </colorScale>
    </cfRule>
  </conditionalFormatting>
  <conditionalFormatting sqref="BG185:BG186">
    <cfRule type="colorScale" priority="344">
      <colorScale>
        <cfvo type="min"/>
        <cfvo type="max"/>
        <color rgb="FFFFFFFF"/>
        <color rgb="FFBDD7EE"/>
      </colorScale>
    </cfRule>
    <cfRule type="colorScale" priority="345">
      <colorScale>
        <cfvo type="min"/>
        <cfvo type="max"/>
        <color rgb="FFE7E6E6"/>
        <color rgb="FFBDD7EE"/>
      </colorScale>
    </cfRule>
    <cfRule type="colorScale" priority="346">
      <colorScale>
        <cfvo type="min"/>
        <cfvo type="max"/>
        <color rgb="FFE7E6E6"/>
        <color rgb="FFC6E0B4"/>
      </colorScale>
    </cfRule>
  </conditionalFormatting>
  <conditionalFormatting sqref="BH185:BH186">
    <cfRule type="colorScale" priority="341">
      <colorScale>
        <cfvo type="min"/>
        <cfvo type="max"/>
        <color rgb="FFFFFFFF"/>
        <color rgb="FFBDD7EE"/>
      </colorScale>
    </cfRule>
    <cfRule type="colorScale" priority="342">
      <colorScale>
        <cfvo type="min"/>
        <cfvo type="max"/>
        <color rgb="FFE7E6E6"/>
        <color rgb="FFBDD7EE"/>
      </colorScale>
    </cfRule>
    <cfRule type="colorScale" priority="343">
      <colorScale>
        <cfvo type="min"/>
        <cfvo type="max"/>
        <color rgb="FFE7E6E6"/>
        <color rgb="FFC6E0B4"/>
      </colorScale>
    </cfRule>
  </conditionalFormatting>
  <conditionalFormatting sqref="BM185:BM186">
    <cfRule type="colorScale" priority="338">
      <colorScale>
        <cfvo type="min"/>
        <cfvo type="max"/>
        <color rgb="FFFFFFFF"/>
        <color rgb="FFBDD7EE"/>
      </colorScale>
    </cfRule>
    <cfRule type="colorScale" priority="339">
      <colorScale>
        <cfvo type="min"/>
        <cfvo type="max"/>
        <color rgb="FFE7E6E6"/>
        <color rgb="FFBDD7EE"/>
      </colorScale>
    </cfRule>
    <cfRule type="colorScale" priority="340">
      <colorScale>
        <cfvo type="min"/>
        <cfvo type="max"/>
        <color rgb="FFE7E6E6"/>
        <color rgb="FFC6E0B4"/>
      </colorScale>
    </cfRule>
  </conditionalFormatting>
  <conditionalFormatting sqref="BN185:BN186">
    <cfRule type="colorScale" priority="335">
      <colorScale>
        <cfvo type="min"/>
        <cfvo type="max"/>
        <color rgb="FFFFFFFF"/>
        <color rgb="FFBDD7EE"/>
      </colorScale>
    </cfRule>
    <cfRule type="colorScale" priority="336">
      <colorScale>
        <cfvo type="min"/>
        <cfvo type="max"/>
        <color rgb="FFE7E6E6"/>
        <color rgb="FFBDD7EE"/>
      </colorScale>
    </cfRule>
    <cfRule type="colorScale" priority="337">
      <colorScale>
        <cfvo type="min"/>
        <cfvo type="max"/>
        <color rgb="FFE7E6E6"/>
        <color rgb="FFC6E0B4"/>
      </colorScale>
    </cfRule>
  </conditionalFormatting>
  <conditionalFormatting sqref="BG187:BG189">
    <cfRule type="colorScale" priority="332">
      <colorScale>
        <cfvo type="min"/>
        <cfvo type="max"/>
        <color rgb="FFFFFFFF"/>
        <color rgb="FFBDD7EE"/>
      </colorScale>
    </cfRule>
    <cfRule type="colorScale" priority="333">
      <colorScale>
        <cfvo type="min"/>
        <cfvo type="max"/>
        <color rgb="FFE7E6E6"/>
        <color rgb="FFBDD7EE"/>
      </colorScale>
    </cfRule>
    <cfRule type="colorScale" priority="334">
      <colorScale>
        <cfvo type="min"/>
        <cfvo type="max"/>
        <color rgb="FFE7E6E6"/>
        <color rgb="FFC6E0B4"/>
      </colorScale>
    </cfRule>
  </conditionalFormatting>
  <conditionalFormatting sqref="BH187:BH189">
    <cfRule type="colorScale" priority="329">
      <colorScale>
        <cfvo type="min"/>
        <cfvo type="max"/>
        <color rgb="FFFFFFFF"/>
        <color rgb="FFBDD7EE"/>
      </colorScale>
    </cfRule>
    <cfRule type="colorScale" priority="330">
      <colorScale>
        <cfvo type="min"/>
        <cfvo type="max"/>
        <color rgb="FFE7E6E6"/>
        <color rgb="FFBDD7EE"/>
      </colorScale>
    </cfRule>
    <cfRule type="colorScale" priority="331">
      <colorScale>
        <cfvo type="min"/>
        <cfvo type="max"/>
        <color rgb="FFE7E6E6"/>
        <color rgb="FFC6E0B4"/>
      </colorScale>
    </cfRule>
  </conditionalFormatting>
  <conditionalFormatting sqref="BM187:BM189">
    <cfRule type="colorScale" priority="326">
      <colorScale>
        <cfvo type="min"/>
        <cfvo type="max"/>
        <color rgb="FFFFFFFF"/>
        <color rgb="FFBDD7EE"/>
      </colorScale>
    </cfRule>
    <cfRule type="colorScale" priority="327">
      <colorScale>
        <cfvo type="min"/>
        <cfvo type="max"/>
        <color rgb="FFE7E6E6"/>
        <color rgb="FFBDD7EE"/>
      </colorScale>
    </cfRule>
    <cfRule type="colorScale" priority="328">
      <colorScale>
        <cfvo type="min"/>
        <cfvo type="max"/>
        <color rgb="FFE7E6E6"/>
        <color rgb="FFC6E0B4"/>
      </colorScale>
    </cfRule>
  </conditionalFormatting>
  <conditionalFormatting sqref="BN187:BN189">
    <cfRule type="colorScale" priority="323">
      <colorScale>
        <cfvo type="min"/>
        <cfvo type="max"/>
        <color rgb="FFFFFFFF"/>
        <color rgb="FFBDD7EE"/>
      </colorScale>
    </cfRule>
    <cfRule type="colorScale" priority="324">
      <colorScale>
        <cfvo type="min"/>
        <cfvo type="max"/>
        <color rgb="FFE7E6E6"/>
        <color rgb="FFBDD7EE"/>
      </colorScale>
    </cfRule>
    <cfRule type="colorScale" priority="325">
      <colorScale>
        <cfvo type="min"/>
        <cfvo type="max"/>
        <color rgb="FFE7E6E6"/>
        <color rgb="FFC6E0B4"/>
      </colorScale>
    </cfRule>
  </conditionalFormatting>
  <conditionalFormatting sqref="BG190">
    <cfRule type="colorScale" priority="320">
      <colorScale>
        <cfvo type="min"/>
        <cfvo type="max"/>
        <color rgb="FFFFFFFF"/>
        <color rgb="FFBDD7EE"/>
      </colorScale>
    </cfRule>
    <cfRule type="colorScale" priority="321">
      <colorScale>
        <cfvo type="min"/>
        <cfvo type="max"/>
        <color rgb="FFE7E6E6"/>
        <color rgb="FFBDD7EE"/>
      </colorScale>
    </cfRule>
    <cfRule type="colorScale" priority="322">
      <colorScale>
        <cfvo type="min"/>
        <cfvo type="max"/>
        <color rgb="FFE7E6E6"/>
        <color rgb="FFC6E0B4"/>
      </colorScale>
    </cfRule>
  </conditionalFormatting>
  <conditionalFormatting sqref="BH190">
    <cfRule type="colorScale" priority="317">
      <colorScale>
        <cfvo type="min"/>
        <cfvo type="max"/>
        <color rgb="FFFFFFFF"/>
        <color rgb="FFBDD7EE"/>
      </colorScale>
    </cfRule>
    <cfRule type="colorScale" priority="318">
      <colorScale>
        <cfvo type="min"/>
        <cfvo type="max"/>
        <color rgb="FFE7E6E6"/>
        <color rgb="FFBDD7EE"/>
      </colorScale>
    </cfRule>
    <cfRule type="colorScale" priority="319">
      <colorScale>
        <cfvo type="min"/>
        <cfvo type="max"/>
        <color rgb="FFE7E6E6"/>
        <color rgb="FFC6E0B4"/>
      </colorScale>
    </cfRule>
  </conditionalFormatting>
  <conditionalFormatting sqref="BM190">
    <cfRule type="colorScale" priority="314">
      <colorScale>
        <cfvo type="min"/>
        <cfvo type="max"/>
        <color rgb="FFFFFFFF"/>
        <color rgb="FFBDD7EE"/>
      </colorScale>
    </cfRule>
    <cfRule type="colorScale" priority="315">
      <colorScale>
        <cfvo type="min"/>
        <cfvo type="max"/>
        <color rgb="FFE7E6E6"/>
        <color rgb="FFBDD7EE"/>
      </colorScale>
    </cfRule>
    <cfRule type="colorScale" priority="316">
      <colorScale>
        <cfvo type="min"/>
        <cfvo type="max"/>
        <color rgb="FFE7E6E6"/>
        <color rgb="FFC6E0B4"/>
      </colorScale>
    </cfRule>
  </conditionalFormatting>
  <conditionalFormatting sqref="BN190">
    <cfRule type="colorScale" priority="311">
      <colorScale>
        <cfvo type="min"/>
        <cfvo type="max"/>
        <color rgb="FFFFFFFF"/>
        <color rgb="FFBDD7EE"/>
      </colorScale>
    </cfRule>
    <cfRule type="colorScale" priority="312">
      <colorScale>
        <cfvo type="min"/>
        <cfvo type="max"/>
        <color rgb="FFE7E6E6"/>
        <color rgb="FFBDD7EE"/>
      </colorScale>
    </cfRule>
    <cfRule type="colorScale" priority="313">
      <colorScale>
        <cfvo type="min"/>
        <cfvo type="max"/>
        <color rgb="FFE7E6E6"/>
        <color rgb="FFC6E0B4"/>
      </colorScale>
    </cfRule>
  </conditionalFormatting>
  <conditionalFormatting sqref="BG191">
    <cfRule type="colorScale" priority="308">
      <colorScale>
        <cfvo type="min"/>
        <cfvo type="max"/>
        <color rgb="FFFFFFFF"/>
        <color rgb="FFBDD7EE"/>
      </colorScale>
    </cfRule>
    <cfRule type="colorScale" priority="309">
      <colorScale>
        <cfvo type="min"/>
        <cfvo type="max"/>
        <color rgb="FFE7E6E6"/>
        <color rgb="FFBDD7EE"/>
      </colorScale>
    </cfRule>
    <cfRule type="colorScale" priority="310">
      <colorScale>
        <cfvo type="min"/>
        <cfvo type="max"/>
        <color rgb="FFE7E6E6"/>
        <color rgb="FFC6E0B4"/>
      </colorScale>
    </cfRule>
  </conditionalFormatting>
  <conditionalFormatting sqref="BH191">
    <cfRule type="colorScale" priority="305">
      <colorScale>
        <cfvo type="min"/>
        <cfvo type="max"/>
        <color rgb="FFFFFFFF"/>
        <color rgb="FFBDD7EE"/>
      </colorScale>
    </cfRule>
    <cfRule type="colorScale" priority="306">
      <colorScale>
        <cfvo type="min"/>
        <cfvo type="max"/>
        <color rgb="FFE7E6E6"/>
        <color rgb="FFBDD7EE"/>
      </colorScale>
    </cfRule>
    <cfRule type="colorScale" priority="307">
      <colorScale>
        <cfvo type="min"/>
        <cfvo type="max"/>
        <color rgb="FFE7E6E6"/>
        <color rgb="FFC6E0B4"/>
      </colorScale>
    </cfRule>
  </conditionalFormatting>
  <conditionalFormatting sqref="BM191">
    <cfRule type="colorScale" priority="302">
      <colorScale>
        <cfvo type="min"/>
        <cfvo type="max"/>
        <color rgb="FFFFFFFF"/>
        <color rgb="FFBDD7EE"/>
      </colorScale>
    </cfRule>
    <cfRule type="colorScale" priority="303">
      <colorScale>
        <cfvo type="min"/>
        <cfvo type="max"/>
        <color rgb="FFE7E6E6"/>
        <color rgb="FFBDD7EE"/>
      </colorScale>
    </cfRule>
    <cfRule type="colorScale" priority="304">
      <colorScale>
        <cfvo type="min"/>
        <cfvo type="max"/>
        <color rgb="FFE7E6E6"/>
        <color rgb="FFC6E0B4"/>
      </colorScale>
    </cfRule>
  </conditionalFormatting>
  <conditionalFormatting sqref="BN191">
    <cfRule type="colorScale" priority="299">
      <colorScale>
        <cfvo type="min"/>
        <cfvo type="max"/>
        <color rgb="FFFFFFFF"/>
        <color rgb="FFBDD7EE"/>
      </colorScale>
    </cfRule>
    <cfRule type="colorScale" priority="300">
      <colorScale>
        <cfvo type="min"/>
        <cfvo type="max"/>
        <color rgb="FFE7E6E6"/>
        <color rgb="FFBDD7EE"/>
      </colorScale>
    </cfRule>
    <cfRule type="colorScale" priority="301">
      <colorScale>
        <cfvo type="min"/>
        <cfvo type="max"/>
        <color rgb="FFE7E6E6"/>
        <color rgb="FFC6E0B4"/>
      </colorScale>
    </cfRule>
  </conditionalFormatting>
  <conditionalFormatting sqref="BG192">
    <cfRule type="colorScale" priority="296">
      <colorScale>
        <cfvo type="min"/>
        <cfvo type="max"/>
        <color rgb="FFFFFFFF"/>
        <color rgb="FFBDD7EE"/>
      </colorScale>
    </cfRule>
    <cfRule type="colorScale" priority="297">
      <colorScale>
        <cfvo type="min"/>
        <cfvo type="max"/>
        <color rgb="FFE7E6E6"/>
        <color rgb="FFBDD7EE"/>
      </colorScale>
    </cfRule>
    <cfRule type="colorScale" priority="298">
      <colorScale>
        <cfvo type="min"/>
        <cfvo type="max"/>
        <color rgb="FFE7E6E6"/>
        <color rgb="FFC6E0B4"/>
      </colorScale>
    </cfRule>
  </conditionalFormatting>
  <conditionalFormatting sqref="BH192">
    <cfRule type="colorScale" priority="293">
      <colorScale>
        <cfvo type="min"/>
        <cfvo type="max"/>
        <color rgb="FFFFFFFF"/>
        <color rgb="FFBDD7EE"/>
      </colorScale>
    </cfRule>
    <cfRule type="colorScale" priority="294">
      <colorScale>
        <cfvo type="min"/>
        <cfvo type="max"/>
        <color rgb="FFE7E6E6"/>
        <color rgb="FFBDD7EE"/>
      </colorScale>
    </cfRule>
    <cfRule type="colorScale" priority="295">
      <colorScale>
        <cfvo type="min"/>
        <cfvo type="max"/>
        <color rgb="FFE7E6E6"/>
        <color rgb="FFC6E0B4"/>
      </colorScale>
    </cfRule>
  </conditionalFormatting>
  <conditionalFormatting sqref="BM192">
    <cfRule type="colorScale" priority="290">
      <colorScale>
        <cfvo type="min"/>
        <cfvo type="max"/>
        <color rgb="FFFFFFFF"/>
        <color rgb="FFBDD7EE"/>
      </colorScale>
    </cfRule>
    <cfRule type="colorScale" priority="291">
      <colorScale>
        <cfvo type="min"/>
        <cfvo type="max"/>
        <color rgb="FFE7E6E6"/>
        <color rgb="FFBDD7EE"/>
      </colorScale>
    </cfRule>
    <cfRule type="colorScale" priority="292">
      <colorScale>
        <cfvo type="min"/>
        <cfvo type="max"/>
        <color rgb="FFE7E6E6"/>
        <color rgb="FFC6E0B4"/>
      </colorScale>
    </cfRule>
  </conditionalFormatting>
  <conditionalFormatting sqref="BN192">
    <cfRule type="colorScale" priority="287">
      <colorScale>
        <cfvo type="min"/>
        <cfvo type="max"/>
        <color rgb="FFFFFFFF"/>
        <color rgb="FFBDD7EE"/>
      </colorScale>
    </cfRule>
    <cfRule type="colorScale" priority="288">
      <colorScale>
        <cfvo type="min"/>
        <cfvo type="max"/>
        <color rgb="FFE7E6E6"/>
        <color rgb="FFBDD7EE"/>
      </colorScale>
    </cfRule>
    <cfRule type="colorScale" priority="289">
      <colorScale>
        <cfvo type="min"/>
        <cfvo type="max"/>
        <color rgb="FFE7E6E6"/>
        <color rgb="FFC6E0B4"/>
      </colorScale>
    </cfRule>
  </conditionalFormatting>
  <conditionalFormatting sqref="BG193:BG201 BG16:BG18">
    <cfRule type="colorScale" priority="284">
      <colorScale>
        <cfvo type="min"/>
        <cfvo type="max"/>
        <color rgb="FFFFFFFF"/>
        <color rgb="FFBDD7EE"/>
      </colorScale>
    </cfRule>
    <cfRule type="colorScale" priority="285">
      <colorScale>
        <cfvo type="min"/>
        <cfvo type="max"/>
        <color rgb="FFE7E6E6"/>
        <color rgb="FFBDD7EE"/>
      </colorScale>
    </cfRule>
    <cfRule type="colorScale" priority="286">
      <colorScale>
        <cfvo type="min"/>
        <cfvo type="max"/>
        <color rgb="FFE7E6E6"/>
        <color rgb="FFC6E0B4"/>
      </colorScale>
    </cfRule>
  </conditionalFormatting>
  <conditionalFormatting sqref="BH193:BH201 BH16:BH18">
    <cfRule type="colorScale" priority="281">
      <colorScale>
        <cfvo type="min"/>
        <cfvo type="max"/>
        <color rgb="FFFFFFFF"/>
        <color rgb="FFBDD7EE"/>
      </colorScale>
    </cfRule>
    <cfRule type="colorScale" priority="282">
      <colorScale>
        <cfvo type="min"/>
        <cfvo type="max"/>
        <color rgb="FFE7E6E6"/>
        <color rgb="FFBDD7EE"/>
      </colorScale>
    </cfRule>
    <cfRule type="colorScale" priority="283">
      <colorScale>
        <cfvo type="min"/>
        <cfvo type="max"/>
        <color rgb="FFE7E6E6"/>
        <color rgb="FFC6E0B4"/>
      </colorScale>
    </cfRule>
  </conditionalFormatting>
  <conditionalFormatting sqref="BM193:BM201 BM16:BM18">
    <cfRule type="colorScale" priority="278">
      <colorScale>
        <cfvo type="min"/>
        <cfvo type="max"/>
        <color rgb="FFFFFFFF"/>
        <color rgb="FFBDD7EE"/>
      </colorScale>
    </cfRule>
    <cfRule type="colorScale" priority="279">
      <colorScale>
        <cfvo type="min"/>
        <cfvo type="max"/>
        <color rgb="FFE7E6E6"/>
        <color rgb="FFBDD7EE"/>
      </colorScale>
    </cfRule>
    <cfRule type="colorScale" priority="280">
      <colorScale>
        <cfvo type="min"/>
        <cfvo type="max"/>
        <color rgb="FFE7E6E6"/>
        <color rgb="FFC6E0B4"/>
      </colorScale>
    </cfRule>
  </conditionalFormatting>
  <conditionalFormatting sqref="BN193:BN201 BN16:BN18">
    <cfRule type="colorScale" priority="275">
      <colorScale>
        <cfvo type="min"/>
        <cfvo type="max"/>
        <color rgb="FFFFFFFF"/>
        <color rgb="FFBDD7EE"/>
      </colorScale>
    </cfRule>
    <cfRule type="colorScale" priority="276">
      <colorScale>
        <cfvo type="min"/>
        <cfvo type="max"/>
        <color rgb="FFE7E6E6"/>
        <color rgb="FFBDD7EE"/>
      </colorScale>
    </cfRule>
    <cfRule type="colorScale" priority="277">
      <colorScale>
        <cfvo type="min"/>
        <cfvo type="max"/>
        <color rgb="FFE7E6E6"/>
        <color rgb="FFC6E0B4"/>
      </colorScale>
    </cfRule>
  </conditionalFormatting>
  <conditionalFormatting sqref="BG202:BG217 BG219">
    <cfRule type="colorScale" priority="647">
      <colorScale>
        <cfvo type="min"/>
        <cfvo type="max"/>
        <color rgb="FFFFFFFF"/>
        <color rgb="FFBDD7EE"/>
      </colorScale>
    </cfRule>
    <cfRule type="colorScale" priority="648">
      <colorScale>
        <cfvo type="min"/>
        <cfvo type="max"/>
        <color rgb="FFE7E6E6"/>
        <color rgb="FFBDD7EE"/>
      </colorScale>
    </cfRule>
    <cfRule type="colorScale" priority="649">
      <colorScale>
        <cfvo type="min"/>
        <cfvo type="max"/>
        <color rgb="FFE7E6E6"/>
        <color rgb="FFC6E0B4"/>
      </colorScale>
    </cfRule>
  </conditionalFormatting>
  <conditionalFormatting sqref="BH202:BH217 BH219">
    <cfRule type="colorScale" priority="650">
      <colorScale>
        <cfvo type="min"/>
        <cfvo type="max"/>
        <color rgb="FFFFFFFF"/>
        <color rgb="FFBDD7EE"/>
      </colorScale>
    </cfRule>
    <cfRule type="colorScale" priority="651">
      <colorScale>
        <cfvo type="min"/>
        <cfvo type="max"/>
        <color rgb="FFE7E6E6"/>
        <color rgb="FFBDD7EE"/>
      </colorScale>
    </cfRule>
    <cfRule type="colorScale" priority="652">
      <colorScale>
        <cfvo type="min"/>
        <cfvo type="max"/>
        <color rgb="FFE7E6E6"/>
        <color rgb="FFC6E0B4"/>
      </colorScale>
    </cfRule>
  </conditionalFormatting>
  <conditionalFormatting sqref="BM202:BM217 BM219">
    <cfRule type="colorScale" priority="653">
      <colorScale>
        <cfvo type="min"/>
        <cfvo type="max"/>
        <color rgb="FFFFFFFF"/>
        <color rgb="FFBDD7EE"/>
      </colorScale>
    </cfRule>
    <cfRule type="colorScale" priority="654">
      <colorScale>
        <cfvo type="min"/>
        <cfvo type="max"/>
        <color rgb="FFE7E6E6"/>
        <color rgb="FFBDD7EE"/>
      </colorScale>
    </cfRule>
    <cfRule type="colorScale" priority="655">
      <colorScale>
        <cfvo type="min"/>
        <cfvo type="max"/>
        <color rgb="FFE7E6E6"/>
        <color rgb="FFC6E0B4"/>
      </colorScale>
    </cfRule>
  </conditionalFormatting>
  <conditionalFormatting sqref="BN202:BN217 BN219">
    <cfRule type="colorScale" priority="656">
      <colorScale>
        <cfvo type="min"/>
        <cfvo type="max"/>
        <color rgb="FFFFFFFF"/>
        <color rgb="FFBDD7EE"/>
      </colorScale>
    </cfRule>
    <cfRule type="colorScale" priority="657">
      <colorScale>
        <cfvo type="min"/>
        <cfvo type="max"/>
        <color rgb="FFE7E6E6"/>
        <color rgb="FFBDD7EE"/>
      </colorScale>
    </cfRule>
    <cfRule type="colorScale" priority="658">
      <colorScale>
        <cfvo type="min"/>
        <cfvo type="max"/>
        <color rgb="FFE7E6E6"/>
        <color rgb="FFC6E0B4"/>
      </colorScale>
    </cfRule>
  </conditionalFormatting>
  <conditionalFormatting sqref="BG218">
    <cfRule type="colorScale" priority="263">
      <colorScale>
        <cfvo type="min"/>
        <cfvo type="max"/>
        <color rgb="FFFFFFFF"/>
        <color rgb="FFBDD7EE"/>
      </colorScale>
    </cfRule>
    <cfRule type="colorScale" priority="264">
      <colorScale>
        <cfvo type="min"/>
        <cfvo type="max"/>
        <color rgb="FFE7E6E6"/>
        <color rgb="FFBDD7EE"/>
      </colorScale>
    </cfRule>
    <cfRule type="colorScale" priority="265">
      <colorScale>
        <cfvo type="min"/>
        <cfvo type="max"/>
        <color rgb="FFE7E6E6"/>
        <color rgb="FFC6E0B4"/>
      </colorScale>
    </cfRule>
  </conditionalFormatting>
  <conditionalFormatting sqref="BH218">
    <cfRule type="colorScale" priority="266">
      <colorScale>
        <cfvo type="min"/>
        <cfvo type="max"/>
        <color rgb="FFFFFFFF"/>
        <color rgb="FFBDD7EE"/>
      </colorScale>
    </cfRule>
    <cfRule type="colorScale" priority="267">
      <colorScale>
        <cfvo type="min"/>
        <cfvo type="max"/>
        <color rgb="FFE7E6E6"/>
        <color rgb="FFBDD7EE"/>
      </colorScale>
    </cfRule>
    <cfRule type="colorScale" priority="268">
      <colorScale>
        <cfvo type="min"/>
        <cfvo type="max"/>
        <color rgb="FFE7E6E6"/>
        <color rgb="FFC6E0B4"/>
      </colorScale>
    </cfRule>
  </conditionalFormatting>
  <conditionalFormatting sqref="BM218">
    <cfRule type="colorScale" priority="269">
      <colorScale>
        <cfvo type="min"/>
        <cfvo type="max"/>
        <color rgb="FFFFFFFF"/>
        <color rgb="FFBDD7EE"/>
      </colorScale>
    </cfRule>
    <cfRule type="colorScale" priority="270">
      <colorScale>
        <cfvo type="min"/>
        <cfvo type="max"/>
        <color rgb="FFE7E6E6"/>
        <color rgb="FFBDD7EE"/>
      </colorScale>
    </cfRule>
    <cfRule type="colorScale" priority="271">
      <colorScale>
        <cfvo type="min"/>
        <cfvo type="max"/>
        <color rgb="FFE7E6E6"/>
        <color rgb="FFC6E0B4"/>
      </colorScale>
    </cfRule>
  </conditionalFormatting>
  <conditionalFormatting sqref="BN218">
    <cfRule type="colorScale" priority="272">
      <colorScale>
        <cfvo type="min"/>
        <cfvo type="max"/>
        <color rgb="FFFFFFFF"/>
        <color rgb="FFBDD7EE"/>
      </colorScale>
    </cfRule>
    <cfRule type="colorScale" priority="273">
      <colorScale>
        <cfvo type="min"/>
        <cfvo type="max"/>
        <color rgb="FFE7E6E6"/>
        <color rgb="FFBDD7EE"/>
      </colorScale>
    </cfRule>
    <cfRule type="colorScale" priority="274">
      <colorScale>
        <cfvo type="min"/>
        <cfvo type="max"/>
        <color rgb="FFE7E6E6"/>
        <color rgb="FFC6E0B4"/>
      </colorScale>
    </cfRule>
  </conditionalFormatting>
  <conditionalFormatting sqref="BG220:BG223 BG225:BG234">
    <cfRule type="colorScale" priority="659">
      <colorScale>
        <cfvo type="min"/>
        <cfvo type="max"/>
        <color rgb="FFFFFFFF"/>
        <color rgb="FFBDD7EE"/>
      </colorScale>
    </cfRule>
    <cfRule type="colorScale" priority="660">
      <colorScale>
        <cfvo type="min"/>
        <cfvo type="max"/>
        <color rgb="FFE7E6E6"/>
        <color rgb="FFBDD7EE"/>
      </colorScale>
    </cfRule>
    <cfRule type="colorScale" priority="661">
      <colorScale>
        <cfvo type="min"/>
        <cfvo type="max"/>
        <color rgb="FFE7E6E6"/>
        <color rgb="FFC6E0B4"/>
      </colorScale>
    </cfRule>
  </conditionalFormatting>
  <conditionalFormatting sqref="BH220:BH223 BH225:BH234">
    <cfRule type="colorScale" priority="662">
      <colorScale>
        <cfvo type="min"/>
        <cfvo type="max"/>
        <color rgb="FFFFFFFF"/>
        <color rgb="FFBDD7EE"/>
      </colorScale>
    </cfRule>
    <cfRule type="colorScale" priority="663">
      <colorScale>
        <cfvo type="min"/>
        <cfvo type="max"/>
        <color rgb="FFE7E6E6"/>
        <color rgb="FFBDD7EE"/>
      </colorScale>
    </cfRule>
    <cfRule type="colorScale" priority="664">
      <colorScale>
        <cfvo type="min"/>
        <cfvo type="max"/>
        <color rgb="FFE7E6E6"/>
        <color rgb="FFC6E0B4"/>
      </colorScale>
    </cfRule>
  </conditionalFormatting>
  <conditionalFormatting sqref="BM220:BM223 BM225:BM234">
    <cfRule type="colorScale" priority="665">
      <colorScale>
        <cfvo type="min"/>
        <cfvo type="max"/>
        <color rgb="FFFFFFFF"/>
        <color rgb="FFBDD7EE"/>
      </colorScale>
    </cfRule>
    <cfRule type="colorScale" priority="666">
      <colorScale>
        <cfvo type="min"/>
        <cfvo type="max"/>
        <color rgb="FFE7E6E6"/>
        <color rgb="FFBDD7EE"/>
      </colorScale>
    </cfRule>
    <cfRule type="colorScale" priority="667">
      <colorScale>
        <cfvo type="min"/>
        <cfvo type="max"/>
        <color rgb="FFE7E6E6"/>
        <color rgb="FFC6E0B4"/>
      </colorScale>
    </cfRule>
  </conditionalFormatting>
  <conditionalFormatting sqref="BN220:BN223 BN225:BN234">
    <cfRule type="colorScale" priority="668">
      <colorScale>
        <cfvo type="min"/>
        <cfvo type="max"/>
        <color rgb="FFFFFFFF"/>
        <color rgb="FFBDD7EE"/>
      </colorScale>
    </cfRule>
    <cfRule type="colorScale" priority="669">
      <colorScale>
        <cfvo type="min"/>
        <cfvo type="max"/>
        <color rgb="FFE7E6E6"/>
        <color rgb="FFBDD7EE"/>
      </colorScale>
    </cfRule>
    <cfRule type="colorScale" priority="670">
      <colorScale>
        <cfvo type="min"/>
        <cfvo type="max"/>
        <color rgb="FFE7E6E6"/>
        <color rgb="FFC6E0B4"/>
      </colorScale>
    </cfRule>
  </conditionalFormatting>
  <conditionalFormatting sqref="BG224">
    <cfRule type="colorScale" priority="251">
      <colorScale>
        <cfvo type="min"/>
        <cfvo type="max"/>
        <color rgb="FFFFFFFF"/>
        <color rgb="FFBDD7EE"/>
      </colorScale>
    </cfRule>
    <cfRule type="colorScale" priority="252">
      <colorScale>
        <cfvo type="min"/>
        <cfvo type="max"/>
        <color rgb="FFE7E6E6"/>
        <color rgb="FFBDD7EE"/>
      </colorScale>
    </cfRule>
    <cfRule type="colorScale" priority="253">
      <colorScale>
        <cfvo type="min"/>
        <cfvo type="max"/>
        <color rgb="FFE7E6E6"/>
        <color rgb="FFC6E0B4"/>
      </colorScale>
    </cfRule>
  </conditionalFormatting>
  <conditionalFormatting sqref="BH224">
    <cfRule type="colorScale" priority="254">
      <colorScale>
        <cfvo type="min"/>
        <cfvo type="max"/>
        <color rgb="FFFFFFFF"/>
        <color rgb="FFBDD7EE"/>
      </colorScale>
    </cfRule>
    <cfRule type="colorScale" priority="255">
      <colorScale>
        <cfvo type="min"/>
        <cfvo type="max"/>
        <color rgb="FFE7E6E6"/>
        <color rgb="FFBDD7EE"/>
      </colorScale>
    </cfRule>
    <cfRule type="colorScale" priority="256">
      <colorScale>
        <cfvo type="min"/>
        <cfvo type="max"/>
        <color rgb="FFE7E6E6"/>
        <color rgb="FFC6E0B4"/>
      </colorScale>
    </cfRule>
  </conditionalFormatting>
  <conditionalFormatting sqref="BM224">
    <cfRule type="colorScale" priority="257">
      <colorScale>
        <cfvo type="min"/>
        <cfvo type="max"/>
        <color rgb="FFFFFFFF"/>
        <color rgb="FFBDD7EE"/>
      </colorScale>
    </cfRule>
    <cfRule type="colorScale" priority="258">
      <colorScale>
        <cfvo type="min"/>
        <cfvo type="max"/>
        <color rgb="FFE7E6E6"/>
        <color rgb="FFBDD7EE"/>
      </colorScale>
    </cfRule>
    <cfRule type="colorScale" priority="259">
      <colorScale>
        <cfvo type="min"/>
        <cfvo type="max"/>
        <color rgb="FFE7E6E6"/>
        <color rgb="FFC6E0B4"/>
      </colorScale>
    </cfRule>
  </conditionalFormatting>
  <conditionalFormatting sqref="BN224">
    <cfRule type="colorScale" priority="260">
      <colorScale>
        <cfvo type="min"/>
        <cfvo type="max"/>
        <color rgb="FFFFFFFF"/>
        <color rgb="FFBDD7EE"/>
      </colorScale>
    </cfRule>
    <cfRule type="colorScale" priority="261">
      <colorScale>
        <cfvo type="min"/>
        <cfvo type="max"/>
        <color rgb="FFE7E6E6"/>
        <color rgb="FFBDD7EE"/>
      </colorScale>
    </cfRule>
    <cfRule type="colorScale" priority="262">
      <colorScale>
        <cfvo type="min"/>
        <cfvo type="max"/>
        <color rgb="FFE7E6E6"/>
        <color rgb="FFC6E0B4"/>
      </colorScale>
    </cfRule>
  </conditionalFormatting>
  <conditionalFormatting sqref="BG235">
    <cfRule type="colorScale" priority="248">
      <colorScale>
        <cfvo type="min"/>
        <cfvo type="max"/>
        <color rgb="FFFFFFFF"/>
        <color rgb="FFBDD7EE"/>
      </colorScale>
    </cfRule>
    <cfRule type="colorScale" priority="249">
      <colorScale>
        <cfvo type="min"/>
        <cfvo type="max"/>
        <color rgb="FFE7E6E6"/>
        <color rgb="FFBDD7EE"/>
      </colorScale>
    </cfRule>
    <cfRule type="colorScale" priority="250">
      <colorScale>
        <cfvo type="min"/>
        <cfvo type="max"/>
        <color rgb="FFE7E6E6"/>
        <color rgb="FFC6E0B4"/>
      </colorScale>
    </cfRule>
  </conditionalFormatting>
  <conditionalFormatting sqref="BH235">
    <cfRule type="colorScale" priority="245">
      <colorScale>
        <cfvo type="min"/>
        <cfvo type="max"/>
        <color rgb="FFFFFFFF"/>
        <color rgb="FFBDD7EE"/>
      </colorScale>
    </cfRule>
    <cfRule type="colorScale" priority="246">
      <colorScale>
        <cfvo type="min"/>
        <cfvo type="max"/>
        <color rgb="FFE7E6E6"/>
        <color rgb="FFBDD7EE"/>
      </colorScale>
    </cfRule>
    <cfRule type="colorScale" priority="247">
      <colorScale>
        <cfvo type="min"/>
        <cfvo type="max"/>
        <color rgb="FFE7E6E6"/>
        <color rgb="FFC6E0B4"/>
      </colorScale>
    </cfRule>
  </conditionalFormatting>
  <conditionalFormatting sqref="BM235">
    <cfRule type="colorScale" priority="242">
      <colorScale>
        <cfvo type="min"/>
        <cfvo type="max"/>
        <color rgb="FFFFFFFF"/>
        <color rgb="FFBDD7EE"/>
      </colorScale>
    </cfRule>
    <cfRule type="colorScale" priority="243">
      <colorScale>
        <cfvo type="min"/>
        <cfvo type="max"/>
        <color rgb="FFE7E6E6"/>
        <color rgb="FFBDD7EE"/>
      </colorScale>
    </cfRule>
    <cfRule type="colorScale" priority="244">
      <colorScale>
        <cfvo type="min"/>
        <cfvo type="max"/>
        <color rgb="FFE7E6E6"/>
        <color rgb="FFC6E0B4"/>
      </colorScale>
    </cfRule>
  </conditionalFormatting>
  <conditionalFormatting sqref="BN235">
    <cfRule type="colorScale" priority="239">
      <colorScale>
        <cfvo type="min"/>
        <cfvo type="max"/>
        <color rgb="FFFFFFFF"/>
        <color rgb="FFBDD7EE"/>
      </colorScale>
    </cfRule>
    <cfRule type="colorScale" priority="240">
      <colorScale>
        <cfvo type="min"/>
        <cfvo type="max"/>
        <color rgb="FFE7E6E6"/>
        <color rgb="FFBDD7EE"/>
      </colorScale>
    </cfRule>
    <cfRule type="colorScale" priority="241">
      <colorScale>
        <cfvo type="min"/>
        <cfvo type="max"/>
        <color rgb="FFE7E6E6"/>
        <color rgb="FFC6E0B4"/>
      </colorScale>
    </cfRule>
  </conditionalFormatting>
  <conditionalFormatting sqref="BG236:BG239">
    <cfRule type="colorScale" priority="671">
      <colorScale>
        <cfvo type="min"/>
        <cfvo type="max"/>
        <color rgb="FFFFFFFF"/>
        <color rgb="FFBDD7EE"/>
      </colorScale>
    </cfRule>
    <cfRule type="colorScale" priority="672">
      <colorScale>
        <cfvo type="min"/>
        <cfvo type="max"/>
        <color rgb="FFE7E6E6"/>
        <color rgb="FFBDD7EE"/>
      </colorScale>
    </cfRule>
    <cfRule type="colorScale" priority="673">
      <colorScale>
        <cfvo type="min"/>
        <cfvo type="max"/>
        <color rgb="FFE7E6E6"/>
        <color rgb="FFC6E0B4"/>
      </colorScale>
    </cfRule>
  </conditionalFormatting>
  <conditionalFormatting sqref="BH236:BH239">
    <cfRule type="colorScale" priority="674">
      <colorScale>
        <cfvo type="min"/>
        <cfvo type="max"/>
        <color rgb="FFFFFFFF"/>
        <color rgb="FFBDD7EE"/>
      </colorScale>
    </cfRule>
    <cfRule type="colorScale" priority="675">
      <colorScale>
        <cfvo type="min"/>
        <cfvo type="max"/>
        <color rgb="FFE7E6E6"/>
        <color rgb="FFBDD7EE"/>
      </colorScale>
    </cfRule>
    <cfRule type="colorScale" priority="676">
      <colorScale>
        <cfvo type="min"/>
        <cfvo type="max"/>
        <color rgb="FFE7E6E6"/>
        <color rgb="FFC6E0B4"/>
      </colorScale>
    </cfRule>
  </conditionalFormatting>
  <conditionalFormatting sqref="BM236:BM239">
    <cfRule type="colorScale" priority="677">
      <colorScale>
        <cfvo type="min"/>
        <cfvo type="max"/>
        <color rgb="FFFFFFFF"/>
        <color rgb="FFBDD7EE"/>
      </colorScale>
    </cfRule>
    <cfRule type="colorScale" priority="678">
      <colorScale>
        <cfvo type="min"/>
        <cfvo type="max"/>
        <color rgb="FFE7E6E6"/>
        <color rgb="FFBDD7EE"/>
      </colorScale>
    </cfRule>
    <cfRule type="colorScale" priority="679">
      <colorScale>
        <cfvo type="min"/>
        <cfvo type="max"/>
        <color rgb="FFE7E6E6"/>
        <color rgb="FFC6E0B4"/>
      </colorScale>
    </cfRule>
  </conditionalFormatting>
  <conditionalFormatting sqref="BN236:BN239">
    <cfRule type="colorScale" priority="680">
      <colorScale>
        <cfvo type="min"/>
        <cfvo type="max"/>
        <color rgb="FFFFFFFF"/>
        <color rgb="FFBDD7EE"/>
      </colorScale>
    </cfRule>
    <cfRule type="colorScale" priority="681">
      <colorScale>
        <cfvo type="min"/>
        <cfvo type="max"/>
        <color rgb="FFE7E6E6"/>
        <color rgb="FFBDD7EE"/>
      </colorScale>
    </cfRule>
    <cfRule type="colorScale" priority="682">
      <colorScale>
        <cfvo type="min"/>
        <cfvo type="max"/>
        <color rgb="FFE7E6E6"/>
        <color rgb="FFC6E0B4"/>
      </colorScale>
    </cfRule>
  </conditionalFormatting>
  <conditionalFormatting sqref="BG240:BG241">
    <cfRule type="colorScale" priority="236">
      <colorScale>
        <cfvo type="min"/>
        <cfvo type="max"/>
        <color rgb="FFFFFFFF"/>
        <color rgb="FFBDD7EE"/>
      </colorScale>
    </cfRule>
    <cfRule type="colorScale" priority="237">
      <colorScale>
        <cfvo type="min"/>
        <cfvo type="max"/>
        <color rgb="FFE7E6E6"/>
        <color rgb="FFBDD7EE"/>
      </colorScale>
    </cfRule>
    <cfRule type="colorScale" priority="238">
      <colorScale>
        <cfvo type="min"/>
        <cfvo type="max"/>
        <color rgb="FFE7E6E6"/>
        <color rgb="FFC6E0B4"/>
      </colorScale>
    </cfRule>
  </conditionalFormatting>
  <conditionalFormatting sqref="BH240:BH241">
    <cfRule type="colorScale" priority="233">
      <colorScale>
        <cfvo type="min"/>
        <cfvo type="max"/>
        <color rgb="FFFFFFFF"/>
        <color rgb="FFBDD7EE"/>
      </colorScale>
    </cfRule>
    <cfRule type="colorScale" priority="234">
      <colorScale>
        <cfvo type="min"/>
        <cfvo type="max"/>
        <color rgb="FFE7E6E6"/>
        <color rgb="FFBDD7EE"/>
      </colorScale>
    </cfRule>
    <cfRule type="colorScale" priority="235">
      <colorScale>
        <cfvo type="min"/>
        <cfvo type="max"/>
        <color rgb="FFE7E6E6"/>
        <color rgb="FFC6E0B4"/>
      </colorScale>
    </cfRule>
  </conditionalFormatting>
  <conditionalFormatting sqref="BM240:BM241">
    <cfRule type="colorScale" priority="230">
      <colorScale>
        <cfvo type="min"/>
        <cfvo type="max"/>
        <color rgb="FFFFFFFF"/>
        <color rgb="FFBDD7EE"/>
      </colorScale>
    </cfRule>
    <cfRule type="colorScale" priority="231">
      <colorScale>
        <cfvo type="min"/>
        <cfvo type="max"/>
        <color rgb="FFE7E6E6"/>
        <color rgb="FFBDD7EE"/>
      </colorScale>
    </cfRule>
    <cfRule type="colorScale" priority="232">
      <colorScale>
        <cfvo type="min"/>
        <cfvo type="max"/>
        <color rgb="FFE7E6E6"/>
        <color rgb="FFC6E0B4"/>
      </colorScale>
    </cfRule>
  </conditionalFormatting>
  <conditionalFormatting sqref="BN240:BN241">
    <cfRule type="colorScale" priority="227">
      <colorScale>
        <cfvo type="min"/>
        <cfvo type="max"/>
        <color rgb="FFFFFFFF"/>
        <color rgb="FFBDD7EE"/>
      </colorScale>
    </cfRule>
    <cfRule type="colorScale" priority="228">
      <colorScale>
        <cfvo type="min"/>
        <cfvo type="max"/>
        <color rgb="FFE7E6E6"/>
        <color rgb="FFBDD7EE"/>
      </colorScale>
    </cfRule>
    <cfRule type="colorScale" priority="229">
      <colorScale>
        <cfvo type="min"/>
        <cfvo type="max"/>
        <color rgb="FFE7E6E6"/>
        <color rgb="FFC6E0B4"/>
      </colorScale>
    </cfRule>
  </conditionalFormatting>
  <conditionalFormatting sqref="BG257:BG258">
    <cfRule type="colorScale" priority="212">
      <colorScale>
        <cfvo type="min"/>
        <cfvo type="max"/>
        <color rgb="FFFFFFFF"/>
        <color rgb="FFBDD7EE"/>
      </colorScale>
    </cfRule>
    <cfRule type="colorScale" priority="213">
      <colorScale>
        <cfvo type="min"/>
        <cfvo type="max"/>
        <color rgb="FFE7E6E6"/>
        <color rgb="FFBDD7EE"/>
      </colorScale>
    </cfRule>
    <cfRule type="colorScale" priority="214">
      <colorScale>
        <cfvo type="min"/>
        <cfvo type="max"/>
        <color rgb="FFE7E6E6"/>
        <color rgb="FFC6E0B4"/>
      </colorScale>
    </cfRule>
  </conditionalFormatting>
  <conditionalFormatting sqref="BH257:BH258">
    <cfRule type="colorScale" priority="209">
      <colorScale>
        <cfvo type="min"/>
        <cfvo type="max"/>
        <color rgb="FFFFFFFF"/>
        <color rgb="FFBDD7EE"/>
      </colorScale>
    </cfRule>
    <cfRule type="colorScale" priority="210">
      <colorScale>
        <cfvo type="min"/>
        <cfvo type="max"/>
        <color rgb="FFE7E6E6"/>
        <color rgb="FFBDD7EE"/>
      </colorScale>
    </cfRule>
    <cfRule type="colorScale" priority="211">
      <colorScale>
        <cfvo type="min"/>
        <cfvo type="max"/>
        <color rgb="FFE7E6E6"/>
        <color rgb="FFC6E0B4"/>
      </colorScale>
    </cfRule>
  </conditionalFormatting>
  <conditionalFormatting sqref="BM257:BM258">
    <cfRule type="colorScale" priority="206">
      <colorScale>
        <cfvo type="min"/>
        <cfvo type="max"/>
        <color rgb="FFFFFFFF"/>
        <color rgb="FFBDD7EE"/>
      </colorScale>
    </cfRule>
    <cfRule type="colorScale" priority="207">
      <colorScale>
        <cfvo type="min"/>
        <cfvo type="max"/>
        <color rgb="FFE7E6E6"/>
        <color rgb="FFBDD7EE"/>
      </colorScale>
    </cfRule>
    <cfRule type="colorScale" priority="208">
      <colorScale>
        <cfvo type="min"/>
        <cfvo type="max"/>
        <color rgb="FFE7E6E6"/>
        <color rgb="FFC6E0B4"/>
      </colorScale>
    </cfRule>
  </conditionalFormatting>
  <conditionalFormatting sqref="BN257:BN258">
    <cfRule type="colorScale" priority="203">
      <colorScale>
        <cfvo type="min"/>
        <cfvo type="max"/>
        <color rgb="FFFFFFFF"/>
        <color rgb="FFBDD7EE"/>
      </colorScale>
    </cfRule>
    <cfRule type="colorScale" priority="204">
      <colorScale>
        <cfvo type="min"/>
        <cfvo type="max"/>
        <color rgb="FFE7E6E6"/>
        <color rgb="FFBDD7EE"/>
      </colorScale>
    </cfRule>
    <cfRule type="colorScale" priority="205">
      <colorScale>
        <cfvo type="min"/>
        <cfvo type="max"/>
        <color rgb="FFE7E6E6"/>
        <color rgb="FFC6E0B4"/>
      </colorScale>
    </cfRule>
  </conditionalFormatting>
  <conditionalFormatting sqref="BG259:BG260 BG262:BG264 BG266:BG268 BG270:BG274 BG276:BG283">
    <cfRule type="colorScale" priority="683">
      <colorScale>
        <cfvo type="min"/>
        <cfvo type="max"/>
        <color rgb="FFFFFFFF"/>
        <color rgb="FFBDD7EE"/>
      </colorScale>
    </cfRule>
    <cfRule type="colorScale" priority="684">
      <colorScale>
        <cfvo type="min"/>
        <cfvo type="max"/>
        <color rgb="FFE7E6E6"/>
        <color rgb="FFBDD7EE"/>
      </colorScale>
    </cfRule>
    <cfRule type="colorScale" priority="685">
      <colorScale>
        <cfvo type="min"/>
        <cfvo type="max"/>
        <color rgb="FFE7E6E6"/>
        <color rgb="FFC6E0B4"/>
      </colorScale>
    </cfRule>
  </conditionalFormatting>
  <conditionalFormatting sqref="BH259:BH260 BH262:BH264 BH266:BH268 BH270:BH274 BH276:BH283">
    <cfRule type="colorScale" priority="686">
      <colorScale>
        <cfvo type="min"/>
        <cfvo type="max"/>
        <color rgb="FFFFFFFF"/>
        <color rgb="FFBDD7EE"/>
      </colorScale>
    </cfRule>
    <cfRule type="colorScale" priority="687">
      <colorScale>
        <cfvo type="min"/>
        <cfvo type="max"/>
        <color rgb="FFE7E6E6"/>
        <color rgb="FFBDD7EE"/>
      </colorScale>
    </cfRule>
    <cfRule type="colorScale" priority="688">
      <colorScale>
        <cfvo type="min"/>
        <cfvo type="max"/>
        <color rgb="FFE7E6E6"/>
        <color rgb="FFC6E0B4"/>
      </colorScale>
    </cfRule>
  </conditionalFormatting>
  <conditionalFormatting sqref="BM259:BM260 BM262:BM264 BM266:BM268 BM270:BM274 BM276:BM283">
    <cfRule type="colorScale" priority="689">
      <colorScale>
        <cfvo type="min"/>
        <cfvo type="max"/>
        <color rgb="FFFFFFFF"/>
        <color rgb="FFBDD7EE"/>
      </colorScale>
    </cfRule>
    <cfRule type="colorScale" priority="690">
      <colorScale>
        <cfvo type="min"/>
        <cfvo type="max"/>
        <color rgb="FFE7E6E6"/>
        <color rgb="FFBDD7EE"/>
      </colorScale>
    </cfRule>
    <cfRule type="colorScale" priority="691">
      <colorScale>
        <cfvo type="min"/>
        <cfvo type="max"/>
        <color rgb="FFE7E6E6"/>
        <color rgb="FFC6E0B4"/>
      </colorScale>
    </cfRule>
  </conditionalFormatting>
  <conditionalFormatting sqref="BN259:BN260 BN262:BN264 BN266:BN268 BN270:BN274 BN276:BN283">
    <cfRule type="colorScale" priority="692">
      <colorScale>
        <cfvo type="min"/>
        <cfvo type="max"/>
        <color rgb="FFFFFFFF"/>
        <color rgb="FFBDD7EE"/>
      </colorScale>
    </cfRule>
    <cfRule type="colorScale" priority="693">
      <colorScale>
        <cfvo type="min"/>
        <cfvo type="max"/>
        <color rgb="FFE7E6E6"/>
        <color rgb="FFBDD7EE"/>
      </colorScale>
    </cfRule>
    <cfRule type="colorScale" priority="694">
      <colorScale>
        <cfvo type="min"/>
        <cfvo type="max"/>
        <color rgb="FFE7E6E6"/>
        <color rgb="FFC6E0B4"/>
      </colorScale>
    </cfRule>
  </conditionalFormatting>
  <conditionalFormatting sqref="BG261">
    <cfRule type="colorScale" priority="179">
      <colorScale>
        <cfvo type="min"/>
        <cfvo type="max"/>
        <color rgb="FFFFFFFF"/>
        <color rgb="FFBDD7EE"/>
      </colorScale>
    </cfRule>
    <cfRule type="colorScale" priority="180">
      <colorScale>
        <cfvo type="min"/>
        <cfvo type="max"/>
        <color rgb="FFE7E6E6"/>
        <color rgb="FFBDD7EE"/>
      </colorScale>
    </cfRule>
    <cfRule type="colorScale" priority="181">
      <colorScale>
        <cfvo type="min"/>
        <cfvo type="max"/>
        <color rgb="FFE7E6E6"/>
        <color rgb="FFC6E0B4"/>
      </colorScale>
    </cfRule>
  </conditionalFormatting>
  <conditionalFormatting sqref="BH261">
    <cfRule type="colorScale" priority="182">
      <colorScale>
        <cfvo type="min"/>
        <cfvo type="max"/>
        <color rgb="FFFFFFFF"/>
        <color rgb="FFBDD7EE"/>
      </colorScale>
    </cfRule>
    <cfRule type="colorScale" priority="183">
      <colorScale>
        <cfvo type="min"/>
        <cfvo type="max"/>
        <color rgb="FFE7E6E6"/>
        <color rgb="FFBDD7EE"/>
      </colorScale>
    </cfRule>
    <cfRule type="colorScale" priority="184">
      <colorScale>
        <cfvo type="min"/>
        <cfvo type="max"/>
        <color rgb="FFE7E6E6"/>
        <color rgb="FFC6E0B4"/>
      </colorScale>
    </cfRule>
  </conditionalFormatting>
  <conditionalFormatting sqref="BM261">
    <cfRule type="colorScale" priority="185">
      <colorScale>
        <cfvo type="min"/>
        <cfvo type="max"/>
        <color rgb="FFFFFFFF"/>
        <color rgb="FFBDD7EE"/>
      </colorScale>
    </cfRule>
    <cfRule type="colorScale" priority="186">
      <colorScale>
        <cfvo type="min"/>
        <cfvo type="max"/>
        <color rgb="FFE7E6E6"/>
        <color rgb="FFBDD7EE"/>
      </colorScale>
    </cfRule>
    <cfRule type="colorScale" priority="187">
      <colorScale>
        <cfvo type="min"/>
        <cfvo type="max"/>
        <color rgb="FFE7E6E6"/>
        <color rgb="FFC6E0B4"/>
      </colorScale>
    </cfRule>
  </conditionalFormatting>
  <conditionalFormatting sqref="BN261">
    <cfRule type="colorScale" priority="188">
      <colorScale>
        <cfvo type="min"/>
        <cfvo type="max"/>
        <color rgb="FFFFFFFF"/>
        <color rgb="FFBDD7EE"/>
      </colorScale>
    </cfRule>
    <cfRule type="colorScale" priority="189">
      <colorScale>
        <cfvo type="min"/>
        <cfvo type="max"/>
        <color rgb="FFE7E6E6"/>
        <color rgb="FFBDD7EE"/>
      </colorScale>
    </cfRule>
    <cfRule type="colorScale" priority="190">
      <colorScale>
        <cfvo type="min"/>
        <cfvo type="max"/>
        <color rgb="FFE7E6E6"/>
        <color rgb="FFC6E0B4"/>
      </colorScale>
    </cfRule>
  </conditionalFormatting>
  <conditionalFormatting sqref="BG265">
    <cfRule type="colorScale" priority="167">
      <colorScale>
        <cfvo type="min"/>
        <cfvo type="max"/>
        <color rgb="FFFFFFFF"/>
        <color rgb="FFBDD7EE"/>
      </colorScale>
    </cfRule>
    <cfRule type="colorScale" priority="168">
      <colorScale>
        <cfvo type="min"/>
        <cfvo type="max"/>
        <color rgb="FFE7E6E6"/>
        <color rgb="FFBDD7EE"/>
      </colorScale>
    </cfRule>
    <cfRule type="colorScale" priority="169">
      <colorScale>
        <cfvo type="min"/>
        <cfvo type="max"/>
        <color rgb="FFE7E6E6"/>
        <color rgb="FFC6E0B4"/>
      </colorScale>
    </cfRule>
  </conditionalFormatting>
  <conditionalFormatting sqref="BH265">
    <cfRule type="colorScale" priority="170">
      <colorScale>
        <cfvo type="min"/>
        <cfvo type="max"/>
        <color rgb="FFFFFFFF"/>
        <color rgb="FFBDD7EE"/>
      </colorScale>
    </cfRule>
    <cfRule type="colorScale" priority="171">
      <colorScale>
        <cfvo type="min"/>
        <cfvo type="max"/>
        <color rgb="FFE7E6E6"/>
        <color rgb="FFBDD7EE"/>
      </colorScale>
    </cfRule>
    <cfRule type="colorScale" priority="172">
      <colorScale>
        <cfvo type="min"/>
        <cfvo type="max"/>
        <color rgb="FFE7E6E6"/>
        <color rgb="FFC6E0B4"/>
      </colorScale>
    </cfRule>
  </conditionalFormatting>
  <conditionalFormatting sqref="BM265">
    <cfRule type="colorScale" priority="173">
      <colorScale>
        <cfvo type="min"/>
        <cfvo type="max"/>
        <color rgb="FFFFFFFF"/>
        <color rgb="FFBDD7EE"/>
      </colorScale>
    </cfRule>
    <cfRule type="colorScale" priority="174">
      <colorScale>
        <cfvo type="min"/>
        <cfvo type="max"/>
        <color rgb="FFE7E6E6"/>
        <color rgb="FFBDD7EE"/>
      </colorScale>
    </cfRule>
    <cfRule type="colorScale" priority="175">
      <colorScale>
        <cfvo type="min"/>
        <cfvo type="max"/>
        <color rgb="FFE7E6E6"/>
        <color rgb="FFC6E0B4"/>
      </colorScale>
    </cfRule>
  </conditionalFormatting>
  <conditionalFormatting sqref="BN265">
    <cfRule type="colorScale" priority="176">
      <colorScale>
        <cfvo type="min"/>
        <cfvo type="max"/>
        <color rgb="FFFFFFFF"/>
        <color rgb="FFBDD7EE"/>
      </colorScale>
    </cfRule>
    <cfRule type="colorScale" priority="177">
      <colorScale>
        <cfvo type="min"/>
        <cfvo type="max"/>
        <color rgb="FFE7E6E6"/>
        <color rgb="FFBDD7EE"/>
      </colorScale>
    </cfRule>
    <cfRule type="colorScale" priority="178">
      <colorScale>
        <cfvo type="min"/>
        <cfvo type="max"/>
        <color rgb="FFE7E6E6"/>
        <color rgb="FFC6E0B4"/>
      </colorScale>
    </cfRule>
  </conditionalFormatting>
  <conditionalFormatting sqref="BG269">
    <cfRule type="colorScale" priority="155">
      <colorScale>
        <cfvo type="min"/>
        <cfvo type="max"/>
        <color rgb="FFFFFFFF"/>
        <color rgb="FFBDD7EE"/>
      </colorScale>
    </cfRule>
    <cfRule type="colorScale" priority="156">
      <colorScale>
        <cfvo type="min"/>
        <cfvo type="max"/>
        <color rgb="FFE7E6E6"/>
        <color rgb="FFBDD7EE"/>
      </colorScale>
    </cfRule>
    <cfRule type="colorScale" priority="157">
      <colorScale>
        <cfvo type="min"/>
        <cfvo type="max"/>
        <color rgb="FFE7E6E6"/>
        <color rgb="FFC6E0B4"/>
      </colorScale>
    </cfRule>
  </conditionalFormatting>
  <conditionalFormatting sqref="BH269">
    <cfRule type="colorScale" priority="158">
      <colorScale>
        <cfvo type="min"/>
        <cfvo type="max"/>
        <color rgb="FFFFFFFF"/>
        <color rgb="FFBDD7EE"/>
      </colorScale>
    </cfRule>
    <cfRule type="colorScale" priority="159">
      <colorScale>
        <cfvo type="min"/>
        <cfvo type="max"/>
        <color rgb="FFE7E6E6"/>
        <color rgb="FFBDD7EE"/>
      </colorScale>
    </cfRule>
    <cfRule type="colorScale" priority="160">
      <colorScale>
        <cfvo type="min"/>
        <cfvo type="max"/>
        <color rgb="FFE7E6E6"/>
        <color rgb="FFC6E0B4"/>
      </colorScale>
    </cfRule>
  </conditionalFormatting>
  <conditionalFormatting sqref="BM269">
    <cfRule type="colorScale" priority="161">
      <colorScale>
        <cfvo type="min"/>
        <cfvo type="max"/>
        <color rgb="FFFFFFFF"/>
        <color rgb="FFBDD7EE"/>
      </colorScale>
    </cfRule>
    <cfRule type="colorScale" priority="162">
      <colorScale>
        <cfvo type="min"/>
        <cfvo type="max"/>
        <color rgb="FFE7E6E6"/>
        <color rgb="FFBDD7EE"/>
      </colorScale>
    </cfRule>
    <cfRule type="colorScale" priority="163">
      <colorScale>
        <cfvo type="min"/>
        <cfvo type="max"/>
        <color rgb="FFE7E6E6"/>
        <color rgb="FFC6E0B4"/>
      </colorScale>
    </cfRule>
  </conditionalFormatting>
  <conditionalFormatting sqref="BN269">
    <cfRule type="colorScale" priority="164">
      <colorScale>
        <cfvo type="min"/>
        <cfvo type="max"/>
        <color rgb="FFFFFFFF"/>
        <color rgb="FFBDD7EE"/>
      </colorScale>
    </cfRule>
    <cfRule type="colorScale" priority="165">
      <colorScale>
        <cfvo type="min"/>
        <cfvo type="max"/>
        <color rgb="FFE7E6E6"/>
        <color rgb="FFBDD7EE"/>
      </colorScale>
    </cfRule>
    <cfRule type="colorScale" priority="166">
      <colorScale>
        <cfvo type="min"/>
        <cfvo type="max"/>
        <color rgb="FFE7E6E6"/>
        <color rgb="FFC6E0B4"/>
      </colorScale>
    </cfRule>
  </conditionalFormatting>
  <conditionalFormatting sqref="BG284:BG287 BG289:BG293">
    <cfRule type="colorScale" priority="695">
      <colorScale>
        <cfvo type="min"/>
        <cfvo type="max"/>
        <color rgb="FFFFFFFF"/>
        <color rgb="FFBDD7EE"/>
      </colorScale>
    </cfRule>
    <cfRule type="colorScale" priority="696">
      <colorScale>
        <cfvo type="min"/>
        <cfvo type="max"/>
        <color rgb="FFE7E6E6"/>
        <color rgb="FFBDD7EE"/>
      </colorScale>
    </cfRule>
    <cfRule type="colorScale" priority="697">
      <colorScale>
        <cfvo type="min"/>
        <cfvo type="max"/>
        <color rgb="FFE7E6E6"/>
        <color rgb="FFC6E0B4"/>
      </colorScale>
    </cfRule>
  </conditionalFormatting>
  <conditionalFormatting sqref="BH284:BH287 BH289:BH293">
    <cfRule type="colorScale" priority="698">
      <colorScale>
        <cfvo type="min"/>
        <cfvo type="max"/>
        <color rgb="FFFFFFFF"/>
        <color rgb="FFBDD7EE"/>
      </colorScale>
    </cfRule>
    <cfRule type="colorScale" priority="699">
      <colorScale>
        <cfvo type="min"/>
        <cfvo type="max"/>
        <color rgb="FFE7E6E6"/>
        <color rgb="FFBDD7EE"/>
      </colorScale>
    </cfRule>
    <cfRule type="colorScale" priority="700">
      <colorScale>
        <cfvo type="min"/>
        <cfvo type="max"/>
        <color rgb="FFE7E6E6"/>
        <color rgb="FFC6E0B4"/>
      </colorScale>
    </cfRule>
  </conditionalFormatting>
  <conditionalFormatting sqref="BM284:BM287 BM289:BM293">
    <cfRule type="colorScale" priority="701">
      <colorScale>
        <cfvo type="min"/>
        <cfvo type="max"/>
        <color rgb="FFFFFFFF"/>
        <color rgb="FFBDD7EE"/>
      </colorScale>
    </cfRule>
    <cfRule type="colorScale" priority="702">
      <colorScale>
        <cfvo type="min"/>
        <cfvo type="max"/>
        <color rgb="FFE7E6E6"/>
        <color rgb="FFBDD7EE"/>
      </colorScale>
    </cfRule>
    <cfRule type="colorScale" priority="703">
      <colorScale>
        <cfvo type="min"/>
        <cfvo type="max"/>
        <color rgb="FFE7E6E6"/>
        <color rgb="FFC6E0B4"/>
      </colorScale>
    </cfRule>
  </conditionalFormatting>
  <conditionalFormatting sqref="BN284:BN287 BN289:BN293">
    <cfRule type="colorScale" priority="704">
      <colorScale>
        <cfvo type="min"/>
        <cfvo type="max"/>
        <color rgb="FFFFFFFF"/>
        <color rgb="FFBDD7EE"/>
      </colorScale>
    </cfRule>
    <cfRule type="colorScale" priority="705">
      <colorScale>
        <cfvo type="min"/>
        <cfvo type="max"/>
        <color rgb="FFE7E6E6"/>
        <color rgb="FFBDD7EE"/>
      </colorScale>
    </cfRule>
    <cfRule type="colorScale" priority="706">
      <colorScale>
        <cfvo type="min"/>
        <cfvo type="max"/>
        <color rgb="FFE7E6E6"/>
        <color rgb="FFC6E0B4"/>
      </colorScale>
    </cfRule>
  </conditionalFormatting>
  <conditionalFormatting sqref="BG288">
    <cfRule type="colorScale" priority="143">
      <colorScale>
        <cfvo type="min"/>
        <cfvo type="max"/>
        <color rgb="FFFFFFFF"/>
        <color rgb="FFBDD7EE"/>
      </colorScale>
    </cfRule>
    <cfRule type="colorScale" priority="144">
      <colorScale>
        <cfvo type="min"/>
        <cfvo type="max"/>
        <color rgb="FFE7E6E6"/>
        <color rgb="FFBDD7EE"/>
      </colorScale>
    </cfRule>
    <cfRule type="colorScale" priority="145">
      <colorScale>
        <cfvo type="min"/>
        <cfvo type="max"/>
        <color rgb="FFE7E6E6"/>
        <color rgb="FFC6E0B4"/>
      </colorScale>
    </cfRule>
  </conditionalFormatting>
  <conditionalFormatting sqref="BH288">
    <cfRule type="colorScale" priority="146">
      <colorScale>
        <cfvo type="min"/>
        <cfvo type="max"/>
        <color rgb="FFFFFFFF"/>
        <color rgb="FFBDD7EE"/>
      </colorScale>
    </cfRule>
    <cfRule type="colorScale" priority="147">
      <colorScale>
        <cfvo type="min"/>
        <cfvo type="max"/>
        <color rgb="FFE7E6E6"/>
        <color rgb="FFBDD7EE"/>
      </colorScale>
    </cfRule>
    <cfRule type="colorScale" priority="148">
      <colorScale>
        <cfvo type="min"/>
        <cfvo type="max"/>
        <color rgb="FFE7E6E6"/>
        <color rgb="FFC6E0B4"/>
      </colorScale>
    </cfRule>
  </conditionalFormatting>
  <conditionalFormatting sqref="BM288">
    <cfRule type="colorScale" priority="149">
      <colorScale>
        <cfvo type="min"/>
        <cfvo type="max"/>
        <color rgb="FFFFFFFF"/>
        <color rgb="FFBDD7EE"/>
      </colorScale>
    </cfRule>
    <cfRule type="colorScale" priority="150">
      <colorScale>
        <cfvo type="min"/>
        <cfvo type="max"/>
        <color rgb="FFE7E6E6"/>
        <color rgb="FFBDD7EE"/>
      </colorScale>
    </cfRule>
    <cfRule type="colorScale" priority="151">
      <colorScale>
        <cfvo type="min"/>
        <cfvo type="max"/>
        <color rgb="FFE7E6E6"/>
        <color rgb="FFC6E0B4"/>
      </colorScale>
    </cfRule>
  </conditionalFormatting>
  <conditionalFormatting sqref="BN288">
    <cfRule type="colorScale" priority="152">
      <colorScale>
        <cfvo type="min"/>
        <cfvo type="max"/>
        <color rgb="FFFFFFFF"/>
        <color rgb="FFBDD7EE"/>
      </colorScale>
    </cfRule>
    <cfRule type="colorScale" priority="153">
      <colorScale>
        <cfvo type="min"/>
        <cfvo type="max"/>
        <color rgb="FFE7E6E6"/>
        <color rgb="FFBDD7EE"/>
      </colorScale>
    </cfRule>
    <cfRule type="colorScale" priority="154">
      <colorScale>
        <cfvo type="min"/>
        <cfvo type="max"/>
        <color rgb="FFE7E6E6"/>
        <color rgb="FFC6E0B4"/>
      </colorScale>
    </cfRule>
  </conditionalFormatting>
  <conditionalFormatting sqref="BG294:BG300 BG252">
    <cfRule type="colorScale" priority="140">
      <colorScale>
        <cfvo type="min"/>
        <cfvo type="max"/>
        <color rgb="FFFFFFFF"/>
        <color rgb="FFBDD7EE"/>
      </colorScale>
    </cfRule>
    <cfRule type="colorScale" priority="141">
      <colorScale>
        <cfvo type="min"/>
        <cfvo type="max"/>
        <color rgb="FFE7E6E6"/>
        <color rgb="FFBDD7EE"/>
      </colorScale>
    </cfRule>
    <cfRule type="colorScale" priority="142">
      <colorScale>
        <cfvo type="min"/>
        <cfvo type="max"/>
        <color rgb="FFE7E6E6"/>
        <color rgb="FFC6E0B4"/>
      </colorScale>
    </cfRule>
  </conditionalFormatting>
  <conditionalFormatting sqref="BH294:BH300 BH252">
    <cfRule type="colorScale" priority="137">
      <colorScale>
        <cfvo type="min"/>
        <cfvo type="max"/>
        <color rgb="FFFFFFFF"/>
        <color rgb="FFBDD7EE"/>
      </colorScale>
    </cfRule>
    <cfRule type="colorScale" priority="138">
      <colorScale>
        <cfvo type="min"/>
        <cfvo type="max"/>
        <color rgb="FFE7E6E6"/>
        <color rgb="FFBDD7EE"/>
      </colorScale>
    </cfRule>
    <cfRule type="colorScale" priority="139">
      <colorScale>
        <cfvo type="min"/>
        <cfvo type="max"/>
        <color rgb="FFE7E6E6"/>
        <color rgb="FFC6E0B4"/>
      </colorScale>
    </cfRule>
  </conditionalFormatting>
  <conditionalFormatting sqref="BM294:BM300 BM252">
    <cfRule type="colorScale" priority="134">
      <colorScale>
        <cfvo type="min"/>
        <cfvo type="max"/>
        <color rgb="FFFFFFFF"/>
        <color rgb="FFBDD7EE"/>
      </colorScale>
    </cfRule>
    <cfRule type="colorScale" priority="135">
      <colorScale>
        <cfvo type="min"/>
        <cfvo type="max"/>
        <color rgb="FFE7E6E6"/>
        <color rgb="FFBDD7EE"/>
      </colorScale>
    </cfRule>
    <cfRule type="colorScale" priority="136">
      <colorScale>
        <cfvo type="min"/>
        <cfvo type="max"/>
        <color rgb="FFE7E6E6"/>
        <color rgb="FFC6E0B4"/>
      </colorScale>
    </cfRule>
  </conditionalFormatting>
  <conditionalFormatting sqref="BN294:BN300 BN252">
    <cfRule type="colorScale" priority="131">
      <colorScale>
        <cfvo type="min"/>
        <cfvo type="max"/>
        <color rgb="FFFFFFFF"/>
        <color rgb="FFBDD7EE"/>
      </colorScale>
    </cfRule>
    <cfRule type="colorScale" priority="132">
      <colorScale>
        <cfvo type="min"/>
        <cfvo type="max"/>
        <color rgb="FFE7E6E6"/>
        <color rgb="FFBDD7EE"/>
      </colorScale>
    </cfRule>
    <cfRule type="colorScale" priority="133">
      <colorScale>
        <cfvo type="min"/>
        <cfvo type="max"/>
        <color rgb="FFE7E6E6"/>
        <color rgb="FFC6E0B4"/>
      </colorScale>
    </cfRule>
  </conditionalFormatting>
  <conditionalFormatting sqref="BG61">
    <cfRule type="colorScale" priority="119">
      <colorScale>
        <cfvo type="min"/>
        <cfvo type="max"/>
        <color rgb="FFFFFFFF"/>
        <color rgb="FFBDD7EE"/>
      </colorScale>
    </cfRule>
    <cfRule type="colorScale" priority="120">
      <colorScale>
        <cfvo type="min"/>
        <cfvo type="max"/>
        <color rgb="FFE7E6E6"/>
        <color rgb="FFBDD7EE"/>
      </colorScale>
    </cfRule>
    <cfRule type="colorScale" priority="121">
      <colorScale>
        <cfvo type="min"/>
        <cfvo type="max"/>
        <color rgb="FFE7E6E6"/>
        <color rgb="FFC6E0B4"/>
      </colorScale>
    </cfRule>
  </conditionalFormatting>
  <conditionalFormatting sqref="BH61">
    <cfRule type="colorScale" priority="122">
      <colorScale>
        <cfvo type="min"/>
        <cfvo type="max"/>
        <color rgb="FFFFFFFF"/>
        <color rgb="FFBDD7EE"/>
      </colorScale>
    </cfRule>
    <cfRule type="colorScale" priority="123">
      <colorScale>
        <cfvo type="min"/>
        <cfvo type="max"/>
        <color rgb="FFE7E6E6"/>
        <color rgb="FFBDD7EE"/>
      </colorScale>
    </cfRule>
    <cfRule type="colorScale" priority="124">
      <colorScale>
        <cfvo type="min"/>
        <cfvo type="max"/>
        <color rgb="FFE7E6E6"/>
        <color rgb="FFC6E0B4"/>
      </colorScale>
    </cfRule>
  </conditionalFormatting>
  <conditionalFormatting sqref="BM61">
    <cfRule type="colorScale" priority="125">
      <colorScale>
        <cfvo type="min"/>
        <cfvo type="max"/>
        <color rgb="FFFFFFFF"/>
        <color rgb="FFBDD7EE"/>
      </colorScale>
    </cfRule>
    <cfRule type="colorScale" priority="126">
      <colorScale>
        <cfvo type="min"/>
        <cfvo type="max"/>
        <color rgb="FFE7E6E6"/>
        <color rgb="FFBDD7EE"/>
      </colorScale>
    </cfRule>
    <cfRule type="colorScale" priority="127">
      <colorScale>
        <cfvo type="min"/>
        <cfvo type="max"/>
        <color rgb="FFE7E6E6"/>
        <color rgb="FFC6E0B4"/>
      </colorScale>
    </cfRule>
  </conditionalFormatting>
  <conditionalFormatting sqref="BN61">
    <cfRule type="colorScale" priority="128">
      <colorScale>
        <cfvo type="min"/>
        <cfvo type="max"/>
        <color rgb="FFFFFFFF"/>
        <color rgb="FFBDD7EE"/>
      </colorScale>
    </cfRule>
    <cfRule type="colorScale" priority="129">
      <colorScale>
        <cfvo type="min"/>
        <cfvo type="max"/>
        <color rgb="FFE7E6E6"/>
        <color rgb="FFBDD7EE"/>
      </colorScale>
    </cfRule>
    <cfRule type="colorScale" priority="130">
      <colorScale>
        <cfvo type="min"/>
        <cfvo type="max"/>
        <color rgb="FFE7E6E6"/>
        <color rgb="FFC6E0B4"/>
      </colorScale>
    </cfRule>
  </conditionalFormatting>
  <conditionalFormatting sqref="BG139">
    <cfRule type="colorScale" priority="107">
      <colorScale>
        <cfvo type="min"/>
        <cfvo type="max"/>
        <color rgb="FFFFFFFF"/>
        <color rgb="FFBDD7EE"/>
      </colorScale>
    </cfRule>
    <cfRule type="colorScale" priority="108">
      <colorScale>
        <cfvo type="min"/>
        <cfvo type="max"/>
        <color rgb="FFE7E6E6"/>
        <color rgb="FFBDD7EE"/>
      </colorScale>
    </cfRule>
    <cfRule type="colorScale" priority="109">
      <colorScale>
        <cfvo type="min"/>
        <cfvo type="max"/>
        <color rgb="FFE7E6E6"/>
        <color rgb="FFC6E0B4"/>
      </colorScale>
    </cfRule>
  </conditionalFormatting>
  <conditionalFormatting sqref="BH139">
    <cfRule type="colorScale" priority="110">
      <colorScale>
        <cfvo type="min"/>
        <cfvo type="max"/>
        <color rgb="FFFFFFFF"/>
        <color rgb="FFBDD7EE"/>
      </colorScale>
    </cfRule>
    <cfRule type="colorScale" priority="111">
      <colorScale>
        <cfvo type="min"/>
        <cfvo type="max"/>
        <color rgb="FFE7E6E6"/>
        <color rgb="FFBDD7EE"/>
      </colorScale>
    </cfRule>
    <cfRule type="colorScale" priority="112">
      <colorScale>
        <cfvo type="min"/>
        <cfvo type="max"/>
        <color rgb="FFE7E6E6"/>
        <color rgb="FFC6E0B4"/>
      </colorScale>
    </cfRule>
  </conditionalFormatting>
  <conditionalFormatting sqref="BM139">
    <cfRule type="colorScale" priority="113">
      <colorScale>
        <cfvo type="min"/>
        <cfvo type="max"/>
        <color rgb="FFFFFFFF"/>
        <color rgb="FFBDD7EE"/>
      </colorScale>
    </cfRule>
    <cfRule type="colorScale" priority="114">
      <colorScale>
        <cfvo type="min"/>
        <cfvo type="max"/>
        <color rgb="FFE7E6E6"/>
        <color rgb="FFBDD7EE"/>
      </colorScale>
    </cfRule>
    <cfRule type="colorScale" priority="115">
      <colorScale>
        <cfvo type="min"/>
        <cfvo type="max"/>
        <color rgb="FFE7E6E6"/>
        <color rgb="FFC6E0B4"/>
      </colorScale>
    </cfRule>
  </conditionalFormatting>
  <conditionalFormatting sqref="BN139">
    <cfRule type="colorScale" priority="116">
      <colorScale>
        <cfvo type="min"/>
        <cfvo type="max"/>
        <color rgb="FFFFFFFF"/>
        <color rgb="FFBDD7EE"/>
      </colorScale>
    </cfRule>
    <cfRule type="colorScale" priority="117">
      <colorScale>
        <cfvo type="min"/>
        <cfvo type="max"/>
        <color rgb="FFE7E6E6"/>
        <color rgb="FFBDD7EE"/>
      </colorScale>
    </cfRule>
    <cfRule type="colorScale" priority="118">
      <colorScale>
        <cfvo type="min"/>
        <cfvo type="max"/>
        <color rgb="FFE7E6E6"/>
        <color rgb="FFC6E0B4"/>
      </colorScale>
    </cfRule>
  </conditionalFormatting>
  <conditionalFormatting sqref="BG2">
    <cfRule type="colorScale" priority="95">
      <colorScale>
        <cfvo type="min"/>
        <cfvo type="max"/>
        <color rgb="FFFFFFFF"/>
        <color rgb="FFBDD7EE"/>
      </colorScale>
    </cfRule>
    <cfRule type="colorScale" priority="96">
      <colorScale>
        <cfvo type="min"/>
        <cfvo type="max"/>
        <color rgb="FFE7E6E6"/>
        <color rgb="FFBDD7EE"/>
      </colorScale>
    </cfRule>
    <cfRule type="colorScale" priority="97">
      <colorScale>
        <cfvo type="min"/>
        <cfvo type="max"/>
        <color rgb="FFE7E6E6"/>
        <color rgb="FFC6E0B4"/>
      </colorScale>
    </cfRule>
  </conditionalFormatting>
  <conditionalFormatting sqref="BH2">
    <cfRule type="colorScale" priority="98">
      <colorScale>
        <cfvo type="min"/>
        <cfvo type="max"/>
        <color rgb="FFFFFFFF"/>
        <color rgb="FFBDD7EE"/>
      </colorScale>
    </cfRule>
    <cfRule type="colorScale" priority="99">
      <colorScale>
        <cfvo type="min"/>
        <cfvo type="max"/>
        <color rgb="FFE7E6E6"/>
        <color rgb="FFBDD7EE"/>
      </colorScale>
    </cfRule>
    <cfRule type="colorScale" priority="100">
      <colorScale>
        <cfvo type="min"/>
        <cfvo type="max"/>
        <color rgb="FFE7E6E6"/>
        <color rgb="FFC6E0B4"/>
      </colorScale>
    </cfRule>
  </conditionalFormatting>
  <conditionalFormatting sqref="BM2">
    <cfRule type="colorScale" priority="101">
      <colorScale>
        <cfvo type="min"/>
        <cfvo type="max"/>
        <color rgb="FFFFFFFF"/>
        <color rgb="FFBDD7EE"/>
      </colorScale>
    </cfRule>
    <cfRule type="colorScale" priority="102">
      <colorScale>
        <cfvo type="min"/>
        <cfvo type="max"/>
        <color rgb="FFE7E6E6"/>
        <color rgb="FFBDD7EE"/>
      </colorScale>
    </cfRule>
    <cfRule type="colorScale" priority="103">
      <colorScale>
        <cfvo type="min"/>
        <cfvo type="max"/>
        <color rgb="FFE7E6E6"/>
        <color rgb="FFC6E0B4"/>
      </colorScale>
    </cfRule>
  </conditionalFormatting>
  <conditionalFormatting sqref="BN2">
    <cfRule type="colorScale" priority="104">
      <colorScale>
        <cfvo type="min"/>
        <cfvo type="max"/>
        <color rgb="FFFFFFFF"/>
        <color rgb="FFBDD7EE"/>
      </colorScale>
    </cfRule>
    <cfRule type="colorScale" priority="105">
      <colorScale>
        <cfvo type="min"/>
        <cfvo type="max"/>
        <color rgb="FFE7E6E6"/>
        <color rgb="FFBDD7EE"/>
      </colorScale>
    </cfRule>
    <cfRule type="colorScale" priority="106">
      <colorScale>
        <cfvo type="min"/>
        <cfvo type="max"/>
        <color rgb="FFE7E6E6"/>
        <color rgb="FFC6E0B4"/>
      </colorScale>
    </cfRule>
  </conditionalFormatting>
  <conditionalFormatting sqref="BG4">
    <cfRule type="colorScale" priority="83">
      <colorScale>
        <cfvo type="min"/>
        <cfvo type="max"/>
        <color rgb="FFFFFFFF"/>
        <color rgb="FFBDD7EE"/>
      </colorScale>
    </cfRule>
    <cfRule type="colorScale" priority="84">
      <colorScale>
        <cfvo type="min"/>
        <cfvo type="max"/>
        <color rgb="FFE7E6E6"/>
        <color rgb="FFBDD7EE"/>
      </colorScale>
    </cfRule>
    <cfRule type="colorScale" priority="85">
      <colorScale>
        <cfvo type="min"/>
        <cfvo type="max"/>
        <color rgb="FFE7E6E6"/>
        <color rgb="FFC6E0B4"/>
      </colorScale>
    </cfRule>
  </conditionalFormatting>
  <conditionalFormatting sqref="BH4">
    <cfRule type="colorScale" priority="86">
      <colorScale>
        <cfvo type="min"/>
        <cfvo type="max"/>
        <color rgb="FFFFFFFF"/>
        <color rgb="FFBDD7EE"/>
      </colorScale>
    </cfRule>
    <cfRule type="colorScale" priority="87">
      <colorScale>
        <cfvo type="min"/>
        <cfvo type="max"/>
        <color rgb="FFE7E6E6"/>
        <color rgb="FFBDD7EE"/>
      </colorScale>
    </cfRule>
    <cfRule type="colorScale" priority="88">
      <colorScale>
        <cfvo type="min"/>
        <cfvo type="max"/>
        <color rgb="FFE7E6E6"/>
        <color rgb="FFC6E0B4"/>
      </colorScale>
    </cfRule>
  </conditionalFormatting>
  <conditionalFormatting sqref="BM4">
    <cfRule type="colorScale" priority="89">
      <colorScale>
        <cfvo type="min"/>
        <cfvo type="max"/>
        <color rgb="FFFFFFFF"/>
        <color rgb="FFBDD7EE"/>
      </colorScale>
    </cfRule>
    <cfRule type="colorScale" priority="90">
      <colorScale>
        <cfvo type="min"/>
        <cfvo type="max"/>
        <color rgb="FFE7E6E6"/>
        <color rgb="FFBDD7EE"/>
      </colorScale>
    </cfRule>
    <cfRule type="colorScale" priority="91">
      <colorScale>
        <cfvo type="min"/>
        <cfvo type="max"/>
        <color rgb="FFE7E6E6"/>
        <color rgb="FFC6E0B4"/>
      </colorScale>
    </cfRule>
  </conditionalFormatting>
  <conditionalFormatting sqref="BN4">
    <cfRule type="colorScale" priority="92">
      <colorScale>
        <cfvo type="min"/>
        <cfvo type="max"/>
        <color rgb="FFFFFFFF"/>
        <color rgb="FFBDD7EE"/>
      </colorScale>
    </cfRule>
    <cfRule type="colorScale" priority="93">
      <colorScale>
        <cfvo type="min"/>
        <cfvo type="max"/>
        <color rgb="FFE7E6E6"/>
        <color rgb="FFBDD7EE"/>
      </colorScale>
    </cfRule>
    <cfRule type="colorScale" priority="94">
      <colorScale>
        <cfvo type="min"/>
        <cfvo type="max"/>
        <color rgb="FFE7E6E6"/>
        <color rgb="FFC6E0B4"/>
      </colorScale>
    </cfRule>
  </conditionalFormatting>
  <conditionalFormatting sqref="BG85">
    <cfRule type="colorScale" priority="73">
      <colorScale>
        <cfvo type="min"/>
        <cfvo type="max"/>
        <color rgb="FFFFFFFF"/>
        <color rgb="FFBDD7EE"/>
      </colorScale>
    </cfRule>
    <cfRule type="colorScale" priority="74">
      <colorScale>
        <cfvo type="min"/>
        <cfvo type="max"/>
        <color rgb="FFE7E6E6"/>
        <color rgb="FFBDD7EE"/>
      </colorScale>
    </cfRule>
    <cfRule type="colorScale" priority="75">
      <colorScale>
        <cfvo type="min"/>
        <cfvo type="max"/>
        <color rgb="FFE7E6E6"/>
        <color rgb="FFC6E0B4"/>
      </colorScale>
    </cfRule>
  </conditionalFormatting>
  <conditionalFormatting sqref="BH85">
    <cfRule type="colorScale" priority="70">
      <colorScale>
        <cfvo type="min"/>
        <cfvo type="max"/>
        <color rgb="FFFFFFFF"/>
        <color rgb="FFBDD7EE"/>
      </colorScale>
    </cfRule>
    <cfRule type="colorScale" priority="71">
      <colorScale>
        <cfvo type="min"/>
        <cfvo type="max"/>
        <color rgb="FFE7E6E6"/>
        <color rgb="FFBDD7EE"/>
      </colorScale>
    </cfRule>
    <cfRule type="colorScale" priority="72">
      <colorScale>
        <cfvo type="min"/>
        <cfvo type="max"/>
        <color rgb="FFE7E6E6"/>
        <color rgb="FFC6E0B4"/>
      </colorScale>
    </cfRule>
  </conditionalFormatting>
  <conditionalFormatting sqref="BM85">
    <cfRule type="colorScale" priority="67">
      <colorScale>
        <cfvo type="min"/>
        <cfvo type="max"/>
        <color rgb="FFFFFFFF"/>
        <color rgb="FFBDD7EE"/>
      </colorScale>
    </cfRule>
    <cfRule type="colorScale" priority="68">
      <colorScale>
        <cfvo type="min"/>
        <cfvo type="max"/>
        <color rgb="FFE7E6E6"/>
        <color rgb="FFBDD7EE"/>
      </colorScale>
    </cfRule>
    <cfRule type="colorScale" priority="69">
      <colorScale>
        <cfvo type="min"/>
        <cfvo type="max"/>
        <color rgb="FFE7E6E6"/>
        <color rgb="FFC6E0B4"/>
      </colorScale>
    </cfRule>
  </conditionalFormatting>
  <conditionalFormatting sqref="BN85">
    <cfRule type="colorScale" priority="64">
      <colorScale>
        <cfvo type="min"/>
        <cfvo type="max"/>
        <color rgb="FFFFFFFF"/>
        <color rgb="FFBDD7EE"/>
      </colorScale>
    </cfRule>
    <cfRule type="colorScale" priority="65">
      <colorScale>
        <cfvo type="min"/>
        <cfvo type="max"/>
        <color rgb="FFE7E6E6"/>
        <color rgb="FFBDD7EE"/>
      </colorScale>
    </cfRule>
    <cfRule type="colorScale" priority="66">
      <colorScale>
        <cfvo type="min"/>
        <cfvo type="max"/>
        <color rgb="FFE7E6E6"/>
        <color rgb="FFC6E0B4"/>
      </colorScale>
    </cfRule>
  </conditionalFormatting>
  <conditionalFormatting sqref="BE85:BF85 BK85:BL85">
    <cfRule type="colorScale" priority="58">
      <colorScale>
        <cfvo type="min"/>
        <cfvo type="percentile" val="50"/>
        <cfvo type="max"/>
        <color rgb="FFFFFFFF"/>
        <color rgb="FFB4C6E7"/>
        <color rgb="FF305496"/>
      </colorScale>
    </cfRule>
  </conditionalFormatting>
  <conditionalFormatting sqref="BG40">
    <cfRule type="colorScale" priority="53">
      <colorScale>
        <cfvo type="min"/>
        <cfvo type="max"/>
        <color rgb="FFFFFFFF"/>
        <color rgb="FFBDD7EE"/>
      </colorScale>
    </cfRule>
    <cfRule type="colorScale" priority="54">
      <colorScale>
        <cfvo type="min"/>
        <cfvo type="max"/>
        <color rgb="FFE7E6E6"/>
        <color rgb="FFBDD7EE"/>
      </colorScale>
    </cfRule>
    <cfRule type="colorScale" priority="55">
      <colorScale>
        <cfvo type="min"/>
        <cfvo type="max"/>
        <color rgb="FFE7E6E6"/>
        <color rgb="FFC6E0B4"/>
      </colorScale>
    </cfRule>
  </conditionalFormatting>
  <conditionalFormatting sqref="BH40">
    <cfRule type="colorScale" priority="50">
      <colorScale>
        <cfvo type="min"/>
        <cfvo type="max"/>
        <color rgb="FFFFFFFF"/>
        <color rgb="FFBDD7EE"/>
      </colorScale>
    </cfRule>
    <cfRule type="colorScale" priority="51">
      <colorScale>
        <cfvo type="min"/>
        <cfvo type="max"/>
        <color rgb="FFE7E6E6"/>
        <color rgb="FFBDD7EE"/>
      </colorScale>
    </cfRule>
    <cfRule type="colorScale" priority="52">
      <colorScale>
        <cfvo type="min"/>
        <cfvo type="max"/>
        <color rgb="FFE7E6E6"/>
        <color rgb="FFC6E0B4"/>
      </colorScale>
    </cfRule>
  </conditionalFormatting>
  <conditionalFormatting sqref="BM40">
    <cfRule type="colorScale" priority="47">
      <colorScale>
        <cfvo type="min"/>
        <cfvo type="max"/>
        <color rgb="FFFFFFFF"/>
        <color rgb="FFBDD7EE"/>
      </colorScale>
    </cfRule>
    <cfRule type="colorScale" priority="48">
      <colorScale>
        <cfvo type="min"/>
        <cfvo type="max"/>
        <color rgb="FFE7E6E6"/>
        <color rgb="FFBDD7EE"/>
      </colorScale>
    </cfRule>
    <cfRule type="colorScale" priority="49">
      <colorScale>
        <cfvo type="min"/>
        <cfvo type="max"/>
        <color rgb="FFE7E6E6"/>
        <color rgb="FFC6E0B4"/>
      </colorScale>
    </cfRule>
  </conditionalFormatting>
  <conditionalFormatting sqref="BN40">
    <cfRule type="colorScale" priority="44">
      <colorScale>
        <cfvo type="min"/>
        <cfvo type="max"/>
        <color rgb="FFFFFFFF"/>
        <color rgb="FFBDD7EE"/>
      </colorScale>
    </cfRule>
    <cfRule type="colorScale" priority="45">
      <colorScale>
        <cfvo type="min"/>
        <cfvo type="max"/>
        <color rgb="FFE7E6E6"/>
        <color rgb="FFBDD7EE"/>
      </colorScale>
    </cfRule>
    <cfRule type="colorScale" priority="46">
      <colorScale>
        <cfvo type="min"/>
        <cfvo type="max"/>
        <color rgb="FFE7E6E6"/>
        <color rgb="FFC6E0B4"/>
      </colorScale>
    </cfRule>
  </conditionalFormatting>
  <conditionalFormatting sqref="BE40:BF40 BK40:BL40">
    <cfRule type="colorScale" priority="41">
      <colorScale>
        <cfvo type="min"/>
        <cfvo type="percentile" val="50"/>
        <cfvo type="max"/>
        <color rgb="FFFFFFFF"/>
        <color rgb="FFB4C6E7"/>
        <color rgb="FF305496"/>
      </colorScale>
    </cfRule>
  </conditionalFormatting>
  <conditionalFormatting sqref="BG69:BG84 BG86:BG117">
    <cfRule type="colorScale" priority="707">
      <colorScale>
        <cfvo type="min"/>
        <cfvo type="max"/>
        <color rgb="FFFFFFFF"/>
        <color rgb="FFBDD7EE"/>
      </colorScale>
    </cfRule>
    <cfRule type="colorScale" priority="708">
      <colorScale>
        <cfvo type="min"/>
        <cfvo type="max"/>
        <color rgb="FFE7E6E6"/>
        <color rgb="FFBDD7EE"/>
      </colorScale>
    </cfRule>
    <cfRule type="colorScale" priority="709">
      <colorScale>
        <cfvo type="min"/>
        <cfvo type="max"/>
        <color rgb="FFE7E6E6"/>
        <color rgb="FFC6E0B4"/>
      </colorScale>
    </cfRule>
  </conditionalFormatting>
  <conditionalFormatting sqref="BH69:BH84 BH86:BH117">
    <cfRule type="colorScale" priority="710">
      <colorScale>
        <cfvo type="min"/>
        <cfvo type="max"/>
        <color rgb="FFFFFFFF"/>
        <color rgb="FFBDD7EE"/>
      </colorScale>
    </cfRule>
    <cfRule type="colorScale" priority="711">
      <colorScale>
        <cfvo type="min"/>
        <cfvo type="max"/>
        <color rgb="FFE7E6E6"/>
        <color rgb="FFBDD7EE"/>
      </colorScale>
    </cfRule>
    <cfRule type="colorScale" priority="712">
      <colorScale>
        <cfvo type="min"/>
        <cfvo type="max"/>
        <color rgb="FFE7E6E6"/>
        <color rgb="FFC6E0B4"/>
      </colorScale>
    </cfRule>
  </conditionalFormatting>
  <conditionalFormatting sqref="BM69:BM84 BM86:BM117">
    <cfRule type="colorScale" priority="713">
      <colorScale>
        <cfvo type="min"/>
        <cfvo type="max"/>
        <color rgb="FFFFFFFF"/>
        <color rgb="FFBDD7EE"/>
      </colorScale>
    </cfRule>
    <cfRule type="colorScale" priority="714">
      <colorScale>
        <cfvo type="min"/>
        <cfvo type="max"/>
        <color rgb="FFE7E6E6"/>
        <color rgb="FFBDD7EE"/>
      </colorScale>
    </cfRule>
    <cfRule type="colorScale" priority="715">
      <colorScale>
        <cfvo type="min"/>
        <cfvo type="max"/>
        <color rgb="FFE7E6E6"/>
        <color rgb="FFC6E0B4"/>
      </colorScale>
    </cfRule>
  </conditionalFormatting>
  <conditionalFormatting sqref="BN69:BN84 BN86:BN117">
    <cfRule type="colorScale" priority="716">
      <colorScale>
        <cfvo type="min"/>
        <cfvo type="max"/>
        <color rgb="FFFFFFFF"/>
        <color rgb="FFBDD7EE"/>
      </colorScale>
    </cfRule>
    <cfRule type="colorScale" priority="717">
      <colorScale>
        <cfvo type="min"/>
        <cfvo type="max"/>
        <color rgb="FFE7E6E6"/>
        <color rgb="FFBDD7EE"/>
      </colorScale>
    </cfRule>
    <cfRule type="colorScale" priority="718">
      <colorScale>
        <cfvo type="min"/>
        <cfvo type="max"/>
        <color rgb="FFE7E6E6"/>
        <color rgb="FFC6E0B4"/>
      </colorScale>
    </cfRule>
  </conditionalFormatting>
  <conditionalFormatting sqref="BG151:BG163">
    <cfRule type="colorScale" priority="724">
      <colorScale>
        <cfvo type="min"/>
        <cfvo type="max"/>
        <color rgb="FFFFFFFF"/>
        <color rgb="FFBDD7EE"/>
      </colorScale>
    </cfRule>
    <cfRule type="colorScale" priority="725">
      <colorScale>
        <cfvo type="min"/>
        <cfvo type="max"/>
        <color rgb="FFE7E6E6"/>
        <color rgb="FFBDD7EE"/>
      </colorScale>
    </cfRule>
    <cfRule type="colorScale" priority="726">
      <colorScale>
        <cfvo type="min"/>
        <cfvo type="max"/>
        <color rgb="FFE7E6E6"/>
        <color rgb="FFC6E0B4"/>
      </colorScale>
    </cfRule>
  </conditionalFormatting>
  <conditionalFormatting sqref="BH151:BH163">
    <cfRule type="colorScale" priority="727">
      <colorScale>
        <cfvo type="min"/>
        <cfvo type="max"/>
        <color rgb="FFFFFFFF"/>
        <color rgb="FFBDD7EE"/>
      </colorScale>
    </cfRule>
    <cfRule type="colorScale" priority="728">
      <colorScale>
        <cfvo type="min"/>
        <cfvo type="max"/>
        <color rgb="FFE7E6E6"/>
        <color rgb="FFBDD7EE"/>
      </colorScale>
    </cfRule>
    <cfRule type="colorScale" priority="729">
      <colorScale>
        <cfvo type="min"/>
        <cfvo type="max"/>
        <color rgb="FFE7E6E6"/>
        <color rgb="FFC6E0B4"/>
      </colorScale>
    </cfRule>
  </conditionalFormatting>
  <conditionalFormatting sqref="BM151:BM163">
    <cfRule type="colorScale" priority="730">
      <colorScale>
        <cfvo type="min"/>
        <cfvo type="max"/>
        <color rgb="FFFFFFFF"/>
        <color rgb="FFBDD7EE"/>
      </colorScale>
    </cfRule>
    <cfRule type="colorScale" priority="731">
      <colorScale>
        <cfvo type="min"/>
        <cfvo type="max"/>
        <color rgb="FFE7E6E6"/>
        <color rgb="FFBDD7EE"/>
      </colorScale>
    </cfRule>
    <cfRule type="colorScale" priority="732">
      <colorScale>
        <cfvo type="min"/>
        <cfvo type="max"/>
        <color rgb="FFE7E6E6"/>
        <color rgb="FFC6E0B4"/>
      </colorScale>
    </cfRule>
  </conditionalFormatting>
  <conditionalFormatting sqref="BN151:BN163">
    <cfRule type="colorScale" priority="733">
      <colorScale>
        <cfvo type="min"/>
        <cfvo type="max"/>
        <color rgb="FFFFFFFF"/>
        <color rgb="FFBDD7EE"/>
      </colorScale>
    </cfRule>
    <cfRule type="colorScale" priority="734">
      <colorScale>
        <cfvo type="min"/>
        <cfvo type="max"/>
        <color rgb="FFE7E6E6"/>
        <color rgb="FFBDD7EE"/>
      </colorScale>
    </cfRule>
    <cfRule type="colorScale" priority="735">
      <colorScale>
        <cfvo type="min"/>
        <cfvo type="max"/>
        <color rgb="FFE7E6E6"/>
        <color rgb="FFC6E0B4"/>
      </colorScale>
    </cfRule>
  </conditionalFormatting>
  <conditionalFormatting sqref="BG169">
    <cfRule type="colorScale" priority="736">
      <colorScale>
        <cfvo type="min"/>
        <cfvo type="max"/>
        <color rgb="FFFFFFFF"/>
        <color rgb="FFBDD7EE"/>
      </colorScale>
    </cfRule>
    <cfRule type="colorScale" priority="737">
      <colorScale>
        <cfvo type="min"/>
        <cfvo type="max"/>
        <color rgb="FFE7E6E6"/>
        <color rgb="FFBDD7EE"/>
      </colorScale>
    </cfRule>
    <cfRule type="colorScale" priority="738">
      <colorScale>
        <cfvo type="min"/>
        <cfvo type="max"/>
        <color rgb="FFE7E6E6"/>
        <color rgb="FFC6E0B4"/>
      </colorScale>
    </cfRule>
  </conditionalFormatting>
  <conditionalFormatting sqref="BH169">
    <cfRule type="colorScale" priority="739">
      <colorScale>
        <cfvo type="min"/>
        <cfvo type="max"/>
        <color rgb="FFFFFFFF"/>
        <color rgb="FFBDD7EE"/>
      </colorScale>
    </cfRule>
    <cfRule type="colorScale" priority="740">
      <colorScale>
        <cfvo type="min"/>
        <cfvo type="max"/>
        <color rgb="FFE7E6E6"/>
        <color rgb="FFBDD7EE"/>
      </colorScale>
    </cfRule>
    <cfRule type="colorScale" priority="741">
      <colorScale>
        <cfvo type="min"/>
        <cfvo type="max"/>
        <color rgb="FFE7E6E6"/>
        <color rgb="FFC6E0B4"/>
      </colorScale>
    </cfRule>
  </conditionalFormatting>
  <conditionalFormatting sqref="BM169">
    <cfRule type="colorScale" priority="742">
      <colorScale>
        <cfvo type="min"/>
        <cfvo type="max"/>
        <color rgb="FFFFFFFF"/>
        <color rgb="FFBDD7EE"/>
      </colorScale>
    </cfRule>
    <cfRule type="colorScale" priority="743">
      <colorScale>
        <cfvo type="min"/>
        <cfvo type="max"/>
        <color rgb="FFE7E6E6"/>
        <color rgb="FFBDD7EE"/>
      </colorScale>
    </cfRule>
    <cfRule type="colorScale" priority="744">
      <colorScale>
        <cfvo type="min"/>
        <cfvo type="max"/>
        <color rgb="FFE7E6E6"/>
        <color rgb="FFC6E0B4"/>
      </colorScale>
    </cfRule>
  </conditionalFormatting>
  <conditionalFormatting sqref="BN169">
    <cfRule type="colorScale" priority="745">
      <colorScale>
        <cfvo type="min"/>
        <cfvo type="max"/>
        <color rgb="FFFFFFFF"/>
        <color rgb="FFBDD7EE"/>
      </colorScale>
    </cfRule>
    <cfRule type="colorScale" priority="746">
      <colorScale>
        <cfvo type="min"/>
        <cfvo type="max"/>
        <color rgb="FFE7E6E6"/>
        <color rgb="FFBDD7EE"/>
      </colorScale>
    </cfRule>
    <cfRule type="colorScale" priority="747">
      <colorScale>
        <cfvo type="min"/>
        <cfvo type="max"/>
        <color rgb="FFE7E6E6"/>
        <color rgb="FFC6E0B4"/>
      </colorScale>
    </cfRule>
  </conditionalFormatting>
  <conditionalFormatting sqref="BG242:BG245">
    <cfRule type="colorScale" priority="748">
      <colorScale>
        <cfvo type="min"/>
        <cfvo type="max"/>
        <color rgb="FFFFFFFF"/>
        <color rgb="FFBDD7EE"/>
      </colorScale>
    </cfRule>
    <cfRule type="colorScale" priority="749">
      <colorScale>
        <cfvo type="min"/>
        <cfvo type="max"/>
        <color rgb="FFE7E6E6"/>
        <color rgb="FFBDD7EE"/>
      </colorScale>
    </cfRule>
    <cfRule type="colorScale" priority="750">
      <colorScale>
        <cfvo type="min"/>
        <cfvo type="max"/>
        <color rgb="FFE7E6E6"/>
        <color rgb="FFC6E0B4"/>
      </colorScale>
    </cfRule>
  </conditionalFormatting>
  <conditionalFormatting sqref="BH242:BH245">
    <cfRule type="colorScale" priority="751">
      <colorScale>
        <cfvo type="min"/>
        <cfvo type="max"/>
        <color rgb="FFFFFFFF"/>
        <color rgb="FFBDD7EE"/>
      </colorScale>
    </cfRule>
    <cfRule type="colorScale" priority="752">
      <colorScale>
        <cfvo type="min"/>
        <cfvo type="max"/>
        <color rgb="FFE7E6E6"/>
        <color rgb="FFBDD7EE"/>
      </colorScale>
    </cfRule>
    <cfRule type="colorScale" priority="753">
      <colorScale>
        <cfvo type="min"/>
        <cfvo type="max"/>
        <color rgb="FFE7E6E6"/>
        <color rgb="FFC6E0B4"/>
      </colorScale>
    </cfRule>
  </conditionalFormatting>
  <conditionalFormatting sqref="BM242:BM245">
    <cfRule type="colorScale" priority="754">
      <colorScale>
        <cfvo type="min"/>
        <cfvo type="max"/>
        <color rgb="FFFFFFFF"/>
        <color rgb="FFBDD7EE"/>
      </colorScale>
    </cfRule>
    <cfRule type="colorScale" priority="755">
      <colorScale>
        <cfvo type="min"/>
        <cfvo type="max"/>
        <color rgb="FFE7E6E6"/>
        <color rgb="FFBDD7EE"/>
      </colorScale>
    </cfRule>
    <cfRule type="colorScale" priority="756">
      <colorScale>
        <cfvo type="min"/>
        <cfvo type="max"/>
        <color rgb="FFE7E6E6"/>
        <color rgb="FFC6E0B4"/>
      </colorScale>
    </cfRule>
  </conditionalFormatting>
  <conditionalFormatting sqref="BN242:BN245">
    <cfRule type="colorScale" priority="757">
      <colorScale>
        <cfvo type="min"/>
        <cfvo type="max"/>
        <color rgb="FFFFFFFF"/>
        <color rgb="FFBDD7EE"/>
      </colorScale>
    </cfRule>
    <cfRule type="colorScale" priority="758">
      <colorScale>
        <cfvo type="min"/>
        <cfvo type="max"/>
        <color rgb="FFE7E6E6"/>
        <color rgb="FFBDD7EE"/>
      </colorScale>
    </cfRule>
    <cfRule type="colorScale" priority="759">
      <colorScale>
        <cfvo type="min"/>
        <cfvo type="max"/>
        <color rgb="FFE7E6E6"/>
        <color rgb="FFC6E0B4"/>
      </colorScale>
    </cfRule>
  </conditionalFormatting>
  <conditionalFormatting sqref="BR85:BS85">
    <cfRule type="colorScale" priority="760">
      <colorScale>
        <cfvo type="min"/>
        <cfvo type="max"/>
        <color rgb="FFFCFCFF"/>
        <color rgb="FF63BE7B"/>
      </colorScale>
    </cfRule>
  </conditionalFormatting>
  <conditionalFormatting sqref="BR40:BS40">
    <cfRule type="colorScale" priority="761">
      <colorScale>
        <cfvo type="min"/>
        <cfvo type="max"/>
        <color rgb="FFFCFCFF"/>
        <color rgb="FF63BE7B"/>
      </colorScale>
    </cfRule>
  </conditionalFormatting>
  <conditionalFormatting sqref="BG275">
    <cfRule type="colorScale" priority="1136">
      <colorScale>
        <cfvo type="min"/>
        <cfvo type="max"/>
        <color rgb="FFFFFFFF"/>
        <color rgb="FFBDD7EE"/>
      </colorScale>
    </cfRule>
    <cfRule type="colorScale" priority="1137">
      <colorScale>
        <cfvo type="min"/>
        <cfvo type="max"/>
        <color rgb="FFE7E6E6"/>
        <color rgb="FFBDD7EE"/>
      </colorScale>
    </cfRule>
    <cfRule type="colorScale" priority="1138">
      <colorScale>
        <cfvo type="min"/>
        <cfvo type="max"/>
        <color rgb="FFE7E6E6"/>
        <color rgb="FFC6E0B4"/>
      </colorScale>
    </cfRule>
  </conditionalFormatting>
  <conditionalFormatting sqref="BH275">
    <cfRule type="colorScale" priority="1142">
      <colorScale>
        <cfvo type="min"/>
        <cfvo type="max"/>
        <color rgb="FFFFFFFF"/>
        <color rgb="FFBDD7EE"/>
      </colorScale>
    </cfRule>
    <cfRule type="colorScale" priority="1143">
      <colorScale>
        <cfvo type="min"/>
        <cfvo type="max"/>
        <color rgb="FFE7E6E6"/>
        <color rgb="FFBDD7EE"/>
      </colorScale>
    </cfRule>
    <cfRule type="colorScale" priority="1144">
      <colorScale>
        <cfvo type="min"/>
        <cfvo type="max"/>
        <color rgb="FFE7E6E6"/>
        <color rgb="FFC6E0B4"/>
      </colorScale>
    </cfRule>
  </conditionalFormatting>
  <conditionalFormatting sqref="BM275">
    <cfRule type="colorScale" priority="1148">
      <colorScale>
        <cfvo type="min"/>
        <cfvo type="max"/>
        <color rgb="FFFFFFFF"/>
        <color rgb="FFBDD7EE"/>
      </colorScale>
    </cfRule>
    <cfRule type="colorScale" priority="1149">
      <colorScale>
        <cfvo type="min"/>
        <cfvo type="max"/>
        <color rgb="FFE7E6E6"/>
        <color rgb="FFBDD7EE"/>
      </colorScale>
    </cfRule>
    <cfRule type="colorScale" priority="1150">
      <colorScale>
        <cfvo type="min"/>
        <cfvo type="max"/>
        <color rgb="FFE7E6E6"/>
        <color rgb="FFC6E0B4"/>
      </colorScale>
    </cfRule>
  </conditionalFormatting>
  <conditionalFormatting sqref="BN275">
    <cfRule type="colorScale" priority="1154">
      <colorScale>
        <cfvo type="min"/>
        <cfvo type="max"/>
        <color rgb="FFFFFFFF"/>
        <color rgb="FFBDD7EE"/>
      </colorScale>
    </cfRule>
    <cfRule type="colorScale" priority="1155">
      <colorScale>
        <cfvo type="min"/>
        <cfvo type="max"/>
        <color rgb="FFE7E6E6"/>
        <color rgb="FFBDD7EE"/>
      </colorScale>
    </cfRule>
    <cfRule type="colorScale" priority="1156">
      <colorScale>
        <cfvo type="min"/>
        <cfvo type="max"/>
        <color rgb="FFE7E6E6"/>
        <color rgb="FFC6E0B4"/>
      </colorScale>
    </cfRule>
  </conditionalFormatting>
  <conditionalFormatting sqref="BG246:BG251 BG253:BG256">
    <cfRule type="colorScale" priority="1615">
      <colorScale>
        <cfvo type="min"/>
        <cfvo type="max"/>
        <color rgb="FFFFFFFF"/>
        <color rgb="FFBDD7EE"/>
      </colorScale>
    </cfRule>
    <cfRule type="colorScale" priority="1616">
      <colorScale>
        <cfvo type="min"/>
        <cfvo type="max"/>
        <color rgb="FFE7E6E6"/>
        <color rgb="FFBDD7EE"/>
      </colorScale>
    </cfRule>
    <cfRule type="colorScale" priority="1617">
      <colorScale>
        <cfvo type="min"/>
        <cfvo type="max"/>
        <color rgb="FFE7E6E6"/>
        <color rgb="FFC6E0B4"/>
      </colorScale>
    </cfRule>
  </conditionalFormatting>
  <conditionalFormatting sqref="BH246:BH251 BH253:BH256">
    <cfRule type="colorScale" priority="1621">
      <colorScale>
        <cfvo type="min"/>
        <cfvo type="max"/>
        <color rgb="FFFFFFFF"/>
        <color rgb="FFBDD7EE"/>
      </colorScale>
    </cfRule>
    <cfRule type="colorScale" priority="1622">
      <colorScale>
        <cfvo type="min"/>
        <cfvo type="max"/>
        <color rgb="FFE7E6E6"/>
        <color rgb="FFBDD7EE"/>
      </colorScale>
    </cfRule>
    <cfRule type="colorScale" priority="1623">
      <colorScale>
        <cfvo type="min"/>
        <cfvo type="max"/>
        <color rgb="FFE7E6E6"/>
        <color rgb="FFC6E0B4"/>
      </colorScale>
    </cfRule>
  </conditionalFormatting>
  <conditionalFormatting sqref="BM246:BM251 BM253:BM256">
    <cfRule type="colorScale" priority="1627">
      <colorScale>
        <cfvo type="min"/>
        <cfvo type="max"/>
        <color rgb="FFFFFFFF"/>
        <color rgb="FFBDD7EE"/>
      </colorScale>
    </cfRule>
    <cfRule type="colorScale" priority="1628">
      <colorScale>
        <cfvo type="min"/>
        <cfvo type="max"/>
        <color rgb="FFE7E6E6"/>
        <color rgb="FFBDD7EE"/>
      </colorScale>
    </cfRule>
    <cfRule type="colorScale" priority="1629">
      <colorScale>
        <cfvo type="min"/>
        <cfvo type="max"/>
        <color rgb="FFE7E6E6"/>
        <color rgb="FFC6E0B4"/>
      </colorScale>
    </cfRule>
  </conditionalFormatting>
  <conditionalFormatting sqref="BN246:BN251 BN253:BN256">
    <cfRule type="colorScale" priority="1633">
      <colorScale>
        <cfvo type="min"/>
        <cfvo type="max"/>
        <color rgb="FFFFFFFF"/>
        <color rgb="FFBDD7EE"/>
      </colorScale>
    </cfRule>
    <cfRule type="colorScale" priority="1634">
      <colorScale>
        <cfvo type="min"/>
        <cfvo type="max"/>
        <color rgb="FFE7E6E6"/>
        <color rgb="FFBDD7EE"/>
      </colorScale>
    </cfRule>
    <cfRule type="colorScale" priority="1635">
      <colorScale>
        <cfvo type="min"/>
        <cfvo type="max"/>
        <color rgb="FFE7E6E6"/>
        <color rgb="FFC6E0B4"/>
      </colorScale>
    </cfRule>
  </conditionalFormatting>
  <conditionalFormatting sqref="BG12:BG14 BG129">
    <cfRule type="colorScale" priority="1660">
      <colorScale>
        <cfvo type="min"/>
        <cfvo type="max"/>
        <color rgb="FFFFFFFF"/>
        <color rgb="FFBDD7EE"/>
      </colorScale>
    </cfRule>
    <cfRule type="colorScale" priority="1661">
      <colorScale>
        <cfvo type="min"/>
        <cfvo type="max"/>
        <color rgb="FFE7E6E6"/>
        <color rgb="FFBDD7EE"/>
      </colorScale>
    </cfRule>
    <cfRule type="colorScale" priority="1662">
      <colorScale>
        <cfvo type="min"/>
        <cfvo type="max"/>
        <color rgb="FFE7E6E6"/>
        <color rgb="FFC6E0B4"/>
      </colorScale>
    </cfRule>
  </conditionalFormatting>
  <conditionalFormatting sqref="BH12:BH14 BH129">
    <cfRule type="colorScale" priority="1666">
      <colorScale>
        <cfvo type="min"/>
        <cfvo type="max"/>
        <color rgb="FFFFFFFF"/>
        <color rgb="FFBDD7EE"/>
      </colorScale>
    </cfRule>
    <cfRule type="colorScale" priority="1667">
      <colorScale>
        <cfvo type="min"/>
        <cfvo type="max"/>
        <color rgb="FFE7E6E6"/>
        <color rgb="FFBDD7EE"/>
      </colorScale>
    </cfRule>
    <cfRule type="colorScale" priority="1668">
      <colorScale>
        <cfvo type="min"/>
        <cfvo type="max"/>
        <color rgb="FFE7E6E6"/>
        <color rgb="FFC6E0B4"/>
      </colorScale>
    </cfRule>
  </conditionalFormatting>
  <conditionalFormatting sqref="BM12:BM14 BM129">
    <cfRule type="colorScale" priority="1672">
      <colorScale>
        <cfvo type="min"/>
        <cfvo type="max"/>
        <color rgb="FFFFFFFF"/>
        <color rgb="FFBDD7EE"/>
      </colorScale>
    </cfRule>
    <cfRule type="colorScale" priority="1673">
      <colorScale>
        <cfvo type="min"/>
        <cfvo type="max"/>
        <color rgb="FFE7E6E6"/>
        <color rgb="FFBDD7EE"/>
      </colorScale>
    </cfRule>
    <cfRule type="colorScale" priority="1674">
      <colorScale>
        <cfvo type="min"/>
        <cfvo type="max"/>
        <color rgb="FFE7E6E6"/>
        <color rgb="FFC6E0B4"/>
      </colorScale>
    </cfRule>
  </conditionalFormatting>
  <conditionalFormatting sqref="BN12:BN14 BN129">
    <cfRule type="colorScale" priority="1678">
      <colorScale>
        <cfvo type="min"/>
        <cfvo type="max"/>
        <color rgb="FFFFFFFF"/>
        <color rgb="FFBDD7EE"/>
      </colorScale>
    </cfRule>
    <cfRule type="colorScale" priority="1679">
      <colorScale>
        <cfvo type="min"/>
        <cfvo type="max"/>
        <color rgb="FFE7E6E6"/>
        <color rgb="FFBDD7EE"/>
      </colorScale>
    </cfRule>
    <cfRule type="colorScale" priority="1680">
      <colorScale>
        <cfvo type="min"/>
        <cfvo type="max"/>
        <color rgb="FFE7E6E6"/>
        <color rgb="FFC6E0B4"/>
      </colorScale>
    </cfRule>
  </conditionalFormatting>
  <conditionalFormatting sqref="BG42:BG43 BG27 BG45 BG22:BG25">
    <cfRule type="colorScale" priority="1789">
      <colorScale>
        <cfvo type="min"/>
        <cfvo type="max"/>
        <color rgb="FFFFFFFF"/>
        <color rgb="FFBDD7EE"/>
      </colorScale>
    </cfRule>
    <cfRule type="colorScale" priority="1790">
      <colorScale>
        <cfvo type="min"/>
        <cfvo type="max"/>
        <color rgb="FFE7E6E6"/>
        <color rgb="FFBDD7EE"/>
      </colorScale>
    </cfRule>
    <cfRule type="colorScale" priority="1791">
      <colorScale>
        <cfvo type="min"/>
        <cfvo type="max"/>
        <color rgb="FFE7E6E6"/>
        <color rgb="FFC6E0B4"/>
      </colorScale>
    </cfRule>
  </conditionalFormatting>
  <conditionalFormatting sqref="BH42:BH43 BH27 BH45 BH22:BH25">
    <cfRule type="colorScale" priority="1804">
      <colorScale>
        <cfvo type="min"/>
        <cfvo type="max"/>
        <color rgb="FFFFFFFF"/>
        <color rgb="FFBDD7EE"/>
      </colorScale>
    </cfRule>
    <cfRule type="colorScale" priority="1805">
      <colorScale>
        <cfvo type="min"/>
        <cfvo type="max"/>
        <color rgb="FFE7E6E6"/>
        <color rgb="FFBDD7EE"/>
      </colorScale>
    </cfRule>
    <cfRule type="colorScale" priority="1806">
      <colorScale>
        <cfvo type="min"/>
        <cfvo type="max"/>
        <color rgb="FFE7E6E6"/>
        <color rgb="FFC6E0B4"/>
      </colorScale>
    </cfRule>
  </conditionalFormatting>
  <conditionalFormatting sqref="BM42:BM43 BM27 BM45 BM22:BM25">
    <cfRule type="colorScale" priority="1819">
      <colorScale>
        <cfvo type="min"/>
        <cfvo type="max"/>
        <color rgb="FFFFFFFF"/>
        <color rgb="FFBDD7EE"/>
      </colorScale>
    </cfRule>
    <cfRule type="colorScale" priority="1820">
      <colorScale>
        <cfvo type="min"/>
        <cfvo type="max"/>
        <color rgb="FFE7E6E6"/>
        <color rgb="FFBDD7EE"/>
      </colorScale>
    </cfRule>
    <cfRule type="colorScale" priority="1821">
      <colorScale>
        <cfvo type="min"/>
        <cfvo type="max"/>
        <color rgb="FFE7E6E6"/>
        <color rgb="FFC6E0B4"/>
      </colorScale>
    </cfRule>
  </conditionalFormatting>
  <conditionalFormatting sqref="BN42:BN43 BN27 BN45 BN22:BN25">
    <cfRule type="colorScale" priority="1834">
      <colorScale>
        <cfvo type="min"/>
        <cfvo type="max"/>
        <color rgb="FFFFFFFF"/>
        <color rgb="FFBDD7EE"/>
      </colorScale>
    </cfRule>
    <cfRule type="colorScale" priority="1835">
      <colorScale>
        <cfvo type="min"/>
        <cfvo type="max"/>
        <color rgb="FFE7E6E6"/>
        <color rgb="FFBDD7EE"/>
      </colorScale>
    </cfRule>
    <cfRule type="colorScale" priority="1836">
      <colorScale>
        <cfvo type="min"/>
        <cfvo type="max"/>
        <color rgb="FFE7E6E6"/>
        <color rgb="FFC6E0B4"/>
      </colorScale>
    </cfRule>
  </conditionalFormatting>
  <conditionalFormatting sqref="BG48:BG60 BG62:BG68 BG29:BG39 BG41">
    <cfRule type="colorScale" priority="1837">
      <colorScale>
        <cfvo type="min"/>
        <cfvo type="max"/>
        <color rgb="FFFFFFFF"/>
        <color rgb="FFBDD7EE"/>
      </colorScale>
    </cfRule>
    <cfRule type="colorScale" priority="1838">
      <colorScale>
        <cfvo type="min"/>
        <cfvo type="max"/>
        <color rgb="FFE7E6E6"/>
        <color rgb="FFBDD7EE"/>
      </colorScale>
    </cfRule>
    <cfRule type="colorScale" priority="1839">
      <colorScale>
        <cfvo type="min"/>
        <cfvo type="max"/>
        <color rgb="FFE7E6E6"/>
        <color rgb="FFC6E0B4"/>
      </colorScale>
    </cfRule>
  </conditionalFormatting>
  <conditionalFormatting sqref="BH48:BH60 BH62:BH68 BH29:BH39 BH41">
    <cfRule type="colorScale" priority="1852">
      <colorScale>
        <cfvo type="min"/>
        <cfvo type="max"/>
        <color rgb="FFFFFFFF"/>
        <color rgb="FFBDD7EE"/>
      </colorScale>
    </cfRule>
    <cfRule type="colorScale" priority="1853">
      <colorScale>
        <cfvo type="min"/>
        <cfvo type="max"/>
        <color rgb="FFE7E6E6"/>
        <color rgb="FFBDD7EE"/>
      </colorScale>
    </cfRule>
    <cfRule type="colorScale" priority="1854">
      <colorScale>
        <cfvo type="min"/>
        <cfvo type="max"/>
        <color rgb="FFE7E6E6"/>
        <color rgb="FFC6E0B4"/>
      </colorScale>
    </cfRule>
  </conditionalFormatting>
  <conditionalFormatting sqref="BM48:BM60 BM62:BM68 BM29:BM39 BM41">
    <cfRule type="colorScale" priority="1867">
      <colorScale>
        <cfvo type="min"/>
        <cfvo type="max"/>
        <color rgb="FFFFFFFF"/>
        <color rgb="FFBDD7EE"/>
      </colorScale>
    </cfRule>
    <cfRule type="colorScale" priority="1868">
      <colorScale>
        <cfvo type="min"/>
        <cfvo type="max"/>
        <color rgb="FFE7E6E6"/>
        <color rgb="FFBDD7EE"/>
      </colorScale>
    </cfRule>
    <cfRule type="colorScale" priority="1869">
      <colorScale>
        <cfvo type="min"/>
        <cfvo type="max"/>
        <color rgb="FFE7E6E6"/>
        <color rgb="FFC6E0B4"/>
      </colorScale>
    </cfRule>
  </conditionalFormatting>
  <conditionalFormatting sqref="BN48:BN60 BN62:BN68 BN29:BN39 BN41">
    <cfRule type="colorScale" priority="1882">
      <colorScale>
        <cfvo type="min"/>
        <cfvo type="max"/>
        <color rgb="FFFFFFFF"/>
        <color rgb="FFBDD7EE"/>
      </colorScale>
    </cfRule>
    <cfRule type="colorScale" priority="1883">
      <colorScale>
        <cfvo type="min"/>
        <cfvo type="max"/>
        <color rgb="FFE7E6E6"/>
        <color rgb="FFBDD7EE"/>
      </colorScale>
    </cfRule>
    <cfRule type="colorScale" priority="1884">
      <colorScale>
        <cfvo type="min"/>
        <cfvo type="max"/>
        <color rgb="FFE7E6E6"/>
        <color rgb="FFC6E0B4"/>
      </colorScale>
    </cfRule>
  </conditionalFormatting>
  <conditionalFormatting sqref="BG47 BG28">
    <cfRule type="colorScale" priority="2218">
      <colorScale>
        <cfvo type="min"/>
        <cfvo type="max"/>
        <color rgb="FFFFFFFF"/>
        <color rgb="FFBDD7EE"/>
      </colorScale>
    </cfRule>
    <cfRule type="colorScale" priority="2219">
      <colorScale>
        <cfvo type="min"/>
        <cfvo type="max"/>
        <color rgb="FFE7E6E6"/>
        <color rgb="FFBDD7EE"/>
      </colorScale>
    </cfRule>
    <cfRule type="colorScale" priority="2220">
      <colorScale>
        <cfvo type="min"/>
        <cfvo type="max"/>
        <color rgb="FFE7E6E6"/>
        <color rgb="FFC6E0B4"/>
      </colorScale>
    </cfRule>
  </conditionalFormatting>
  <conditionalFormatting sqref="BH47 BH28">
    <cfRule type="colorScale" priority="2224">
      <colorScale>
        <cfvo type="min"/>
        <cfvo type="max"/>
        <color rgb="FFFFFFFF"/>
        <color rgb="FFBDD7EE"/>
      </colorScale>
    </cfRule>
    <cfRule type="colorScale" priority="2225">
      <colorScale>
        <cfvo type="min"/>
        <cfvo type="max"/>
        <color rgb="FFE7E6E6"/>
        <color rgb="FFBDD7EE"/>
      </colorScale>
    </cfRule>
    <cfRule type="colorScale" priority="2226">
      <colorScale>
        <cfvo type="min"/>
        <cfvo type="max"/>
        <color rgb="FFE7E6E6"/>
        <color rgb="FFC6E0B4"/>
      </colorScale>
    </cfRule>
  </conditionalFormatting>
  <conditionalFormatting sqref="BM47 BM28">
    <cfRule type="colorScale" priority="2230">
      <colorScale>
        <cfvo type="min"/>
        <cfvo type="max"/>
        <color rgb="FFFFFFFF"/>
        <color rgb="FFBDD7EE"/>
      </colorScale>
    </cfRule>
    <cfRule type="colorScale" priority="2231">
      <colorScale>
        <cfvo type="min"/>
        <cfvo type="max"/>
        <color rgb="FFE7E6E6"/>
        <color rgb="FFBDD7EE"/>
      </colorScale>
    </cfRule>
    <cfRule type="colorScale" priority="2232">
      <colorScale>
        <cfvo type="min"/>
        <cfvo type="max"/>
        <color rgb="FFE7E6E6"/>
        <color rgb="FFC6E0B4"/>
      </colorScale>
    </cfRule>
  </conditionalFormatting>
  <conditionalFormatting sqref="BN47 BN28">
    <cfRule type="colorScale" priority="2236">
      <colorScale>
        <cfvo type="min"/>
        <cfvo type="max"/>
        <color rgb="FFFFFFFF"/>
        <color rgb="FFBDD7EE"/>
      </colorScale>
    </cfRule>
    <cfRule type="colorScale" priority="2237">
      <colorScale>
        <cfvo type="min"/>
        <cfvo type="max"/>
        <color rgb="FFE7E6E6"/>
        <color rgb="FFBDD7EE"/>
      </colorScale>
    </cfRule>
    <cfRule type="colorScale" priority="2238">
      <colorScale>
        <cfvo type="min"/>
        <cfvo type="max"/>
        <color rgb="FFE7E6E6"/>
        <color rgb="FFC6E0B4"/>
      </colorScale>
    </cfRule>
  </conditionalFormatting>
  <conditionalFormatting sqref="BO354:BP1048576 BI354:BI1048576 BO86:BP300 BO1:BP84 BI1:BI300 BO85">
    <cfRule type="cellIs" dxfId="22" priority="2278" operator="equal">
      <formula>$AL$48</formula>
    </cfRule>
  </conditionalFormatting>
  <conditionalFormatting sqref="BO354:BP1048576 BI354:BI1048576 BO86:BP300 BO1:BP84 BI1:BI300 BO85">
    <cfRule type="cellIs" dxfId="21" priority="2300" operator="equal">
      <formula>$AL$54</formula>
    </cfRule>
  </conditionalFormatting>
  <conditionalFormatting sqref="BO85 BO354:BP1048576 BI354:BI1048576 BO86:BP300 BO1:BP84 BI1:BI300">
    <cfRule type="cellIs" dxfId="20" priority="2322" operator="equal">
      <formula>$AL$57</formula>
    </cfRule>
  </conditionalFormatting>
  <conditionalFormatting sqref="BT354:BU1048576 BT86:BU300 BT41:BU84 BT1:BU39">
    <cfRule type="cellIs" dxfId="19" priority="2342" operator="equal">
      <formula>$AX$59</formula>
    </cfRule>
    <cfRule type="cellIs" dxfId="18" priority="2343" operator="equal">
      <formula>$AX$51</formula>
    </cfRule>
  </conditionalFormatting>
  <conditionalFormatting sqref="BT85:BU85 BT40:BU40">
    <cfRule type="cellIs" dxfId="17" priority="2364" operator="equal">
      <formula>$AU$50</formula>
    </cfRule>
    <cfRule type="cellIs" dxfId="16" priority="2365" operator="equal">
      <formula>$AU$48</formula>
    </cfRule>
  </conditionalFormatting>
  <conditionalFormatting sqref="BP85">
    <cfRule type="cellIs" dxfId="15" priority="2366" operator="equal">
      <formula>$AD$50</formula>
    </cfRule>
  </conditionalFormatting>
  <conditionalFormatting sqref="BP85">
    <cfRule type="cellIs" dxfId="14" priority="2367" operator="equal">
      <formula>$AD$54</formula>
    </cfRule>
  </conditionalFormatting>
  <conditionalFormatting sqref="BP85">
    <cfRule type="cellIs" dxfId="13" priority="2368" operator="equal">
      <formula>$AD$49</formula>
    </cfRule>
  </conditionalFormatting>
  <conditionalFormatting sqref="BT85:BU85 BT40:BU40">
    <cfRule type="cellIs" dxfId="12" priority="2369" operator="equal">
      <formula>$AQ$57</formula>
    </cfRule>
    <cfRule type="cellIs" dxfId="11" priority="2370" operator="equal">
      <formula>$AP$49</formula>
    </cfRule>
  </conditionalFormatting>
  <conditionalFormatting sqref="BK354:BL1048576 BK86:BL300 BK41:BL84 BK1:BL39 BE354:BF1048576 BE86:BF300 BE41:BF84 BE1:BF39">
    <cfRule type="colorScale" priority="2462">
      <colorScale>
        <cfvo type="min"/>
        <cfvo type="percentile" val="50"/>
        <cfvo type="max"/>
        <color theme="0"/>
        <color theme="4" tint="0.59999389629810485"/>
        <color theme="4" tint="-0.249977111117893"/>
      </colorScale>
    </cfRule>
  </conditionalFormatting>
  <conditionalFormatting sqref="BR86:BS300 BR354:BS1048576 BR1:BS39 BR41:BS84">
    <cfRule type="colorScale" priority="2484">
      <colorScale>
        <cfvo type="min"/>
        <cfvo type="max"/>
        <color rgb="FFFCFCFF"/>
        <color rgb="FF63BE7B"/>
      </colorScale>
    </cfRule>
  </conditionalFormatting>
  <conditionalFormatting sqref="BP85">
    <cfRule type="cellIs" dxfId="10" priority="2605" operator="equal">
      <formula>$AL$48</formula>
    </cfRule>
    <cfRule type="cellIs" dxfId="9" priority="2606" operator="equal">
      <formula>$AL$129</formula>
    </cfRule>
    <cfRule type="cellIs" dxfId="8" priority="2607" operator="equal">
      <formula>$AL$53</formula>
    </cfRule>
    <cfRule type="cellIs" dxfId="7" priority="2608" operator="equal">
      <formula>$AL$51</formula>
    </cfRule>
    <cfRule type="cellIs" dxfId="6" priority="2609" operator="equal">
      <formula>$AL$49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E95B-C539-9546-B580-95F9F424C183}">
  <dimension ref="A1:CS300"/>
  <sheetViews>
    <sheetView topLeftCell="K1" zoomScale="80" zoomScaleNormal="80" workbookViewId="0">
      <selection activeCell="Y3" sqref="Y3:CS9"/>
    </sheetView>
  </sheetViews>
  <sheetFormatPr baseColWidth="10" defaultRowHeight="16"/>
  <cols>
    <col min="1" max="1" width="10.83203125" style="150"/>
    <col min="2" max="8" width="10.83203125" style="45"/>
    <col min="14" max="17" width="10.83203125" style="154"/>
    <col min="18" max="19" width="10.83203125" style="155"/>
    <col min="20" max="20" width="13.83203125" style="156" customWidth="1"/>
    <col min="25" max="97" width="5.83203125" customWidth="1"/>
  </cols>
  <sheetData>
    <row r="1" spans="1:97" ht="35" thickBot="1">
      <c r="A1" s="151" t="s">
        <v>352</v>
      </c>
      <c r="B1" s="152" t="s">
        <v>3274</v>
      </c>
      <c r="C1" s="152" t="s">
        <v>3275</v>
      </c>
      <c r="D1" s="152" t="s">
        <v>3276</v>
      </c>
      <c r="E1" s="152" t="s">
        <v>3689</v>
      </c>
      <c r="F1" s="152" t="s">
        <v>3285</v>
      </c>
      <c r="G1" s="152" t="s">
        <v>3286</v>
      </c>
      <c r="H1" s="152" t="s">
        <v>3690</v>
      </c>
      <c r="M1" s="151" t="s">
        <v>352</v>
      </c>
      <c r="N1" s="158" t="s">
        <v>3274</v>
      </c>
      <c r="O1" s="158" t="s">
        <v>3275</v>
      </c>
      <c r="P1" s="158" t="s">
        <v>3276</v>
      </c>
      <c r="Q1" s="158" t="s">
        <v>3689</v>
      </c>
      <c r="R1" s="159" t="s">
        <v>3285</v>
      </c>
      <c r="S1" s="159" t="s">
        <v>3286</v>
      </c>
      <c r="T1" s="160" t="s">
        <v>3690</v>
      </c>
    </row>
    <row r="2" spans="1:97" ht="36" thickTop="1" thickBot="1">
      <c r="A2" s="153">
        <v>6.01</v>
      </c>
      <c r="B2" s="152">
        <v>1</v>
      </c>
      <c r="C2" s="152"/>
      <c r="D2" s="152">
        <v>1</v>
      </c>
      <c r="E2" s="152">
        <v>1</v>
      </c>
      <c r="F2" s="152">
        <v>1</v>
      </c>
      <c r="G2" s="152"/>
      <c r="H2" s="152"/>
      <c r="M2" s="157">
        <v>6.01</v>
      </c>
      <c r="N2" s="161">
        <v>1</v>
      </c>
      <c r="O2" s="161"/>
      <c r="P2" s="161">
        <v>1</v>
      </c>
      <c r="Q2" s="161">
        <v>1</v>
      </c>
      <c r="R2" s="162">
        <v>1</v>
      </c>
      <c r="S2" s="162"/>
      <c r="T2" s="163"/>
      <c r="X2" s="165" t="s">
        <v>352</v>
      </c>
      <c r="Y2" s="166">
        <v>6.01</v>
      </c>
      <c r="Z2" s="166">
        <v>4.01</v>
      </c>
      <c r="AA2" s="166">
        <v>3.01</v>
      </c>
      <c r="AB2" s="166">
        <v>3.02</v>
      </c>
      <c r="AC2" s="166">
        <v>3.03</v>
      </c>
      <c r="AD2" s="166">
        <v>3.04</v>
      </c>
      <c r="AE2" s="166">
        <v>3.05</v>
      </c>
      <c r="AF2" s="166">
        <v>2.0099999999999998</v>
      </c>
      <c r="AG2" s="166">
        <v>2.02</v>
      </c>
      <c r="AH2" s="166">
        <v>2.0299999999999998</v>
      </c>
      <c r="AI2" s="166">
        <v>2.04</v>
      </c>
      <c r="AJ2" s="166">
        <v>2.0499999999999998</v>
      </c>
      <c r="AK2" s="166">
        <v>2.06</v>
      </c>
      <c r="AL2" s="166">
        <v>2.0699999999999998</v>
      </c>
      <c r="AM2" s="166">
        <v>2.08</v>
      </c>
      <c r="AN2" s="166">
        <v>2.09</v>
      </c>
      <c r="AO2" s="166">
        <v>2.1</v>
      </c>
      <c r="AP2" s="166">
        <v>2.11</v>
      </c>
      <c r="AQ2" s="166">
        <v>2.12</v>
      </c>
      <c r="AR2" s="166">
        <v>2.13</v>
      </c>
      <c r="AS2" s="166">
        <v>2.14</v>
      </c>
      <c r="AT2" s="166">
        <v>2.15</v>
      </c>
      <c r="AU2" s="166">
        <v>2.16</v>
      </c>
      <c r="AV2" s="166">
        <v>2.17</v>
      </c>
      <c r="AW2" s="166">
        <v>2.1800000000000002</v>
      </c>
      <c r="AX2" s="166">
        <v>2.19</v>
      </c>
      <c r="AY2" s="166">
        <v>2.2000000000000002</v>
      </c>
      <c r="AZ2" s="166">
        <v>2.21</v>
      </c>
      <c r="BA2" s="166">
        <v>2.2200000000000002</v>
      </c>
      <c r="BB2" s="166">
        <v>2.23</v>
      </c>
      <c r="BC2" s="166">
        <v>2.2400000000000002</v>
      </c>
      <c r="BD2" s="166">
        <v>2.25</v>
      </c>
      <c r="BE2" s="166">
        <v>2.2599999999999998</v>
      </c>
      <c r="BF2" s="166">
        <v>2.27</v>
      </c>
      <c r="BG2" s="166">
        <v>2.2799999999999998</v>
      </c>
      <c r="BH2" s="166">
        <v>2.29</v>
      </c>
      <c r="BI2" s="166">
        <v>2.2999999999999998</v>
      </c>
      <c r="BJ2" s="166">
        <v>2.31</v>
      </c>
      <c r="BK2" s="166">
        <v>2.3199999999999998</v>
      </c>
      <c r="BL2" s="166">
        <v>2.33</v>
      </c>
      <c r="BM2" s="166">
        <v>2.34</v>
      </c>
      <c r="BN2" s="166">
        <v>2.35</v>
      </c>
      <c r="BO2" s="166">
        <v>2.36</v>
      </c>
      <c r="BP2" s="166">
        <v>2.37</v>
      </c>
      <c r="BQ2" s="166">
        <v>2.38</v>
      </c>
      <c r="BR2" s="166">
        <v>2.39</v>
      </c>
      <c r="BS2" s="166">
        <v>2.4</v>
      </c>
      <c r="BT2" s="166">
        <v>2.41</v>
      </c>
      <c r="BU2" s="166">
        <v>2.42</v>
      </c>
      <c r="BV2" s="166">
        <v>2.4300000000000002</v>
      </c>
      <c r="BW2" s="166">
        <v>2.44</v>
      </c>
      <c r="BX2" s="166">
        <v>2.4500000000000002</v>
      </c>
      <c r="BY2" s="166">
        <v>2.46</v>
      </c>
      <c r="BZ2" s="166">
        <v>2.4700000000000002</v>
      </c>
      <c r="CA2" s="166">
        <v>2.48</v>
      </c>
      <c r="CB2" s="166">
        <v>2.4900000000000002</v>
      </c>
      <c r="CC2" s="166">
        <v>2.5</v>
      </c>
      <c r="CD2" s="166">
        <v>2.5099999999999998</v>
      </c>
      <c r="CE2" s="166">
        <v>2.52</v>
      </c>
      <c r="CF2" s="166">
        <v>2.5299999999999998</v>
      </c>
      <c r="CG2" s="166">
        <v>2.54</v>
      </c>
      <c r="CH2" s="166">
        <v>2.5499999999999998</v>
      </c>
      <c r="CI2" s="166">
        <v>2.56</v>
      </c>
      <c r="CJ2" s="166">
        <v>2.57</v>
      </c>
      <c r="CK2" s="166">
        <v>2.58</v>
      </c>
      <c r="CL2" s="166">
        <v>2.59</v>
      </c>
      <c r="CM2" s="166">
        <v>2.6</v>
      </c>
      <c r="CN2" s="166">
        <v>2.61</v>
      </c>
      <c r="CO2" s="166">
        <v>2.62</v>
      </c>
      <c r="CP2" s="166">
        <v>2.63</v>
      </c>
      <c r="CQ2" s="166">
        <v>2.64</v>
      </c>
      <c r="CR2" s="166">
        <v>2.65</v>
      </c>
      <c r="CS2" s="166">
        <v>2.66</v>
      </c>
    </row>
    <row r="3" spans="1:97" ht="32" customHeight="1" thickTop="1" thickBot="1">
      <c r="A3" s="153">
        <v>4.01</v>
      </c>
      <c r="B3" s="152">
        <v>1</v>
      </c>
      <c r="C3" s="152">
        <v>1</v>
      </c>
      <c r="D3" s="152">
        <v>1</v>
      </c>
      <c r="E3" s="152"/>
      <c r="F3" s="152">
        <v>1</v>
      </c>
      <c r="G3" s="152"/>
      <c r="H3" s="152"/>
      <c r="M3" s="157">
        <v>4.01</v>
      </c>
      <c r="N3" s="161">
        <v>1</v>
      </c>
      <c r="O3" s="161">
        <v>1</v>
      </c>
      <c r="P3" s="161">
        <v>1</v>
      </c>
      <c r="Q3" s="161"/>
      <c r="R3" s="162">
        <v>1</v>
      </c>
      <c r="S3" s="162"/>
      <c r="T3" s="163"/>
      <c r="X3" s="161" t="s">
        <v>3274</v>
      </c>
      <c r="Y3" s="161">
        <v>1</v>
      </c>
      <c r="Z3" s="161">
        <v>1</v>
      </c>
      <c r="AA3" s="161">
        <v>1</v>
      </c>
      <c r="AB3" s="161">
        <v>1</v>
      </c>
      <c r="AC3" s="161">
        <v>1</v>
      </c>
      <c r="AD3" s="161"/>
      <c r="AE3" s="161">
        <v>1</v>
      </c>
      <c r="AF3" s="161"/>
      <c r="AG3" s="161">
        <v>1</v>
      </c>
      <c r="AH3" s="161">
        <v>1</v>
      </c>
      <c r="AI3" s="161">
        <v>1</v>
      </c>
      <c r="AJ3" s="161">
        <v>1</v>
      </c>
      <c r="AK3" s="161">
        <v>1</v>
      </c>
      <c r="AL3" s="161">
        <v>1</v>
      </c>
      <c r="AM3" s="161">
        <v>1</v>
      </c>
      <c r="AN3" s="161">
        <v>1</v>
      </c>
      <c r="AO3" s="161">
        <v>1</v>
      </c>
      <c r="AP3" s="161">
        <v>1</v>
      </c>
      <c r="AQ3" s="161">
        <v>1</v>
      </c>
      <c r="AR3" s="161">
        <v>1</v>
      </c>
      <c r="AS3" s="161">
        <v>1</v>
      </c>
      <c r="AT3" s="161">
        <v>1</v>
      </c>
      <c r="AU3" s="161">
        <v>1</v>
      </c>
      <c r="AV3" s="161">
        <v>1</v>
      </c>
      <c r="AW3" s="161">
        <v>1</v>
      </c>
      <c r="AX3" s="161">
        <v>1</v>
      </c>
      <c r="AY3" s="161">
        <v>1</v>
      </c>
      <c r="AZ3" s="161">
        <v>1</v>
      </c>
      <c r="BA3" s="161">
        <v>1</v>
      </c>
      <c r="BB3" s="161">
        <v>1</v>
      </c>
      <c r="BC3" s="161">
        <v>1</v>
      </c>
      <c r="BD3" s="161">
        <v>1</v>
      </c>
      <c r="BE3" s="161">
        <v>1</v>
      </c>
      <c r="BF3" s="161">
        <v>1</v>
      </c>
      <c r="BG3" s="161"/>
      <c r="BH3" s="161">
        <v>1</v>
      </c>
      <c r="BI3" s="161">
        <v>1</v>
      </c>
      <c r="BJ3" s="161">
        <v>1</v>
      </c>
      <c r="BK3" s="161">
        <v>1</v>
      </c>
      <c r="BL3" s="161"/>
      <c r="BM3" s="161">
        <v>1</v>
      </c>
      <c r="BN3" s="161">
        <v>1</v>
      </c>
      <c r="BO3" s="161">
        <v>1</v>
      </c>
      <c r="BP3" s="161">
        <v>1</v>
      </c>
      <c r="BQ3" s="161">
        <v>1</v>
      </c>
      <c r="BR3" s="161">
        <v>1</v>
      </c>
      <c r="BS3" s="161">
        <v>1</v>
      </c>
      <c r="BT3" s="161">
        <v>1</v>
      </c>
      <c r="BU3" s="161"/>
      <c r="BV3" s="161">
        <v>1</v>
      </c>
      <c r="BW3" s="161"/>
      <c r="BX3" s="161">
        <v>1</v>
      </c>
      <c r="BY3" s="161">
        <v>1</v>
      </c>
      <c r="BZ3" s="161">
        <v>1</v>
      </c>
      <c r="CA3" s="161">
        <v>1</v>
      </c>
      <c r="CB3" s="161">
        <v>1</v>
      </c>
      <c r="CC3" s="161"/>
      <c r="CD3" s="161">
        <v>1</v>
      </c>
      <c r="CE3" s="161">
        <v>1</v>
      </c>
      <c r="CF3" s="161">
        <v>1</v>
      </c>
      <c r="CG3" s="161">
        <v>1</v>
      </c>
      <c r="CH3" s="161">
        <v>1</v>
      </c>
      <c r="CI3" s="161">
        <v>1</v>
      </c>
      <c r="CJ3" s="161">
        <v>1</v>
      </c>
      <c r="CK3" s="161"/>
      <c r="CL3" s="161"/>
      <c r="CM3" s="161">
        <v>1</v>
      </c>
      <c r="CN3" s="161">
        <v>1</v>
      </c>
      <c r="CO3" s="161">
        <v>1</v>
      </c>
      <c r="CP3" s="161">
        <v>1</v>
      </c>
      <c r="CQ3" s="161">
        <v>1</v>
      </c>
      <c r="CR3" s="161">
        <v>1</v>
      </c>
      <c r="CS3" s="161">
        <v>1</v>
      </c>
    </row>
    <row r="4" spans="1:97" ht="32" customHeight="1" thickTop="1" thickBot="1">
      <c r="A4" s="153">
        <v>3.01</v>
      </c>
      <c r="B4" s="152">
        <v>1</v>
      </c>
      <c r="C4" s="152"/>
      <c r="D4" s="152"/>
      <c r="E4" s="152"/>
      <c r="F4" s="152">
        <v>1</v>
      </c>
      <c r="G4" s="152"/>
      <c r="H4" s="152"/>
      <c r="M4" s="157">
        <v>3.01</v>
      </c>
      <c r="N4" s="161">
        <v>1</v>
      </c>
      <c r="O4" s="161"/>
      <c r="P4" s="161"/>
      <c r="Q4" s="161"/>
      <c r="R4" s="162">
        <v>1</v>
      </c>
      <c r="S4" s="162"/>
      <c r="T4" s="163"/>
      <c r="X4" s="161" t="s">
        <v>3275</v>
      </c>
      <c r="Y4" s="161"/>
      <c r="Z4" s="161">
        <v>1</v>
      </c>
      <c r="AA4" s="161"/>
      <c r="AB4" s="161">
        <v>1</v>
      </c>
      <c r="AC4" s="161">
        <v>1</v>
      </c>
      <c r="AD4" s="161"/>
      <c r="AE4" s="161"/>
      <c r="AF4" s="161"/>
      <c r="AG4" s="161">
        <v>1</v>
      </c>
      <c r="AH4" s="161"/>
      <c r="AI4" s="161">
        <v>1</v>
      </c>
      <c r="AJ4" s="161">
        <v>1</v>
      </c>
      <c r="AK4" s="161"/>
      <c r="AL4" s="161"/>
      <c r="AM4" s="161">
        <v>1</v>
      </c>
      <c r="AN4" s="161">
        <v>1</v>
      </c>
      <c r="AO4" s="161">
        <v>1</v>
      </c>
      <c r="AP4" s="161">
        <v>1</v>
      </c>
      <c r="AQ4" s="161">
        <v>1</v>
      </c>
      <c r="AR4" s="161">
        <v>1</v>
      </c>
      <c r="AS4" s="161"/>
      <c r="AT4" s="161">
        <v>1</v>
      </c>
      <c r="AU4" s="161">
        <v>1</v>
      </c>
      <c r="AV4" s="161">
        <v>1</v>
      </c>
      <c r="AW4" s="161">
        <v>1</v>
      </c>
      <c r="AX4" s="161">
        <v>1</v>
      </c>
      <c r="AY4" s="161">
        <v>1</v>
      </c>
      <c r="AZ4" s="161">
        <v>1</v>
      </c>
      <c r="BA4" s="161">
        <v>1</v>
      </c>
      <c r="BB4" s="161">
        <v>1</v>
      </c>
      <c r="BC4" s="161"/>
      <c r="BD4" s="161"/>
      <c r="BE4" s="161"/>
      <c r="BF4" s="161">
        <v>1</v>
      </c>
      <c r="BG4" s="161">
        <v>1</v>
      </c>
      <c r="BH4" s="161">
        <v>1</v>
      </c>
      <c r="BI4" s="161"/>
      <c r="BJ4" s="161">
        <v>1</v>
      </c>
      <c r="BK4" s="161"/>
      <c r="BL4" s="161"/>
      <c r="BM4" s="161">
        <v>1</v>
      </c>
      <c r="BN4" s="161">
        <v>1</v>
      </c>
      <c r="BO4" s="161">
        <v>1</v>
      </c>
      <c r="BP4" s="161">
        <v>1</v>
      </c>
      <c r="BQ4" s="161">
        <v>1</v>
      </c>
      <c r="BR4" s="161">
        <v>1</v>
      </c>
      <c r="BS4" s="161">
        <v>1</v>
      </c>
      <c r="BT4" s="161"/>
      <c r="BU4" s="161"/>
      <c r="BV4" s="161"/>
      <c r="BW4" s="161"/>
      <c r="BX4" s="161"/>
      <c r="BY4" s="161"/>
      <c r="BZ4" s="161">
        <v>1</v>
      </c>
      <c r="CA4" s="161"/>
      <c r="CB4" s="161">
        <v>1</v>
      </c>
      <c r="CC4" s="161"/>
      <c r="CD4" s="161">
        <v>1</v>
      </c>
      <c r="CE4" s="161"/>
      <c r="CF4" s="161">
        <v>1</v>
      </c>
      <c r="CG4" s="161"/>
      <c r="CH4" s="161"/>
      <c r="CI4" s="161">
        <v>1</v>
      </c>
      <c r="CJ4" s="161">
        <v>1</v>
      </c>
      <c r="CK4" s="161"/>
      <c r="CL4" s="161"/>
      <c r="CM4" s="161">
        <v>1</v>
      </c>
      <c r="CN4" s="161">
        <v>1</v>
      </c>
      <c r="CO4" s="161">
        <v>1</v>
      </c>
      <c r="CP4" s="161"/>
      <c r="CQ4" s="161"/>
      <c r="CR4" s="161">
        <v>1</v>
      </c>
      <c r="CS4" s="161">
        <v>1</v>
      </c>
    </row>
    <row r="5" spans="1:97" ht="32" customHeight="1" thickTop="1" thickBot="1">
      <c r="A5" s="153">
        <v>3.02</v>
      </c>
      <c r="B5" s="152">
        <v>1</v>
      </c>
      <c r="C5" s="152">
        <v>1</v>
      </c>
      <c r="D5" s="152">
        <v>1</v>
      </c>
      <c r="E5" s="152">
        <v>1</v>
      </c>
      <c r="F5" s="152"/>
      <c r="G5" s="152">
        <v>1</v>
      </c>
      <c r="H5" s="152"/>
      <c r="M5" s="157">
        <v>3.02</v>
      </c>
      <c r="N5" s="161">
        <v>1</v>
      </c>
      <c r="O5" s="161">
        <v>1</v>
      </c>
      <c r="P5" s="161">
        <v>1</v>
      </c>
      <c r="Q5" s="161">
        <v>1</v>
      </c>
      <c r="R5" s="162"/>
      <c r="S5" s="162">
        <v>1</v>
      </c>
      <c r="T5" s="163"/>
      <c r="X5" s="161" t="s">
        <v>3276</v>
      </c>
      <c r="Y5" s="161">
        <v>1</v>
      </c>
      <c r="Z5" s="161">
        <v>1</v>
      </c>
      <c r="AA5" s="161"/>
      <c r="AB5" s="161">
        <v>1</v>
      </c>
      <c r="AC5" s="161">
        <v>1</v>
      </c>
      <c r="AD5" s="161"/>
      <c r="AE5" s="161"/>
      <c r="AF5" s="161"/>
      <c r="AG5" s="161">
        <v>1</v>
      </c>
      <c r="AH5" s="161"/>
      <c r="AI5" s="161">
        <v>1</v>
      </c>
      <c r="AJ5" s="161"/>
      <c r="AK5" s="161"/>
      <c r="AL5" s="161"/>
      <c r="AM5" s="161">
        <v>1</v>
      </c>
      <c r="AN5" s="161">
        <v>1</v>
      </c>
      <c r="AO5" s="161"/>
      <c r="AP5" s="161">
        <v>1</v>
      </c>
      <c r="AQ5" s="161">
        <v>1</v>
      </c>
      <c r="AR5" s="161"/>
      <c r="AS5" s="161"/>
      <c r="AT5" s="161">
        <v>1</v>
      </c>
      <c r="AU5" s="161"/>
      <c r="AV5" s="161">
        <v>1</v>
      </c>
      <c r="AW5" s="161">
        <v>1</v>
      </c>
      <c r="AX5" s="161">
        <v>1</v>
      </c>
      <c r="AY5" s="161">
        <v>1</v>
      </c>
      <c r="AZ5" s="161">
        <v>1</v>
      </c>
      <c r="BA5" s="161"/>
      <c r="BB5" s="161"/>
      <c r="BC5" s="161"/>
      <c r="BD5" s="161">
        <v>1</v>
      </c>
      <c r="BE5" s="161"/>
      <c r="BF5" s="161"/>
      <c r="BG5" s="161"/>
      <c r="BH5" s="161">
        <v>1</v>
      </c>
      <c r="BI5" s="161">
        <v>1</v>
      </c>
      <c r="BJ5" s="161"/>
      <c r="BK5" s="161"/>
      <c r="BL5" s="161"/>
      <c r="BM5" s="161">
        <v>1</v>
      </c>
      <c r="BN5" s="161"/>
      <c r="BO5" s="161"/>
      <c r="BP5" s="161">
        <v>1</v>
      </c>
      <c r="BQ5" s="161">
        <v>1</v>
      </c>
      <c r="BR5" s="161">
        <v>1</v>
      </c>
      <c r="BS5" s="161">
        <v>1</v>
      </c>
      <c r="BT5" s="161"/>
      <c r="BU5" s="161"/>
      <c r="BV5" s="161"/>
      <c r="BW5" s="161"/>
      <c r="BX5" s="161">
        <v>1</v>
      </c>
      <c r="BY5" s="161"/>
      <c r="BZ5" s="161">
        <v>1</v>
      </c>
      <c r="CA5" s="161"/>
      <c r="CB5" s="161">
        <v>1</v>
      </c>
      <c r="CC5" s="161"/>
      <c r="CD5" s="161"/>
      <c r="CE5" s="161"/>
      <c r="CF5" s="161"/>
      <c r="CG5" s="161"/>
      <c r="CH5" s="161"/>
      <c r="CI5" s="161"/>
      <c r="CJ5" s="161">
        <v>1</v>
      </c>
      <c r="CK5" s="161"/>
      <c r="CL5" s="161"/>
      <c r="CM5" s="161">
        <v>1</v>
      </c>
      <c r="CN5" s="161">
        <v>1</v>
      </c>
      <c r="CO5" s="161"/>
      <c r="CP5" s="161">
        <v>1</v>
      </c>
      <c r="CQ5" s="161">
        <v>1</v>
      </c>
      <c r="CR5" s="161">
        <v>1</v>
      </c>
      <c r="CS5" s="161"/>
    </row>
    <row r="6" spans="1:97" ht="32" customHeight="1" thickTop="1" thickBot="1">
      <c r="A6" s="153">
        <v>3.03</v>
      </c>
      <c r="B6" s="152">
        <v>1</v>
      </c>
      <c r="C6" s="152">
        <v>1</v>
      </c>
      <c r="D6" s="152">
        <v>1</v>
      </c>
      <c r="E6" s="152"/>
      <c r="F6" s="152">
        <v>1</v>
      </c>
      <c r="G6" s="152"/>
      <c r="H6" s="152"/>
      <c r="M6" s="157">
        <v>3.03</v>
      </c>
      <c r="N6" s="161">
        <v>1</v>
      </c>
      <c r="O6" s="161">
        <v>1</v>
      </c>
      <c r="P6" s="161">
        <v>1</v>
      </c>
      <c r="Q6" s="161"/>
      <c r="R6" s="162">
        <v>1</v>
      </c>
      <c r="S6" s="162"/>
      <c r="T6" s="163"/>
      <c r="X6" s="161" t="s">
        <v>3689</v>
      </c>
      <c r="Y6" s="161">
        <v>1</v>
      </c>
      <c r="Z6" s="161"/>
      <c r="AA6" s="161"/>
      <c r="AB6" s="161">
        <v>1</v>
      </c>
      <c r="AC6" s="161"/>
      <c r="AD6" s="161"/>
      <c r="AE6" s="161"/>
      <c r="AF6" s="161"/>
      <c r="AG6" s="161"/>
      <c r="AH6" s="161"/>
      <c r="AI6" s="161"/>
      <c r="AJ6" s="161">
        <v>1</v>
      </c>
      <c r="AK6" s="161">
        <v>1</v>
      </c>
      <c r="AL6" s="161"/>
      <c r="AM6" s="161">
        <v>1</v>
      </c>
      <c r="AN6" s="161"/>
      <c r="AO6" s="161"/>
      <c r="AP6" s="161">
        <v>1</v>
      </c>
      <c r="AQ6" s="161"/>
      <c r="AR6" s="161"/>
      <c r="AS6" s="161">
        <v>1</v>
      </c>
      <c r="AT6" s="161"/>
      <c r="AU6" s="161">
        <v>1</v>
      </c>
      <c r="AV6" s="161"/>
      <c r="AW6" s="161">
        <v>1</v>
      </c>
      <c r="AX6" s="161"/>
      <c r="AY6" s="161">
        <v>1</v>
      </c>
      <c r="AZ6" s="161">
        <v>1</v>
      </c>
      <c r="BA6" s="161">
        <v>1</v>
      </c>
      <c r="BB6" s="161">
        <v>1</v>
      </c>
      <c r="BC6" s="161">
        <v>1</v>
      </c>
      <c r="BD6" s="161">
        <v>1</v>
      </c>
      <c r="BE6" s="161">
        <v>1</v>
      </c>
      <c r="BF6" s="161">
        <v>1</v>
      </c>
      <c r="BG6" s="161"/>
      <c r="BH6" s="161"/>
      <c r="BI6" s="161">
        <v>1</v>
      </c>
      <c r="BJ6" s="161"/>
      <c r="BK6" s="161"/>
      <c r="BL6" s="161"/>
      <c r="BM6" s="161">
        <v>1</v>
      </c>
      <c r="BN6" s="161">
        <v>1</v>
      </c>
      <c r="BO6" s="161">
        <v>1</v>
      </c>
      <c r="BP6" s="161"/>
      <c r="BQ6" s="161"/>
      <c r="BR6" s="161"/>
      <c r="BS6" s="161">
        <v>1</v>
      </c>
      <c r="BT6" s="161">
        <v>1</v>
      </c>
      <c r="BU6" s="161"/>
      <c r="BV6" s="161">
        <v>1</v>
      </c>
      <c r="BW6" s="161"/>
      <c r="BX6" s="161">
        <v>1</v>
      </c>
      <c r="BY6" s="161"/>
      <c r="BZ6" s="161">
        <v>1</v>
      </c>
      <c r="CA6" s="161"/>
      <c r="CB6" s="161"/>
      <c r="CC6" s="161"/>
      <c r="CD6" s="161">
        <v>1</v>
      </c>
      <c r="CE6" s="161">
        <v>1</v>
      </c>
      <c r="CF6" s="161"/>
      <c r="CG6" s="161">
        <v>1</v>
      </c>
      <c r="CH6" s="161">
        <v>1</v>
      </c>
      <c r="CI6" s="161">
        <v>1</v>
      </c>
      <c r="CJ6" s="161">
        <v>1</v>
      </c>
      <c r="CK6" s="161"/>
      <c r="CL6" s="161"/>
      <c r="CM6" s="161">
        <v>1</v>
      </c>
      <c r="CN6" s="161">
        <v>1</v>
      </c>
      <c r="CO6" s="161">
        <v>1</v>
      </c>
      <c r="CP6" s="161">
        <v>1</v>
      </c>
      <c r="CQ6" s="161">
        <v>1</v>
      </c>
      <c r="CR6" s="161">
        <v>1</v>
      </c>
      <c r="CS6" s="161">
        <v>1</v>
      </c>
    </row>
    <row r="7" spans="1:97" ht="32" customHeight="1" thickTop="1" thickBot="1">
      <c r="A7" s="153">
        <v>3.04</v>
      </c>
      <c r="B7" s="152"/>
      <c r="C7" s="152"/>
      <c r="D7" s="152"/>
      <c r="E7" s="152"/>
      <c r="F7" s="152"/>
      <c r="G7" s="152">
        <v>1</v>
      </c>
      <c r="H7" s="152">
        <v>1</v>
      </c>
      <c r="M7" s="157">
        <v>3.04</v>
      </c>
      <c r="N7" s="161"/>
      <c r="O7" s="161"/>
      <c r="P7" s="161"/>
      <c r="Q7" s="161"/>
      <c r="R7" s="162"/>
      <c r="S7" s="162">
        <v>1</v>
      </c>
      <c r="T7" s="164">
        <v>1</v>
      </c>
      <c r="X7" s="162" t="s">
        <v>3285</v>
      </c>
      <c r="Y7" s="162">
        <v>1</v>
      </c>
      <c r="Z7" s="162">
        <v>1</v>
      </c>
      <c r="AA7" s="162">
        <v>1</v>
      </c>
      <c r="AB7" s="162"/>
      <c r="AC7" s="162">
        <v>1</v>
      </c>
      <c r="AD7" s="162"/>
      <c r="AE7" s="162">
        <v>1</v>
      </c>
      <c r="AF7" s="162"/>
      <c r="AG7" s="162">
        <v>1</v>
      </c>
      <c r="AH7" s="162"/>
      <c r="AI7" s="162">
        <v>1</v>
      </c>
      <c r="AJ7" s="162">
        <v>1</v>
      </c>
      <c r="AK7" s="162"/>
      <c r="AL7" s="162"/>
      <c r="AM7" s="162"/>
      <c r="AN7" s="162">
        <v>1</v>
      </c>
      <c r="AO7" s="162">
        <v>1</v>
      </c>
      <c r="AP7" s="162"/>
      <c r="AQ7" s="162">
        <v>1</v>
      </c>
      <c r="AR7" s="162">
        <v>1</v>
      </c>
      <c r="AS7" s="162"/>
      <c r="AT7" s="162">
        <v>1</v>
      </c>
      <c r="AU7" s="162"/>
      <c r="AV7" s="162">
        <v>1</v>
      </c>
      <c r="AW7" s="162"/>
      <c r="AX7" s="162">
        <v>1</v>
      </c>
      <c r="AY7" s="162"/>
      <c r="AZ7" s="162"/>
      <c r="BA7" s="162"/>
      <c r="BB7" s="162">
        <v>1</v>
      </c>
      <c r="BC7" s="162">
        <v>1</v>
      </c>
      <c r="BD7" s="162">
        <v>1</v>
      </c>
      <c r="BE7" s="162"/>
      <c r="BF7" s="162"/>
      <c r="BG7" s="162"/>
      <c r="BH7" s="162">
        <v>1</v>
      </c>
      <c r="BI7" s="162"/>
      <c r="BJ7" s="162">
        <v>1</v>
      </c>
      <c r="BK7" s="162"/>
      <c r="BL7" s="162"/>
      <c r="BM7" s="162"/>
      <c r="BN7" s="162"/>
      <c r="BO7" s="162"/>
      <c r="BP7" s="162">
        <v>1</v>
      </c>
      <c r="BQ7" s="162">
        <v>1</v>
      </c>
      <c r="BR7" s="162">
        <v>1</v>
      </c>
      <c r="BS7" s="162"/>
      <c r="BT7" s="162"/>
      <c r="BU7" s="162">
        <v>1</v>
      </c>
      <c r="BV7" s="162">
        <v>1</v>
      </c>
      <c r="BW7" s="162">
        <v>1</v>
      </c>
      <c r="BX7" s="162">
        <v>1</v>
      </c>
      <c r="BY7" s="162">
        <v>1</v>
      </c>
      <c r="BZ7" s="162"/>
      <c r="CA7" s="162"/>
      <c r="CB7" s="162">
        <v>1</v>
      </c>
      <c r="CC7" s="162"/>
      <c r="CD7" s="162"/>
      <c r="CE7" s="162"/>
      <c r="CF7" s="162">
        <v>1</v>
      </c>
      <c r="CG7" s="162"/>
      <c r="CH7" s="162"/>
      <c r="CI7" s="162"/>
      <c r="CJ7" s="162"/>
      <c r="CK7" s="162"/>
      <c r="CL7" s="162">
        <v>1</v>
      </c>
      <c r="CM7" s="162"/>
      <c r="CN7" s="162"/>
      <c r="CO7" s="162"/>
      <c r="CP7" s="162"/>
      <c r="CQ7" s="162">
        <v>1</v>
      </c>
      <c r="CR7" s="162"/>
      <c r="CS7" s="162"/>
    </row>
    <row r="8" spans="1:97" ht="32" customHeight="1" thickTop="1" thickBot="1">
      <c r="A8" s="153">
        <v>3.05</v>
      </c>
      <c r="B8" s="152">
        <v>1</v>
      </c>
      <c r="C8" s="152"/>
      <c r="D8" s="152"/>
      <c r="E8" s="152"/>
      <c r="F8" s="152">
        <v>1</v>
      </c>
      <c r="G8" s="152"/>
      <c r="H8" s="152"/>
      <c r="M8" s="157">
        <v>3.05</v>
      </c>
      <c r="N8" s="161">
        <v>1</v>
      </c>
      <c r="O8" s="161"/>
      <c r="P8" s="161"/>
      <c r="Q8" s="161"/>
      <c r="R8" s="162">
        <v>1</v>
      </c>
      <c r="S8" s="162"/>
      <c r="T8" s="163"/>
      <c r="X8" s="162" t="s">
        <v>3286</v>
      </c>
      <c r="Y8" s="162"/>
      <c r="Z8" s="162"/>
      <c r="AA8" s="162"/>
      <c r="AB8" s="162">
        <v>1</v>
      </c>
      <c r="AC8" s="162"/>
      <c r="AD8" s="162">
        <v>1</v>
      </c>
      <c r="AE8" s="162"/>
      <c r="AF8" s="162">
        <v>1</v>
      </c>
      <c r="AG8" s="162"/>
      <c r="AH8" s="162">
        <v>1</v>
      </c>
      <c r="AI8" s="162"/>
      <c r="AJ8" s="162"/>
      <c r="AK8" s="162"/>
      <c r="AL8" s="162">
        <v>1</v>
      </c>
      <c r="AM8" s="162">
        <v>1</v>
      </c>
      <c r="AN8" s="162"/>
      <c r="AO8" s="162"/>
      <c r="AP8" s="162">
        <v>1</v>
      </c>
      <c r="AQ8" s="162"/>
      <c r="AR8" s="162"/>
      <c r="AS8" s="162">
        <v>1</v>
      </c>
      <c r="AT8" s="162"/>
      <c r="AU8" s="162"/>
      <c r="AV8" s="162"/>
      <c r="AW8" s="162">
        <v>1</v>
      </c>
      <c r="AX8" s="162"/>
      <c r="AY8" s="162">
        <v>1</v>
      </c>
      <c r="AZ8" s="162">
        <v>1</v>
      </c>
      <c r="BA8" s="162">
        <v>1</v>
      </c>
      <c r="BB8" s="162"/>
      <c r="BC8" s="162"/>
      <c r="BD8" s="162"/>
      <c r="BE8" s="162"/>
      <c r="BF8" s="162">
        <v>1</v>
      </c>
      <c r="BG8" s="162">
        <v>1</v>
      </c>
      <c r="BH8" s="162"/>
      <c r="BI8" s="162">
        <v>1</v>
      </c>
      <c r="BJ8" s="162"/>
      <c r="BK8" s="162">
        <v>1</v>
      </c>
      <c r="BL8" s="162">
        <v>1</v>
      </c>
      <c r="BM8" s="162">
        <v>1</v>
      </c>
      <c r="BN8" s="162"/>
      <c r="BO8" s="162"/>
      <c r="BP8" s="162"/>
      <c r="BQ8" s="162"/>
      <c r="BR8" s="162"/>
      <c r="BS8" s="162">
        <v>1</v>
      </c>
      <c r="BT8" s="162"/>
      <c r="BU8" s="162"/>
      <c r="BV8" s="162"/>
      <c r="BW8" s="162"/>
      <c r="BX8" s="162"/>
      <c r="BY8" s="162"/>
      <c r="BZ8" s="162">
        <v>1</v>
      </c>
      <c r="CA8" s="162">
        <v>1</v>
      </c>
      <c r="CB8" s="162"/>
      <c r="CC8" s="162"/>
      <c r="CD8" s="162">
        <v>1</v>
      </c>
      <c r="CE8" s="162">
        <v>1</v>
      </c>
      <c r="CF8" s="162"/>
      <c r="CG8" s="162">
        <v>1</v>
      </c>
      <c r="CH8" s="162">
        <v>1</v>
      </c>
      <c r="CI8" s="162">
        <v>1</v>
      </c>
      <c r="CJ8" s="162">
        <v>1</v>
      </c>
      <c r="CK8" s="162">
        <v>1</v>
      </c>
      <c r="CL8" s="162"/>
      <c r="CM8" s="162">
        <v>1</v>
      </c>
      <c r="CN8" s="162"/>
      <c r="CO8" s="162">
        <v>1</v>
      </c>
      <c r="CP8" s="162">
        <v>1</v>
      </c>
      <c r="CQ8" s="162"/>
      <c r="CR8" s="162">
        <v>1</v>
      </c>
      <c r="CS8" s="162">
        <v>1</v>
      </c>
    </row>
    <row r="9" spans="1:97" ht="32" customHeight="1" thickTop="1" thickBot="1">
      <c r="A9" s="153">
        <v>2.0099999999999998</v>
      </c>
      <c r="B9" s="152"/>
      <c r="C9" s="152"/>
      <c r="D9" s="152"/>
      <c r="E9" s="152"/>
      <c r="F9" s="152"/>
      <c r="G9" s="152">
        <v>1</v>
      </c>
      <c r="H9" s="152">
        <v>1</v>
      </c>
      <c r="M9" s="157">
        <v>2.0099999999999998</v>
      </c>
      <c r="N9" s="161"/>
      <c r="O9" s="161"/>
      <c r="P9" s="161"/>
      <c r="Q9" s="161"/>
      <c r="R9" s="162"/>
      <c r="S9" s="162">
        <v>1</v>
      </c>
      <c r="T9" s="164">
        <v>1</v>
      </c>
      <c r="X9" s="164" t="s">
        <v>3690</v>
      </c>
      <c r="Y9" s="163"/>
      <c r="Z9" s="163"/>
      <c r="AA9" s="163"/>
      <c r="AB9" s="163"/>
      <c r="AC9" s="163"/>
      <c r="AD9" s="164">
        <v>1</v>
      </c>
      <c r="AE9" s="163"/>
      <c r="AF9" s="164">
        <v>1</v>
      </c>
      <c r="AG9" s="163"/>
      <c r="AH9" s="164">
        <v>1</v>
      </c>
      <c r="AI9" s="163"/>
      <c r="AJ9" s="164">
        <v>1</v>
      </c>
      <c r="AK9" s="164">
        <v>1</v>
      </c>
      <c r="AL9" s="163"/>
      <c r="AM9" s="163"/>
      <c r="AN9" s="163"/>
      <c r="AO9" s="163"/>
      <c r="AP9" s="163"/>
      <c r="AQ9" s="163"/>
      <c r="AR9" s="163"/>
      <c r="AS9" s="164">
        <v>1</v>
      </c>
      <c r="AT9" s="163"/>
      <c r="AU9" s="164">
        <v>1</v>
      </c>
      <c r="AV9" s="163"/>
      <c r="AW9" s="163"/>
      <c r="AX9" s="163"/>
      <c r="AY9" s="163"/>
      <c r="AZ9" s="163"/>
      <c r="BA9" s="164">
        <v>1</v>
      </c>
      <c r="BB9" s="164">
        <v>1</v>
      </c>
      <c r="BC9" s="164">
        <v>1</v>
      </c>
      <c r="BD9" s="163"/>
      <c r="BE9" s="163"/>
      <c r="BF9" s="163"/>
      <c r="BG9" s="164">
        <v>1</v>
      </c>
      <c r="BH9" s="163"/>
      <c r="BI9" s="163"/>
      <c r="BJ9" s="163"/>
      <c r="BK9" s="164">
        <v>1</v>
      </c>
      <c r="BL9" s="163"/>
      <c r="BM9" s="163"/>
      <c r="BN9" s="164">
        <v>1</v>
      </c>
      <c r="BO9" s="164">
        <v>1</v>
      </c>
      <c r="BP9" s="163"/>
      <c r="BQ9" s="163"/>
      <c r="BR9" s="163"/>
      <c r="BS9" s="163"/>
      <c r="BT9" s="164">
        <v>1</v>
      </c>
      <c r="BU9" s="163"/>
      <c r="BV9" s="164">
        <v>1</v>
      </c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4">
        <v>1</v>
      </c>
      <c r="CO9" s="163"/>
      <c r="CP9" s="164">
        <v>1</v>
      </c>
      <c r="CQ9" s="163"/>
      <c r="CR9" s="163"/>
      <c r="CS9" s="163"/>
    </row>
    <row r="10" spans="1:97" ht="18" thickTop="1" thickBot="1">
      <c r="A10" s="153">
        <v>2.02</v>
      </c>
      <c r="B10" s="152">
        <v>1</v>
      </c>
      <c r="C10" s="152">
        <v>1</v>
      </c>
      <c r="D10" s="152">
        <v>1</v>
      </c>
      <c r="E10" s="152"/>
      <c r="F10" s="152">
        <v>1</v>
      </c>
      <c r="G10" s="152"/>
      <c r="H10" s="152"/>
      <c r="M10" s="157">
        <v>2.02</v>
      </c>
      <c r="N10" s="161">
        <v>1</v>
      </c>
      <c r="O10" s="161">
        <v>1</v>
      </c>
      <c r="P10" s="161">
        <v>1</v>
      </c>
      <c r="Q10" s="161"/>
      <c r="R10" s="162">
        <v>1</v>
      </c>
      <c r="S10" s="162"/>
      <c r="T10" s="163"/>
    </row>
    <row r="11" spans="1:97" ht="18" thickTop="1" thickBot="1">
      <c r="A11" s="153">
        <v>2.0299999999999998</v>
      </c>
      <c r="B11" s="152">
        <v>1</v>
      </c>
      <c r="C11" s="152"/>
      <c r="D11" s="152"/>
      <c r="E11" s="152"/>
      <c r="F11" s="152"/>
      <c r="G11" s="152">
        <v>1</v>
      </c>
      <c r="H11" s="152">
        <v>1</v>
      </c>
      <c r="M11" s="157">
        <v>2.0299999999999998</v>
      </c>
      <c r="N11" s="161">
        <v>1</v>
      </c>
      <c r="O11" s="161"/>
      <c r="P11" s="161"/>
      <c r="Q11" s="161"/>
      <c r="R11" s="162"/>
      <c r="S11" s="162">
        <v>1</v>
      </c>
      <c r="T11" s="164">
        <v>1</v>
      </c>
    </row>
    <row r="12" spans="1:97" ht="18" thickTop="1" thickBot="1">
      <c r="A12" s="153">
        <v>2.04</v>
      </c>
      <c r="B12" s="152">
        <v>1</v>
      </c>
      <c r="C12" s="152">
        <v>1</v>
      </c>
      <c r="D12" s="152">
        <v>1</v>
      </c>
      <c r="E12" s="152"/>
      <c r="F12" s="152">
        <v>1</v>
      </c>
      <c r="G12" s="152"/>
      <c r="H12" s="152"/>
      <c r="M12" s="157">
        <v>2.04</v>
      </c>
      <c r="N12" s="161">
        <v>1</v>
      </c>
      <c r="O12" s="161">
        <v>1</v>
      </c>
      <c r="P12" s="161">
        <v>1</v>
      </c>
      <c r="Q12" s="161"/>
      <c r="R12" s="162">
        <v>1</v>
      </c>
      <c r="S12" s="162"/>
      <c r="T12" s="163"/>
    </row>
    <row r="13" spans="1:97" ht="18" thickTop="1" thickBot="1">
      <c r="A13" s="153">
        <v>2.0499999999999998</v>
      </c>
      <c r="B13" s="152">
        <v>1</v>
      </c>
      <c r="C13" s="152">
        <v>1</v>
      </c>
      <c r="D13" s="152"/>
      <c r="E13" s="152">
        <v>1</v>
      </c>
      <c r="F13" s="152">
        <v>1</v>
      </c>
      <c r="G13" s="152"/>
      <c r="H13" s="152">
        <v>1</v>
      </c>
      <c r="M13" s="157">
        <v>2.0499999999999998</v>
      </c>
      <c r="N13" s="161">
        <v>1</v>
      </c>
      <c r="O13" s="161">
        <v>1</v>
      </c>
      <c r="P13" s="161"/>
      <c r="Q13" s="161">
        <v>1</v>
      </c>
      <c r="R13" s="162">
        <v>1</v>
      </c>
      <c r="S13" s="162"/>
      <c r="T13" s="164">
        <v>1</v>
      </c>
    </row>
    <row r="14" spans="1:97" ht="18" thickTop="1" thickBot="1">
      <c r="A14" s="153">
        <v>2.06</v>
      </c>
      <c r="B14" s="152">
        <v>1</v>
      </c>
      <c r="C14" s="152"/>
      <c r="D14" s="152"/>
      <c r="E14" s="152">
        <v>1</v>
      </c>
      <c r="F14" s="152"/>
      <c r="G14" s="152"/>
      <c r="H14" s="152">
        <v>1</v>
      </c>
      <c r="M14" s="157">
        <v>2.06</v>
      </c>
      <c r="N14" s="161">
        <v>1</v>
      </c>
      <c r="O14" s="161"/>
      <c r="P14" s="161"/>
      <c r="Q14" s="161">
        <v>1</v>
      </c>
      <c r="R14" s="162"/>
      <c r="S14" s="162"/>
      <c r="T14" s="164">
        <v>1</v>
      </c>
    </row>
    <row r="15" spans="1:97" ht="18" thickTop="1" thickBot="1">
      <c r="A15" s="153">
        <v>2.0699999999999998</v>
      </c>
      <c r="B15" s="152">
        <v>1</v>
      </c>
      <c r="C15" s="152"/>
      <c r="D15" s="152"/>
      <c r="E15" s="152"/>
      <c r="F15" s="152"/>
      <c r="G15" s="152">
        <v>1</v>
      </c>
      <c r="H15" s="152"/>
      <c r="M15" s="157">
        <v>2.0699999999999998</v>
      </c>
      <c r="N15" s="161">
        <v>1</v>
      </c>
      <c r="O15" s="161"/>
      <c r="P15" s="161"/>
      <c r="Q15" s="161"/>
      <c r="R15" s="162"/>
      <c r="S15" s="162">
        <v>1</v>
      </c>
      <c r="T15" s="163"/>
    </row>
    <row r="16" spans="1:97" ht="18" thickTop="1" thickBot="1">
      <c r="A16" s="153">
        <v>2.08</v>
      </c>
      <c r="B16" s="152">
        <v>1</v>
      </c>
      <c r="C16" s="152">
        <v>1</v>
      </c>
      <c r="D16" s="152">
        <v>1</v>
      </c>
      <c r="E16" s="152">
        <v>1</v>
      </c>
      <c r="F16" s="152"/>
      <c r="G16" s="152">
        <v>1</v>
      </c>
      <c r="H16" s="152"/>
      <c r="M16" s="157">
        <v>2.08</v>
      </c>
      <c r="N16" s="161">
        <v>1</v>
      </c>
      <c r="O16" s="161">
        <v>1</v>
      </c>
      <c r="P16" s="161">
        <v>1</v>
      </c>
      <c r="Q16" s="161">
        <v>1</v>
      </c>
      <c r="R16" s="162"/>
      <c r="S16" s="162">
        <v>1</v>
      </c>
      <c r="T16" s="163"/>
    </row>
    <row r="17" spans="1:20" ht="18" thickTop="1" thickBot="1">
      <c r="A17" s="153">
        <v>2.09</v>
      </c>
      <c r="B17" s="152">
        <v>1</v>
      </c>
      <c r="C17" s="152">
        <v>1</v>
      </c>
      <c r="D17" s="152">
        <v>1</v>
      </c>
      <c r="E17" s="152"/>
      <c r="F17" s="152">
        <v>1</v>
      </c>
      <c r="G17" s="152"/>
      <c r="H17" s="152"/>
      <c r="M17" s="157">
        <v>2.09</v>
      </c>
      <c r="N17" s="161">
        <v>1</v>
      </c>
      <c r="O17" s="161">
        <v>1</v>
      </c>
      <c r="P17" s="161">
        <v>1</v>
      </c>
      <c r="Q17" s="161"/>
      <c r="R17" s="162">
        <v>1</v>
      </c>
      <c r="S17" s="162"/>
      <c r="T17" s="163"/>
    </row>
    <row r="18" spans="1:20" ht="18" thickTop="1" thickBot="1">
      <c r="A18" s="153">
        <v>2.1</v>
      </c>
      <c r="B18" s="152">
        <v>1</v>
      </c>
      <c r="C18" s="152">
        <v>1</v>
      </c>
      <c r="D18" s="152"/>
      <c r="E18" s="152"/>
      <c r="F18" s="152">
        <v>1</v>
      </c>
      <c r="G18" s="152"/>
      <c r="H18" s="152"/>
      <c r="M18" s="157">
        <v>2.1</v>
      </c>
      <c r="N18" s="161">
        <v>1</v>
      </c>
      <c r="O18" s="161">
        <v>1</v>
      </c>
      <c r="P18" s="161"/>
      <c r="Q18" s="161"/>
      <c r="R18" s="162">
        <v>1</v>
      </c>
      <c r="S18" s="162"/>
      <c r="T18" s="163"/>
    </row>
    <row r="19" spans="1:20" ht="18" thickTop="1" thickBot="1">
      <c r="A19" s="153">
        <v>2.11</v>
      </c>
      <c r="B19" s="152">
        <v>1</v>
      </c>
      <c r="C19" s="152">
        <v>1</v>
      </c>
      <c r="D19" s="152">
        <v>1</v>
      </c>
      <c r="E19" s="152">
        <v>1</v>
      </c>
      <c r="F19" s="152"/>
      <c r="G19" s="152">
        <v>1</v>
      </c>
      <c r="H19" s="152"/>
      <c r="M19" s="157">
        <v>2.11</v>
      </c>
      <c r="N19" s="161">
        <v>1</v>
      </c>
      <c r="O19" s="161">
        <v>1</v>
      </c>
      <c r="P19" s="161">
        <v>1</v>
      </c>
      <c r="Q19" s="161">
        <v>1</v>
      </c>
      <c r="R19" s="162"/>
      <c r="S19" s="162">
        <v>1</v>
      </c>
      <c r="T19" s="163"/>
    </row>
    <row r="20" spans="1:20" ht="18" thickTop="1" thickBot="1">
      <c r="A20" s="153">
        <v>2.12</v>
      </c>
      <c r="B20" s="152">
        <v>1</v>
      </c>
      <c r="C20" s="152">
        <v>1</v>
      </c>
      <c r="D20" s="152">
        <v>1</v>
      </c>
      <c r="E20" s="152"/>
      <c r="F20" s="152">
        <v>1</v>
      </c>
      <c r="G20" s="152"/>
      <c r="H20" s="152"/>
      <c r="M20" s="157">
        <v>2.12</v>
      </c>
      <c r="N20" s="161">
        <v>1</v>
      </c>
      <c r="O20" s="161">
        <v>1</v>
      </c>
      <c r="P20" s="161">
        <v>1</v>
      </c>
      <c r="Q20" s="161"/>
      <c r="R20" s="162">
        <v>1</v>
      </c>
      <c r="S20" s="162"/>
      <c r="T20" s="163"/>
    </row>
    <row r="21" spans="1:20" ht="18" thickTop="1" thickBot="1">
      <c r="A21" s="153">
        <v>2.13</v>
      </c>
      <c r="B21" s="152">
        <v>1</v>
      </c>
      <c r="C21" s="152">
        <v>1</v>
      </c>
      <c r="D21" s="152"/>
      <c r="E21" s="152"/>
      <c r="F21" s="152">
        <v>1</v>
      </c>
      <c r="G21" s="152"/>
      <c r="H21" s="152"/>
      <c r="M21" s="157">
        <v>2.13</v>
      </c>
      <c r="N21" s="161">
        <v>1</v>
      </c>
      <c r="O21" s="161">
        <v>1</v>
      </c>
      <c r="P21" s="161"/>
      <c r="Q21" s="161"/>
      <c r="R21" s="162">
        <v>1</v>
      </c>
      <c r="S21" s="162"/>
      <c r="T21" s="163"/>
    </row>
    <row r="22" spans="1:20" ht="18" thickTop="1" thickBot="1">
      <c r="A22" s="153">
        <v>2.14</v>
      </c>
      <c r="B22" s="152">
        <v>1</v>
      </c>
      <c r="C22" s="152"/>
      <c r="D22" s="152"/>
      <c r="E22" s="152">
        <v>1</v>
      </c>
      <c r="F22" s="152"/>
      <c r="G22" s="152">
        <v>1</v>
      </c>
      <c r="H22" s="152">
        <v>1</v>
      </c>
      <c r="M22" s="157">
        <v>2.14</v>
      </c>
      <c r="N22" s="161">
        <v>1</v>
      </c>
      <c r="O22" s="161"/>
      <c r="P22" s="161"/>
      <c r="Q22" s="161">
        <v>1</v>
      </c>
      <c r="R22" s="162"/>
      <c r="S22" s="162">
        <v>1</v>
      </c>
      <c r="T22" s="164">
        <v>1</v>
      </c>
    </row>
    <row r="23" spans="1:20" ht="18" thickTop="1" thickBot="1">
      <c r="A23" s="153">
        <v>2.15</v>
      </c>
      <c r="B23" s="152">
        <v>1</v>
      </c>
      <c r="C23" s="152">
        <v>1</v>
      </c>
      <c r="D23" s="152">
        <v>1</v>
      </c>
      <c r="E23" s="152"/>
      <c r="F23" s="152">
        <v>1</v>
      </c>
      <c r="G23" s="152"/>
      <c r="H23" s="152"/>
      <c r="M23" s="157">
        <v>2.15</v>
      </c>
      <c r="N23" s="161">
        <v>1</v>
      </c>
      <c r="O23" s="161">
        <v>1</v>
      </c>
      <c r="P23" s="161">
        <v>1</v>
      </c>
      <c r="Q23" s="161"/>
      <c r="R23" s="162">
        <v>1</v>
      </c>
      <c r="S23" s="162"/>
      <c r="T23" s="163"/>
    </row>
    <row r="24" spans="1:20" ht="18" thickTop="1" thickBot="1">
      <c r="A24" s="153">
        <v>2.16</v>
      </c>
      <c r="B24" s="152">
        <v>1</v>
      </c>
      <c r="C24" s="152">
        <v>1</v>
      </c>
      <c r="D24" s="152"/>
      <c r="E24" s="152">
        <v>1</v>
      </c>
      <c r="F24" s="152"/>
      <c r="G24" s="152"/>
      <c r="H24" s="152">
        <v>1</v>
      </c>
      <c r="M24" s="157">
        <v>2.16</v>
      </c>
      <c r="N24" s="161">
        <v>1</v>
      </c>
      <c r="O24" s="161">
        <v>1</v>
      </c>
      <c r="P24" s="161"/>
      <c r="Q24" s="161">
        <v>1</v>
      </c>
      <c r="R24" s="162"/>
      <c r="S24" s="162"/>
      <c r="T24" s="164">
        <v>1</v>
      </c>
    </row>
    <row r="25" spans="1:20" ht="18" thickTop="1" thickBot="1">
      <c r="A25" s="153">
        <v>2.17</v>
      </c>
      <c r="B25" s="152">
        <v>1</v>
      </c>
      <c r="C25" s="152">
        <v>1</v>
      </c>
      <c r="D25" s="152">
        <v>1</v>
      </c>
      <c r="E25" s="152"/>
      <c r="F25" s="152">
        <v>1</v>
      </c>
      <c r="G25" s="152"/>
      <c r="H25" s="152"/>
      <c r="M25" s="157">
        <v>2.17</v>
      </c>
      <c r="N25" s="161">
        <v>1</v>
      </c>
      <c r="O25" s="161">
        <v>1</v>
      </c>
      <c r="P25" s="161">
        <v>1</v>
      </c>
      <c r="Q25" s="161"/>
      <c r="R25" s="162">
        <v>1</v>
      </c>
      <c r="S25" s="162"/>
      <c r="T25" s="163"/>
    </row>
    <row r="26" spans="1:20" ht="18" thickTop="1" thickBot="1">
      <c r="A26" s="153">
        <v>2.1800000000000002</v>
      </c>
      <c r="B26" s="152">
        <v>1</v>
      </c>
      <c r="C26" s="152">
        <v>1</v>
      </c>
      <c r="D26" s="152">
        <v>1</v>
      </c>
      <c r="E26" s="152">
        <v>1</v>
      </c>
      <c r="F26" s="152"/>
      <c r="G26" s="152">
        <v>1</v>
      </c>
      <c r="H26" s="152"/>
      <c r="M26" s="157">
        <v>2.1800000000000002</v>
      </c>
      <c r="N26" s="161">
        <v>1</v>
      </c>
      <c r="O26" s="161">
        <v>1</v>
      </c>
      <c r="P26" s="161">
        <v>1</v>
      </c>
      <c r="Q26" s="161">
        <v>1</v>
      </c>
      <c r="R26" s="162"/>
      <c r="S26" s="162">
        <v>1</v>
      </c>
      <c r="T26" s="163"/>
    </row>
    <row r="27" spans="1:20" ht="18" thickTop="1" thickBot="1">
      <c r="A27" s="153">
        <v>2.19</v>
      </c>
      <c r="B27" s="152">
        <v>1</v>
      </c>
      <c r="C27" s="152">
        <v>1</v>
      </c>
      <c r="D27" s="152">
        <v>1</v>
      </c>
      <c r="E27" s="152"/>
      <c r="F27" s="152">
        <v>1</v>
      </c>
      <c r="G27" s="152"/>
      <c r="H27" s="152"/>
      <c r="M27" s="157">
        <v>2.19</v>
      </c>
      <c r="N27" s="161">
        <v>1</v>
      </c>
      <c r="O27" s="161">
        <v>1</v>
      </c>
      <c r="P27" s="161">
        <v>1</v>
      </c>
      <c r="Q27" s="161"/>
      <c r="R27" s="162">
        <v>1</v>
      </c>
      <c r="S27" s="162"/>
      <c r="T27" s="163"/>
    </row>
    <row r="28" spans="1:20" ht="18" thickTop="1" thickBot="1">
      <c r="A28" s="153">
        <v>2.2000000000000002</v>
      </c>
      <c r="B28" s="152">
        <v>1</v>
      </c>
      <c r="C28" s="152">
        <v>1</v>
      </c>
      <c r="D28" s="152">
        <v>1</v>
      </c>
      <c r="E28" s="152">
        <v>1</v>
      </c>
      <c r="F28" s="152"/>
      <c r="G28" s="152">
        <v>1</v>
      </c>
      <c r="H28" s="152"/>
      <c r="M28" s="157">
        <v>2.2000000000000002</v>
      </c>
      <c r="N28" s="161">
        <v>1</v>
      </c>
      <c r="O28" s="161">
        <v>1</v>
      </c>
      <c r="P28" s="161">
        <v>1</v>
      </c>
      <c r="Q28" s="161">
        <v>1</v>
      </c>
      <c r="R28" s="162"/>
      <c r="S28" s="162">
        <v>1</v>
      </c>
      <c r="T28" s="163"/>
    </row>
    <row r="29" spans="1:20" ht="18" thickTop="1" thickBot="1">
      <c r="A29" s="153">
        <v>2.21</v>
      </c>
      <c r="B29" s="152">
        <v>1</v>
      </c>
      <c r="C29" s="152">
        <v>1</v>
      </c>
      <c r="D29" s="152">
        <v>1</v>
      </c>
      <c r="E29" s="152">
        <v>1</v>
      </c>
      <c r="F29" s="152"/>
      <c r="G29" s="152">
        <v>1</v>
      </c>
      <c r="H29" s="152"/>
      <c r="M29" s="157">
        <v>2.21</v>
      </c>
      <c r="N29" s="161">
        <v>1</v>
      </c>
      <c r="O29" s="161">
        <v>1</v>
      </c>
      <c r="P29" s="161">
        <v>1</v>
      </c>
      <c r="Q29" s="161">
        <v>1</v>
      </c>
      <c r="R29" s="162"/>
      <c r="S29" s="162">
        <v>1</v>
      </c>
      <c r="T29" s="163"/>
    </row>
    <row r="30" spans="1:20" ht="18" thickTop="1" thickBot="1">
      <c r="A30" s="153">
        <v>2.2200000000000002</v>
      </c>
      <c r="B30" s="152">
        <v>1</v>
      </c>
      <c r="C30" s="152">
        <v>1</v>
      </c>
      <c r="D30" s="152"/>
      <c r="E30" s="152">
        <v>1</v>
      </c>
      <c r="F30" s="152"/>
      <c r="G30" s="152">
        <v>1</v>
      </c>
      <c r="H30" s="152">
        <v>1</v>
      </c>
      <c r="M30" s="157">
        <v>2.2200000000000002</v>
      </c>
      <c r="N30" s="161">
        <v>1</v>
      </c>
      <c r="O30" s="161">
        <v>1</v>
      </c>
      <c r="P30" s="161"/>
      <c r="Q30" s="161">
        <v>1</v>
      </c>
      <c r="R30" s="162"/>
      <c r="S30" s="162">
        <v>1</v>
      </c>
      <c r="T30" s="164">
        <v>1</v>
      </c>
    </row>
    <row r="31" spans="1:20" ht="18" thickTop="1" thickBot="1">
      <c r="A31" s="153">
        <v>2.23</v>
      </c>
      <c r="B31" s="152">
        <v>1</v>
      </c>
      <c r="C31" s="152">
        <v>1</v>
      </c>
      <c r="D31" s="152"/>
      <c r="E31" s="152">
        <v>1</v>
      </c>
      <c r="F31" s="152">
        <v>1</v>
      </c>
      <c r="G31" s="152"/>
      <c r="H31" s="152">
        <v>1</v>
      </c>
      <c r="M31" s="157">
        <v>2.23</v>
      </c>
      <c r="N31" s="161">
        <v>1</v>
      </c>
      <c r="O31" s="161">
        <v>1</v>
      </c>
      <c r="P31" s="161"/>
      <c r="Q31" s="161">
        <v>1</v>
      </c>
      <c r="R31" s="162">
        <v>1</v>
      </c>
      <c r="S31" s="162"/>
      <c r="T31" s="164">
        <v>1</v>
      </c>
    </row>
    <row r="32" spans="1:20" ht="18" thickTop="1" thickBot="1">
      <c r="A32" s="153">
        <v>2.2400000000000002</v>
      </c>
      <c r="B32" s="152">
        <v>1</v>
      </c>
      <c r="C32" s="152"/>
      <c r="D32" s="152"/>
      <c r="E32" s="152">
        <v>1</v>
      </c>
      <c r="F32" s="152">
        <v>1</v>
      </c>
      <c r="G32" s="152"/>
      <c r="H32" s="152">
        <v>1</v>
      </c>
      <c r="M32" s="157">
        <v>2.2400000000000002</v>
      </c>
      <c r="N32" s="161">
        <v>1</v>
      </c>
      <c r="O32" s="161"/>
      <c r="P32" s="161"/>
      <c r="Q32" s="161">
        <v>1</v>
      </c>
      <c r="R32" s="162">
        <v>1</v>
      </c>
      <c r="S32" s="162"/>
      <c r="T32" s="164">
        <v>1</v>
      </c>
    </row>
    <row r="33" spans="1:20" ht="18" thickTop="1" thickBot="1">
      <c r="A33" s="153">
        <v>2.25</v>
      </c>
      <c r="B33" s="152">
        <v>1</v>
      </c>
      <c r="C33" s="152"/>
      <c r="D33" s="152">
        <v>1</v>
      </c>
      <c r="E33" s="152">
        <v>1</v>
      </c>
      <c r="F33" s="152">
        <v>1</v>
      </c>
      <c r="G33" s="152"/>
      <c r="H33" s="152"/>
      <c r="M33" s="157">
        <v>2.25</v>
      </c>
      <c r="N33" s="161">
        <v>1</v>
      </c>
      <c r="O33" s="161"/>
      <c r="P33" s="161">
        <v>1</v>
      </c>
      <c r="Q33" s="161">
        <v>1</v>
      </c>
      <c r="R33" s="162">
        <v>1</v>
      </c>
      <c r="S33" s="162"/>
      <c r="T33" s="163"/>
    </row>
    <row r="34" spans="1:20" ht="18" thickTop="1" thickBot="1">
      <c r="A34" s="153">
        <v>2.2599999999999998</v>
      </c>
      <c r="B34" s="152">
        <v>1</v>
      </c>
      <c r="C34" s="152"/>
      <c r="D34" s="152"/>
      <c r="E34" s="152">
        <v>1</v>
      </c>
      <c r="F34" s="152"/>
      <c r="G34" s="152"/>
      <c r="H34" s="152"/>
      <c r="M34" s="157">
        <v>2.2599999999999998</v>
      </c>
      <c r="N34" s="161">
        <v>1</v>
      </c>
      <c r="O34" s="161"/>
      <c r="P34" s="161"/>
      <c r="Q34" s="161">
        <v>1</v>
      </c>
      <c r="R34" s="162"/>
      <c r="S34" s="162"/>
      <c r="T34" s="163"/>
    </row>
    <row r="35" spans="1:20" ht="18" thickTop="1" thickBot="1">
      <c r="A35" s="153">
        <v>2.27</v>
      </c>
      <c r="B35" s="152">
        <v>1</v>
      </c>
      <c r="C35" s="152">
        <v>1</v>
      </c>
      <c r="D35" s="152"/>
      <c r="E35" s="152">
        <v>1</v>
      </c>
      <c r="F35" s="152"/>
      <c r="G35" s="152">
        <v>1</v>
      </c>
      <c r="H35" s="152"/>
      <c r="M35" s="157">
        <v>2.27</v>
      </c>
      <c r="N35" s="161">
        <v>1</v>
      </c>
      <c r="O35" s="161">
        <v>1</v>
      </c>
      <c r="P35" s="161"/>
      <c r="Q35" s="161">
        <v>1</v>
      </c>
      <c r="R35" s="162"/>
      <c r="S35" s="162">
        <v>1</v>
      </c>
      <c r="T35" s="163"/>
    </row>
    <row r="36" spans="1:20" ht="18" thickTop="1" thickBot="1">
      <c r="A36" s="153">
        <v>2.2799999999999998</v>
      </c>
      <c r="B36" s="152"/>
      <c r="C36" s="152">
        <v>1</v>
      </c>
      <c r="D36" s="152"/>
      <c r="E36" s="152"/>
      <c r="F36" s="152"/>
      <c r="G36" s="152">
        <v>1</v>
      </c>
      <c r="H36" s="152">
        <v>1</v>
      </c>
      <c r="M36" s="157">
        <v>2.2799999999999998</v>
      </c>
      <c r="N36" s="161"/>
      <c r="O36" s="161">
        <v>1</v>
      </c>
      <c r="P36" s="161"/>
      <c r="Q36" s="161"/>
      <c r="R36" s="162"/>
      <c r="S36" s="162">
        <v>1</v>
      </c>
      <c r="T36" s="164">
        <v>1</v>
      </c>
    </row>
    <row r="37" spans="1:20" ht="18" thickTop="1" thickBot="1">
      <c r="A37" s="153">
        <v>2.29</v>
      </c>
      <c r="B37" s="152">
        <v>1</v>
      </c>
      <c r="C37" s="152">
        <v>1</v>
      </c>
      <c r="D37" s="152">
        <v>1</v>
      </c>
      <c r="E37" s="152"/>
      <c r="F37" s="152">
        <v>1</v>
      </c>
      <c r="G37" s="152"/>
      <c r="H37" s="152"/>
      <c r="M37" s="157">
        <v>2.29</v>
      </c>
      <c r="N37" s="161">
        <v>1</v>
      </c>
      <c r="O37" s="161">
        <v>1</v>
      </c>
      <c r="P37" s="161">
        <v>1</v>
      </c>
      <c r="Q37" s="161"/>
      <c r="R37" s="162">
        <v>1</v>
      </c>
      <c r="S37" s="162"/>
      <c r="T37" s="163"/>
    </row>
    <row r="38" spans="1:20" ht="18" thickTop="1" thickBot="1">
      <c r="A38" s="153">
        <v>2.2999999999999998</v>
      </c>
      <c r="B38" s="152">
        <v>1</v>
      </c>
      <c r="C38" s="152"/>
      <c r="D38" s="152">
        <v>1</v>
      </c>
      <c r="E38" s="152">
        <v>1</v>
      </c>
      <c r="F38" s="152"/>
      <c r="G38" s="152">
        <v>1</v>
      </c>
      <c r="H38" s="152"/>
      <c r="M38" s="157">
        <v>2.2999999999999998</v>
      </c>
      <c r="N38" s="161">
        <v>1</v>
      </c>
      <c r="O38" s="161"/>
      <c r="P38" s="161">
        <v>1</v>
      </c>
      <c r="Q38" s="161">
        <v>1</v>
      </c>
      <c r="R38" s="162"/>
      <c r="S38" s="162">
        <v>1</v>
      </c>
      <c r="T38" s="163"/>
    </row>
    <row r="39" spans="1:20" ht="18" thickTop="1" thickBot="1">
      <c r="A39" s="153">
        <v>2.31</v>
      </c>
      <c r="B39" s="152">
        <v>1</v>
      </c>
      <c r="C39" s="152">
        <v>1</v>
      </c>
      <c r="D39" s="152"/>
      <c r="E39" s="152"/>
      <c r="F39" s="152">
        <v>1</v>
      </c>
      <c r="G39" s="152"/>
      <c r="H39" s="152"/>
      <c r="M39" s="157">
        <v>2.31</v>
      </c>
      <c r="N39" s="161">
        <v>1</v>
      </c>
      <c r="O39" s="161">
        <v>1</v>
      </c>
      <c r="P39" s="161"/>
      <c r="Q39" s="161"/>
      <c r="R39" s="162">
        <v>1</v>
      </c>
      <c r="S39" s="162"/>
      <c r="T39" s="163"/>
    </row>
    <row r="40" spans="1:20" ht="18" thickTop="1" thickBot="1">
      <c r="A40" s="153">
        <v>2.3199999999999998</v>
      </c>
      <c r="B40" s="152">
        <v>1</v>
      </c>
      <c r="C40" s="152"/>
      <c r="D40" s="152"/>
      <c r="E40" s="152"/>
      <c r="F40" s="152"/>
      <c r="G40" s="152">
        <v>1</v>
      </c>
      <c r="H40" s="152">
        <v>1</v>
      </c>
      <c r="M40" s="157">
        <v>2.3199999999999998</v>
      </c>
      <c r="N40" s="161">
        <v>1</v>
      </c>
      <c r="O40" s="161"/>
      <c r="P40" s="161"/>
      <c r="Q40" s="161"/>
      <c r="R40" s="162"/>
      <c r="S40" s="162">
        <v>1</v>
      </c>
      <c r="T40" s="164">
        <v>1</v>
      </c>
    </row>
    <row r="41" spans="1:20" ht="18" thickTop="1" thickBot="1">
      <c r="A41" s="153">
        <v>2.33</v>
      </c>
      <c r="B41" s="152"/>
      <c r="C41" s="152"/>
      <c r="D41" s="152"/>
      <c r="E41" s="152"/>
      <c r="F41" s="152"/>
      <c r="G41" s="152">
        <v>1</v>
      </c>
      <c r="H41" s="152"/>
      <c r="M41" s="157">
        <v>2.33</v>
      </c>
      <c r="N41" s="161"/>
      <c r="O41" s="161"/>
      <c r="P41" s="161"/>
      <c r="Q41" s="161"/>
      <c r="R41" s="162"/>
      <c r="S41" s="162">
        <v>1</v>
      </c>
      <c r="T41" s="163"/>
    </row>
    <row r="42" spans="1:20" ht="18" thickTop="1" thickBot="1">
      <c r="A42" s="153">
        <v>2.34</v>
      </c>
      <c r="B42" s="152">
        <v>1</v>
      </c>
      <c r="C42" s="152">
        <v>1</v>
      </c>
      <c r="D42" s="152">
        <v>1</v>
      </c>
      <c r="E42" s="152">
        <v>1</v>
      </c>
      <c r="F42" s="152"/>
      <c r="G42" s="152">
        <v>1</v>
      </c>
      <c r="H42" s="152"/>
      <c r="M42" s="157">
        <v>2.34</v>
      </c>
      <c r="N42" s="161">
        <v>1</v>
      </c>
      <c r="O42" s="161">
        <v>1</v>
      </c>
      <c r="P42" s="161">
        <v>1</v>
      </c>
      <c r="Q42" s="161">
        <v>1</v>
      </c>
      <c r="R42" s="162"/>
      <c r="S42" s="162">
        <v>1</v>
      </c>
      <c r="T42" s="163"/>
    </row>
    <row r="43" spans="1:20" ht="18" thickTop="1" thickBot="1">
      <c r="A43" s="153">
        <v>2.35</v>
      </c>
      <c r="B43" s="152">
        <v>1</v>
      </c>
      <c r="C43" s="152">
        <v>1</v>
      </c>
      <c r="D43" s="152"/>
      <c r="E43" s="152">
        <v>1</v>
      </c>
      <c r="F43" s="152"/>
      <c r="G43" s="152"/>
      <c r="H43" s="152">
        <v>1</v>
      </c>
      <c r="M43" s="157">
        <v>2.35</v>
      </c>
      <c r="N43" s="161">
        <v>1</v>
      </c>
      <c r="O43" s="161">
        <v>1</v>
      </c>
      <c r="P43" s="161"/>
      <c r="Q43" s="161">
        <v>1</v>
      </c>
      <c r="R43" s="162"/>
      <c r="S43" s="162"/>
      <c r="T43" s="164">
        <v>1</v>
      </c>
    </row>
    <row r="44" spans="1:20" ht="18" thickTop="1" thickBot="1">
      <c r="A44" s="153">
        <v>2.36</v>
      </c>
      <c r="B44" s="152">
        <v>1</v>
      </c>
      <c r="C44" s="152">
        <v>1</v>
      </c>
      <c r="D44" s="152"/>
      <c r="E44" s="152">
        <v>1</v>
      </c>
      <c r="F44" s="152"/>
      <c r="G44" s="152"/>
      <c r="H44" s="152">
        <v>1</v>
      </c>
      <c r="M44" s="157">
        <v>2.36</v>
      </c>
      <c r="N44" s="161">
        <v>1</v>
      </c>
      <c r="O44" s="161">
        <v>1</v>
      </c>
      <c r="P44" s="161"/>
      <c r="Q44" s="161">
        <v>1</v>
      </c>
      <c r="R44" s="162"/>
      <c r="S44" s="162"/>
      <c r="T44" s="164">
        <v>1</v>
      </c>
    </row>
    <row r="45" spans="1:20" ht="18" thickTop="1" thickBot="1">
      <c r="A45" s="153">
        <v>2.37</v>
      </c>
      <c r="B45" s="152">
        <v>1</v>
      </c>
      <c r="C45" s="152">
        <v>1</v>
      </c>
      <c r="D45" s="152">
        <v>1</v>
      </c>
      <c r="E45" s="152"/>
      <c r="F45" s="152">
        <v>1</v>
      </c>
      <c r="G45" s="152"/>
      <c r="H45" s="152"/>
      <c r="M45" s="157">
        <v>2.37</v>
      </c>
      <c r="N45" s="161">
        <v>1</v>
      </c>
      <c r="O45" s="161">
        <v>1</v>
      </c>
      <c r="P45" s="161">
        <v>1</v>
      </c>
      <c r="Q45" s="161"/>
      <c r="R45" s="162">
        <v>1</v>
      </c>
      <c r="S45" s="162"/>
      <c r="T45" s="163"/>
    </row>
    <row r="46" spans="1:20" ht="18" thickTop="1" thickBot="1">
      <c r="A46" s="153">
        <v>2.38</v>
      </c>
      <c r="B46" s="152">
        <v>1</v>
      </c>
      <c r="C46" s="152">
        <v>1</v>
      </c>
      <c r="D46" s="152">
        <v>1</v>
      </c>
      <c r="E46" s="152"/>
      <c r="F46" s="152">
        <v>1</v>
      </c>
      <c r="G46" s="152"/>
      <c r="H46" s="152"/>
      <c r="M46" s="157">
        <v>2.38</v>
      </c>
      <c r="N46" s="161">
        <v>1</v>
      </c>
      <c r="O46" s="161">
        <v>1</v>
      </c>
      <c r="P46" s="161">
        <v>1</v>
      </c>
      <c r="Q46" s="161"/>
      <c r="R46" s="162">
        <v>1</v>
      </c>
      <c r="S46" s="162"/>
      <c r="T46" s="163"/>
    </row>
    <row r="47" spans="1:20" ht="18" thickTop="1" thickBot="1">
      <c r="A47" s="153">
        <v>2.39</v>
      </c>
      <c r="B47" s="152">
        <v>1</v>
      </c>
      <c r="C47" s="152">
        <v>1</v>
      </c>
      <c r="D47" s="152">
        <v>1</v>
      </c>
      <c r="E47" s="152"/>
      <c r="F47" s="152">
        <v>1</v>
      </c>
      <c r="G47" s="152"/>
      <c r="H47" s="152"/>
      <c r="M47" s="157">
        <v>2.39</v>
      </c>
      <c r="N47" s="161">
        <v>1</v>
      </c>
      <c r="O47" s="161">
        <v>1</v>
      </c>
      <c r="P47" s="161">
        <v>1</v>
      </c>
      <c r="Q47" s="161"/>
      <c r="R47" s="162">
        <v>1</v>
      </c>
      <c r="S47" s="162"/>
      <c r="T47" s="163"/>
    </row>
    <row r="48" spans="1:20" ht="18" thickTop="1" thickBot="1">
      <c r="A48" s="153">
        <v>2.4</v>
      </c>
      <c r="B48" s="152">
        <v>1</v>
      </c>
      <c r="C48" s="152">
        <v>1</v>
      </c>
      <c r="D48" s="152">
        <v>1</v>
      </c>
      <c r="E48" s="152">
        <v>1</v>
      </c>
      <c r="F48" s="152"/>
      <c r="G48" s="152">
        <v>1</v>
      </c>
      <c r="H48" s="152"/>
      <c r="M48" s="157">
        <v>2.4</v>
      </c>
      <c r="N48" s="161">
        <v>1</v>
      </c>
      <c r="O48" s="161">
        <v>1</v>
      </c>
      <c r="P48" s="161">
        <v>1</v>
      </c>
      <c r="Q48" s="161">
        <v>1</v>
      </c>
      <c r="R48" s="162"/>
      <c r="S48" s="162">
        <v>1</v>
      </c>
      <c r="T48" s="163"/>
    </row>
    <row r="49" spans="1:20" ht="18" thickTop="1" thickBot="1">
      <c r="A49" s="153">
        <v>2.41</v>
      </c>
      <c r="B49" s="152">
        <v>1</v>
      </c>
      <c r="C49" s="152"/>
      <c r="D49" s="152"/>
      <c r="E49" s="152">
        <v>1</v>
      </c>
      <c r="F49" s="152"/>
      <c r="G49" s="152"/>
      <c r="H49" s="152">
        <v>1</v>
      </c>
      <c r="M49" s="157">
        <v>2.41</v>
      </c>
      <c r="N49" s="161">
        <v>1</v>
      </c>
      <c r="O49" s="161"/>
      <c r="P49" s="161"/>
      <c r="Q49" s="161">
        <v>1</v>
      </c>
      <c r="R49" s="162"/>
      <c r="S49" s="162"/>
      <c r="T49" s="164">
        <v>1</v>
      </c>
    </row>
    <row r="50" spans="1:20" ht="18" thickTop="1" thickBot="1">
      <c r="A50" s="153">
        <v>2.42</v>
      </c>
      <c r="B50" s="152"/>
      <c r="C50" s="152"/>
      <c r="D50" s="152"/>
      <c r="E50" s="152"/>
      <c r="F50" s="152">
        <v>1</v>
      </c>
      <c r="G50" s="152"/>
      <c r="H50" s="152"/>
      <c r="M50" s="157">
        <v>2.42</v>
      </c>
      <c r="N50" s="161"/>
      <c r="O50" s="161"/>
      <c r="P50" s="161"/>
      <c r="Q50" s="161"/>
      <c r="R50" s="162">
        <v>1</v>
      </c>
      <c r="S50" s="162"/>
      <c r="T50" s="163"/>
    </row>
    <row r="51" spans="1:20" ht="18" thickTop="1" thickBot="1">
      <c r="A51" s="153">
        <v>2.4300000000000002</v>
      </c>
      <c r="B51" s="152">
        <v>1</v>
      </c>
      <c r="C51" s="152"/>
      <c r="D51" s="152"/>
      <c r="E51" s="152">
        <v>1</v>
      </c>
      <c r="F51" s="152">
        <v>1</v>
      </c>
      <c r="G51" s="152"/>
      <c r="H51" s="152">
        <v>1</v>
      </c>
      <c r="M51" s="157">
        <v>2.4300000000000002</v>
      </c>
      <c r="N51" s="161">
        <v>1</v>
      </c>
      <c r="O51" s="161"/>
      <c r="P51" s="161"/>
      <c r="Q51" s="161">
        <v>1</v>
      </c>
      <c r="R51" s="162">
        <v>1</v>
      </c>
      <c r="S51" s="162"/>
      <c r="T51" s="164">
        <v>1</v>
      </c>
    </row>
    <row r="52" spans="1:20" ht="18" thickTop="1" thickBot="1">
      <c r="A52" s="153">
        <v>2.44</v>
      </c>
      <c r="B52" s="152"/>
      <c r="C52" s="152"/>
      <c r="D52" s="152"/>
      <c r="E52" s="152"/>
      <c r="F52" s="152">
        <v>1</v>
      </c>
      <c r="G52" s="152"/>
      <c r="H52" s="152"/>
      <c r="M52" s="157">
        <v>2.44</v>
      </c>
      <c r="N52" s="161"/>
      <c r="O52" s="161"/>
      <c r="P52" s="161"/>
      <c r="Q52" s="161"/>
      <c r="R52" s="162">
        <v>1</v>
      </c>
      <c r="S52" s="162"/>
      <c r="T52" s="163"/>
    </row>
    <row r="53" spans="1:20" ht="18" thickTop="1" thickBot="1">
      <c r="A53" s="153">
        <v>2.4500000000000002</v>
      </c>
      <c r="B53" s="152">
        <v>1</v>
      </c>
      <c r="C53" s="152"/>
      <c r="D53" s="152">
        <v>1</v>
      </c>
      <c r="E53" s="152">
        <v>1</v>
      </c>
      <c r="F53" s="152">
        <v>1</v>
      </c>
      <c r="G53" s="152"/>
      <c r="H53" s="152"/>
      <c r="M53" s="157">
        <v>2.4500000000000002</v>
      </c>
      <c r="N53" s="161">
        <v>1</v>
      </c>
      <c r="O53" s="161"/>
      <c r="P53" s="161">
        <v>1</v>
      </c>
      <c r="Q53" s="161">
        <v>1</v>
      </c>
      <c r="R53" s="162">
        <v>1</v>
      </c>
      <c r="S53" s="162"/>
      <c r="T53" s="163"/>
    </row>
    <row r="54" spans="1:20" ht="18" thickTop="1" thickBot="1">
      <c r="A54" s="153">
        <v>2.46</v>
      </c>
      <c r="B54" s="152">
        <v>1</v>
      </c>
      <c r="C54" s="152"/>
      <c r="D54" s="152"/>
      <c r="E54" s="152"/>
      <c r="F54" s="152">
        <v>1</v>
      </c>
      <c r="G54" s="152"/>
      <c r="H54" s="152"/>
      <c r="M54" s="157">
        <v>2.46</v>
      </c>
      <c r="N54" s="161">
        <v>1</v>
      </c>
      <c r="O54" s="161"/>
      <c r="P54" s="161"/>
      <c r="Q54" s="161"/>
      <c r="R54" s="162">
        <v>1</v>
      </c>
      <c r="S54" s="162"/>
      <c r="T54" s="163"/>
    </row>
    <row r="55" spans="1:20" ht="18" thickTop="1" thickBot="1">
      <c r="A55" s="153">
        <v>2.4700000000000002</v>
      </c>
      <c r="B55" s="152">
        <v>1</v>
      </c>
      <c r="C55" s="152">
        <v>1</v>
      </c>
      <c r="D55" s="152">
        <v>1</v>
      </c>
      <c r="E55" s="152">
        <v>1</v>
      </c>
      <c r="F55" s="152"/>
      <c r="G55" s="152">
        <v>1</v>
      </c>
      <c r="H55" s="152"/>
      <c r="M55" s="157">
        <v>2.4700000000000002</v>
      </c>
      <c r="N55" s="161">
        <v>1</v>
      </c>
      <c r="O55" s="161">
        <v>1</v>
      </c>
      <c r="P55" s="161">
        <v>1</v>
      </c>
      <c r="Q55" s="161">
        <v>1</v>
      </c>
      <c r="R55" s="162"/>
      <c r="S55" s="162">
        <v>1</v>
      </c>
      <c r="T55" s="163"/>
    </row>
    <row r="56" spans="1:20" ht="18" thickTop="1" thickBot="1">
      <c r="A56" s="153">
        <v>2.48</v>
      </c>
      <c r="B56" s="152">
        <v>1</v>
      </c>
      <c r="C56" s="152"/>
      <c r="D56" s="152"/>
      <c r="E56" s="152"/>
      <c r="F56" s="152"/>
      <c r="G56" s="152">
        <v>1</v>
      </c>
      <c r="H56" s="152"/>
      <c r="M56" s="157">
        <v>2.48</v>
      </c>
      <c r="N56" s="161">
        <v>1</v>
      </c>
      <c r="O56" s="161"/>
      <c r="P56" s="161"/>
      <c r="Q56" s="161"/>
      <c r="R56" s="162"/>
      <c r="S56" s="162">
        <v>1</v>
      </c>
      <c r="T56" s="163"/>
    </row>
    <row r="57" spans="1:20" ht="18" thickTop="1" thickBot="1">
      <c r="A57" s="153">
        <v>2.4900000000000002</v>
      </c>
      <c r="B57" s="152">
        <v>1</v>
      </c>
      <c r="C57" s="152">
        <v>1</v>
      </c>
      <c r="D57" s="152">
        <v>1</v>
      </c>
      <c r="E57" s="152"/>
      <c r="F57" s="152">
        <v>1</v>
      </c>
      <c r="G57" s="152"/>
      <c r="H57" s="152"/>
      <c r="M57" s="157">
        <v>2.4900000000000002</v>
      </c>
      <c r="N57" s="161">
        <v>1</v>
      </c>
      <c r="O57" s="161">
        <v>1</v>
      </c>
      <c r="P57" s="161">
        <v>1</v>
      </c>
      <c r="Q57" s="161"/>
      <c r="R57" s="162">
        <v>1</v>
      </c>
      <c r="S57" s="162"/>
      <c r="T57" s="163"/>
    </row>
    <row r="58" spans="1:20" ht="18" thickTop="1" thickBot="1">
      <c r="A58" s="153">
        <v>2.5</v>
      </c>
      <c r="B58" s="152"/>
      <c r="C58" s="152"/>
      <c r="D58" s="152"/>
      <c r="E58" s="152"/>
      <c r="F58" s="152"/>
      <c r="G58" s="152"/>
      <c r="H58" s="152"/>
      <c r="M58" s="157">
        <v>2.5</v>
      </c>
      <c r="N58" s="161"/>
      <c r="O58" s="161"/>
      <c r="P58" s="161"/>
      <c r="Q58" s="161"/>
      <c r="R58" s="162"/>
      <c r="S58" s="162"/>
      <c r="T58" s="163"/>
    </row>
    <row r="59" spans="1:20" ht="18" thickTop="1" thickBot="1">
      <c r="A59" s="153">
        <v>2.5099999999999998</v>
      </c>
      <c r="B59" s="152">
        <v>1</v>
      </c>
      <c r="C59" s="152">
        <v>1</v>
      </c>
      <c r="D59" s="152"/>
      <c r="E59" s="152">
        <v>1</v>
      </c>
      <c r="F59" s="152"/>
      <c r="G59" s="152">
        <v>1</v>
      </c>
      <c r="H59" s="152"/>
      <c r="M59" s="157">
        <v>2.5099999999999998</v>
      </c>
      <c r="N59" s="161">
        <v>1</v>
      </c>
      <c r="O59" s="161">
        <v>1</v>
      </c>
      <c r="P59" s="161"/>
      <c r="Q59" s="161">
        <v>1</v>
      </c>
      <c r="R59" s="162"/>
      <c r="S59" s="162">
        <v>1</v>
      </c>
      <c r="T59" s="163"/>
    </row>
    <row r="60" spans="1:20" ht="18" thickTop="1" thickBot="1">
      <c r="A60" s="153">
        <v>2.52</v>
      </c>
      <c r="B60" s="152">
        <v>1</v>
      </c>
      <c r="C60" s="152"/>
      <c r="D60" s="152"/>
      <c r="E60" s="152">
        <v>1</v>
      </c>
      <c r="F60" s="152"/>
      <c r="G60" s="152">
        <v>1</v>
      </c>
      <c r="H60" s="152"/>
      <c r="M60" s="157">
        <v>2.52</v>
      </c>
      <c r="N60" s="161">
        <v>1</v>
      </c>
      <c r="O60" s="161"/>
      <c r="P60" s="161"/>
      <c r="Q60" s="161">
        <v>1</v>
      </c>
      <c r="R60" s="162"/>
      <c r="S60" s="162">
        <v>1</v>
      </c>
      <c r="T60" s="163"/>
    </row>
    <row r="61" spans="1:20" ht="18" thickTop="1" thickBot="1">
      <c r="A61" s="153">
        <v>2.5299999999999998</v>
      </c>
      <c r="B61" s="152">
        <v>1</v>
      </c>
      <c r="C61" s="152">
        <v>1</v>
      </c>
      <c r="D61" s="152"/>
      <c r="E61" s="152"/>
      <c r="F61" s="152">
        <v>1</v>
      </c>
      <c r="G61" s="152"/>
      <c r="H61" s="152"/>
      <c r="M61" s="157">
        <v>2.5299999999999998</v>
      </c>
      <c r="N61" s="161">
        <v>1</v>
      </c>
      <c r="O61" s="161">
        <v>1</v>
      </c>
      <c r="P61" s="161"/>
      <c r="Q61" s="161"/>
      <c r="R61" s="162">
        <v>1</v>
      </c>
      <c r="S61" s="162"/>
      <c r="T61" s="163"/>
    </row>
    <row r="62" spans="1:20" ht="18" thickTop="1" thickBot="1">
      <c r="A62" s="153">
        <v>2.54</v>
      </c>
      <c r="B62" s="152">
        <v>1</v>
      </c>
      <c r="C62" s="152"/>
      <c r="D62" s="152"/>
      <c r="E62" s="152">
        <v>1</v>
      </c>
      <c r="F62" s="152"/>
      <c r="G62" s="152">
        <v>1</v>
      </c>
      <c r="H62" s="152"/>
      <c r="M62" s="157">
        <v>2.54</v>
      </c>
      <c r="N62" s="161">
        <v>1</v>
      </c>
      <c r="O62" s="161"/>
      <c r="P62" s="161"/>
      <c r="Q62" s="161">
        <v>1</v>
      </c>
      <c r="R62" s="162"/>
      <c r="S62" s="162">
        <v>1</v>
      </c>
      <c r="T62" s="163"/>
    </row>
    <row r="63" spans="1:20" ht="18" thickTop="1" thickBot="1">
      <c r="A63" s="153">
        <v>2.5499999999999998</v>
      </c>
      <c r="B63" s="152">
        <v>1</v>
      </c>
      <c r="C63" s="152"/>
      <c r="D63" s="152"/>
      <c r="E63" s="152">
        <v>1</v>
      </c>
      <c r="F63" s="152"/>
      <c r="G63" s="152">
        <v>1</v>
      </c>
      <c r="H63" s="152"/>
      <c r="M63" s="157">
        <v>2.5499999999999998</v>
      </c>
      <c r="N63" s="161">
        <v>1</v>
      </c>
      <c r="O63" s="161"/>
      <c r="P63" s="161"/>
      <c r="Q63" s="161">
        <v>1</v>
      </c>
      <c r="R63" s="162"/>
      <c r="S63" s="162">
        <v>1</v>
      </c>
      <c r="T63" s="163"/>
    </row>
    <row r="64" spans="1:20" ht="18" thickTop="1" thickBot="1">
      <c r="A64" s="153">
        <v>2.56</v>
      </c>
      <c r="B64" s="152">
        <v>1</v>
      </c>
      <c r="C64" s="152">
        <v>1</v>
      </c>
      <c r="D64" s="152"/>
      <c r="E64" s="152">
        <v>1</v>
      </c>
      <c r="F64" s="152"/>
      <c r="G64" s="152">
        <v>1</v>
      </c>
      <c r="H64" s="152"/>
      <c r="M64" s="157">
        <v>2.56</v>
      </c>
      <c r="N64" s="161">
        <v>1</v>
      </c>
      <c r="O64" s="161">
        <v>1</v>
      </c>
      <c r="P64" s="161"/>
      <c r="Q64" s="161">
        <v>1</v>
      </c>
      <c r="R64" s="162"/>
      <c r="S64" s="162">
        <v>1</v>
      </c>
      <c r="T64" s="163"/>
    </row>
    <row r="65" spans="1:20" ht="18" thickTop="1" thickBot="1">
      <c r="A65" s="153">
        <v>2.57</v>
      </c>
      <c r="B65" s="152">
        <v>1</v>
      </c>
      <c r="C65" s="152">
        <v>1</v>
      </c>
      <c r="D65" s="152">
        <v>1</v>
      </c>
      <c r="E65" s="152">
        <v>1</v>
      </c>
      <c r="F65" s="152"/>
      <c r="G65" s="152">
        <v>1</v>
      </c>
      <c r="H65" s="152"/>
      <c r="M65" s="157">
        <v>2.57</v>
      </c>
      <c r="N65" s="161">
        <v>1</v>
      </c>
      <c r="O65" s="161">
        <v>1</v>
      </c>
      <c r="P65" s="161">
        <v>1</v>
      </c>
      <c r="Q65" s="161">
        <v>1</v>
      </c>
      <c r="R65" s="162"/>
      <c r="S65" s="162">
        <v>1</v>
      </c>
      <c r="T65" s="163"/>
    </row>
    <row r="66" spans="1:20" ht="18" thickTop="1" thickBot="1">
      <c r="A66" s="153">
        <v>2.58</v>
      </c>
      <c r="B66" s="152"/>
      <c r="C66" s="152"/>
      <c r="D66" s="152"/>
      <c r="E66" s="152"/>
      <c r="F66" s="152"/>
      <c r="G66" s="152">
        <v>1</v>
      </c>
      <c r="H66" s="152"/>
      <c r="M66" s="157">
        <v>2.58</v>
      </c>
      <c r="N66" s="161"/>
      <c r="O66" s="161"/>
      <c r="P66" s="161"/>
      <c r="Q66" s="161"/>
      <c r="R66" s="162"/>
      <c r="S66" s="162">
        <v>1</v>
      </c>
      <c r="T66" s="163"/>
    </row>
    <row r="67" spans="1:20" ht="18" thickTop="1" thickBot="1">
      <c r="A67" s="153">
        <v>2.59</v>
      </c>
      <c r="B67" s="152"/>
      <c r="C67" s="152"/>
      <c r="D67" s="152"/>
      <c r="E67" s="152"/>
      <c r="F67" s="152">
        <v>1</v>
      </c>
      <c r="G67" s="152"/>
      <c r="H67" s="152"/>
      <c r="M67" s="157">
        <v>2.59</v>
      </c>
      <c r="N67" s="161"/>
      <c r="O67" s="161"/>
      <c r="P67" s="161"/>
      <c r="Q67" s="161"/>
      <c r="R67" s="162">
        <v>1</v>
      </c>
      <c r="S67" s="162"/>
      <c r="T67" s="163"/>
    </row>
    <row r="68" spans="1:20" ht="18" thickTop="1" thickBot="1">
      <c r="A68" s="153">
        <v>2.61</v>
      </c>
      <c r="B68" s="152">
        <v>1</v>
      </c>
      <c r="C68" s="152">
        <v>1</v>
      </c>
      <c r="D68" s="152">
        <v>1</v>
      </c>
      <c r="E68" s="152">
        <v>1</v>
      </c>
      <c r="F68" s="152"/>
      <c r="G68" s="152">
        <v>1</v>
      </c>
      <c r="H68" s="152"/>
      <c r="M68" s="157">
        <v>2.6</v>
      </c>
      <c r="N68" s="161">
        <v>1</v>
      </c>
      <c r="O68" s="161">
        <v>1</v>
      </c>
      <c r="P68" s="161">
        <v>1</v>
      </c>
      <c r="Q68" s="161">
        <v>1</v>
      </c>
      <c r="R68" s="162"/>
      <c r="S68" s="162">
        <v>1</v>
      </c>
      <c r="T68" s="163"/>
    </row>
    <row r="69" spans="1:20" ht="18" thickTop="1" thickBot="1">
      <c r="A69" s="153">
        <v>2.62</v>
      </c>
      <c r="B69" s="152">
        <v>1</v>
      </c>
      <c r="C69" s="152">
        <v>1</v>
      </c>
      <c r="D69" s="152">
        <v>1</v>
      </c>
      <c r="E69" s="152">
        <v>1</v>
      </c>
      <c r="F69" s="152"/>
      <c r="G69" s="152"/>
      <c r="H69" s="152">
        <v>1</v>
      </c>
      <c r="M69" s="157">
        <v>2.61</v>
      </c>
      <c r="N69" s="161">
        <v>1</v>
      </c>
      <c r="O69" s="161">
        <v>1</v>
      </c>
      <c r="P69" s="161">
        <v>1</v>
      </c>
      <c r="Q69" s="161">
        <v>1</v>
      </c>
      <c r="R69" s="162"/>
      <c r="S69" s="162"/>
      <c r="T69" s="164">
        <v>1</v>
      </c>
    </row>
    <row r="70" spans="1:20" ht="18" thickTop="1" thickBot="1">
      <c r="A70" s="153">
        <v>2.63</v>
      </c>
      <c r="B70" s="152">
        <v>1</v>
      </c>
      <c r="C70" s="152">
        <v>1</v>
      </c>
      <c r="D70" s="152"/>
      <c r="E70" s="152">
        <v>1</v>
      </c>
      <c r="F70" s="152"/>
      <c r="G70" s="152">
        <v>1</v>
      </c>
      <c r="H70" s="152"/>
      <c r="M70" s="157">
        <v>2.62</v>
      </c>
      <c r="N70" s="161">
        <v>1</v>
      </c>
      <c r="O70" s="161">
        <v>1</v>
      </c>
      <c r="P70" s="161"/>
      <c r="Q70" s="161">
        <v>1</v>
      </c>
      <c r="R70" s="162"/>
      <c r="S70" s="162">
        <v>1</v>
      </c>
      <c r="T70" s="163"/>
    </row>
    <row r="71" spans="1:20" ht="18" thickTop="1" thickBot="1">
      <c r="A71" s="153">
        <v>2.64</v>
      </c>
      <c r="B71" s="152">
        <v>1</v>
      </c>
      <c r="C71" s="152"/>
      <c r="D71" s="152">
        <v>1</v>
      </c>
      <c r="E71" s="152">
        <v>1</v>
      </c>
      <c r="F71" s="152"/>
      <c r="G71" s="152">
        <v>1</v>
      </c>
      <c r="H71" s="152">
        <v>1</v>
      </c>
      <c r="M71" s="157">
        <v>2.63</v>
      </c>
      <c r="N71" s="161">
        <v>1</v>
      </c>
      <c r="O71" s="161"/>
      <c r="P71" s="161">
        <v>1</v>
      </c>
      <c r="Q71" s="161">
        <v>1</v>
      </c>
      <c r="R71" s="162"/>
      <c r="S71" s="162">
        <v>1</v>
      </c>
      <c r="T71" s="164">
        <v>1</v>
      </c>
    </row>
    <row r="72" spans="1:20" ht="18" thickTop="1" thickBot="1">
      <c r="A72" s="153">
        <v>2.65</v>
      </c>
      <c r="B72" s="152">
        <v>1</v>
      </c>
      <c r="C72" s="152"/>
      <c r="D72" s="152">
        <v>1</v>
      </c>
      <c r="E72" s="152">
        <v>1</v>
      </c>
      <c r="F72" s="152">
        <v>1</v>
      </c>
      <c r="G72" s="152"/>
      <c r="H72" s="152"/>
      <c r="M72" s="157">
        <v>2.64</v>
      </c>
      <c r="N72" s="161">
        <v>1</v>
      </c>
      <c r="O72" s="161"/>
      <c r="P72" s="161">
        <v>1</v>
      </c>
      <c r="Q72" s="161">
        <v>1</v>
      </c>
      <c r="R72" s="162">
        <v>1</v>
      </c>
      <c r="S72" s="162"/>
      <c r="T72" s="163"/>
    </row>
    <row r="73" spans="1:20" ht="18" thickTop="1" thickBot="1">
      <c r="A73" s="153">
        <v>2.66</v>
      </c>
      <c r="B73" s="152">
        <v>1</v>
      </c>
      <c r="C73" s="152">
        <v>1</v>
      </c>
      <c r="D73" s="152">
        <v>1</v>
      </c>
      <c r="E73" s="152">
        <v>1</v>
      </c>
      <c r="F73" s="152"/>
      <c r="G73" s="152">
        <v>1</v>
      </c>
      <c r="H73" s="152"/>
      <c r="M73" s="157">
        <v>2.65</v>
      </c>
      <c r="N73" s="161">
        <v>1</v>
      </c>
      <c r="O73" s="161">
        <v>1</v>
      </c>
      <c r="P73" s="161">
        <v>1</v>
      </c>
      <c r="Q73" s="161">
        <v>1</v>
      </c>
      <c r="R73" s="162"/>
      <c r="S73" s="162">
        <v>1</v>
      </c>
      <c r="T73" s="163"/>
    </row>
    <row r="74" spans="1:20" ht="18" thickTop="1" thickBot="1">
      <c r="A74" s="153">
        <v>2.67</v>
      </c>
      <c r="B74" s="152">
        <v>1</v>
      </c>
      <c r="C74" s="152">
        <v>1</v>
      </c>
      <c r="D74" s="152"/>
      <c r="E74" s="152">
        <v>1</v>
      </c>
      <c r="F74" s="152"/>
      <c r="G74" s="152">
        <v>1</v>
      </c>
      <c r="H74" s="152"/>
      <c r="M74" s="157">
        <v>2.66</v>
      </c>
      <c r="N74" s="161">
        <v>1</v>
      </c>
      <c r="O74" s="161">
        <v>1</v>
      </c>
      <c r="P74" s="161"/>
      <c r="Q74" s="161">
        <v>1</v>
      </c>
      <c r="R74" s="162"/>
      <c r="S74" s="162">
        <v>1</v>
      </c>
      <c r="T74" s="163"/>
    </row>
    <row r="75" spans="1:20" ht="17" thickTop="1">
      <c r="A75"/>
    </row>
    <row r="76" spans="1:20">
      <c r="A76"/>
    </row>
    <row r="77" spans="1:20">
      <c r="A77"/>
    </row>
    <row r="78" spans="1:20">
      <c r="A78"/>
    </row>
    <row r="79" spans="1:20">
      <c r="A79"/>
    </row>
    <row r="80" spans="1:20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</sheetData>
  <conditionalFormatting sqref="X7:CS8 R1:S74">
    <cfRule type="cellIs" dxfId="5" priority="6" operator="equal">
      <formula>1</formula>
    </cfRule>
  </conditionalFormatting>
  <conditionalFormatting sqref="X3:CS6 N1:Q74">
    <cfRule type="cellIs" dxfId="4" priority="5" operator="equal">
      <formula>1</formula>
    </cfRule>
  </conditionalFormatting>
  <conditionalFormatting sqref="X9:CS9">
    <cfRule type="colorScale" priority="2614">
      <colorScale>
        <cfvo type="min"/>
        <cfvo type="max"/>
        <color rgb="FFFFB3CC"/>
        <color rgb="FF92D050"/>
      </colorScale>
    </cfRule>
  </conditionalFormatting>
  <conditionalFormatting sqref="T1:T74">
    <cfRule type="colorScale" priority="2619">
      <colorScale>
        <cfvo type="min"/>
        <cfvo type="max"/>
        <color rgb="FFFFB3CC"/>
        <color rgb="FF92D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23CF-4E17-EC42-B529-9021D7FEA264}">
  <dimension ref="A1:S302"/>
  <sheetViews>
    <sheetView topLeftCell="A229" workbookViewId="0">
      <selection activeCell="E254" sqref="E254"/>
    </sheetView>
  </sheetViews>
  <sheetFormatPr baseColWidth="10" defaultRowHeight="16"/>
  <cols>
    <col min="2" max="2" width="47.6640625" customWidth="1"/>
    <col min="3" max="3" width="19.1640625" customWidth="1"/>
    <col min="4" max="4" width="18.83203125" customWidth="1"/>
    <col min="5" max="5" width="40.1640625" customWidth="1"/>
    <col min="8" max="8" width="24.5" customWidth="1"/>
  </cols>
  <sheetData>
    <row r="1" spans="1:4" ht="35" thickBot="1">
      <c r="A1" s="1" t="s">
        <v>352</v>
      </c>
      <c r="B1" s="1" t="s">
        <v>430</v>
      </c>
      <c r="C1" s="1" t="s">
        <v>0</v>
      </c>
      <c r="D1" s="2" t="s">
        <v>1</v>
      </c>
    </row>
    <row r="2" spans="1:4">
      <c r="A2" s="19" t="s">
        <v>353</v>
      </c>
      <c r="B2" s="26" t="s">
        <v>431</v>
      </c>
      <c r="C2" s="3" t="s">
        <v>2</v>
      </c>
      <c r="D2" s="4" t="s">
        <v>2</v>
      </c>
    </row>
    <row r="3" spans="1:4">
      <c r="A3" s="20" t="s">
        <v>353</v>
      </c>
      <c r="B3" s="27" t="s">
        <v>431</v>
      </c>
      <c r="C3" s="5" t="s">
        <v>3</v>
      </c>
      <c r="D3" s="6" t="s">
        <v>3</v>
      </c>
    </row>
    <row r="4" spans="1:4">
      <c r="A4" s="20" t="s">
        <v>353</v>
      </c>
      <c r="B4" s="27" t="s">
        <v>431</v>
      </c>
      <c r="C4" s="5" t="s">
        <v>4</v>
      </c>
      <c r="D4" s="6" t="s">
        <v>4</v>
      </c>
    </row>
    <row r="5" spans="1:4">
      <c r="A5" s="20" t="s">
        <v>353</v>
      </c>
      <c r="B5" s="30" t="s">
        <v>431</v>
      </c>
      <c r="C5" s="5" t="s">
        <v>5</v>
      </c>
      <c r="D5" s="6" t="s">
        <v>5</v>
      </c>
    </row>
    <row r="6" spans="1:4">
      <c r="A6" s="20" t="s">
        <v>353</v>
      </c>
      <c r="B6" s="27" t="s">
        <v>431</v>
      </c>
      <c r="C6" s="7" t="s">
        <v>6</v>
      </c>
      <c r="D6" s="6" t="s">
        <v>6</v>
      </c>
    </row>
    <row r="7" spans="1:4" ht="17" thickBot="1">
      <c r="A7" s="21" t="s">
        <v>353</v>
      </c>
      <c r="B7" s="28" t="s">
        <v>431</v>
      </c>
      <c r="C7" s="8" t="s">
        <v>7</v>
      </c>
      <c r="D7" s="9" t="s">
        <v>7</v>
      </c>
    </row>
    <row r="8" spans="1:4">
      <c r="A8" s="22" t="s">
        <v>354</v>
      </c>
      <c r="B8" s="10" t="s">
        <v>432</v>
      </c>
      <c r="C8" s="10" t="s">
        <v>8</v>
      </c>
      <c r="D8" s="4" t="s">
        <v>8</v>
      </c>
    </row>
    <row r="9" spans="1:4">
      <c r="A9" s="23" t="s">
        <v>354</v>
      </c>
      <c r="B9" s="11" t="s">
        <v>432</v>
      </c>
      <c r="C9" s="29" t="s">
        <v>9</v>
      </c>
      <c r="D9" s="6" t="s">
        <v>10</v>
      </c>
    </row>
    <row r="10" spans="1:4" ht="17" thickBot="1">
      <c r="A10" s="24" t="s">
        <v>354</v>
      </c>
      <c r="B10" s="12" t="s">
        <v>432</v>
      </c>
      <c r="C10" s="12" t="s">
        <v>11</v>
      </c>
      <c r="D10" s="9" t="s">
        <v>12</v>
      </c>
    </row>
    <row r="11" spans="1:4">
      <c r="A11" s="19" t="s">
        <v>355</v>
      </c>
      <c r="B11" s="26" t="s">
        <v>433</v>
      </c>
      <c r="C11" s="3" t="s">
        <v>13</v>
      </c>
      <c r="D11" s="4" t="s">
        <v>13</v>
      </c>
    </row>
    <row r="12" spans="1:4">
      <c r="A12" s="20" t="s">
        <v>355</v>
      </c>
      <c r="B12" s="30" t="s">
        <v>433</v>
      </c>
      <c r="C12" s="5" t="s">
        <v>14</v>
      </c>
      <c r="D12" s="6" t="s">
        <v>14</v>
      </c>
    </row>
    <row r="13" spans="1:4">
      <c r="A13" s="20" t="s">
        <v>355</v>
      </c>
      <c r="B13" s="27" t="s">
        <v>433</v>
      </c>
      <c r="C13" s="5" t="s">
        <v>15</v>
      </c>
      <c r="D13" s="6" t="s">
        <v>15</v>
      </c>
    </row>
    <row r="14" spans="1:4">
      <c r="A14" s="20" t="s">
        <v>355</v>
      </c>
      <c r="B14" s="27" t="s">
        <v>433</v>
      </c>
      <c r="C14" s="5" t="s">
        <v>16</v>
      </c>
      <c r="D14" s="6" t="s">
        <v>16</v>
      </c>
    </row>
    <row r="15" spans="1:4">
      <c r="A15" s="20" t="s">
        <v>355</v>
      </c>
      <c r="B15" s="27" t="s">
        <v>433</v>
      </c>
      <c r="C15" s="5" t="s">
        <v>17</v>
      </c>
      <c r="D15" s="6" t="s">
        <v>17</v>
      </c>
    </row>
    <row r="16" spans="1:4">
      <c r="A16" s="20" t="s">
        <v>355</v>
      </c>
      <c r="B16" s="27" t="s">
        <v>433</v>
      </c>
      <c r="C16" s="5" t="s">
        <v>18</v>
      </c>
      <c r="D16" s="6" t="s">
        <v>18</v>
      </c>
    </row>
    <row r="17" spans="1:4">
      <c r="A17" s="20" t="s">
        <v>355</v>
      </c>
      <c r="B17" s="30" t="s">
        <v>433</v>
      </c>
      <c r="C17" s="7" t="s">
        <v>19</v>
      </c>
      <c r="D17" s="6" t="s">
        <v>19</v>
      </c>
    </row>
    <row r="18" spans="1:4">
      <c r="A18" s="20" t="s">
        <v>355</v>
      </c>
      <c r="B18" s="27" t="s">
        <v>433</v>
      </c>
      <c r="C18" s="7" t="s">
        <v>20</v>
      </c>
      <c r="D18" s="6" t="s">
        <v>20</v>
      </c>
    </row>
    <row r="19" spans="1:4">
      <c r="A19" s="20" t="s">
        <v>355</v>
      </c>
      <c r="B19" s="27" t="s">
        <v>433</v>
      </c>
      <c r="C19" s="7" t="s">
        <v>21</v>
      </c>
      <c r="D19" s="6" t="s">
        <v>21</v>
      </c>
    </row>
    <row r="20" spans="1:4">
      <c r="A20" s="20" t="s">
        <v>355</v>
      </c>
      <c r="B20" s="27" t="s">
        <v>433</v>
      </c>
      <c r="C20" s="7" t="s">
        <v>22</v>
      </c>
      <c r="D20" s="6" t="s">
        <v>22</v>
      </c>
    </row>
    <row r="21" spans="1:4">
      <c r="A21" s="20" t="s">
        <v>355</v>
      </c>
      <c r="B21" s="27" t="s">
        <v>433</v>
      </c>
      <c r="C21" s="7" t="s">
        <v>23</v>
      </c>
      <c r="D21" s="6" t="s">
        <v>23</v>
      </c>
    </row>
    <row r="22" spans="1:4">
      <c r="A22" s="20" t="s">
        <v>355</v>
      </c>
      <c r="B22" s="27" t="s">
        <v>433</v>
      </c>
      <c r="C22" s="7" t="s">
        <v>24</v>
      </c>
      <c r="D22" s="6" t="s">
        <v>24</v>
      </c>
    </row>
    <row r="23" spans="1:4">
      <c r="A23" s="20" t="s">
        <v>355</v>
      </c>
      <c r="B23" s="27" t="s">
        <v>433</v>
      </c>
      <c r="C23" s="7" t="s">
        <v>25</v>
      </c>
      <c r="D23" s="6" t="s">
        <v>25</v>
      </c>
    </row>
    <row r="24" spans="1:4">
      <c r="A24" s="20" t="s">
        <v>355</v>
      </c>
      <c r="B24" s="30" t="s">
        <v>433</v>
      </c>
      <c r="C24" s="7" t="s">
        <v>26</v>
      </c>
      <c r="D24" s="6" t="s">
        <v>26</v>
      </c>
    </row>
    <row r="25" spans="1:4">
      <c r="A25" s="20" t="s">
        <v>355</v>
      </c>
      <c r="B25" s="27" t="s">
        <v>433</v>
      </c>
      <c r="C25" s="7" t="s">
        <v>27</v>
      </c>
      <c r="D25" s="6" t="s">
        <v>27</v>
      </c>
    </row>
    <row r="26" spans="1:4">
      <c r="A26" s="20" t="s">
        <v>355</v>
      </c>
      <c r="B26" s="27" t="s">
        <v>433</v>
      </c>
      <c r="C26" s="7" t="s">
        <v>28</v>
      </c>
      <c r="D26" s="6" t="s">
        <v>28</v>
      </c>
    </row>
    <row r="27" spans="1:4">
      <c r="A27" s="20" t="s">
        <v>355</v>
      </c>
      <c r="B27" s="27" t="s">
        <v>433</v>
      </c>
      <c r="C27" s="7" t="s">
        <v>29</v>
      </c>
      <c r="D27" s="6" t="s">
        <v>29</v>
      </c>
    </row>
    <row r="28" spans="1:4">
      <c r="A28" s="20" t="s">
        <v>355</v>
      </c>
      <c r="B28" s="27" t="s">
        <v>433</v>
      </c>
      <c r="C28" s="7" t="s">
        <v>30</v>
      </c>
      <c r="D28" s="6" t="s">
        <v>30</v>
      </c>
    </row>
    <row r="29" spans="1:4" ht="17" thickBot="1">
      <c r="A29" s="21" t="s">
        <v>355</v>
      </c>
      <c r="B29" s="28" t="s">
        <v>433</v>
      </c>
      <c r="C29" s="8" t="s">
        <v>31</v>
      </c>
      <c r="D29" s="9" t="s">
        <v>31</v>
      </c>
    </row>
    <row r="30" spans="1:4">
      <c r="A30" s="22" t="s">
        <v>356</v>
      </c>
      <c r="B30" s="10" t="s">
        <v>434</v>
      </c>
      <c r="C30" s="13" t="s">
        <v>32</v>
      </c>
      <c r="D30" s="4" t="s">
        <v>32</v>
      </c>
    </row>
    <row r="31" spans="1:4">
      <c r="A31" s="23" t="s">
        <v>356</v>
      </c>
      <c r="B31" s="29" t="s">
        <v>434</v>
      </c>
      <c r="C31" s="31" t="s">
        <v>33</v>
      </c>
      <c r="D31" s="6" t="s">
        <v>33</v>
      </c>
    </row>
    <row r="32" spans="1:4">
      <c r="A32" s="23" t="s">
        <v>356</v>
      </c>
      <c r="B32" s="29" t="s">
        <v>434</v>
      </c>
      <c r="C32" s="29" t="s">
        <v>34</v>
      </c>
      <c r="D32" s="6" t="s">
        <v>34</v>
      </c>
    </row>
    <row r="33" spans="1:4">
      <c r="A33" s="23" t="s">
        <v>356</v>
      </c>
      <c r="B33" s="29" t="s">
        <v>434</v>
      </c>
      <c r="C33" s="29" t="s">
        <v>35</v>
      </c>
      <c r="D33" s="6" t="s">
        <v>35</v>
      </c>
    </row>
    <row r="34" spans="1:4">
      <c r="A34" s="23" t="s">
        <v>356</v>
      </c>
      <c r="B34" s="11" t="s">
        <v>434</v>
      </c>
      <c r="C34" s="29" t="s">
        <v>36</v>
      </c>
      <c r="D34" s="6" t="s">
        <v>36</v>
      </c>
    </row>
    <row r="35" spans="1:4">
      <c r="A35" s="23" t="s">
        <v>356</v>
      </c>
      <c r="B35" s="29" t="s">
        <v>434</v>
      </c>
      <c r="C35" s="29" t="s">
        <v>37</v>
      </c>
      <c r="D35" s="6" t="s">
        <v>37</v>
      </c>
    </row>
    <row r="36" spans="1:4">
      <c r="A36" s="23" t="s">
        <v>356</v>
      </c>
      <c r="B36" s="29" t="s">
        <v>434</v>
      </c>
      <c r="C36" s="29" t="s">
        <v>38</v>
      </c>
      <c r="D36" s="6" t="s">
        <v>38</v>
      </c>
    </row>
    <row r="37" spans="1:4">
      <c r="A37" s="23" t="s">
        <v>356</v>
      </c>
      <c r="B37" s="29" t="s">
        <v>434</v>
      </c>
      <c r="C37" s="29" t="s">
        <v>39</v>
      </c>
      <c r="D37" s="6" t="s">
        <v>39</v>
      </c>
    </row>
    <row r="38" spans="1:4" ht="17" thickBot="1">
      <c r="A38" s="24" t="s">
        <v>356</v>
      </c>
      <c r="B38" s="12" t="s">
        <v>434</v>
      </c>
      <c r="C38" s="12" t="s">
        <v>40</v>
      </c>
      <c r="D38" s="9" t="s">
        <v>40</v>
      </c>
    </row>
    <row r="39" spans="1:4">
      <c r="A39" s="19" t="s">
        <v>357</v>
      </c>
      <c r="B39" s="26" t="s">
        <v>435</v>
      </c>
      <c r="C39" s="3" t="s">
        <v>41</v>
      </c>
      <c r="D39" s="4" t="s">
        <v>41</v>
      </c>
    </row>
    <row r="40" spans="1:4">
      <c r="A40" s="20" t="s">
        <v>357</v>
      </c>
      <c r="B40" s="27" t="s">
        <v>435</v>
      </c>
      <c r="C40" s="5" t="s">
        <v>42</v>
      </c>
      <c r="D40" s="6" t="s">
        <v>42</v>
      </c>
    </row>
    <row r="41" spans="1:4">
      <c r="A41" s="20" t="s">
        <v>357</v>
      </c>
      <c r="B41" s="27" t="s">
        <v>435</v>
      </c>
      <c r="C41" s="5" t="s">
        <v>43</v>
      </c>
      <c r="D41" s="6" t="s">
        <v>43</v>
      </c>
    </row>
    <row r="42" spans="1:4">
      <c r="A42" s="20" t="s">
        <v>357</v>
      </c>
      <c r="B42" s="27" t="s">
        <v>435</v>
      </c>
      <c r="C42" s="5" t="s">
        <v>44</v>
      </c>
      <c r="D42" s="6" t="s">
        <v>44</v>
      </c>
    </row>
    <row r="43" spans="1:4">
      <c r="A43" s="20" t="s">
        <v>357</v>
      </c>
      <c r="B43" s="27" t="s">
        <v>435</v>
      </c>
      <c r="C43" s="7" t="s">
        <v>45</v>
      </c>
      <c r="D43" s="6" t="s">
        <v>45</v>
      </c>
    </row>
    <row r="44" spans="1:4">
      <c r="A44" s="20" t="s">
        <v>357</v>
      </c>
      <c r="B44" s="30" t="s">
        <v>435</v>
      </c>
      <c r="C44" s="7" t="s">
        <v>46</v>
      </c>
      <c r="D44" s="6" t="s">
        <v>46</v>
      </c>
    </row>
    <row r="45" spans="1:4">
      <c r="A45" s="20" t="s">
        <v>357</v>
      </c>
      <c r="B45" s="30" t="s">
        <v>435</v>
      </c>
      <c r="C45" s="7" t="s">
        <v>47</v>
      </c>
      <c r="D45" s="6" t="s">
        <v>47</v>
      </c>
    </row>
    <row r="46" spans="1:4">
      <c r="A46" s="20" t="s">
        <v>357</v>
      </c>
      <c r="B46" s="27" t="s">
        <v>435</v>
      </c>
      <c r="C46" s="7" t="s">
        <v>48</v>
      </c>
      <c r="D46" s="6" t="s">
        <v>48</v>
      </c>
    </row>
    <row r="47" spans="1:4">
      <c r="A47" s="20" t="s">
        <v>357</v>
      </c>
      <c r="B47" s="27" t="s">
        <v>435</v>
      </c>
      <c r="C47" s="7" t="s">
        <v>49</v>
      </c>
      <c r="D47" s="6" t="s">
        <v>49</v>
      </c>
    </row>
    <row r="48" spans="1:4" ht="17" thickBot="1">
      <c r="A48" s="21" t="s">
        <v>357</v>
      </c>
      <c r="B48" s="28" t="s">
        <v>435</v>
      </c>
      <c r="C48" s="8" t="s">
        <v>50</v>
      </c>
      <c r="D48" s="9" t="s">
        <v>50</v>
      </c>
    </row>
    <row r="49" spans="1:4">
      <c r="A49" s="22" t="s">
        <v>358</v>
      </c>
      <c r="B49" s="10" t="s">
        <v>436</v>
      </c>
      <c r="C49" s="13" t="s">
        <v>51</v>
      </c>
      <c r="D49" s="4" t="s">
        <v>51</v>
      </c>
    </row>
    <row r="50" spans="1:4">
      <c r="A50" s="23" t="s">
        <v>358</v>
      </c>
      <c r="B50" s="29" t="s">
        <v>436</v>
      </c>
      <c r="C50" s="29" t="s">
        <v>52</v>
      </c>
      <c r="D50" s="6" t="s">
        <v>52</v>
      </c>
    </row>
    <row r="51" spans="1:4">
      <c r="A51" s="23" t="s">
        <v>358</v>
      </c>
      <c r="B51" s="11" t="s">
        <v>436</v>
      </c>
      <c r="C51" s="29" t="s">
        <v>53</v>
      </c>
      <c r="D51" s="6" t="s">
        <v>53</v>
      </c>
    </row>
    <row r="52" spans="1:4">
      <c r="A52" s="23" t="s">
        <v>358</v>
      </c>
      <c r="B52" s="29" t="s">
        <v>436</v>
      </c>
      <c r="C52" s="29" t="s">
        <v>54</v>
      </c>
      <c r="D52" s="6" t="s">
        <v>54</v>
      </c>
    </row>
    <row r="53" spans="1:4">
      <c r="A53" s="23" t="s">
        <v>358</v>
      </c>
      <c r="B53" s="29" t="s">
        <v>436</v>
      </c>
      <c r="C53" s="29" t="s">
        <v>55</v>
      </c>
      <c r="D53" s="6" t="s">
        <v>55</v>
      </c>
    </row>
    <row r="54" spans="1:4" ht="17" thickBot="1">
      <c r="A54" s="24" t="s">
        <v>358</v>
      </c>
      <c r="B54" s="12" t="s">
        <v>436</v>
      </c>
      <c r="C54" s="12" t="s">
        <v>56</v>
      </c>
      <c r="D54" s="9" t="s">
        <v>56</v>
      </c>
    </row>
    <row r="55" spans="1:4">
      <c r="A55" s="19" t="s">
        <v>359</v>
      </c>
      <c r="B55" s="26" t="s">
        <v>437</v>
      </c>
      <c r="C55" s="15" t="s">
        <v>57</v>
      </c>
      <c r="D55" s="4" t="s">
        <v>57</v>
      </c>
    </row>
    <row r="56" spans="1:4">
      <c r="A56" s="20" t="s">
        <v>359</v>
      </c>
      <c r="B56" s="30" t="s">
        <v>437</v>
      </c>
      <c r="C56" s="7" t="s">
        <v>58</v>
      </c>
      <c r="D56" s="6" t="s">
        <v>58</v>
      </c>
    </row>
    <row r="57" spans="1:4">
      <c r="A57" s="20" t="s">
        <v>359</v>
      </c>
      <c r="B57" s="27" t="s">
        <v>437</v>
      </c>
      <c r="C57" s="7" t="s">
        <v>59</v>
      </c>
      <c r="D57" s="6" t="s">
        <v>59</v>
      </c>
    </row>
    <row r="58" spans="1:4">
      <c r="A58" s="20" t="s">
        <v>359</v>
      </c>
      <c r="B58" s="27" t="s">
        <v>437</v>
      </c>
      <c r="C58" s="5" t="s">
        <v>60</v>
      </c>
      <c r="D58" s="6" t="s">
        <v>60</v>
      </c>
    </row>
    <row r="59" spans="1:4" ht="17" thickBot="1">
      <c r="A59" s="21" t="s">
        <v>359</v>
      </c>
      <c r="B59" s="28" t="s">
        <v>437</v>
      </c>
      <c r="C59" s="8" t="s">
        <v>61</v>
      </c>
      <c r="D59" s="9" t="s">
        <v>62</v>
      </c>
    </row>
    <row r="60" spans="1:4">
      <c r="A60" s="22" t="s">
        <v>360</v>
      </c>
      <c r="B60" s="10" t="s">
        <v>438</v>
      </c>
      <c r="C60" s="13" t="s">
        <v>63</v>
      </c>
      <c r="D60" s="4" t="s">
        <v>63</v>
      </c>
    </row>
    <row r="61" spans="1:4">
      <c r="A61" s="23" t="s">
        <v>360</v>
      </c>
      <c r="B61" s="29" t="s">
        <v>438</v>
      </c>
      <c r="C61" s="29" t="s">
        <v>64</v>
      </c>
      <c r="D61" s="6" t="s">
        <v>64</v>
      </c>
    </row>
    <row r="62" spans="1:4">
      <c r="A62" s="23" t="s">
        <v>360</v>
      </c>
      <c r="B62" s="29" t="s">
        <v>438</v>
      </c>
      <c r="C62" s="29" t="s">
        <v>65</v>
      </c>
      <c r="D62" s="6" t="s">
        <v>65</v>
      </c>
    </row>
    <row r="63" spans="1:4">
      <c r="A63" s="23" t="s">
        <v>360</v>
      </c>
      <c r="B63" s="29" t="s">
        <v>438</v>
      </c>
      <c r="C63" s="29" t="s">
        <v>66</v>
      </c>
      <c r="D63" s="6" t="s">
        <v>66</v>
      </c>
    </row>
    <row r="64" spans="1:4" ht="17" thickBot="1">
      <c r="A64" s="23" t="s">
        <v>360</v>
      </c>
      <c r="B64" s="29" t="s">
        <v>438</v>
      </c>
      <c r="C64" s="29" t="s">
        <v>67</v>
      </c>
      <c r="D64" s="6" t="s">
        <v>67</v>
      </c>
    </row>
    <row r="65" spans="1:4">
      <c r="A65" s="19" t="s">
        <v>361</v>
      </c>
      <c r="B65" s="26" t="s">
        <v>439</v>
      </c>
      <c r="C65" s="3" t="s">
        <v>68</v>
      </c>
      <c r="D65" s="4" t="s">
        <v>68</v>
      </c>
    </row>
    <row r="66" spans="1:4">
      <c r="A66" s="20" t="s">
        <v>361</v>
      </c>
      <c r="B66" s="27" t="s">
        <v>439</v>
      </c>
      <c r="C66" s="5" t="s">
        <v>69</v>
      </c>
      <c r="D66" s="6" t="s">
        <v>69</v>
      </c>
    </row>
    <row r="67" spans="1:4">
      <c r="A67" s="20" t="s">
        <v>361</v>
      </c>
      <c r="B67" s="27" t="s">
        <v>439</v>
      </c>
      <c r="C67" s="5" t="s">
        <v>70</v>
      </c>
      <c r="D67" s="6" t="s">
        <v>70</v>
      </c>
    </row>
    <row r="68" spans="1:4">
      <c r="A68" s="20" t="s">
        <v>361</v>
      </c>
      <c r="B68" s="27" t="s">
        <v>439</v>
      </c>
      <c r="C68" s="7" t="s">
        <v>71</v>
      </c>
      <c r="D68" s="6" t="s">
        <v>71</v>
      </c>
    </row>
    <row r="69" spans="1:4" ht="17" thickBot="1">
      <c r="A69" s="21" t="s">
        <v>361</v>
      </c>
      <c r="B69" s="28" t="s">
        <v>439</v>
      </c>
      <c r="C69" s="8" t="s">
        <v>72</v>
      </c>
      <c r="D69" s="9" t="s">
        <v>72</v>
      </c>
    </row>
    <row r="70" spans="1:4">
      <c r="A70" s="22" t="s">
        <v>362</v>
      </c>
      <c r="B70" s="10" t="s">
        <v>440</v>
      </c>
      <c r="C70" s="13" t="s">
        <v>73</v>
      </c>
      <c r="D70" s="4" t="s">
        <v>73</v>
      </c>
    </row>
    <row r="71" spans="1:4">
      <c r="A71" s="23" t="s">
        <v>362</v>
      </c>
      <c r="B71" s="29" t="s">
        <v>440</v>
      </c>
      <c r="C71" s="31" t="s">
        <v>74</v>
      </c>
      <c r="D71" s="6" t="s">
        <v>74</v>
      </c>
    </row>
    <row r="72" spans="1:4" ht="17" thickBot="1">
      <c r="A72" s="24" t="s">
        <v>362</v>
      </c>
      <c r="B72" s="12" t="s">
        <v>440</v>
      </c>
      <c r="C72" s="12" t="s">
        <v>75</v>
      </c>
      <c r="D72" s="9" t="s">
        <v>75</v>
      </c>
    </row>
    <row r="73" spans="1:4">
      <c r="A73" s="19" t="s">
        <v>363</v>
      </c>
      <c r="B73" s="26" t="s">
        <v>441</v>
      </c>
      <c r="C73" s="3" t="s">
        <v>76</v>
      </c>
      <c r="D73" s="4" t="s">
        <v>76</v>
      </c>
    </row>
    <row r="74" spans="1:4">
      <c r="A74" s="20" t="s">
        <v>363</v>
      </c>
      <c r="B74" s="30" t="s">
        <v>441</v>
      </c>
      <c r="C74" s="7" t="s">
        <v>77</v>
      </c>
      <c r="D74" s="6" t="s">
        <v>77</v>
      </c>
    </row>
    <row r="75" spans="1:4">
      <c r="A75" s="20" t="s">
        <v>363</v>
      </c>
      <c r="B75" s="27" t="s">
        <v>441</v>
      </c>
      <c r="C75" s="7" t="s">
        <v>78</v>
      </c>
      <c r="D75" s="6" t="s">
        <v>78</v>
      </c>
    </row>
    <row r="76" spans="1:4">
      <c r="A76" s="20" t="s">
        <v>363</v>
      </c>
      <c r="B76" s="27" t="s">
        <v>441</v>
      </c>
      <c r="C76" s="7" t="s">
        <v>79</v>
      </c>
      <c r="D76" s="6" t="s">
        <v>80</v>
      </c>
    </row>
    <row r="77" spans="1:4" ht="17" thickBot="1">
      <c r="A77" s="21" t="s">
        <v>363</v>
      </c>
      <c r="B77" s="28" t="s">
        <v>441</v>
      </c>
      <c r="C77" s="8" t="s">
        <v>81</v>
      </c>
      <c r="D77" s="9" t="s">
        <v>82</v>
      </c>
    </row>
    <row r="78" spans="1:4">
      <c r="A78" s="22" t="s">
        <v>364</v>
      </c>
      <c r="B78" s="10" t="s">
        <v>442</v>
      </c>
      <c r="C78" s="13" t="s">
        <v>83</v>
      </c>
      <c r="D78" s="4" t="s">
        <v>83</v>
      </c>
    </row>
    <row r="79" spans="1:4">
      <c r="A79" s="23" t="s">
        <v>364</v>
      </c>
      <c r="B79" s="11" t="s">
        <v>442</v>
      </c>
      <c r="C79" s="31" t="s">
        <v>84</v>
      </c>
      <c r="D79" s="6" t="s">
        <v>84</v>
      </c>
    </row>
    <row r="80" spans="1:4" ht="17" thickBot="1">
      <c r="A80" s="24" t="s">
        <v>364</v>
      </c>
      <c r="B80" s="12" t="s">
        <v>442</v>
      </c>
      <c r="C80" s="12" t="s">
        <v>85</v>
      </c>
      <c r="D80" s="9" t="s">
        <v>86</v>
      </c>
    </row>
    <row r="81" spans="1:4">
      <c r="A81" s="19" t="s">
        <v>365</v>
      </c>
      <c r="B81" s="26" t="s">
        <v>443</v>
      </c>
      <c r="C81" s="3" t="s">
        <v>87</v>
      </c>
      <c r="D81" s="4" t="s">
        <v>87</v>
      </c>
    </row>
    <row r="82" spans="1:4">
      <c r="A82" s="20" t="s">
        <v>365</v>
      </c>
      <c r="B82" s="27" t="s">
        <v>443</v>
      </c>
      <c r="C82" s="7" t="s">
        <v>88</v>
      </c>
      <c r="D82" s="6" t="s">
        <v>88</v>
      </c>
    </row>
    <row r="83" spans="1:4" ht="17" thickBot="1">
      <c r="A83" s="21" t="s">
        <v>365</v>
      </c>
      <c r="B83" s="28" t="s">
        <v>443</v>
      </c>
      <c r="C83" s="8" t="s">
        <v>89</v>
      </c>
      <c r="D83" s="9" t="s">
        <v>89</v>
      </c>
    </row>
    <row r="84" spans="1:4">
      <c r="A84" s="22" t="s">
        <v>366</v>
      </c>
      <c r="B84" s="10" t="s">
        <v>444</v>
      </c>
      <c r="C84" s="13" t="s">
        <v>90</v>
      </c>
      <c r="D84" s="4" t="s">
        <v>90</v>
      </c>
    </row>
    <row r="85" spans="1:4" ht="17" thickBot="1">
      <c r="A85" s="24" t="s">
        <v>366</v>
      </c>
      <c r="B85" s="12" t="s">
        <v>444</v>
      </c>
      <c r="C85" s="12" t="s">
        <v>91</v>
      </c>
      <c r="D85" s="9" t="s">
        <v>91</v>
      </c>
    </row>
    <row r="86" spans="1:4">
      <c r="A86" s="19" t="s">
        <v>367</v>
      </c>
      <c r="B86" s="26" t="s">
        <v>445</v>
      </c>
      <c r="C86" s="3" t="s">
        <v>92</v>
      </c>
      <c r="D86" s="4" t="s">
        <v>92</v>
      </c>
    </row>
    <row r="87" spans="1:4">
      <c r="A87" s="20" t="s">
        <v>367</v>
      </c>
      <c r="B87" s="27" t="s">
        <v>445</v>
      </c>
      <c r="C87" s="5" t="s">
        <v>93</v>
      </c>
      <c r="D87" s="6" t="s">
        <v>93</v>
      </c>
    </row>
    <row r="88" spans="1:4">
      <c r="A88" s="20" t="s">
        <v>367</v>
      </c>
      <c r="B88" s="27" t="s">
        <v>445</v>
      </c>
      <c r="C88" s="5" t="s">
        <v>94</v>
      </c>
      <c r="D88" s="6" t="s">
        <v>94</v>
      </c>
    </row>
    <row r="89" spans="1:4">
      <c r="A89" s="20" t="s">
        <v>367</v>
      </c>
      <c r="B89" s="27" t="s">
        <v>445</v>
      </c>
      <c r="C89" s="5" t="s">
        <v>95</v>
      </c>
      <c r="D89" s="6" t="s">
        <v>95</v>
      </c>
    </row>
    <row r="90" spans="1:4">
      <c r="A90" s="20" t="s">
        <v>367</v>
      </c>
      <c r="B90" s="27" t="s">
        <v>445</v>
      </c>
      <c r="C90" s="5" t="s">
        <v>96</v>
      </c>
      <c r="D90" s="6" t="s">
        <v>96</v>
      </c>
    </row>
    <row r="91" spans="1:4">
      <c r="A91" s="20" t="s">
        <v>367</v>
      </c>
      <c r="B91" s="30" t="s">
        <v>445</v>
      </c>
      <c r="C91" s="5" t="s">
        <v>97</v>
      </c>
      <c r="D91" s="6" t="s">
        <v>97</v>
      </c>
    </row>
    <row r="92" spans="1:4">
      <c r="A92" s="20" t="s">
        <v>367</v>
      </c>
      <c r="B92" s="27" t="s">
        <v>445</v>
      </c>
      <c r="C92" s="5" t="s">
        <v>98</v>
      </c>
      <c r="D92" s="6" t="s">
        <v>98</v>
      </c>
    </row>
    <row r="93" spans="1:4">
      <c r="A93" s="20" t="s">
        <v>367</v>
      </c>
      <c r="B93" s="27" t="s">
        <v>445</v>
      </c>
      <c r="C93" s="7" t="s">
        <v>99</v>
      </c>
      <c r="D93" s="6" t="s">
        <v>99</v>
      </c>
    </row>
    <row r="94" spans="1:4" ht="17" thickBot="1">
      <c r="A94" s="21" t="s">
        <v>367</v>
      </c>
      <c r="B94" s="28" t="s">
        <v>445</v>
      </c>
      <c r="C94" s="8" t="s">
        <v>100</v>
      </c>
      <c r="D94" s="9" t="s">
        <v>100</v>
      </c>
    </row>
    <row r="95" spans="1:4">
      <c r="A95" s="22" t="s">
        <v>368</v>
      </c>
      <c r="B95" s="10" t="s">
        <v>446</v>
      </c>
      <c r="C95" s="13" t="s">
        <v>101</v>
      </c>
      <c r="D95" s="4" t="s">
        <v>101</v>
      </c>
    </row>
    <row r="96" spans="1:4">
      <c r="A96" s="23" t="s">
        <v>368</v>
      </c>
      <c r="B96" s="29" t="s">
        <v>446</v>
      </c>
      <c r="C96" s="31" t="s">
        <v>102</v>
      </c>
      <c r="D96" s="6" t="s">
        <v>102</v>
      </c>
    </row>
    <row r="97" spans="1:4">
      <c r="A97" s="23" t="s">
        <v>368</v>
      </c>
      <c r="B97" s="29" t="s">
        <v>446</v>
      </c>
      <c r="C97" s="31" t="s">
        <v>103</v>
      </c>
      <c r="D97" s="6" t="s">
        <v>103</v>
      </c>
    </row>
    <row r="98" spans="1:4">
      <c r="A98" s="23" t="s">
        <v>368</v>
      </c>
      <c r="B98" s="29" t="s">
        <v>446</v>
      </c>
      <c r="C98" s="29" t="s">
        <v>104</v>
      </c>
      <c r="D98" s="6" t="s">
        <v>104</v>
      </c>
    </row>
    <row r="99" spans="1:4">
      <c r="A99" s="23" t="s">
        <v>368</v>
      </c>
      <c r="B99" s="11" t="s">
        <v>446</v>
      </c>
      <c r="C99" s="29" t="s">
        <v>105</v>
      </c>
      <c r="D99" s="6" t="s">
        <v>105</v>
      </c>
    </row>
    <row r="100" spans="1:4">
      <c r="A100" s="23" t="s">
        <v>368</v>
      </c>
      <c r="B100" s="11" t="s">
        <v>446</v>
      </c>
      <c r="C100" s="29" t="s">
        <v>106</v>
      </c>
      <c r="D100" s="6" t="s">
        <v>106</v>
      </c>
    </row>
    <row r="101" spans="1:4">
      <c r="A101" s="23" t="s">
        <v>368</v>
      </c>
      <c r="B101" s="29" t="s">
        <v>446</v>
      </c>
      <c r="C101" s="29" t="s">
        <v>107</v>
      </c>
      <c r="D101" s="6" t="s">
        <v>107</v>
      </c>
    </row>
    <row r="102" spans="1:4">
      <c r="A102" s="23" t="s">
        <v>368</v>
      </c>
      <c r="B102" s="29" t="s">
        <v>446</v>
      </c>
      <c r="C102" s="29" t="s">
        <v>108</v>
      </c>
      <c r="D102" s="6" t="s">
        <v>108</v>
      </c>
    </row>
    <row r="103" spans="1:4">
      <c r="A103" s="23" t="s">
        <v>368</v>
      </c>
      <c r="B103" s="29" t="s">
        <v>446</v>
      </c>
      <c r="C103" s="29" t="s">
        <v>109</v>
      </c>
      <c r="D103" s="6" t="s">
        <v>109</v>
      </c>
    </row>
    <row r="104" spans="1:4">
      <c r="A104" s="23" t="s">
        <v>368</v>
      </c>
      <c r="B104" s="11" t="s">
        <v>446</v>
      </c>
      <c r="C104" s="29" t="s">
        <v>110</v>
      </c>
      <c r="D104" s="6" t="s">
        <v>110</v>
      </c>
    </row>
    <row r="105" spans="1:4" ht="17" thickBot="1">
      <c r="A105" s="24" t="s">
        <v>368</v>
      </c>
      <c r="B105" s="12" t="s">
        <v>446</v>
      </c>
      <c r="C105" s="12" t="s">
        <v>111</v>
      </c>
      <c r="D105" s="9" t="s">
        <v>111</v>
      </c>
    </row>
    <row r="106" spans="1:4">
      <c r="A106" s="19" t="s">
        <v>369</v>
      </c>
      <c r="B106" s="26" t="s">
        <v>447</v>
      </c>
      <c r="C106" s="3" t="s">
        <v>112</v>
      </c>
      <c r="D106" s="4" t="s">
        <v>112</v>
      </c>
    </row>
    <row r="107" spans="1:4" ht="17" thickBot="1">
      <c r="A107" s="21" t="s">
        <v>369</v>
      </c>
      <c r="B107" s="28" t="s">
        <v>447</v>
      </c>
      <c r="C107" s="8" t="s">
        <v>113</v>
      </c>
      <c r="D107" s="9" t="s">
        <v>113</v>
      </c>
    </row>
    <row r="108" spans="1:4">
      <c r="A108" s="22" t="s">
        <v>370</v>
      </c>
      <c r="B108" s="10" t="s">
        <v>448</v>
      </c>
      <c r="C108" s="13" t="s">
        <v>114</v>
      </c>
      <c r="D108" s="4" t="s">
        <v>114</v>
      </c>
    </row>
    <row r="109" spans="1:4" ht="17" thickBot="1">
      <c r="A109" s="24" t="s">
        <v>370</v>
      </c>
      <c r="B109" s="12" t="s">
        <v>448</v>
      </c>
      <c r="C109" s="12" t="s">
        <v>115</v>
      </c>
      <c r="D109" s="9" t="s">
        <v>115</v>
      </c>
    </row>
    <row r="110" spans="1:4">
      <c r="A110" s="25" t="s">
        <v>371</v>
      </c>
      <c r="B110" s="27" t="s">
        <v>449</v>
      </c>
      <c r="C110" s="5" t="s">
        <v>116</v>
      </c>
      <c r="D110" s="16" t="s">
        <v>116</v>
      </c>
    </row>
    <row r="111" spans="1:4" ht="17" thickBot="1">
      <c r="A111" s="25" t="s">
        <v>371</v>
      </c>
      <c r="B111" s="27" t="s">
        <v>449</v>
      </c>
      <c r="C111" s="7" t="s">
        <v>117</v>
      </c>
      <c r="D111" s="17" t="s">
        <v>118</v>
      </c>
    </row>
    <row r="112" spans="1:4">
      <c r="A112" s="22" t="s">
        <v>372</v>
      </c>
      <c r="B112" s="10" t="s">
        <v>450</v>
      </c>
      <c r="C112" s="13" t="s">
        <v>119</v>
      </c>
      <c r="D112" s="4" t="s">
        <v>119</v>
      </c>
    </row>
    <row r="113" spans="1:4">
      <c r="A113" s="23" t="s">
        <v>372</v>
      </c>
      <c r="B113" s="11" t="s">
        <v>450</v>
      </c>
      <c r="C113" s="31" t="s">
        <v>120</v>
      </c>
      <c r="D113" s="6" t="s">
        <v>120</v>
      </c>
    </row>
    <row r="114" spans="1:4" ht="17" thickBot="1">
      <c r="A114" s="24" t="s">
        <v>372</v>
      </c>
      <c r="B114" s="12" t="s">
        <v>450</v>
      </c>
      <c r="C114" s="18" t="s">
        <v>121</v>
      </c>
      <c r="D114" s="9" t="s">
        <v>121</v>
      </c>
    </row>
    <row r="115" spans="1:4">
      <c r="A115" s="19" t="s">
        <v>373</v>
      </c>
      <c r="B115" s="26" t="s">
        <v>451</v>
      </c>
      <c r="C115" s="3" t="s">
        <v>122</v>
      </c>
      <c r="D115" s="4" t="s">
        <v>122</v>
      </c>
    </row>
    <row r="116" spans="1:4" ht="17" thickBot="1">
      <c r="A116" s="21" t="s">
        <v>373</v>
      </c>
      <c r="B116" s="28" t="s">
        <v>451</v>
      </c>
      <c r="C116" s="8" t="s">
        <v>123</v>
      </c>
      <c r="D116" s="9" t="s">
        <v>123</v>
      </c>
    </row>
    <row r="117" spans="1:4">
      <c r="A117" s="22" t="s">
        <v>374</v>
      </c>
      <c r="B117" s="10" t="s">
        <v>452</v>
      </c>
      <c r="C117" s="10" t="s">
        <v>124</v>
      </c>
      <c r="D117" s="4" t="s">
        <v>124</v>
      </c>
    </row>
    <row r="118" spans="1:4">
      <c r="A118" s="23" t="s">
        <v>374</v>
      </c>
      <c r="B118" s="29" t="s">
        <v>452</v>
      </c>
      <c r="C118" s="29" t="s">
        <v>125</v>
      </c>
      <c r="D118" s="6" t="s">
        <v>125</v>
      </c>
    </row>
    <row r="119" spans="1:4">
      <c r="A119" s="23" t="s">
        <v>374</v>
      </c>
      <c r="B119" s="11" t="s">
        <v>452</v>
      </c>
      <c r="C119" s="29" t="s">
        <v>126</v>
      </c>
      <c r="D119" s="6" t="s">
        <v>127</v>
      </c>
    </row>
    <row r="120" spans="1:4">
      <c r="A120" s="23" t="s">
        <v>374</v>
      </c>
      <c r="B120" s="29" t="s">
        <v>452</v>
      </c>
      <c r="C120" s="29" t="s">
        <v>128</v>
      </c>
      <c r="D120" s="6" t="s">
        <v>129</v>
      </c>
    </row>
    <row r="121" spans="1:4">
      <c r="A121" s="23" t="s">
        <v>374</v>
      </c>
      <c r="B121" s="29" t="s">
        <v>452</v>
      </c>
      <c r="C121" s="29" t="s">
        <v>130</v>
      </c>
      <c r="D121" s="6" t="s">
        <v>131</v>
      </c>
    </row>
    <row r="122" spans="1:4">
      <c r="A122" s="23" t="s">
        <v>374</v>
      </c>
      <c r="B122" s="29" t="s">
        <v>452</v>
      </c>
      <c r="C122" s="29" t="s">
        <v>132</v>
      </c>
      <c r="D122" s="6" t="s">
        <v>133</v>
      </c>
    </row>
    <row r="123" spans="1:4" ht="17" thickBot="1">
      <c r="A123" s="24" t="s">
        <v>374</v>
      </c>
      <c r="B123" s="12" t="s">
        <v>452</v>
      </c>
      <c r="C123" s="12" t="s">
        <v>134</v>
      </c>
      <c r="D123" s="9" t="s">
        <v>135</v>
      </c>
    </row>
    <row r="124" spans="1:4">
      <c r="A124" s="19" t="s">
        <v>375</v>
      </c>
      <c r="B124" s="26" t="s">
        <v>453</v>
      </c>
      <c r="C124" s="3" t="s">
        <v>136</v>
      </c>
      <c r="D124" s="4" t="s">
        <v>136</v>
      </c>
    </row>
    <row r="125" spans="1:4" ht="17" thickBot="1">
      <c r="A125" s="21" t="s">
        <v>375</v>
      </c>
      <c r="B125" s="28" t="s">
        <v>453</v>
      </c>
      <c r="C125" s="8" t="s">
        <v>137</v>
      </c>
      <c r="D125" s="9" t="s">
        <v>137</v>
      </c>
    </row>
    <row r="126" spans="1:4">
      <c r="A126" s="22" t="s">
        <v>376</v>
      </c>
      <c r="B126" s="10" t="s">
        <v>454</v>
      </c>
      <c r="C126" s="10" t="s">
        <v>138</v>
      </c>
      <c r="D126" s="4" t="s">
        <v>138</v>
      </c>
    </row>
    <row r="127" spans="1:4" ht="17" thickBot="1">
      <c r="A127" s="24" t="s">
        <v>376</v>
      </c>
      <c r="B127" s="12" t="s">
        <v>454</v>
      </c>
      <c r="C127" s="12" t="s">
        <v>139</v>
      </c>
      <c r="D127" s="9" t="s">
        <v>139</v>
      </c>
    </row>
    <row r="128" spans="1:4">
      <c r="A128" s="19" t="s">
        <v>377</v>
      </c>
      <c r="B128" s="26" t="s">
        <v>455</v>
      </c>
      <c r="C128" s="3" t="s">
        <v>140</v>
      </c>
      <c r="D128" s="4" t="s">
        <v>140</v>
      </c>
    </row>
    <row r="129" spans="1:4">
      <c r="A129" s="20" t="s">
        <v>377</v>
      </c>
      <c r="B129" s="30" t="s">
        <v>455</v>
      </c>
      <c r="C129" s="7" t="s">
        <v>141</v>
      </c>
      <c r="D129" s="6" t="s">
        <v>141</v>
      </c>
    </row>
    <row r="130" spans="1:4" ht="17" thickBot="1">
      <c r="A130" s="21" t="s">
        <v>377</v>
      </c>
      <c r="B130" s="28" t="s">
        <v>455</v>
      </c>
      <c r="C130" s="8" t="s">
        <v>142</v>
      </c>
      <c r="D130" s="9" t="s">
        <v>143</v>
      </c>
    </row>
    <row r="131" spans="1:4">
      <c r="A131" s="22" t="s">
        <v>378</v>
      </c>
      <c r="B131" s="10" t="s">
        <v>456</v>
      </c>
      <c r="C131" s="10" t="s">
        <v>144</v>
      </c>
      <c r="D131" s="4" t="s">
        <v>144</v>
      </c>
    </row>
    <row r="132" spans="1:4" ht="17" thickBot="1">
      <c r="A132" s="24" t="s">
        <v>378</v>
      </c>
      <c r="B132" s="12" t="s">
        <v>456</v>
      </c>
      <c r="C132" s="12" t="s">
        <v>145</v>
      </c>
      <c r="D132" s="9" t="s">
        <v>145</v>
      </c>
    </row>
    <row r="133" spans="1:4">
      <c r="A133" s="19" t="s">
        <v>379</v>
      </c>
      <c r="B133" s="26" t="s">
        <v>457</v>
      </c>
      <c r="C133" s="15" t="s">
        <v>146</v>
      </c>
      <c r="D133" s="4" t="s">
        <v>146</v>
      </c>
    </row>
    <row r="134" spans="1:4" ht="17" thickBot="1">
      <c r="A134" s="21" t="s">
        <v>379</v>
      </c>
      <c r="B134" s="28" t="s">
        <v>457</v>
      </c>
      <c r="C134" s="8" t="s">
        <v>147</v>
      </c>
      <c r="D134" s="9" t="s">
        <v>148</v>
      </c>
    </row>
    <row r="135" spans="1:4">
      <c r="A135" s="22" t="s">
        <v>380</v>
      </c>
      <c r="B135" s="10" t="s">
        <v>458</v>
      </c>
      <c r="C135" s="10" t="s">
        <v>149</v>
      </c>
      <c r="D135" s="4" t="s">
        <v>149</v>
      </c>
    </row>
    <row r="136" spans="1:4" ht="17" thickBot="1">
      <c r="A136" s="24" t="s">
        <v>380</v>
      </c>
      <c r="B136" s="12" t="s">
        <v>458</v>
      </c>
      <c r="C136" s="12" t="s">
        <v>150</v>
      </c>
      <c r="D136" s="9" t="s">
        <v>151</v>
      </c>
    </row>
    <row r="137" spans="1:4">
      <c r="A137" s="19" t="s">
        <v>381</v>
      </c>
      <c r="B137" s="26" t="s">
        <v>459</v>
      </c>
      <c r="C137" s="3" t="s">
        <v>152</v>
      </c>
      <c r="D137" s="4" t="s">
        <v>152</v>
      </c>
    </row>
    <row r="138" spans="1:4">
      <c r="A138" s="20" t="s">
        <v>381</v>
      </c>
      <c r="B138" s="27" t="s">
        <v>459</v>
      </c>
      <c r="C138" s="5" t="s">
        <v>153</v>
      </c>
      <c r="D138" s="6" t="s">
        <v>153</v>
      </c>
    </row>
    <row r="139" spans="1:4">
      <c r="A139" s="20" t="s">
        <v>381</v>
      </c>
      <c r="B139" s="27" t="s">
        <v>459</v>
      </c>
      <c r="C139" s="7" t="s">
        <v>154</v>
      </c>
      <c r="D139" s="6" t="s">
        <v>154</v>
      </c>
    </row>
    <row r="140" spans="1:4">
      <c r="A140" s="20" t="s">
        <v>381</v>
      </c>
      <c r="B140" s="27" t="s">
        <v>459</v>
      </c>
      <c r="C140" s="7" t="s">
        <v>155</v>
      </c>
      <c r="D140" s="6" t="s">
        <v>156</v>
      </c>
    </row>
    <row r="141" spans="1:4">
      <c r="A141" s="20" t="s">
        <v>381</v>
      </c>
      <c r="B141" s="27" t="s">
        <v>459</v>
      </c>
      <c r="C141" s="7" t="s">
        <v>157</v>
      </c>
      <c r="D141" s="6" t="s">
        <v>157</v>
      </c>
    </row>
    <row r="142" spans="1:4">
      <c r="A142" s="20" t="s">
        <v>381</v>
      </c>
      <c r="B142" s="27" t="s">
        <v>459</v>
      </c>
      <c r="C142" s="7" t="s">
        <v>158</v>
      </c>
      <c r="D142" s="6" t="s">
        <v>158</v>
      </c>
    </row>
    <row r="143" spans="1:4">
      <c r="A143" s="20" t="s">
        <v>381</v>
      </c>
      <c r="B143" s="27" t="s">
        <v>459</v>
      </c>
      <c r="C143" s="7" t="s">
        <v>155</v>
      </c>
      <c r="D143" s="6" t="s">
        <v>159</v>
      </c>
    </row>
    <row r="144" spans="1:4" ht="17" thickBot="1">
      <c r="A144" s="20" t="s">
        <v>381</v>
      </c>
      <c r="B144" s="27" t="s">
        <v>459</v>
      </c>
      <c r="C144" s="7" t="s">
        <v>155</v>
      </c>
      <c r="D144" s="6" t="s">
        <v>160</v>
      </c>
    </row>
    <row r="145" spans="1:5">
      <c r="A145" s="22" t="s">
        <v>382</v>
      </c>
      <c r="B145" s="10" t="s">
        <v>460</v>
      </c>
      <c r="C145" s="10" t="s">
        <v>161</v>
      </c>
      <c r="D145" s="4" t="s">
        <v>162</v>
      </c>
      <c r="E145" s="44" t="s">
        <v>3679</v>
      </c>
    </row>
    <row r="146" spans="1:5" ht="17" thickBot="1">
      <c r="A146" s="24" t="s">
        <v>382</v>
      </c>
      <c r="B146" s="12" t="s">
        <v>460</v>
      </c>
      <c r="C146" s="12" t="s">
        <v>163</v>
      </c>
      <c r="D146" s="9" t="s">
        <v>164</v>
      </c>
    </row>
    <row r="147" spans="1:5">
      <c r="A147" s="19" t="s">
        <v>383</v>
      </c>
      <c r="B147" s="26" t="s">
        <v>461</v>
      </c>
      <c r="C147" s="15" t="s">
        <v>165</v>
      </c>
      <c r="D147" s="4" t="s">
        <v>166</v>
      </c>
    </row>
    <row r="148" spans="1:5">
      <c r="A148" s="20" t="s">
        <v>383</v>
      </c>
      <c r="B148" s="27" t="s">
        <v>461</v>
      </c>
      <c r="C148" s="7" t="s">
        <v>167</v>
      </c>
      <c r="D148" s="6" t="s">
        <v>168</v>
      </c>
    </row>
    <row r="149" spans="1:5">
      <c r="A149" s="20" t="s">
        <v>383</v>
      </c>
      <c r="B149" s="27" t="s">
        <v>461</v>
      </c>
      <c r="C149" s="7" t="s">
        <v>169</v>
      </c>
      <c r="D149" s="6" t="s">
        <v>170</v>
      </c>
    </row>
    <row r="150" spans="1:5">
      <c r="A150" s="20" t="s">
        <v>383</v>
      </c>
      <c r="B150" s="27" t="s">
        <v>461</v>
      </c>
      <c r="C150" s="7" t="s">
        <v>171</v>
      </c>
      <c r="D150" s="6" t="s">
        <v>172</v>
      </c>
    </row>
    <row r="151" spans="1:5">
      <c r="A151" s="20" t="s">
        <v>383</v>
      </c>
      <c r="B151" s="27" t="s">
        <v>461</v>
      </c>
      <c r="C151" s="7" t="s">
        <v>173</v>
      </c>
      <c r="D151" s="6" t="s">
        <v>174</v>
      </c>
    </row>
    <row r="152" spans="1:5">
      <c r="A152" s="20" t="s">
        <v>383</v>
      </c>
      <c r="B152" s="27" t="s">
        <v>461</v>
      </c>
      <c r="C152" s="7" t="s">
        <v>175</v>
      </c>
      <c r="D152" s="6" t="s">
        <v>176</v>
      </c>
    </row>
    <row r="153" spans="1:5">
      <c r="A153" s="20" t="s">
        <v>383</v>
      </c>
      <c r="B153" s="27" t="s">
        <v>461</v>
      </c>
      <c r="C153" s="7" t="s">
        <v>177</v>
      </c>
      <c r="D153" s="6" t="s">
        <v>162</v>
      </c>
    </row>
    <row r="154" spans="1:5">
      <c r="A154" s="20" t="s">
        <v>383</v>
      </c>
      <c r="B154" s="27" t="s">
        <v>461</v>
      </c>
      <c r="C154" s="7" t="s">
        <v>178</v>
      </c>
      <c r="D154" s="6" t="s">
        <v>179</v>
      </c>
    </row>
    <row r="155" spans="1:5" ht="17" thickBot="1">
      <c r="A155" s="21" t="s">
        <v>383</v>
      </c>
      <c r="B155" s="28" t="s">
        <v>461</v>
      </c>
      <c r="C155" s="8" t="s">
        <v>180</v>
      </c>
      <c r="D155" s="9" t="s">
        <v>181</v>
      </c>
    </row>
    <row r="156" spans="1:5">
      <c r="A156" s="22" t="s">
        <v>384</v>
      </c>
      <c r="B156" s="10" t="s">
        <v>462</v>
      </c>
      <c r="C156" s="13" t="s">
        <v>182</v>
      </c>
      <c r="D156" s="4" t="s">
        <v>182</v>
      </c>
    </row>
    <row r="157" spans="1:5">
      <c r="A157" s="23" t="s">
        <v>384</v>
      </c>
      <c r="B157" s="29" t="s">
        <v>462</v>
      </c>
      <c r="C157" s="31" t="s">
        <v>183</v>
      </c>
      <c r="D157" s="6" t="s">
        <v>183</v>
      </c>
    </row>
    <row r="158" spans="1:5">
      <c r="A158" s="23" t="s">
        <v>384</v>
      </c>
      <c r="B158" s="29" t="s">
        <v>462</v>
      </c>
      <c r="C158" s="31" t="s">
        <v>184</v>
      </c>
      <c r="D158" s="6" t="s">
        <v>184</v>
      </c>
    </row>
    <row r="159" spans="1:5">
      <c r="A159" s="23" t="s">
        <v>384</v>
      </c>
      <c r="B159" s="29" t="s">
        <v>462</v>
      </c>
      <c r="C159" s="31" t="s">
        <v>185</v>
      </c>
      <c r="D159" s="6" t="s">
        <v>185</v>
      </c>
    </row>
    <row r="160" spans="1:5">
      <c r="A160" s="23" t="s">
        <v>384</v>
      </c>
      <c r="B160" s="29" t="s">
        <v>462</v>
      </c>
      <c r="C160" s="29" t="s">
        <v>186</v>
      </c>
      <c r="D160" s="6" t="s">
        <v>186</v>
      </c>
    </row>
    <row r="161" spans="1:5">
      <c r="A161" s="23" t="s">
        <v>384</v>
      </c>
      <c r="B161" s="29" t="s">
        <v>462</v>
      </c>
      <c r="C161" s="31" t="s">
        <v>187</v>
      </c>
      <c r="D161" s="6" t="s">
        <v>187</v>
      </c>
    </row>
    <row r="162" spans="1:5">
      <c r="A162" s="23" t="s">
        <v>384</v>
      </c>
      <c r="B162" s="29" t="s">
        <v>462</v>
      </c>
      <c r="C162" s="29" t="s">
        <v>188</v>
      </c>
      <c r="D162" s="6" t="s">
        <v>188</v>
      </c>
    </row>
    <row r="163" spans="1:5" ht="17" thickBot="1">
      <c r="A163" s="24" t="s">
        <v>384</v>
      </c>
      <c r="B163" s="12" t="s">
        <v>462</v>
      </c>
      <c r="C163" s="12" t="s">
        <v>189</v>
      </c>
      <c r="D163" s="9" t="s">
        <v>189</v>
      </c>
    </row>
    <row r="164" spans="1:5">
      <c r="A164" s="19" t="s">
        <v>385</v>
      </c>
      <c r="B164" s="26" t="s">
        <v>463</v>
      </c>
      <c r="C164" s="3" t="s">
        <v>190</v>
      </c>
      <c r="D164" s="4" t="s">
        <v>190</v>
      </c>
      <c r="E164" t="s">
        <v>3680</v>
      </c>
    </row>
    <row r="165" spans="1:5">
      <c r="A165" s="20" t="s">
        <v>385</v>
      </c>
      <c r="B165" s="27" t="s">
        <v>463</v>
      </c>
      <c r="C165" s="7" t="s">
        <v>191</v>
      </c>
      <c r="D165" s="6" t="s">
        <v>191</v>
      </c>
    </row>
    <row r="166" spans="1:5">
      <c r="A166" s="20" t="s">
        <v>385</v>
      </c>
      <c r="B166" s="27" t="s">
        <v>463</v>
      </c>
      <c r="C166" s="7" t="s">
        <v>192</v>
      </c>
      <c r="D166" s="6" t="s">
        <v>192</v>
      </c>
    </row>
    <row r="167" spans="1:5">
      <c r="A167" s="20" t="s">
        <v>385</v>
      </c>
      <c r="B167" s="27" t="s">
        <v>463</v>
      </c>
      <c r="C167" s="7" t="s">
        <v>193</v>
      </c>
      <c r="D167" s="6" t="s">
        <v>193</v>
      </c>
    </row>
    <row r="168" spans="1:5" ht="17" thickBot="1">
      <c r="A168" s="21" t="s">
        <v>385</v>
      </c>
      <c r="B168" s="28" t="s">
        <v>463</v>
      </c>
      <c r="C168" s="8" t="s">
        <v>194</v>
      </c>
      <c r="D168" s="9" t="s">
        <v>195</v>
      </c>
    </row>
    <row r="169" spans="1:5">
      <c r="A169" s="22" t="s">
        <v>386</v>
      </c>
      <c r="B169" s="10" t="s">
        <v>464</v>
      </c>
      <c r="C169" s="13" t="s">
        <v>196</v>
      </c>
      <c r="D169" s="4" t="s">
        <v>196</v>
      </c>
      <c r="E169" t="s">
        <v>3680</v>
      </c>
    </row>
    <row r="170" spans="1:5">
      <c r="A170" s="23" t="s">
        <v>386</v>
      </c>
      <c r="B170" s="11" t="s">
        <v>464</v>
      </c>
      <c r="C170" s="14" t="s">
        <v>197</v>
      </c>
      <c r="D170" s="6" t="s">
        <v>197</v>
      </c>
    </row>
    <row r="171" spans="1:5">
      <c r="A171" s="23" t="s">
        <v>386</v>
      </c>
      <c r="B171" s="29" t="s">
        <v>464</v>
      </c>
      <c r="C171" s="29" t="s">
        <v>198</v>
      </c>
      <c r="D171" s="6" t="s">
        <v>198</v>
      </c>
    </row>
    <row r="172" spans="1:5">
      <c r="A172" s="23" t="s">
        <v>386</v>
      </c>
      <c r="B172" s="29" t="s">
        <v>464</v>
      </c>
      <c r="C172" s="29" t="s">
        <v>199</v>
      </c>
      <c r="D172" s="6" t="s">
        <v>199</v>
      </c>
    </row>
    <row r="173" spans="1:5" ht="17" thickBot="1">
      <c r="A173" s="24" t="s">
        <v>386</v>
      </c>
      <c r="B173" s="12" t="s">
        <v>464</v>
      </c>
      <c r="C173" s="12" t="s">
        <v>200</v>
      </c>
      <c r="D173" s="9" t="s">
        <v>200</v>
      </c>
    </row>
    <row r="174" spans="1:5">
      <c r="A174" s="19" t="s">
        <v>387</v>
      </c>
      <c r="B174" s="26" t="s">
        <v>465</v>
      </c>
      <c r="C174" s="3" t="s">
        <v>201</v>
      </c>
      <c r="D174" s="4" t="s">
        <v>201</v>
      </c>
      <c r="E174" t="s">
        <v>3680</v>
      </c>
    </row>
    <row r="175" spans="1:5">
      <c r="A175" s="20" t="s">
        <v>387</v>
      </c>
      <c r="B175" s="27" t="s">
        <v>465</v>
      </c>
      <c r="C175" s="5" t="s">
        <v>202</v>
      </c>
      <c r="D175" s="6" t="s">
        <v>202</v>
      </c>
    </row>
    <row r="176" spans="1:5">
      <c r="A176" s="20" t="s">
        <v>387</v>
      </c>
      <c r="B176" s="27" t="s">
        <v>465</v>
      </c>
      <c r="C176" s="7" t="s">
        <v>203</v>
      </c>
      <c r="D176" s="6" t="s">
        <v>203</v>
      </c>
    </row>
    <row r="177" spans="1:5">
      <c r="A177" s="20" t="s">
        <v>387</v>
      </c>
      <c r="B177" s="27" t="s">
        <v>465</v>
      </c>
      <c r="C177" s="7" t="s">
        <v>204</v>
      </c>
      <c r="D177" s="6" t="s">
        <v>204</v>
      </c>
    </row>
    <row r="178" spans="1:5" ht="17" thickBot="1">
      <c r="A178" s="21" t="s">
        <v>387</v>
      </c>
      <c r="B178" s="28" t="s">
        <v>465</v>
      </c>
      <c r="C178" s="8" t="s">
        <v>205</v>
      </c>
      <c r="D178" s="9" t="s">
        <v>205</v>
      </c>
    </row>
    <row r="179" spans="1:5">
      <c r="A179" s="22" t="s">
        <v>388</v>
      </c>
      <c r="B179" s="10" t="s">
        <v>466</v>
      </c>
      <c r="C179" s="10" t="s">
        <v>206</v>
      </c>
      <c r="D179" s="4" t="s">
        <v>206</v>
      </c>
      <c r="E179" s="29" t="s">
        <v>3680</v>
      </c>
    </row>
    <row r="180" spans="1:5">
      <c r="A180" s="23" t="s">
        <v>388</v>
      </c>
      <c r="B180" s="29" t="s">
        <v>466</v>
      </c>
      <c r="C180" s="29" t="s">
        <v>207</v>
      </c>
      <c r="D180" s="6" t="s">
        <v>207</v>
      </c>
    </row>
    <row r="181" spans="1:5">
      <c r="A181" s="23" t="s">
        <v>388</v>
      </c>
      <c r="B181" s="11" t="s">
        <v>466</v>
      </c>
      <c r="C181" s="31" t="s">
        <v>208</v>
      </c>
      <c r="D181" s="6" t="s">
        <v>208</v>
      </c>
    </row>
    <row r="182" spans="1:5" ht="17" thickBot="1">
      <c r="A182" s="24" t="s">
        <v>388</v>
      </c>
      <c r="B182" s="12" t="s">
        <v>466</v>
      </c>
      <c r="C182" s="12" t="s">
        <v>209</v>
      </c>
      <c r="D182" s="9" t="s">
        <v>210</v>
      </c>
    </row>
    <row r="183" spans="1:5">
      <c r="A183" s="19" t="s">
        <v>389</v>
      </c>
      <c r="B183" s="26" t="s">
        <v>467</v>
      </c>
      <c r="C183" s="3" t="s">
        <v>211</v>
      </c>
      <c r="D183" s="4" t="s">
        <v>211</v>
      </c>
      <c r="E183" t="s">
        <v>3680</v>
      </c>
    </row>
    <row r="184" spans="1:5">
      <c r="A184" s="20" t="s">
        <v>389</v>
      </c>
      <c r="B184" s="27" t="s">
        <v>467</v>
      </c>
      <c r="C184" s="5" t="s">
        <v>212</v>
      </c>
      <c r="D184" s="6" t="s">
        <v>212</v>
      </c>
    </row>
    <row r="185" spans="1:5">
      <c r="A185" s="20" t="s">
        <v>389</v>
      </c>
      <c r="B185" s="27" t="s">
        <v>467</v>
      </c>
      <c r="C185" s="7" t="s">
        <v>213</v>
      </c>
      <c r="D185" s="6" t="s">
        <v>213</v>
      </c>
    </row>
    <row r="186" spans="1:5" ht="17" thickBot="1">
      <c r="A186" s="21" t="s">
        <v>389</v>
      </c>
      <c r="B186" s="28" t="s">
        <v>467</v>
      </c>
      <c r="C186" s="8" t="s">
        <v>214</v>
      </c>
      <c r="D186" s="9" t="s">
        <v>215</v>
      </c>
    </row>
    <row r="187" spans="1:5">
      <c r="A187" s="22" t="s">
        <v>390</v>
      </c>
      <c r="B187" s="10" t="s">
        <v>468</v>
      </c>
      <c r="C187" s="13" t="s">
        <v>216</v>
      </c>
      <c r="D187" s="4" t="s">
        <v>216</v>
      </c>
      <c r="E187" t="s">
        <v>3680</v>
      </c>
    </row>
    <row r="188" spans="1:5">
      <c r="A188" s="23" t="s">
        <v>390</v>
      </c>
      <c r="B188" s="29" t="s">
        <v>468</v>
      </c>
      <c r="C188" s="29" t="s">
        <v>217</v>
      </c>
      <c r="D188" s="6" t="s">
        <v>218</v>
      </c>
    </row>
    <row r="189" spans="1:5" ht="17" thickBot="1">
      <c r="A189" s="24" t="s">
        <v>390</v>
      </c>
      <c r="B189" s="12" t="s">
        <v>468</v>
      </c>
      <c r="C189" s="12" t="s">
        <v>219</v>
      </c>
      <c r="D189" s="9" t="s">
        <v>219</v>
      </c>
    </row>
    <row r="190" spans="1:5">
      <c r="A190" s="19" t="s">
        <v>391</v>
      </c>
      <c r="B190" s="26" t="s">
        <v>469</v>
      </c>
      <c r="C190" s="3" t="s">
        <v>220</v>
      </c>
      <c r="D190" s="4" t="s">
        <v>220</v>
      </c>
      <c r="E190" t="s">
        <v>3680</v>
      </c>
    </row>
    <row r="191" spans="1:5">
      <c r="A191" s="20" t="s">
        <v>391</v>
      </c>
      <c r="B191" s="27" t="s">
        <v>469</v>
      </c>
      <c r="C191" s="7" t="s">
        <v>221</v>
      </c>
      <c r="D191" s="6" t="s">
        <v>221</v>
      </c>
    </row>
    <row r="192" spans="1:5" ht="17" thickBot="1">
      <c r="A192" s="21" t="s">
        <v>391</v>
      </c>
      <c r="B192" s="28" t="s">
        <v>469</v>
      </c>
      <c r="C192" s="8" t="s">
        <v>222</v>
      </c>
      <c r="D192" s="9" t="s">
        <v>222</v>
      </c>
    </row>
    <row r="193" spans="1:5">
      <c r="A193" s="22" t="s">
        <v>392</v>
      </c>
      <c r="B193" s="10" t="s">
        <v>470</v>
      </c>
      <c r="C193" s="13" t="s">
        <v>223</v>
      </c>
      <c r="D193" s="4" t="s">
        <v>223</v>
      </c>
      <c r="E193" t="s">
        <v>3680</v>
      </c>
    </row>
    <row r="194" spans="1:5">
      <c r="A194" s="23" t="s">
        <v>392</v>
      </c>
      <c r="B194" s="29" t="s">
        <v>470</v>
      </c>
      <c r="C194" s="29" t="s">
        <v>224</v>
      </c>
      <c r="D194" s="6" t="s">
        <v>224</v>
      </c>
    </row>
    <row r="195" spans="1:5" ht="17" thickBot="1">
      <c r="A195" s="24" t="s">
        <v>392</v>
      </c>
      <c r="B195" s="12" t="s">
        <v>470</v>
      </c>
      <c r="C195" s="12" t="s">
        <v>225</v>
      </c>
      <c r="D195" s="9" t="s">
        <v>226</v>
      </c>
    </row>
    <row r="196" spans="1:5">
      <c r="A196" s="19" t="s">
        <v>393</v>
      </c>
      <c r="B196" s="26" t="s">
        <v>471</v>
      </c>
      <c r="C196" s="3" t="s">
        <v>227</v>
      </c>
      <c r="D196" s="4" t="s">
        <v>227</v>
      </c>
      <c r="E196" t="s">
        <v>3680</v>
      </c>
    </row>
    <row r="197" spans="1:5">
      <c r="A197" s="20" t="s">
        <v>393</v>
      </c>
      <c r="B197" s="27" t="s">
        <v>471</v>
      </c>
      <c r="C197" s="7" t="s">
        <v>228</v>
      </c>
      <c r="D197" s="6" t="s">
        <v>228</v>
      </c>
    </row>
    <row r="198" spans="1:5" ht="17" thickBot="1">
      <c r="A198" s="21" t="s">
        <v>393</v>
      </c>
      <c r="B198" s="28" t="s">
        <v>471</v>
      </c>
      <c r="C198" s="8" t="s">
        <v>229</v>
      </c>
      <c r="D198" s="9" t="s">
        <v>229</v>
      </c>
    </row>
    <row r="199" spans="1:5">
      <c r="A199" s="22" t="s">
        <v>394</v>
      </c>
      <c r="B199" s="10" t="s">
        <v>472</v>
      </c>
      <c r="C199" s="13" t="s">
        <v>230</v>
      </c>
      <c r="D199" s="4" t="s">
        <v>230</v>
      </c>
    </row>
    <row r="200" spans="1:5">
      <c r="A200" s="23" t="s">
        <v>394</v>
      </c>
      <c r="B200" s="29" t="s">
        <v>472</v>
      </c>
      <c r="C200" s="29" t="s">
        <v>231</v>
      </c>
      <c r="D200" s="6" t="s">
        <v>231</v>
      </c>
    </row>
    <row r="201" spans="1:5" ht="17" thickBot="1">
      <c r="A201" s="24" t="s">
        <v>394</v>
      </c>
      <c r="B201" s="12" t="s">
        <v>472</v>
      </c>
      <c r="C201" s="12" t="s">
        <v>232</v>
      </c>
      <c r="D201" s="9" t="s">
        <v>233</v>
      </c>
      <c r="E201" s="29" t="s">
        <v>3680</v>
      </c>
    </row>
    <row r="202" spans="1:5">
      <c r="A202" s="19" t="s">
        <v>395</v>
      </c>
      <c r="B202" s="26" t="s">
        <v>473</v>
      </c>
      <c r="C202" s="3" t="s">
        <v>234</v>
      </c>
      <c r="D202" s="4" t="s">
        <v>234</v>
      </c>
    </row>
    <row r="203" spans="1:5">
      <c r="A203" s="20" t="s">
        <v>395</v>
      </c>
      <c r="B203" s="27" t="s">
        <v>473</v>
      </c>
      <c r="C203" s="5" t="s">
        <v>235</v>
      </c>
      <c r="D203" s="6" t="s">
        <v>235</v>
      </c>
    </row>
    <row r="204" spans="1:5" ht="17" thickBot="1">
      <c r="A204" s="21" t="s">
        <v>395</v>
      </c>
      <c r="B204" s="28" t="s">
        <v>473</v>
      </c>
      <c r="C204" s="8" t="s">
        <v>236</v>
      </c>
      <c r="D204" s="9" t="s">
        <v>237</v>
      </c>
    </row>
    <row r="205" spans="1:5">
      <c r="A205" s="22" t="s">
        <v>396</v>
      </c>
      <c r="B205" s="10" t="s">
        <v>474</v>
      </c>
      <c r="C205" s="13" t="s">
        <v>238</v>
      </c>
      <c r="D205" s="4" t="s">
        <v>238</v>
      </c>
      <c r="E205" t="s">
        <v>3680</v>
      </c>
    </row>
    <row r="206" spans="1:5">
      <c r="A206" s="23" t="s">
        <v>396</v>
      </c>
      <c r="B206" s="29" t="s">
        <v>474</v>
      </c>
      <c r="C206" s="29" t="s">
        <v>239</v>
      </c>
      <c r="D206" s="6" t="s">
        <v>240</v>
      </c>
    </row>
    <row r="207" spans="1:5" ht="17" thickBot="1">
      <c r="A207" s="24" t="s">
        <v>396</v>
      </c>
      <c r="B207" s="12" t="s">
        <v>474</v>
      </c>
      <c r="C207" s="12" t="s">
        <v>241</v>
      </c>
      <c r="D207" s="9" t="s">
        <v>242</v>
      </c>
    </row>
    <row r="208" spans="1:5">
      <c r="A208" s="19" t="s">
        <v>397</v>
      </c>
      <c r="B208" s="26" t="s">
        <v>475</v>
      </c>
      <c r="C208" s="15" t="s">
        <v>243</v>
      </c>
      <c r="D208" s="4" t="s">
        <v>243</v>
      </c>
      <c r="E208" s="27" t="s">
        <v>3680</v>
      </c>
    </row>
    <row r="209" spans="1:5">
      <c r="A209" s="20" t="s">
        <v>397</v>
      </c>
      <c r="B209" s="27" t="s">
        <v>475</v>
      </c>
      <c r="C209" s="7" t="s">
        <v>244</v>
      </c>
      <c r="D209" s="6" t="s">
        <v>245</v>
      </c>
    </row>
    <row r="210" spans="1:5" ht="17" thickBot="1">
      <c r="A210" s="21" t="s">
        <v>397</v>
      </c>
      <c r="B210" s="28" t="s">
        <v>475</v>
      </c>
      <c r="C210" s="8" t="s">
        <v>244</v>
      </c>
      <c r="D210" s="9" t="s">
        <v>245</v>
      </c>
    </row>
    <row r="211" spans="1:5">
      <c r="A211" s="22" t="s">
        <v>398</v>
      </c>
      <c r="B211" s="10" t="s">
        <v>476</v>
      </c>
      <c r="C211" s="13" t="s">
        <v>246</v>
      </c>
      <c r="D211" s="4" t="s">
        <v>246</v>
      </c>
      <c r="E211" t="s">
        <v>3680</v>
      </c>
    </row>
    <row r="212" spans="1:5">
      <c r="A212" s="23" t="s">
        <v>398</v>
      </c>
      <c r="B212" s="29" t="s">
        <v>476</v>
      </c>
      <c r="C212" s="29" t="s">
        <v>247</v>
      </c>
      <c r="D212" s="6" t="s">
        <v>247</v>
      </c>
    </row>
    <row r="213" spans="1:5" ht="17" thickBot="1">
      <c r="A213" s="24" t="s">
        <v>398</v>
      </c>
      <c r="B213" s="12" t="s">
        <v>476</v>
      </c>
      <c r="C213" s="12" t="s">
        <v>248</v>
      </c>
      <c r="D213" s="9" t="s">
        <v>249</v>
      </c>
    </row>
    <row r="214" spans="1:5">
      <c r="A214" s="19" t="s">
        <v>399</v>
      </c>
      <c r="B214" s="26" t="s">
        <v>477</v>
      </c>
      <c r="C214" s="15" t="s">
        <v>250</v>
      </c>
      <c r="D214" s="4" t="s">
        <v>250</v>
      </c>
      <c r="E214" s="27" t="s">
        <v>3680</v>
      </c>
    </row>
    <row r="215" spans="1:5" ht="17" thickBot="1">
      <c r="A215" s="21" t="s">
        <v>399</v>
      </c>
      <c r="B215" s="28" t="s">
        <v>477</v>
      </c>
      <c r="C215" s="8" t="s">
        <v>251</v>
      </c>
      <c r="D215" s="9" t="s">
        <v>252</v>
      </c>
    </row>
    <row r="216" spans="1:5">
      <c r="A216" s="22" t="s">
        <v>400</v>
      </c>
      <c r="B216" s="10" t="s">
        <v>478</v>
      </c>
      <c r="C216" s="10" t="s">
        <v>253</v>
      </c>
      <c r="D216" s="4" t="s">
        <v>253</v>
      </c>
    </row>
    <row r="217" spans="1:5" ht="17" thickBot="1">
      <c r="A217" s="24" t="s">
        <v>400</v>
      </c>
      <c r="B217" s="12" t="s">
        <v>478</v>
      </c>
      <c r="C217" s="12" t="s">
        <v>254</v>
      </c>
      <c r="D217" s="9" t="s">
        <v>254</v>
      </c>
    </row>
    <row r="218" spans="1:5">
      <c r="A218" s="19" t="s">
        <v>401</v>
      </c>
      <c r="B218" s="26" t="s">
        <v>479</v>
      </c>
      <c r="C218" s="15" t="s">
        <v>255</v>
      </c>
      <c r="D218" s="4" t="s">
        <v>255</v>
      </c>
    </row>
    <row r="219" spans="1:5" ht="17" thickBot="1">
      <c r="A219" s="21" t="s">
        <v>401</v>
      </c>
      <c r="B219" s="28" t="s">
        <v>479</v>
      </c>
      <c r="C219" s="8" t="s">
        <v>256</v>
      </c>
      <c r="D219" s="9" t="s">
        <v>257</v>
      </c>
    </row>
    <row r="220" spans="1:5">
      <c r="A220" s="22" t="s">
        <v>402</v>
      </c>
      <c r="B220" s="10" t="s">
        <v>480</v>
      </c>
      <c r="C220" s="13" t="s">
        <v>258</v>
      </c>
      <c r="D220" s="4" t="s">
        <v>258</v>
      </c>
    </row>
    <row r="221" spans="1:5" ht="17" thickBot="1">
      <c r="A221" s="24" t="s">
        <v>402</v>
      </c>
      <c r="B221" s="12" t="s">
        <v>480</v>
      </c>
      <c r="C221" s="12" t="s">
        <v>259</v>
      </c>
      <c r="D221" s="9" t="s">
        <v>260</v>
      </c>
    </row>
    <row r="222" spans="1:5">
      <c r="A222" s="25" t="s">
        <v>403</v>
      </c>
      <c r="B222" s="30" t="s">
        <v>481</v>
      </c>
      <c r="C222" s="7" t="s">
        <v>261</v>
      </c>
      <c r="D222" s="16" t="s">
        <v>261</v>
      </c>
    </row>
    <row r="223" spans="1:5" ht="17" thickBot="1">
      <c r="A223" s="25" t="s">
        <v>403</v>
      </c>
      <c r="B223" s="27" t="s">
        <v>481</v>
      </c>
      <c r="C223" s="7" t="s">
        <v>262</v>
      </c>
      <c r="D223" s="17" t="s">
        <v>262</v>
      </c>
    </row>
    <row r="224" spans="1:5">
      <c r="A224" s="22" t="s">
        <v>404</v>
      </c>
      <c r="B224" s="10" t="s">
        <v>482</v>
      </c>
      <c r="C224" s="13" t="s">
        <v>263</v>
      </c>
      <c r="D224" s="4" t="s">
        <v>263</v>
      </c>
      <c r="E224" t="s">
        <v>3680</v>
      </c>
    </row>
    <row r="225" spans="1:5" ht="17" thickBot="1">
      <c r="A225" s="24" t="s">
        <v>404</v>
      </c>
      <c r="B225" s="12" t="s">
        <v>482</v>
      </c>
      <c r="C225" s="12" t="s">
        <v>264</v>
      </c>
      <c r="D225" s="9" t="s">
        <v>264</v>
      </c>
    </row>
    <row r="226" spans="1:5">
      <c r="A226" s="25" t="s">
        <v>405</v>
      </c>
      <c r="B226" s="27" t="s">
        <v>483</v>
      </c>
      <c r="C226" s="5" t="s">
        <v>265</v>
      </c>
      <c r="D226" s="16" t="s">
        <v>265</v>
      </c>
      <c r="E226" t="s">
        <v>3680</v>
      </c>
    </row>
    <row r="227" spans="1:5" ht="17" thickBot="1">
      <c r="A227" s="25" t="s">
        <v>405</v>
      </c>
      <c r="B227" s="27" t="s">
        <v>483</v>
      </c>
      <c r="C227" s="7" t="s">
        <v>266</v>
      </c>
      <c r="D227" s="17" t="s">
        <v>266</v>
      </c>
    </row>
    <row r="228" spans="1:5">
      <c r="A228" s="22" t="s">
        <v>406</v>
      </c>
      <c r="B228" s="10" t="s">
        <v>484</v>
      </c>
      <c r="C228" s="10" t="s">
        <v>267</v>
      </c>
      <c r="D228" s="4" t="s">
        <v>267</v>
      </c>
      <c r="E228" s="29" t="s">
        <v>3680</v>
      </c>
    </row>
    <row r="229" spans="1:5" ht="17" thickBot="1">
      <c r="A229" s="24" t="s">
        <v>406</v>
      </c>
      <c r="B229" s="12" t="s">
        <v>484</v>
      </c>
      <c r="C229" s="12" t="s">
        <v>268</v>
      </c>
      <c r="D229" s="9" t="s">
        <v>269</v>
      </c>
    </row>
    <row r="230" spans="1:5">
      <c r="A230" s="25" t="s">
        <v>407</v>
      </c>
      <c r="B230" s="30" t="s">
        <v>485</v>
      </c>
      <c r="C230" s="5" t="s">
        <v>270</v>
      </c>
      <c r="D230" s="16" t="s">
        <v>270</v>
      </c>
    </row>
    <row r="231" spans="1:5" ht="17" thickBot="1">
      <c r="A231" s="25" t="s">
        <v>407</v>
      </c>
      <c r="B231" s="27" t="s">
        <v>485</v>
      </c>
      <c r="C231" s="7" t="s">
        <v>271</v>
      </c>
      <c r="D231" s="17" t="s">
        <v>271</v>
      </c>
    </row>
    <row r="232" spans="1:5">
      <c r="A232" s="22" t="s">
        <v>408</v>
      </c>
      <c r="B232" s="10" t="s">
        <v>486</v>
      </c>
      <c r="C232" s="13" t="s">
        <v>272</v>
      </c>
      <c r="D232" s="4" t="s">
        <v>272</v>
      </c>
    </row>
    <row r="233" spans="1:5" ht="17" thickBot="1">
      <c r="A233" s="24" t="s">
        <v>408</v>
      </c>
      <c r="B233" s="12" t="s">
        <v>486</v>
      </c>
      <c r="C233" s="12" t="s">
        <v>273</v>
      </c>
      <c r="D233" s="9" t="s">
        <v>273</v>
      </c>
    </row>
    <row r="234" spans="1:5">
      <c r="A234" s="25" t="s">
        <v>409</v>
      </c>
      <c r="B234" s="27" t="s">
        <v>487</v>
      </c>
      <c r="C234" s="5" t="s">
        <v>274</v>
      </c>
      <c r="D234" s="16" t="s">
        <v>274</v>
      </c>
    </row>
    <row r="235" spans="1:5" ht="17" thickBot="1">
      <c r="A235" s="25" t="s">
        <v>409</v>
      </c>
      <c r="B235" s="27" t="s">
        <v>487</v>
      </c>
      <c r="C235" s="7" t="s">
        <v>275</v>
      </c>
      <c r="D235" s="17" t="s">
        <v>276</v>
      </c>
    </row>
    <row r="236" spans="1:5">
      <c r="A236" s="22" t="s">
        <v>410</v>
      </c>
      <c r="B236" s="10" t="s">
        <v>488</v>
      </c>
      <c r="C236" s="13" t="s">
        <v>277</v>
      </c>
      <c r="D236" s="4" t="s">
        <v>277</v>
      </c>
    </row>
    <row r="237" spans="1:5" ht="17" thickBot="1">
      <c r="A237" s="24" t="s">
        <v>410</v>
      </c>
      <c r="B237" s="12" t="s">
        <v>488</v>
      </c>
      <c r="C237" s="12" t="s">
        <v>278</v>
      </c>
      <c r="D237" s="9" t="s">
        <v>279</v>
      </c>
    </row>
    <row r="238" spans="1:5">
      <c r="A238" s="25" t="s">
        <v>411</v>
      </c>
      <c r="B238" s="27" t="s">
        <v>489</v>
      </c>
      <c r="C238" s="5" t="s">
        <v>280</v>
      </c>
      <c r="D238" s="16" t="s">
        <v>280</v>
      </c>
    </row>
    <row r="239" spans="1:5">
      <c r="A239" s="25" t="s">
        <v>411</v>
      </c>
      <c r="B239" s="30" t="s">
        <v>489</v>
      </c>
      <c r="C239" s="5" t="s">
        <v>281</v>
      </c>
      <c r="D239" s="17" t="s">
        <v>281</v>
      </c>
    </row>
    <row r="240" spans="1:5">
      <c r="A240" s="25" t="s">
        <v>412</v>
      </c>
      <c r="B240" s="27" t="s">
        <v>490</v>
      </c>
      <c r="C240" s="7" t="s">
        <v>282</v>
      </c>
      <c r="D240" s="16" t="s">
        <v>282</v>
      </c>
    </row>
    <row r="241" spans="1:19" ht="17" thickBot="1">
      <c r="A241" s="25" t="s">
        <v>412</v>
      </c>
      <c r="B241" s="27" t="s">
        <v>490</v>
      </c>
      <c r="C241" s="7" t="s">
        <v>283</v>
      </c>
      <c r="D241" s="17" t="s">
        <v>284</v>
      </c>
    </row>
    <row r="242" spans="1:19">
      <c r="A242" s="22" t="s">
        <v>413</v>
      </c>
      <c r="B242" s="10" t="s">
        <v>491</v>
      </c>
      <c r="C242" s="13" t="s">
        <v>285</v>
      </c>
      <c r="D242" s="4" t="s">
        <v>285</v>
      </c>
    </row>
    <row r="243" spans="1:19" ht="17" thickBot="1">
      <c r="A243" s="24" t="s">
        <v>413</v>
      </c>
      <c r="B243" s="12" t="s">
        <v>491</v>
      </c>
      <c r="C243" s="12" t="s">
        <v>286</v>
      </c>
      <c r="D243" s="9" t="s">
        <v>287</v>
      </c>
    </row>
    <row r="244" spans="1:19">
      <c r="A244" s="25" t="s">
        <v>414</v>
      </c>
      <c r="B244" s="30" t="s">
        <v>492</v>
      </c>
      <c r="C244" s="7" t="s">
        <v>288</v>
      </c>
      <c r="D244" s="16" t="s">
        <v>288</v>
      </c>
    </row>
    <row r="245" spans="1:19" ht="17" thickBot="1">
      <c r="A245" s="25" t="s">
        <v>414</v>
      </c>
      <c r="B245" s="27" t="s">
        <v>492</v>
      </c>
      <c r="C245" s="7" t="s">
        <v>289</v>
      </c>
      <c r="D245" s="17" t="s">
        <v>290</v>
      </c>
    </row>
    <row r="246" spans="1:19">
      <c r="A246" s="22" t="s">
        <v>415</v>
      </c>
      <c r="B246" s="10" t="s">
        <v>460</v>
      </c>
      <c r="C246" s="10" t="s">
        <v>161</v>
      </c>
      <c r="D246" s="4" t="s">
        <v>162</v>
      </c>
    </row>
    <row r="247" spans="1:19" ht="17" thickBot="1">
      <c r="A247" s="24" t="s">
        <v>415</v>
      </c>
      <c r="B247" s="12" t="s">
        <v>460</v>
      </c>
      <c r="C247" s="12" t="s">
        <v>163</v>
      </c>
      <c r="D247" s="9" t="s">
        <v>164</v>
      </c>
    </row>
    <row r="248" spans="1:19">
      <c r="A248" s="22" t="s">
        <v>416</v>
      </c>
      <c r="B248" s="10" t="s">
        <v>454</v>
      </c>
      <c r="C248" s="10" t="s">
        <v>138</v>
      </c>
      <c r="D248" s="4" t="s">
        <v>138</v>
      </c>
    </row>
    <row r="249" spans="1:19" ht="17" thickBot="1">
      <c r="A249" s="24" t="s">
        <v>416</v>
      </c>
      <c r="B249" s="12" t="s">
        <v>454</v>
      </c>
      <c r="C249" s="12" t="s">
        <v>139</v>
      </c>
      <c r="D249" s="9" t="s">
        <v>139</v>
      </c>
    </row>
    <row r="250" spans="1:19">
      <c r="A250" s="25" t="s">
        <v>417</v>
      </c>
      <c r="B250" s="27" t="s">
        <v>493</v>
      </c>
      <c r="C250" s="7" t="s">
        <v>291</v>
      </c>
      <c r="D250" s="16" t="s">
        <v>291</v>
      </c>
    </row>
    <row r="251" spans="1:19" ht="17" thickBot="1">
      <c r="A251" s="25" t="s">
        <v>417</v>
      </c>
      <c r="B251" s="27" t="s">
        <v>493</v>
      </c>
      <c r="C251" s="7" t="s">
        <v>292</v>
      </c>
      <c r="D251" s="17" t="s">
        <v>293</v>
      </c>
    </row>
    <row r="252" spans="1:19">
      <c r="A252" s="22" t="s">
        <v>418</v>
      </c>
      <c r="B252" s="10" t="s">
        <v>494</v>
      </c>
      <c r="C252" s="13" t="s">
        <v>294</v>
      </c>
      <c r="D252" s="4" t="s">
        <v>294</v>
      </c>
    </row>
    <row r="253" spans="1:19" ht="17" thickBot="1">
      <c r="A253" s="24" t="s">
        <v>418</v>
      </c>
      <c r="B253" s="12" t="s">
        <v>494</v>
      </c>
      <c r="C253" s="12" t="s">
        <v>295</v>
      </c>
      <c r="D253" s="9" t="s">
        <v>295</v>
      </c>
    </row>
    <row r="254" spans="1:19">
      <c r="A254" s="25" t="s">
        <v>419</v>
      </c>
      <c r="B254" s="27" t="s">
        <v>495</v>
      </c>
      <c r="C254" s="7" t="s">
        <v>296</v>
      </c>
      <c r="D254" s="16" t="s">
        <v>296</v>
      </c>
      <c r="E254" t="s">
        <v>3681</v>
      </c>
      <c r="F254" s="45">
        <v>3</v>
      </c>
      <c r="H254" t="s">
        <v>296</v>
      </c>
      <c r="I254" t="s">
        <v>3682</v>
      </c>
      <c r="J254" t="s">
        <v>1844</v>
      </c>
      <c r="K254" t="s">
        <v>1421</v>
      </c>
      <c r="L254" t="s">
        <v>3683</v>
      </c>
      <c r="M254" t="s">
        <v>3682</v>
      </c>
      <c r="N254" t="s">
        <v>2475</v>
      </c>
      <c r="O254" t="s">
        <v>2411</v>
      </c>
      <c r="P254" t="s">
        <v>3684</v>
      </c>
      <c r="Q254" t="s">
        <v>564</v>
      </c>
      <c r="R254" t="s">
        <v>565</v>
      </c>
      <c r="S254" t="s">
        <v>3685</v>
      </c>
    </row>
    <row r="255" spans="1:19" ht="17" thickBot="1">
      <c r="A255" s="25" t="s">
        <v>419</v>
      </c>
      <c r="B255" s="27" t="s">
        <v>495</v>
      </c>
      <c r="C255" s="7" t="s">
        <v>297</v>
      </c>
      <c r="D255" s="17" t="s">
        <v>298</v>
      </c>
      <c r="E255" t="s">
        <v>3681</v>
      </c>
      <c r="F255" s="45">
        <v>3</v>
      </c>
      <c r="H255" t="s">
        <v>297</v>
      </c>
      <c r="I255" t="s">
        <v>3682</v>
      </c>
      <c r="J255" t="s">
        <v>1844</v>
      </c>
      <c r="K255" t="s">
        <v>1421</v>
      </c>
      <c r="L255" t="s">
        <v>3683</v>
      </c>
      <c r="M255" t="s">
        <v>3682</v>
      </c>
      <c r="N255" t="s">
        <v>2475</v>
      </c>
      <c r="O255" t="s">
        <v>2411</v>
      </c>
      <c r="P255" t="s">
        <v>3684</v>
      </c>
      <c r="Q255" t="s">
        <v>1071</v>
      </c>
      <c r="R255" t="s">
        <v>1072</v>
      </c>
      <c r="S255" t="s">
        <v>3685</v>
      </c>
    </row>
    <row r="256" spans="1:19">
      <c r="A256" s="22" t="s">
        <v>420</v>
      </c>
      <c r="B256" s="10" t="s">
        <v>456</v>
      </c>
      <c r="C256" s="10" t="s">
        <v>144</v>
      </c>
      <c r="D256" s="4" t="s">
        <v>144</v>
      </c>
      <c r="E256" t="s">
        <v>3681</v>
      </c>
      <c r="F256" s="45">
        <v>3</v>
      </c>
      <c r="H256" t="s">
        <v>3686</v>
      </c>
      <c r="I256" t="s">
        <v>3682</v>
      </c>
      <c r="J256" t="s">
        <v>1844</v>
      </c>
      <c r="K256" t="s">
        <v>1421</v>
      </c>
      <c r="L256" t="s">
        <v>3683</v>
      </c>
      <c r="M256" t="s">
        <v>3682</v>
      </c>
      <c r="N256" t="s">
        <v>2475</v>
      </c>
      <c r="O256" t="s">
        <v>2411</v>
      </c>
      <c r="P256" t="s">
        <v>3684</v>
      </c>
      <c r="Q256" t="s">
        <v>3687</v>
      </c>
      <c r="R256" t="s">
        <v>3688</v>
      </c>
      <c r="S256" t="s">
        <v>3685</v>
      </c>
    </row>
    <row r="257" spans="1:4" ht="17" thickBot="1">
      <c r="A257" s="24" t="s">
        <v>420</v>
      </c>
      <c r="B257" s="12" t="s">
        <v>456</v>
      </c>
      <c r="C257" s="12" t="s">
        <v>145</v>
      </c>
      <c r="D257" s="9" t="s">
        <v>145</v>
      </c>
    </row>
    <row r="258" spans="1:4">
      <c r="A258" s="25" t="s">
        <v>421</v>
      </c>
      <c r="B258" s="27" t="s">
        <v>496</v>
      </c>
      <c r="C258" s="7" t="s">
        <v>299</v>
      </c>
      <c r="D258" s="16" t="s">
        <v>299</v>
      </c>
    </row>
    <row r="259" spans="1:4" ht="17" thickBot="1">
      <c r="A259" s="25" t="s">
        <v>421</v>
      </c>
      <c r="B259" s="27" t="s">
        <v>496</v>
      </c>
      <c r="C259" s="7" t="s">
        <v>300</v>
      </c>
      <c r="D259" s="17" t="s">
        <v>300</v>
      </c>
    </row>
    <row r="260" spans="1:4">
      <c r="A260" s="22" t="s">
        <v>422</v>
      </c>
      <c r="B260" s="10" t="s">
        <v>497</v>
      </c>
      <c r="C260" s="32" t="s">
        <v>301</v>
      </c>
      <c r="D260" s="4" t="s">
        <v>302</v>
      </c>
    </row>
    <row r="261" spans="1:4">
      <c r="A261" s="20" t="s">
        <v>423</v>
      </c>
      <c r="B261" s="27" t="s">
        <v>498</v>
      </c>
      <c r="C261" s="5" t="s">
        <v>303</v>
      </c>
      <c r="D261" s="6" t="s">
        <v>303</v>
      </c>
    </row>
    <row r="262" spans="1:4" ht="17" thickBot="1">
      <c r="A262" s="21" t="s">
        <v>423</v>
      </c>
      <c r="B262" s="28" t="s">
        <v>498</v>
      </c>
      <c r="C262" s="8" t="s">
        <v>304</v>
      </c>
      <c r="D262" s="9" t="s">
        <v>305</v>
      </c>
    </row>
    <row r="263" spans="1:4">
      <c r="A263" s="19" t="s">
        <v>423</v>
      </c>
      <c r="B263" s="26" t="s">
        <v>498</v>
      </c>
      <c r="C263" s="26" t="s">
        <v>306</v>
      </c>
      <c r="D263" s="4" t="s">
        <v>306</v>
      </c>
    </row>
    <row r="264" spans="1:4">
      <c r="A264" s="23" t="s">
        <v>424</v>
      </c>
      <c r="B264" s="29" t="s">
        <v>499</v>
      </c>
      <c r="C264" s="31" t="s">
        <v>307</v>
      </c>
      <c r="D264" s="6" t="s">
        <v>307</v>
      </c>
    </row>
    <row r="265" spans="1:4">
      <c r="A265" s="23" t="s">
        <v>424</v>
      </c>
      <c r="B265" s="29" t="s">
        <v>499</v>
      </c>
      <c r="C265" s="31" t="s">
        <v>308</v>
      </c>
      <c r="D265" s="6" t="s">
        <v>308</v>
      </c>
    </row>
    <row r="266" spans="1:4">
      <c r="A266" s="23" t="s">
        <v>424</v>
      </c>
      <c r="B266" s="29" t="s">
        <v>499</v>
      </c>
      <c r="C266" s="29" t="s">
        <v>309</v>
      </c>
      <c r="D266" s="6" t="s">
        <v>310</v>
      </c>
    </row>
    <row r="267" spans="1:4" ht="17" thickBot="1">
      <c r="A267" s="24" t="s">
        <v>424</v>
      </c>
      <c r="B267" s="12" t="s">
        <v>499</v>
      </c>
      <c r="C267" s="12" t="s">
        <v>311</v>
      </c>
      <c r="D267" s="9" t="s">
        <v>312</v>
      </c>
    </row>
    <row r="268" spans="1:4">
      <c r="A268" s="22" t="s">
        <v>424</v>
      </c>
      <c r="B268" s="10" t="s">
        <v>499</v>
      </c>
      <c r="C268" s="32" t="s">
        <v>313</v>
      </c>
      <c r="D268" s="4" t="s">
        <v>314</v>
      </c>
    </row>
    <row r="269" spans="1:4">
      <c r="A269" s="20" t="s">
        <v>425</v>
      </c>
      <c r="B269" s="27" t="s">
        <v>500</v>
      </c>
      <c r="C269" s="7" t="s">
        <v>315</v>
      </c>
      <c r="D269" s="6" t="s">
        <v>316</v>
      </c>
    </row>
    <row r="270" spans="1:4">
      <c r="A270" s="20" t="s">
        <v>425</v>
      </c>
      <c r="B270" s="27" t="s">
        <v>500</v>
      </c>
      <c r="C270" s="7" t="s">
        <v>317</v>
      </c>
      <c r="D270" s="6" t="s">
        <v>317</v>
      </c>
    </row>
    <row r="271" spans="1:4">
      <c r="A271" s="20" t="s">
        <v>425</v>
      </c>
      <c r="B271" s="27" t="s">
        <v>500</v>
      </c>
      <c r="C271" s="7" t="s">
        <v>318</v>
      </c>
      <c r="D271" s="6" t="s">
        <v>318</v>
      </c>
    </row>
    <row r="272" spans="1:4" ht="17" thickBot="1">
      <c r="A272" s="21" t="s">
        <v>425</v>
      </c>
      <c r="B272" s="28" t="s">
        <v>500</v>
      </c>
      <c r="C272" s="8" t="s">
        <v>319</v>
      </c>
      <c r="D272" s="9" t="s">
        <v>319</v>
      </c>
    </row>
    <row r="273" spans="1:4">
      <c r="A273" s="19" t="s">
        <v>425</v>
      </c>
      <c r="B273" s="26" t="s">
        <v>500</v>
      </c>
      <c r="C273" s="26" t="s">
        <v>320</v>
      </c>
      <c r="D273" s="4" t="s">
        <v>320</v>
      </c>
    </row>
    <row r="274" spans="1:4">
      <c r="A274" s="23" t="s">
        <v>426</v>
      </c>
      <c r="B274" s="29" t="s">
        <v>501</v>
      </c>
      <c r="C274" s="31" t="s">
        <v>321</v>
      </c>
      <c r="D274" s="6" t="s">
        <v>321</v>
      </c>
    </row>
    <row r="275" spans="1:4">
      <c r="A275" s="23" t="s">
        <v>426</v>
      </c>
      <c r="B275" s="11" t="s">
        <v>501</v>
      </c>
      <c r="C275" s="31" t="s">
        <v>322</v>
      </c>
      <c r="D275" s="6" t="s">
        <v>322</v>
      </c>
    </row>
    <row r="276" spans="1:4" ht="17" thickBot="1">
      <c r="A276" s="24" t="s">
        <v>426</v>
      </c>
      <c r="B276" s="12" t="s">
        <v>501</v>
      </c>
      <c r="C276" s="18" t="s">
        <v>323</v>
      </c>
      <c r="D276" s="9" t="s">
        <v>323</v>
      </c>
    </row>
    <row r="277" spans="1:4">
      <c r="A277" s="23" t="s">
        <v>426</v>
      </c>
      <c r="B277" s="29" t="s">
        <v>501</v>
      </c>
      <c r="C277" s="31" t="s">
        <v>324</v>
      </c>
      <c r="D277" s="6" t="s">
        <v>324</v>
      </c>
    </row>
    <row r="278" spans="1:4">
      <c r="A278" s="23" t="s">
        <v>426</v>
      </c>
      <c r="B278" s="29" t="s">
        <v>501</v>
      </c>
      <c r="C278" s="31" t="s">
        <v>325</v>
      </c>
      <c r="D278" s="6" t="s">
        <v>325</v>
      </c>
    </row>
    <row r="279" spans="1:4">
      <c r="A279" s="23" t="s">
        <v>426</v>
      </c>
      <c r="B279" s="29" t="s">
        <v>501</v>
      </c>
      <c r="C279" s="31" t="s">
        <v>326</v>
      </c>
      <c r="D279" s="6" t="s">
        <v>326</v>
      </c>
    </row>
    <row r="280" spans="1:4">
      <c r="A280" s="23" t="s">
        <v>426</v>
      </c>
      <c r="B280" s="29" t="s">
        <v>501</v>
      </c>
      <c r="C280" s="31" t="s">
        <v>327</v>
      </c>
      <c r="D280" s="6" t="s">
        <v>327</v>
      </c>
    </row>
    <row r="281" spans="1:4">
      <c r="A281" s="23" t="s">
        <v>426</v>
      </c>
      <c r="B281" s="29" t="s">
        <v>501</v>
      </c>
      <c r="C281" s="31" t="s">
        <v>328</v>
      </c>
      <c r="D281" s="6" t="s">
        <v>328</v>
      </c>
    </row>
    <row r="282" spans="1:4">
      <c r="A282" s="23" t="s">
        <v>426</v>
      </c>
      <c r="B282" s="29" t="s">
        <v>501</v>
      </c>
      <c r="C282" s="29" t="s">
        <v>329</v>
      </c>
      <c r="D282" s="6" t="s">
        <v>329</v>
      </c>
    </row>
    <row r="283" spans="1:4">
      <c r="A283" s="23" t="s">
        <v>426</v>
      </c>
      <c r="B283" s="29" t="s">
        <v>501</v>
      </c>
      <c r="C283" s="29" t="s">
        <v>330</v>
      </c>
      <c r="D283" s="6" t="s">
        <v>330</v>
      </c>
    </row>
    <row r="284" spans="1:4">
      <c r="A284" s="23" t="s">
        <v>426</v>
      </c>
      <c r="B284" s="29" t="s">
        <v>501</v>
      </c>
      <c r="C284" s="31" t="s">
        <v>331</v>
      </c>
      <c r="D284" s="6" t="s">
        <v>332</v>
      </c>
    </row>
    <row r="285" spans="1:4" ht="17" thickBot="1">
      <c r="A285" s="24" t="s">
        <v>426</v>
      </c>
      <c r="B285" s="12" t="s">
        <v>501</v>
      </c>
      <c r="C285" s="12" t="s">
        <v>333</v>
      </c>
      <c r="D285" s="9" t="s">
        <v>333</v>
      </c>
    </row>
    <row r="286" spans="1:4">
      <c r="A286" s="19" t="s">
        <v>427</v>
      </c>
      <c r="B286" s="26" t="s">
        <v>502</v>
      </c>
      <c r="C286" s="3" t="s">
        <v>334</v>
      </c>
      <c r="D286" s="4" t="s">
        <v>334</v>
      </c>
    </row>
    <row r="287" spans="1:4">
      <c r="A287" s="20" t="s">
        <v>427</v>
      </c>
      <c r="B287" s="27" t="s">
        <v>502</v>
      </c>
      <c r="C287" s="5" t="s">
        <v>335</v>
      </c>
      <c r="D287" s="6" t="s">
        <v>335</v>
      </c>
    </row>
    <row r="288" spans="1:4">
      <c r="A288" s="20" t="s">
        <v>427</v>
      </c>
      <c r="B288" s="27" t="s">
        <v>502</v>
      </c>
      <c r="C288" s="5" t="s">
        <v>336</v>
      </c>
      <c r="D288" s="6" t="s">
        <v>336</v>
      </c>
    </row>
    <row r="289" spans="1:4">
      <c r="A289" s="20" t="s">
        <v>427</v>
      </c>
      <c r="B289" s="27" t="s">
        <v>502</v>
      </c>
      <c r="C289" s="5" t="s">
        <v>337</v>
      </c>
      <c r="D289" s="6" t="s">
        <v>337</v>
      </c>
    </row>
    <row r="290" spans="1:4" ht="17" thickBot="1">
      <c r="A290" s="21" t="s">
        <v>427</v>
      </c>
      <c r="B290" s="28" t="s">
        <v>502</v>
      </c>
      <c r="C290" s="8" t="s">
        <v>338</v>
      </c>
      <c r="D290" s="9" t="s">
        <v>338</v>
      </c>
    </row>
    <row r="291" spans="1:4">
      <c r="A291" s="22" t="s">
        <v>428</v>
      </c>
      <c r="B291" s="10" t="s">
        <v>503</v>
      </c>
      <c r="C291" s="13" t="s">
        <v>339</v>
      </c>
      <c r="D291" s="4" t="s">
        <v>339</v>
      </c>
    </row>
    <row r="292" spans="1:4">
      <c r="A292" s="23" t="s">
        <v>428</v>
      </c>
      <c r="B292" s="29" t="s">
        <v>503</v>
      </c>
      <c r="C292" s="31" t="s">
        <v>340</v>
      </c>
      <c r="D292" s="6" t="s">
        <v>340</v>
      </c>
    </row>
    <row r="293" spans="1:4">
      <c r="A293" s="23" t="s">
        <v>428</v>
      </c>
      <c r="B293" s="29" t="s">
        <v>503</v>
      </c>
      <c r="C293" s="29" t="s">
        <v>341</v>
      </c>
      <c r="D293" s="6" t="s">
        <v>341</v>
      </c>
    </row>
    <row r="294" spans="1:4">
      <c r="A294" s="23" t="s">
        <v>428</v>
      </c>
      <c r="B294" s="29" t="s">
        <v>503</v>
      </c>
      <c r="C294" s="31" t="s">
        <v>342</v>
      </c>
      <c r="D294" s="6" t="s">
        <v>342</v>
      </c>
    </row>
    <row r="295" spans="1:4">
      <c r="A295" s="23" t="s">
        <v>428</v>
      </c>
      <c r="B295" s="11" t="s">
        <v>503</v>
      </c>
      <c r="C295" s="29" t="s">
        <v>343</v>
      </c>
      <c r="D295" s="6" t="s">
        <v>343</v>
      </c>
    </row>
    <row r="296" spans="1:4" ht="17" thickBot="1">
      <c r="A296" s="24" t="s">
        <v>428</v>
      </c>
      <c r="B296" s="12" t="s">
        <v>503</v>
      </c>
      <c r="C296" s="12" t="s">
        <v>344</v>
      </c>
      <c r="D296" s="9" t="s">
        <v>345</v>
      </c>
    </row>
    <row r="297" spans="1:4">
      <c r="A297" s="19" t="s">
        <v>429</v>
      </c>
      <c r="B297" s="26" t="s">
        <v>504</v>
      </c>
      <c r="C297" s="3" t="s">
        <v>346</v>
      </c>
      <c r="D297" s="4" t="s">
        <v>346</v>
      </c>
    </row>
    <row r="298" spans="1:4">
      <c r="A298" s="20" t="s">
        <v>429</v>
      </c>
      <c r="B298" s="27" t="s">
        <v>504</v>
      </c>
      <c r="C298" s="5" t="s">
        <v>347</v>
      </c>
      <c r="D298" s="6" t="s">
        <v>347</v>
      </c>
    </row>
    <row r="299" spans="1:4">
      <c r="A299" s="20" t="s">
        <v>429</v>
      </c>
      <c r="B299" s="27" t="s">
        <v>504</v>
      </c>
      <c r="C299" s="5" t="s">
        <v>348</v>
      </c>
      <c r="D299" s="6" t="s">
        <v>348</v>
      </c>
    </row>
    <row r="300" spans="1:4">
      <c r="A300" s="20" t="s">
        <v>429</v>
      </c>
      <c r="B300" s="27" t="s">
        <v>504</v>
      </c>
      <c r="C300" s="7" t="s">
        <v>349</v>
      </c>
      <c r="D300" s="6" t="s">
        <v>349</v>
      </c>
    </row>
    <row r="301" spans="1:4">
      <c r="A301" s="20" t="s">
        <v>429</v>
      </c>
      <c r="B301" s="27" t="s">
        <v>504</v>
      </c>
      <c r="C301" s="7" t="s">
        <v>350</v>
      </c>
      <c r="D301" s="6" t="s">
        <v>350</v>
      </c>
    </row>
    <row r="302" spans="1:4" ht="17" thickBot="1">
      <c r="A302" s="21" t="s">
        <v>429</v>
      </c>
      <c r="B302" s="28" t="s">
        <v>504</v>
      </c>
      <c r="C302" s="8" t="s">
        <v>351</v>
      </c>
      <c r="D302" s="9" t="s"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0E70-D2DC-F043-8E97-2508F5CCBC48}">
  <dimension ref="A1:A76"/>
  <sheetViews>
    <sheetView workbookViewId="0">
      <selection activeCell="H19" sqref="H19"/>
    </sheetView>
  </sheetViews>
  <sheetFormatPr baseColWidth="10" defaultRowHeight="16"/>
  <cols>
    <col min="1" max="1" width="40.1640625" customWidth="1"/>
  </cols>
  <sheetData>
    <row r="1" spans="1:1">
      <c r="A1" t="s">
        <v>3676</v>
      </c>
    </row>
    <row r="2" spans="1:1">
      <c r="A2" t="s">
        <v>3314</v>
      </c>
    </row>
    <row r="3" spans="1:1">
      <c r="A3" t="s">
        <v>3342</v>
      </c>
    </row>
    <row r="4" spans="1:1">
      <c r="A4" t="s">
        <v>3325</v>
      </c>
    </row>
    <row r="5" spans="1:1">
      <c r="A5" t="s">
        <v>3322</v>
      </c>
    </row>
    <row r="6" spans="1:1">
      <c r="A6" t="s">
        <v>3331</v>
      </c>
    </row>
    <row r="7" spans="1:1">
      <c r="A7" t="s">
        <v>3343</v>
      </c>
    </row>
    <row r="8" spans="1:1">
      <c r="A8" t="s">
        <v>3333</v>
      </c>
    </row>
    <row r="9" spans="1:1">
      <c r="A9" t="s">
        <v>3327</v>
      </c>
    </row>
    <row r="10" spans="1:1">
      <c r="A10" t="s">
        <v>3326</v>
      </c>
    </row>
    <row r="11" spans="1:1">
      <c r="A11" t="s">
        <v>3316</v>
      </c>
    </row>
    <row r="12" spans="1:1">
      <c r="A12" t="s">
        <v>3319</v>
      </c>
    </row>
    <row r="13" spans="1:1">
      <c r="A13" t="s">
        <v>3330</v>
      </c>
    </row>
    <row r="14" spans="1:1">
      <c r="A14" t="s">
        <v>3362</v>
      </c>
    </row>
    <row r="15" spans="1:1">
      <c r="A15" t="s">
        <v>3370</v>
      </c>
    </row>
    <row r="16" spans="1:1">
      <c r="A16" t="s">
        <v>3309</v>
      </c>
    </row>
    <row r="17" spans="1:1">
      <c r="A17" t="s">
        <v>3328</v>
      </c>
    </row>
    <row r="18" spans="1:1">
      <c r="A18" t="s">
        <v>3324</v>
      </c>
    </row>
    <row r="19" spans="1:1">
      <c r="A19" t="s">
        <v>3305</v>
      </c>
    </row>
    <row r="20" spans="1:1">
      <c r="A20" t="s">
        <v>3369</v>
      </c>
    </row>
    <row r="21" spans="1:1">
      <c r="A21" t="s">
        <v>3360</v>
      </c>
    </row>
    <row r="22" spans="1:1">
      <c r="A22" t="s">
        <v>3302</v>
      </c>
    </row>
    <row r="23" spans="1:1">
      <c r="A23" t="s">
        <v>3317</v>
      </c>
    </row>
    <row r="24" spans="1:1">
      <c r="A24" t="s">
        <v>3340</v>
      </c>
    </row>
    <row r="25" spans="1:1">
      <c r="A25" t="s">
        <v>3311</v>
      </c>
    </row>
    <row r="26" spans="1:1">
      <c r="A26" t="s">
        <v>3373</v>
      </c>
    </row>
    <row r="27" spans="1:1">
      <c r="A27" t="s">
        <v>3323</v>
      </c>
    </row>
    <row r="28" spans="1:1">
      <c r="A28" t="s">
        <v>3374</v>
      </c>
    </row>
    <row r="29" spans="1:1">
      <c r="A29" t="s">
        <v>3341</v>
      </c>
    </row>
    <row r="30" spans="1:1">
      <c r="A30" t="s">
        <v>3339</v>
      </c>
    </row>
    <row r="31" spans="1:1">
      <c r="A31" t="s">
        <v>3321</v>
      </c>
    </row>
    <row r="32" spans="1:1">
      <c r="A32" t="s">
        <v>3338</v>
      </c>
    </row>
    <row r="33" spans="1:1">
      <c r="A33" t="s">
        <v>3337</v>
      </c>
    </row>
    <row r="34" spans="1:1">
      <c r="A34" t="s">
        <v>3334</v>
      </c>
    </row>
    <row r="35" spans="1:1">
      <c r="A35" t="s">
        <v>3348</v>
      </c>
    </row>
    <row r="36" spans="1:1">
      <c r="A36" t="s">
        <v>3307</v>
      </c>
    </row>
    <row r="37" spans="1:1">
      <c r="A37" t="s">
        <v>3349</v>
      </c>
    </row>
    <row r="38" spans="1:1">
      <c r="A38" t="s">
        <v>3329</v>
      </c>
    </row>
    <row r="39" spans="1:1">
      <c r="A39" t="s">
        <v>3310</v>
      </c>
    </row>
    <row r="40" spans="1:1">
      <c r="A40" t="s">
        <v>3356</v>
      </c>
    </row>
    <row r="41" spans="1:1">
      <c r="A41" t="s">
        <v>3344</v>
      </c>
    </row>
    <row r="42" spans="1:1">
      <c r="A42" t="s">
        <v>3318</v>
      </c>
    </row>
    <row r="43" spans="1:1">
      <c r="A43" t="s">
        <v>3350</v>
      </c>
    </row>
    <row r="44" spans="1:1">
      <c r="A44" t="s">
        <v>3371</v>
      </c>
    </row>
    <row r="45" spans="1:1">
      <c r="A45" t="s">
        <v>3313</v>
      </c>
    </row>
    <row r="46" spans="1:1">
      <c r="A46" t="s">
        <v>3320</v>
      </c>
    </row>
    <row r="47" spans="1:1">
      <c r="A47" t="s">
        <v>3359</v>
      </c>
    </row>
    <row r="48" spans="1:1">
      <c r="A48" t="s">
        <v>3354</v>
      </c>
    </row>
    <row r="49" spans="1:1">
      <c r="A49" t="s">
        <v>3352</v>
      </c>
    </row>
    <row r="50" spans="1:1">
      <c r="A50" t="s">
        <v>3355</v>
      </c>
    </row>
    <row r="51" spans="1:1">
      <c r="A51" t="s">
        <v>3346</v>
      </c>
    </row>
    <row r="52" spans="1:1">
      <c r="A52" t="s">
        <v>3353</v>
      </c>
    </row>
    <row r="53" spans="1:1">
      <c r="A53" t="s">
        <v>3363</v>
      </c>
    </row>
    <row r="54" spans="1:1">
      <c r="A54" t="s">
        <v>3332</v>
      </c>
    </row>
    <row r="55" spans="1:1">
      <c r="A55" t="s">
        <v>3366</v>
      </c>
    </row>
    <row r="56" spans="1:1">
      <c r="A56" t="s">
        <v>3308</v>
      </c>
    </row>
    <row r="57" spans="1:1">
      <c r="A57" t="s">
        <v>3345</v>
      </c>
    </row>
    <row r="58" spans="1:1">
      <c r="A58" t="s">
        <v>3365</v>
      </c>
    </row>
    <row r="59" spans="1:1">
      <c r="A59" t="s">
        <v>3312</v>
      </c>
    </row>
    <row r="60" spans="1:1">
      <c r="A60" t="s">
        <v>3364</v>
      </c>
    </row>
    <row r="61" spans="1:1">
      <c r="A61" t="s">
        <v>3358</v>
      </c>
    </row>
    <row r="62" spans="1:1">
      <c r="A62" t="s">
        <v>3303</v>
      </c>
    </row>
    <row r="63" spans="1:1">
      <c r="A63" t="s">
        <v>3357</v>
      </c>
    </row>
    <row r="64" spans="1:1">
      <c r="A64" t="s">
        <v>3368</v>
      </c>
    </row>
    <row r="65" spans="1:1">
      <c r="A65" t="s">
        <v>3347</v>
      </c>
    </row>
    <row r="66" spans="1:1">
      <c r="A66" t="s">
        <v>3336</v>
      </c>
    </row>
    <row r="67" spans="1:1">
      <c r="A67" t="s">
        <v>3367</v>
      </c>
    </row>
    <row r="68" spans="1:1">
      <c r="A68" t="s">
        <v>3335</v>
      </c>
    </row>
    <row r="69" spans="1:1">
      <c r="A69" t="s">
        <v>3372</v>
      </c>
    </row>
    <row r="70" spans="1:1">
      <c r="A70" t="s">
        <v>3351</v>
      </c>
    </row>
    <row r="71" spans="1:1">
      <c r="A71" t="s">
        <v>3301</v>
      </c>
    </row>
    <row r="72" spans="1:1">
      <c r="A72" t="s">
        <v>3300</v>
      </c>
    </row>
    <row r="73" spans="1:1">
      <c r="A73" t="s">
        <v>3361</v>
      </c>
    </row>
    <row r="74" spans="1:1">
      <c r="A74" t="s">
        <v>3306</v>
      </c>
    </row>
    <row r="75" spans="1:1">
      <c r="A75" t="s">
        <v>3304</v>
      </c>
    </row>
    <row r="76" spans="1:1">
      <c r="A76" t="s">
        <v>3315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A46C-A3E1-5643-87A3-66D50DB51DCB}">
  <dimension ref="A2:C7"/>
  <sheetViews>
    <sheetView workbookViewId="0">
      <selection activeCell="AB34" sqref="AB34"/>
    </sheetView>
  </sheetViews>
  <sheetFormatPr baseColWidth="10" defaultRowHeight="16"/>
  <sheetData>
    <row r="2" spans="1:3">
      <c r="A2" t="s">
        <v>140</v>
      </c>
      <c r="B2" t="s">
        <v>879</v>
      </c>
      <c r="C2" t="s">
        <v>880</v>
      </c>
    </row>
    <row r="3" spans="1:3">
      <c r="A3" t="s">
        <v>163</v>
      </c>
      <c r="B3" t="s">
        <v>1043</v>
      </c>
      <c r="C3" t="s">
        <v>1044</v>
      </c>
    </row>
    <row r="4" spans="1:3">
      <c r="A4" t="s">
        <v>138</v>
      </c>
      <c r="B4" t="s">
        <v>984</v>
      </c>
      <c r="C4" t="s">
        <v>985</v>
      </c>
    </row>
    <row r="5" spans="1:3">
      <c r="A5" t="s">
        <v>139</v>
      </c>
      <c r="B5" t="s">
        <v>1006</v>
      </c>
      <c r="C5" t="s">
        <v>1007</v>
      </c>
    </row>
    <row r="6" spans="1:3">
      <c r="A6" t="s">
        <v>144</v>
      </c>
      <c r="B6" t="s">
        <v>1004</v>
      </c>
      <c r="C6" t="s">
        <v>1005</v>
      </c>
    </row>
    <row r="7" spans="1:3">
      <c r="A7" t="s">
        <v>319</v>
      </c>
      <c r="B7" t="s">
        <v>1012</v>
      </c>
      <c r="C7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chart</vt:lpstr>
      <vt:lpstr>0.6 cluster w function</vt:lpstr>
      <vt:lpstr>summary chart</vt:lpstr>
      <vt:lpstr>EBOV publics with HIP clust</vt:lpstr>
      <vt:lpstr>Sheet1</vt:lpstr>
      <vt:lpstr>missing from cluster 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2021-10-20T19:58:05Z</dcterms:created>
  <dcterms:modified xsi:type="dcterms:W3CDTF">2021-10-21T21:06:21Z</dcterms:modified>
</cp:coreProperties>
</file>